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00" yWindow="660" windowWidth="29100" windowHeight="17660" tabRatio="500" firstSheet="1" activeTab="1" autoFilterDateGrouping="1"/>
  </bookViews>
  <sheets>
    <sheet name="README — How to Use" sheetId="1" state="visible" r:id="rId1"/>
    <sheet name="RAG Screening Sheet" sheetId="2" state="visible" r:id="rId2"/>
    <sheet name="Universe Tracker" sheetId="3" state="visible" r:id="rId3"/>
    <sheet name="Watchlist &amp; Exclusion Summary" sheetId="4" state="visible" r:id="rId4"/>
    <sheet name="8-Test Greenwashing" sheetId="5" state="visible" r:id="rId5"/>
    <sheet name="Scoring Logic" sheetId="6" state="visible" r:id="rId6"/>
    <sheet name="Lookup Tables" sheetId="7" state="visible" r:id="rId7"/>
    <sheet name="Biodiversity Framework" sheetId="8" state="visible" r:id="rId8"/>
    <sheet name="Verification Log" sheetId="9" state="visible" r:id="rId9"/>
    <sheet name="Source Register" sheetId="10" state="visible" r:id="rId10"/>
    <sheet name="Factor Definitions" sheetId="11" state="visible" r:id="rId11"/>
    <sheet name="Data Dictionary" sheetId="12" state="visible" r:id="rId12"/>
    <sheet name="JSON Output Schema" sheetId="13" state="visible" r:id="rId13"/>
    <sheet name="Disclaimer &amp; Limitations" sheetId="14" state="visible" r:id="rId14"/>
  </sheets>
  <definedNames/>
  <calcPr calcId="191029" fullCalcOnLoad="1"/>
</workbook>
</file>

<file path=xl/styles.xml><?xml version="1.0" encoding="utf-8"?>
<styleSheet xmlns="http://schemas.openxmlformats.org/spreadsheetml/2006/main">
  <numFmts count="0"/>
  <fonts count="16">
    <font>
      <name val="Calibri"/>
      <charset val="1"/>
      <family val="2"/>
      <color theme="1"/>
      <sz val="11"/>
    </font>
    <font>
      <name val="Times New Roman"/>
      <family val="1"/>
      <b val="1"/>
      <color rgb="FFFFFFFF"/>
      <sz val="13"/>
    </font>
    <font>
      <name val="Times New Roman"/>
      <family val="1"/>
      <color theme="1"/>
      <sz val="11"/>
    </font>
    <font>
      <name val="Times New Roman"/>
      <family val="1"/>
      <b val="1"/>
      <color rgb="FFFFFFFF"/>
      <sz val="10"/>
    </font>
    <font>
      <name val="Times New Roman"/>
      <family val="1"/>
      <b val="1"/>
      <sz val="9"/>
    </font>
    <font>
      <name val="Times New Roman"/>
      <family val="1"/>
      <sz val="9"/>
    </font>
    <font>
      <name val="Times New Roman"/>
      <family val="1"/>
      <b val="1"/>
      <color rgb="FFFFFFFF"/>
      <sz val="12"/>
    </font>
    <font>
      <name val="Times New Roman"/>
      <family val="1"/>
      <b val="1"/>
      <i val="1"/>
      <color rgb="FF000000"/>
      <sz val="8"/>
    </font>
    <font>
      <name val="Times New Roman"/>
      <family val="1"/>
      <b val="1"/>
      <color rgb="FFFFFFFF"/>
      <sz val="9"/>
    </font>
    <font>
      <name val="Times New Roman"/>
      <family val="1"/>
      <b val="1"/>
      <color rgb="FFFFFFFF"/>
      <sz val="11"/>
    </font>
    <font>
      <name val="Times New Roman"/>
      <family val="1"/>
      <i val="1"/>
      <sz val="9"/>
    </font>
    <font>
      <name val="Times New Roman"/>
      <family val="1"/>
      <sz val="10"/>
    </font>
    <font>
      <name val="Times New Roman"/>
      <family val="1"/>
      <b val="1"/>
      <color theme="1"/>
      <sz val="10"/>
    </font>
    <font>
      <name val="Times New Roman"/>
      <family val="1"/>
      <i val="1"/>
      <sz val="8"/>
    </font>
    <font>
      <name val="Times New Roman"/>
      <family val="1"/>
      <i val="1"/>
      <color theme="1"/>
      <sz val="8"/>
    </font>
    <font>
      <name val="Times New Roman"/>
      <family val="1"/>
      <color theme="1"/>
      <sz val="8"/>
    </font>
  </fonts>
  <fills count="16">
    <fill>
      <patternFill/>
    </fill>
    <fill>
      <patternFill patternType="gray125"/>
    </fill>
    <fill>
      <patternFill patternType="solid">
        <fgColor rgb="FF1F4E79"/>
        <bgColor rgb="FF003366"/>
      </patternFill>
    </fill>
    <fill>
      <patternFill patternType="solid">
        <fgColor rgb="FF2E75B6"/>
        <bgColor rgb="FF0066CC"/>
      </patternFill>
    </fill>
    <fill>
      <patternFill patternType="solid">
        <fgColor rgb="FFFFFFFF"/>
        <bgColor rgb="FFF2F2F2"/>
      </patternFill>
    </fill>
    <fill>
      <patternFill patternType="solid">
        <fgColor rgb="FFF2F2F2"/>
        <bgColor rgb="FFE2EFDA"/>
      </patternFill>
    </fill>
    <fill>
      <patternFill patternType="solid">
        <fgColor rgb="FFBDD7EE"/>
        <bgColor rgb="FFC9DAF8"/>
      </patternFill>
    </fill>
    <fill>
      <patternFill patternType="solid">
        <fgColor rgb="FFE2EFDA"/>
        <bgColor rgb="FFD9EAD3"/>
      </patternFill>
    </fill>
    <fill>
      <patternFill patternType="solid">
        <fgColor rgb="FFFCE4D6"/>
        <bgColor rgb="FFFFF2CC"/>
      </patternFill>
    </fill>
    <fill>
      <patternFill patternType="solid">
        <fgColor rgb="FFEAD1DC"/>
        <bgColor rgb="FFF4CCCC"/>
      </patternFill>
    </fill>
    <fill>
      <patternFill patternType="solid">
        <fgColor rgb="FFD9EAD3"/>
        <bgColor rgb="FFE2EFDA"/>
      </patternFill>
    </fill>
    <fill>
      <patternFill patternType="solid">
        <fgColor rgb="FFFFF2CC"/>
        <bgColor rgb="FFFCE4D6"/>
      </patternFill>
    </fill>
    <fill>
      <patternFill patternType="solid">
        <fgColor rgb="FFF4CCCC"/>
        <bgColor rgb="FFEAD1DC"/>
      </patternFill>
    </fill>
    <fill>
      <patternFill patternType="solid">
        <fgColor rgb="FFD9D9D9"/>
        <bgColor rgb="FFEAD1DC"/>
      </patternFill>
    </fill>
    <fill>
      <patternFill patternType="solid">
        <fgColor rgb="FFC9DAF8"/>
        <bgColor rgb="FFBDD7EE"/>
      </patternFill>
    </fill>
    <fill>
      <patternFill patternType="solid">
        <fgColor theme="6" tint="0.7999816888943144"/>
        <bgColor rgb="FFBDD7EE"/>
      </patternFill>
    </fill>
  </fills>
  <borders count="13">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dashed">
        <color indexed="64"/>
      </left>
      <right style="dashed">
        <color indexed="64"/>
      </right>
      <top style="dashed">
        <color indexed="64"/>
      </top>
      <bottom style="dashed">
        <color indexed="64"/>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right style="dashed">
        <color indexed="64"/>
      </right>
      <top style="dashed">
        <color indexed="64"/>
      </top>
      <bottom style="dashed">
        <color indexed="64"/>
      </bottom>
      <diagonal/>
    </border>
    <border>
      <left/>
      <right/>
      <top/>
      <bottom style="thin">
        <color rgb="FFBFBFBF"/>
      </bottom>
      <diagonal/>
    </border>
    <border>
      <left/>
      <right/>
      <top/>
      <bottom style="dashed">
        <color indexed="64"/>
      </bottom>
      <diagonal/>
    </border>
    <border>
      <left/>
      <right/>
      <top style="dashed">
        <color indexed="64"/>
      </top>
      <bottom style="dashed">
        <color indexed="64"/>
      </bottom>
      <diagonal/>
    </border>
    <border>
      <left/>
      <right/>
      <top style="thin">
        <color rgb="FFBFBFBF"/>
      </top>
      <bottom/>
      <diagonal/>
    </border>
    <border>
      <left/>
      <right/>
      <top style="dashed">
        <color indexed="64"/>
      </top>
      <bottom/>
      <diagonal/>
    </border>
    <border>
      <left/>
      <right style="dashed">
        <color indexed="64"/>
      </right>
      <top style="dashed">
        <color indexed="64"/>
      </top>
      <bottom/>
      <diagonal/>
    </border>
  </borders>
  <cellStyleXfs count="1">
    <xf numFmtId="0" fontId="0" fillId="0" borderId="0"/>
  </cellStyleXfs>
  <cellXfs count="61">
    <xf numFmtId="0" fontId="0" fillId="0" borderId="0" pivotButton="0" quotePrefix="0" xfId="0"/>
    <xf numFmtId="0" fontId="2" fillId="0" borderId="0" pivotButton="0" quotePrefix="0" xfId="0"/>
    <xf numFmtId="0" fontId="4" fillId="4" borderId="2" applyAlignment="1" pivotButton="0" quotePrefix="0" xfId="0">
      <alignment horizontal="left" vertical="center" wrapText="1"/>
    </xf>
    <xf numFmtId="0" fontId="5" fillId="4" borderId="2" applyAlignment="1" pivotButton="0" quotePrefix="0" xfId="0">
      <alignment horizontal="left" vertical="center" wrapText="1"/>
    </xf>
    <xf numFmtId="0" fontId="4" fillId="5" borderId="2" applyAlignment="1" pivotButton="0" quotePrefix="0" xfId="0">
      <alignment horizontal="left" vertical="center" wrapText="1"/>
    </xf>
    <xf numFmtId="0" fontId="5" fillId="5" borderId="2" applyAlignment="1" pivotButton="0" quotePrefix="0" xfId="0">
      <alignment horizontal="left" vertical="center" wrapText="1"/>
    </xf>
    <xf numFmtId="0" fontId="2" fillId="4" borderId="2" applyAlignment="1" pivotButton="0" quotePrefix="0" xfId="0">
      <alignment horizontal="left" vertical="center" wrapText="1"/>
    </xf>
    <xf numFmtId="0" fontId="7" fillId="6" borderId="4" applyAlignment="1" pivotButton="0" quotePrefix="0" xfId="0">
      <alignment horizontal="center" vertical="center"/>
    </xf>
    <xf numFmtId="0" fontId="7" fillId="7" borderId="4" applyAlignment="1" pivotButton="0" quotePrefix="0" xfId="0">
      <alignment horizontal="center" vertical="center"/>
    </xf>
    <xf numFmtId="0" fontId="7" fillId="8" borderId="4" applyAlignment="1" pivotButton="0" quotePrefix="0" xfId="0">
      <alignment horizontal="center" vertical="center"/>
    </xf>
    <xf numFmtId="0" fontId="7" fillId="9" borderId="4" applyAlignment="1" pivotButton="0" quotePrefix="0" xfId="0">
      <alignment horizontal="center" vertical="center"/>
    </xf>
    <xf numFmtId="0" fontId="7" fillId="10" borderId="4" applyAlignment="1" pivotButton="0" quotePrefix="0" xfId="0">
      <alignment horizontal="center" vertical="center"/>
    </xf>
    <xf numFmtId="0" fontId="7" fillId="11" borderId="4" applyAlignment="1" pivotButton="0" quotePrefix="0" xfId="0">
      <alignment horizontal="center" vertical="center"/>
    </xf>
    <xf numFmtId="0" fontId="7" fillId="12" borderId="4" applyAlignment="1" pivotButton="0" quotePrefix="0" xfId="0">
      <alignment horizontal="center" vertical="center"/>
    </xf>
    <xf numFmtId="0" fontId="7" fillId="13" borderId="4" applyAlignment="1" pivotButton="0" quotePrefix="0" xfId="0">
      <alignment horizontal="center" vertical="center"/>
    </xf>
    <xf numFmtId="0" fontId="7" fillId="14" borderId="4" applyAlignment="1" pivotButton="0" quotePrefix="0" xfId="0">
      <alignment horizontal="center" vertical="center"/>
    </xf>
    <xf numFmtId="0" fontId="8" fillId="3" borderId="2" applyAlignment="1" pivotButton="0" quotePrefix="0" xfId="0">
      <alignment horizontal="center" vertical="center" wrapText="1"/>
    </xf>
    <xf numFmtId="0" fontId="8" fillId="2" borderId="2" applyAlignment="1" pivotButton="0" quotePrefix="0" xfId="0">
      <alignment horizontal="center" vertical="center" wrapText="1"/>
    </xf>
    <xf numFmtId="0" fontId="5" fillId="4" borderId="2" applyAlignment="1" pivotButton="0" quotePrefix="0" xfId="0">
      <alignment horizontal="left" vertical="center"/>
    </xf>
    <xf numFmtId="0" fontId="5" fillId="5" borderId="2" applyAlignment="1" pivotButton="0" quotePrefix="0" xfId="0">
      <alignment horizontal="left" vertical="center"/>
    </xf>
    <xf numFmtId="0" fontId="4" fillId="12" borderId="2" applyAlignment="1" pivotButton="0" quotePrefix="0" xfId="0">
      <alignment horizontal="center" vertical="center" wrapText="1"/>
    </xf>
    <xf numFmtId="0" fontId="4" fillId="11" borderId="2" applyAlignment="1" pivotButton="0" quotePrefix="0" xfId="0">
      <alignment horizontal="center" vertical="center" wrapText="1"/>
    </xf>
    <xf numFmtId="0" fontId="4" fillId="13" borderId="2" applyAlignment="1" pivotButton="0" quotePrefix="0" xfId="0">
      <alignment horizontal="center" vertical="center" wrapText="1"/>
    </xf>
    <xf numFmtId="0" fontId="4" fillId="7" borderId="2" applyAlignment="1" pivotButton="0" quotePrefix="0" xfId="0">
      <alignment horizontal="center" vertical="center" wrapText="1"/>
    </xf>
    <xf numFmtId="0" fontId="3" fillId="3" borderId="2" applyAlignment="1" pivotButton="0" quotePrefix="0" xfId="0">
      <alignment horizontal="left" vertical="center" wrapText="1"/>
    </xf>
    <xf numFmtId="0" fontId="5" fillId="0" borderId="2" applyAlignment="1" pivotButton="0" quotePrefix="0" xfId="0">
      <alignment horizontal="left" vertical="center" wrapText="1"/>
    </xf>
    <xf numFmtId="0" fontId="5" fillId="7" borderId="2" applyAlignment="1" pivotButton="0" quotePrefix="0" xfId="0">
      <alignment horizontal="left" vertical="center" wrapText="1"/>
    </xf>
    <xf numFmtId="0" fontId="5" fillId="11" borderId="2" applyAlignment="1" pivotButton="0" quotePrefix="0" xfId="0">
      <alignment horizontal="left" vertical="center" wrapText="1"/>
    </xf>
    <xf numFmtId="0" fontId="5" fillId="8" borderId="2" applyAlignment="1" pivotButton="0" quotePrefix="0" xfId="0">
      <alignment horizontal="left" vertical="center" wrapText="1"/>
    </xf>
    <xf numFmtId="0" fontId="5" fillId="13" borderId="2" applyAlignment="1" pivotButton="0" quotePrefix="0" xfId="0">
      <alignment horizontal="left" vertical="center" wrapText="1"/>
    </xf>
    <xf numFmtId="0" fontId="8" fillId="3" borderId="2" applyAlignment="1" pivotButton="0" quotePrefix="0" xfId="0">
      <alignment horizontal="left" vertical="center" wrapText="1"/>
    </xf>
    <xf numFmtId="9" fontId="5" fillId="5" borderId="2" applyAlignment="1" pivotButton="0" quotePrefix="0" xfId="0">
      <alignment horizontal="left" vertical="center" wrapText="1"/>
    </xf>
    <xf numFmtId="9" fontId="5" fillId="4" borderId="2" applyAlignment="1" pivotButton="0" quotePrefix="0" xfId="0">
      <alignment horizontal="left" vertical="center" wrapText="1"/>
    </xf>
    <xf numFmtId="0" fontId="5" fillId="10" borderId="2" applyAlignment="1" pivotButton="0" quotePrefix="0" xfId="0">
      <alignment horizontal="left" vertical="center" wrapText="1"/>
    </xf>
    <xf numFmtId="0" fontId="6" fillId="2" borderId="0" applyAlignment="1" pivotButton="0" quotePrefix="0" xfId="0">
      <alignment horizontal="center" vertical="center"/>
    </xf>
    <xf numFmtId="0" fontId="11" fillId="4" borderId="2" applyAlignment="1" pivotButton="0" quotePrefix="0" xfId="0">
      <alignment horizontal="left" vertical="center" wrapText="1"/>
    </xf>
    <xf numFmtId="0" fontId="11" fillId="5" borderId="2" applyAlignment="1" pivotButton="0" quotePrefix="0" xfId="0">
      <alignment horizontal="left" vertical="center" wrapText="1"/>
    </xf>
    <xf numFmtId="0" fontId="12" fillId="0" borderId="0" applyAlignment="1" pivotButton="0" quotePrefix="0" xfId="0">
      <alignment horizontal="center" vertical="center"/>
    </xf>
    <xf numFmtId="0" fontId="7" fillId="15" borderId="4" applyAlignment="1" pivotButton="0" quotePrefix="0" xfId="0">
      <alignment horizontal="center" vertical="center"/>
    </xf>
    <xf numFmtId="0" fontId="13" fillId="5" borderId="2" applyAlignment="1" pivotButton="0" quotePrefix="0" xfId="0">
      <alignment horizontal="left" vertical="center" wrapText="1"/>
    </xf>
    <xf numFmtId="0" fontId="13" fillId="4" borderId="2" applyAlignment="1" pivotButton="0" quotePrefix="0" xfId="0">
      <alignment horizontal="left" vertical="center" wrapText="1"/>
    </xf>
    <xf numFmtId="0" fontId="14" fillId="5" borderId="2" applyAlignment="1" pivotButton="0" quotePrefix="0" xfId="0">
      <alignment horizontal="left" vertical="center" wrapText="1"/>
    </xf>
    <xf numFmtId="0" fontId="14" fillId="4" borderId="2" applyAlignment="1" pivotButton="0" quotePrefix="0" xfId="0">
      <alignment horizontal="left" vertical="center" wrapText="1"/>
    </xf>
    <xf numFmtId="0" fontId="15" fillId="5" borderId="2" applyAlignment="1" pivotButton="0" quotePrefix="0" xfId="0">
      <alignment horizontal="left" vertical="center" wrapText="1"/>
    </xf>
    <xf numFmtId="0" fontId="15" fillId="4" borderId="2" applyAlignment="1" pivotButton="0" quotePrefix="0" xfId="0">
      <alignment horizontal="left" vertical="center" wrapText="1"/>
    </xf>
    <xf numFmtId="0" fontId="14" fillId="4" borderId="2" applyAlignment="1" pivotButton="0" quotePrefix="1" xfId="0">
      <alignment horizontal="left" vertical="center" wrapText="1"/>
    </xf>
    <xf numFmtId="0" fontId="5" fillId="4" borderId="0" applyAlignment="1" pivotButton="0" quotePrefix="0" xfId="0">
      <alignment horizontal="left" vertical="center"/>
    </xf>
    <xf numFmtId="0" fontId="3" fillId="3" borderId="1" applyAlignment="1" pivotButton="0" quotePrefix="0" xfId="0">
      <alignment horizontal="left" vertical="center" wrapText="1"/>
    </xf>
    <xf numFmtId="0" fontId="0" fillId="0" borderId="5" pivotButton="0" quotePrefix="0" xfId="0"/>
    <xf numFmtId="0" fontId="1" fillId="2" borderId="7" applyAlignment="1" pivotButton="0" quotePrefix="0" xfId="0">
      <alignment horizontal="center" vertical="center" wrapText="1"/>
    </xf>
    <xf numFmtId="0" fontId="0" fillId="0" borderId="7" pivotButton="0" quotePrefix="0" xfId="0"/>
    <xf numFmtId="0" fontId="3" fillId="3" borderId="3" applyAlignment="1" pivotButton="0" quotePrefix="0" xfId="0">
      <alignment horizontal="center" vertical="center"/>
    </xf>
    <xf numFmtId="0" fontId="0" fillId="0" borderId="9" pivotButton="0" quotePrefix="0" xfId="0"/>
    <xf numFmtId="0" fontId="0" fillId="0" borderId="6" pivotButton="0" quotePrefix="0" xfId="0"/>
    <xf numFmtId="0" fontId="6" fillId="2" borderId="8" applyAlignment="1" pivotButton="0" quotePrefix="0" xfId="0">
      <alignment horizontal="center" vertical="center"/>
    </xf>
    <xf numFmtId="0" fontId="0" fillId="0" borderId="8" pivotButton="0" quotePrefix="0" xfId="0"/>
    <xf numFmtId="0" fontId="9"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left" vertical="center"/>
    </xf>
    <xf numFmtId="0" fontId="10" fillId="5" borderId="1" applyAlignment="1" pivotButton="0" quotePrefix="0" xfId="0">
      <alignment horizontal="left" vertical="top" wrapText="1"/>
    </xf>
    <xf numFmtId="0" fontId="0" fillId="0" borderId="0" pivotButton="0" quotePrefix="0" xfId="0"/>
  </cellXfs>
  <cellStyles count="1">
    <cellStyle name="Normal" xfId="0" builtinId="0"/>
  </cellStyles>
  <dxfs count="330">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
      <font>
        <i val="1"/>
      </font>
      <fill>
        <patternFill>
          <bgColor rgb="FFD9D9D9"/>
        </patternFill>
      </fill>
    </dxf>
    <dxf>
      <fill>
        <patternFill>
          <bgColor rgb="FFFFF2CC"/>
        </patternFill>
      </fill>
    </dxf>
    <dxf>
      <font>
        <b val="1"/>
        <color theme="0"/>
      </font>
      <fill>
        <patternFill>
          <bgColor rgb="FFEA4335"/>
        </patternFill>
      </fill>
    </dxf>
    <dxf>
      <font>
        <b val="1"/>
        <color theme="0"/>
      </font>
      <fill>
        <patternFill>
          <bgColor rgb="FFCC0000"/>
        </patternFill>
      </fill>
    </dxf>
    <dxf>
      <font>
        <b val="1"/>
        <color theme="0"/>
      </font>
      <fill>
        <patternFill>
          <bgColor rgb="FFEA4335"/>
        </patternFill>
      </fill>
    </dxf>
    <dxf>
      <fill>
        <patternFill>
          <bgColor rgb="FFF6B26B"/>
        </patternFill>
      </fill>
    </dxf>
    <dxf>
      <fill>
        <patternFill>
          <bgColor rgb="FFEA9999"/>
        </patternFill>
      </fill>
    </dxf>
    <dxf>
      <fill>
        <patternFill>
          <bgColor rgb="FFE06666"/>
        </patternFill>
      </fill>
    </dxf>
    <dxf>
      <font>
        <b val="1"/>
        <color theme="0"/>
      </font>
      <fill>
        <patternFill>
          <bgColor rgb="FFCC0000"/>
        </patternFill>
      </fill>
    </dxf>
    <dxf>
      <fill>
        <patternFill>
          <bgColor rgb="FFFCE5CD"/>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D9D9D9"/>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E2EFDA"/>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F2F2F2"/>
      <rgbColor rgb="FFD9EAD3"/>
      <rgbColor rgb="FFFCE4D6"/>
      <rgbColor rgb="FFBDD7EE"/>
      <rgbColor rgb="FFEAD1DC"/>
      <rgbColor rgb="FFD9D9D9"/>
      <rgbColor rgb="FFF4CCCC"/>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40"/>
  <sheetViews>
    <sheetView showGridLines="0" zoomScaleNormal="100" workbookViewId="0">
      <selection activeCell="C16" sqref="C16"/>
    </sheetView>
  </sheetViews>
  <sheetFormatPr baseColWidth="10" defaultColWidth="8.6640625" defaultRowHeight="14"/>
  <cols>
    <col width="32.6640625" bestFit="1" customWidth="1" style="57" min="1" max="1"/>
    <col width="43.1640625" bestFit="1" customWidth="1" style="57" min="2" max="2"/>
    <col width="122.83203125" bestFit="1" customWidth="1" style="57" min="3" max="3"/>
    <col width="8.6640625" customWidth="1" style="57" min="4" max="4"/>
    <col width="8.6640625" customWidth="1" style="57" min="5" max="16384"/>
  </cols>
  <sheetData>
    <row r="1" ht="39.75" customHeight="1" s="60">
      <c r="A1" s="49" t="inlineStr">
        <is>
          <t>RAG SCREENING SHEET WORKBOOK  |  ESADE MSc Finance | Sustainable Finance | May 2026
Academic Prototype — Not Investment Advice — Not a Regulated ESG Product</t>
        </is>
      </c>
      <c r="B1" s="50" t="n"/>
      <c r="C1" s="50" t="n"/>
    </row>
    <row r="2" ht="18" customHeight="1" s="60">
      <c r="A2" s="47" t="inlineStr">
        <is>
          <t>NINE-STEP WORKFLOW</t>
        </is>
      </c>
      <c r="B2" s="48" t="n"/>
      <c r="C2" s="48" t="n"/>
    </row>
    <row r="3" ht="26" customHeight="1" s="60">
      <c r="A3" s="2" t="inlineStr">
        <is>
          <t>Step 1</t>
        </is>
      </c>
      <c r="B3" s="3" t="inlineStr">
        <is>
          <t>Paste company identifiers</t>
        </is>
      </c>
      <c r="C3" s="3" t="inlineStr">
        <is>
          <t>Universe Tracker sheet → paste Company Name, Ticker, ISIN, Country, BICS Sector. One row per company. Row ID is calculated automatically.</t>
        </is>
      </c>
    </row>
    <row r="4" ht="26" customHeight="1" s="60">
      <c r="A4" s="4" t="inlineStr">
        <is>
          <t>Step 2</t>
        </is>
      </c>
      <c r="B4" s="5" t="inlineStr">
        <is>
          <t>Assign review priority</t>
        </is>
      </c>
      <c r="C4" s="5" t="inlineStr">
        <is>
          <t>Universe Tracker → Review Priority column. Deep Review = 10–12 companies for full Claude Project extraction. Light Screen = remaining 38–40.</t>
        </is>
      </c>
    </row>
    <row r="5" ht="26" customHeight="1" s="60">
      <c r="A5" s="2" t="inlineStr">
        <is>
          <t>Step 3</t>
        </is>
      </c>
      <c r="B5" s="3" t="inlineStr">
        <is>
          <t>Collect source documents</t>
        </is>
      </c>
      <c r="C5" s="3" t="inlineStr">
        <is>
          <t>For each Deep Review company: sustainability report PDF, annual report (if ESG-relevant), TCFD report, assurance statement. Log all in Source Register sheet.</t>
        </is>
      </c>
    </row>
    <row r="6" ht="26" customHeight="1" s="60">
      <c r="A6" s="4" t="inlineStr">
        <is>
          <t>Step 4</t>
        </is>
      </c>
      <c r="B6" s="5" t="inlineStr">
        <is>
          <t>Run RAG extraction in Claude Project</t>
        </is>
      </c>
      <c r="C6" s="5" t="inlineStr">
        <is>
          <t>Create one Claude Project per Deep Review company. Upload PDFs. Paste system prompt from 8-Test Greenwashing sheet. Run extraction. Save JSON output.</t>
        </is>
      </c>
    </row>
    <row r="7" ht="26" customHeight="1" s="60">
      <c r="A7" s="2" t="inlineStr">
        <is>
          <t>Step 5</t>
        </is>
      </c>
      <c r="B7" s="3" t="inlineStr">
        <is>
          <t>Paste outputs into RAG Screening Sheet</t>
        </is>
      </c>
      <c r="C7" s="3" t="inlineStr">
        <is>
          <t>Copy extracted evidence into relevant columns. Mark each cell with its source document and page reference. Use evidence confidence dropdowns.</t>
        </is>
      </c>
    </row>
    <row r="8" ht="26" customHeight="1" s="60">
      <c r="A8" s="4" t="inlineStr">
        <is>
          <t>Step 6</t>
        </is>
      </c>
      <c r="B8" s="5" t="inlineStr">
        <is>
          <t>Verify source evidence manually</t>
        </is>
      </c>
      <c r="C8" s="5" t="inlineStr">
        <is>
          <t>Verify ≥30% of all extractions against source PDF. 100% verification for any Watchlist or Exclusion flag. Record in Verification Log sheet.</t>
        </is>
      </c>
    </row>
    <row r="9" ht="26" customHeight="1" s="60">
      <c r="A9" s="2" t="inlineStr">
        <is>
          <t>Step 7</t>
        </is>
      </c>
      <c r="B9" s="3" t="inlineStr">
        <is>
          <t>Review scores and flags</t>
        </is>
      </c>
      <c r="C9" s="3" t="inlineStr">
        <is>
          <t>Check auto-calculated columns (G12–G15, G21, G22, H10–H12, I6, I7). Review any triggered flags. Note: C19, D12, E13, F11 require manual formula implementation — see Scoring Logic sheet.</t>
        </is>
      </c>
    </row>
    <row r="10" ht="26" customHeight="1" s="60">
      <c r="A10" s="4" t="inlineStr">
        <is>
          <t>Step 8</t>
        </is>
      </c>
      <c r="B10" s="5" t="inlineStr">
        <is>
          <t>Assign final RAG verdict</t>
        </is>
      </c>
      <c r="C10" s="5" t="inlineStr">
        <is>
          <t>Review I7 auto-verdict. Override in I8 if human judgement requires it. Document rationale in I10. Never leave I10 blank for Watchlist or Exclusion verdicts.</t>
        </is>
      </c>
    </row>
    <row r="11" ht="26" customHeight="1" s="60">
      <c r="A11" s="2" t="inlineStr">
        <is>
          <t>Step 9</t>
        </is>
      </c>
      <c r="B11" s="3" t="inlineStr">
        <is>
          <t>Handoff</t>
        </is>
      </c>
      <c r="C11" s="3" t="inlineStr">
        <is>
          <t>Pipeline Operator → JSON schema from JSON Output Schema sheet. ESG Specialist → indicator columns + Verification Log. Captain → Watchlist &amp; Exclusion Summary sheet.</t>
        </is>
      </c>
    </row>
    <row r="12" ht="7.5" customHeight="1" s="60">
      <c r="A12" s="6" t="n"/>
      <c r="B12" s="6" t="n"/>
      <c r="C12" s="6" t="n"/>
    </row>
    <row r="13" ht="18" customHeight="1" s="60">
      <c r="A13" s="47" t="inlineStr">
        <is>
          <t>COLOUR CODING</t>
        </is>
      </c>
      <c r="B13" s="48" t="n"/>
      <c r="C13" s="48" t="n"/>
    </row>
    <row r="14" ht="18" customHeight="1" s="60">
      <c r="A14" s="4" t="inlineStr">
        <is>
          <t>Green fill</t>
        </is>
      </c>
      <c r="B14" s="5" t="inlineStr">
        <is>
          <t>Strong evidence / PASS</t>
        </is>
      </c>
      <c r="C14" s="5" t="inlineStr">
        <is>
          <t>Apply manually to cells with strong supporting evidence</t>
        </is>
      </c>
    </row>
    <row r="15" ht="18" customHeight="1" s="60">
      <c r="A15" s="2" t="inlineStr">
        <is>
          <t>Amber fill</t>
        </is>
      </c>
      <c r="B15" s="3" t="inlineStr">
        <is>
          <t>Partial evidence / PARTIAL / see note</t>
        </is>
      </c>
      <c r="C15" s="3" t="inlineStr">
        <is>
          <t>Used automatically for C19/D12/E13/F11 placeholder cells (requires formula implementation)</t>
        </is>
      </c>
    </row>
    <row r="16" ht="18" customHeight="1" s="60">
      <c r="A16" s="4" t="inlineStr">
        <is>
          <t>Red fill</t>
        </is>
      </c>
      <c r="B16" s="5" t="inlineStr">
        <is>
          <t>Failed test / hard exclusion trigger</t>
        </is>
      </c>
      <c r="C16" s="5" t="inlineStr">
        <is>
          <t>Apply manually to cells triggering hard exclusion</t>
        </is>
      </c>
    </row>
    <row r="17" ht="18" customHeight="1" s="60">
      <c r="A17" s="2" t="inlineStr">
        <is>
          <t>Grey fill</t>
        </is>
      </c>
      <c r="B17" s="3" t="inlineStr">
        <is>
          <t>MISSING — evidence not found</t>
        </is>
      </c>
      <c r="C17" s="3" t="inlineStr">
        <is>
          <t>Apply manually when evidence is absent</t>
        </is>
      </c>
    </row>
    <row r="18" ht="18" customHeight="1" s="60">
      <c r="A18" s="4" t="inlineStr">
        <is>
          <t>Yellow fill</t>
        </is>
      </c>
      <c r="B18" s="5" t="inlineStr">
        <is>
          <t>Unverified — human check required</t>
        </is>
      </c>
      <c r="C18" s="5" t="inlineStr">
        <is>
          <t>Apply when verification is pending</t>
        </is>
      </c>
    </row>
    <row r="19" ht="7.5" customHeight="1" s="60">
      <c r="A19" s="6" t="n"/>
      <c r="B19" s="6" t="n"/>
      <c r="C19" s="6" t="n"/>
    </row>
    <row r="20" ht="18" customHeight="1" s="60">
      <c r="A20" s="47" t="inlineStr">
        <is>
          <t>IMPORTANT CONSTRAINTS</t>
        </is>
      </c>
      <c r="B20" s="48" t="n"/>
      <c r="C20" s="48" t="n"/>
    </row>
    <row r="21" ht="18" customHeight="1" s="60">
      <c r="A21" s="2" t="inlineStr">
        <is>
          <t>Missing ≠ Good</t>
        </is>
      </c>
      <c r="B21" s="3" t="inlineStr">
        <is>
          <t>Absence of evidence is a risk signal, not positive evidence</t>
        </is>
      </c>
      <c r="C21" s="3" t="inlineStr">
        <is>
          <t>A company that does not disclose a metric receives no positive score for it</t>
        </is>
      </c>
    </row>
    <row r="22" ht="18" customHeight="1" s="60">
      <c r="A22" s="4" t="inlineStr">
        <is>
          <t>Disclosure ≠ Performance</t>
        </is>
      </c>
      <c r="B22" s="5" t="inlineStr">
        <is>
          <t>Disclosing Scope 3 data ≠ performing well on Scope 3</t>
        </is>
      </c>
      <c r="C22" s="5" t="inlineStr">
        <is>
          <t>Only the actual figures determine the climate score</t>
        </is>
      </c>
    </row>
    <row r="23" ht="18" customHeight="1" s="60">
      <c r="A23" s="2" t="inlineStr">
        <is>
          <t>Eligibility ≠ Alignment</t>
        </is>
      </c>
      <c r="B23" s="3" t="inlineStr">
        <is>
          <t>EU Taxonomy eligible revenue ≠ aligned revenue</t>
        </is>
      </c>
      <c r="C23" s="3" t="inlineStr">
        <is>
          <t>Do not use eligibility to meet the ≥50% alignment mandate target</t>
        </is>
      </c>
    </row>
    <row r="24" ht="18" customHeight="1" s="60">
      <c r="A24" s="4" t="inlineStr">
        <is>
          <t>Score ≠ Truth</t>
        </is>
      </c>
      <c r="B24" s="5" t="inlineStr">
        <is>
          <t>This model produces signals, not verdicts</t>
        </is>
      </c>
      <c r="C24" s="5" t="inlineStr">
        <is>
          <t>Human review required at all Watchlist and Exclusion decisions</t>
        </is>
      </c>
    </row>
    <row r="25" ht="18" customHeight="1" s="60">
      <c r="A25" s="2" t="inlineStr">
        <is>
          <t>AI flags. Humans decide. Everything is logged.</t>
        </is>
      </c>
      <c r="B25" s="3" t="inlineStr">
        <is>
          <t>Core operating principle of this workbook</t>
        </is>
      </c>
      <c r="C25" s="3" t="inlineStr">
        <is>
          <t>All verdicts are subject to Captain and ESG Specialist confirmation</t>
        </is>
      </c>
    </row>
    <row r="26" ht="7.5" customHeight="1" s="60">
      <c r="A26" s="6" t="n"/>
      <c r="B26" s="6" t="n"/>
      <c r="C26" s="6" t="n"/>
    </row>
    <row r="27" ht="18" customHeight="1" s="60">
      <c r="A27" s="47" t="inlineStr">
        <is>
          <t>SHEET DIRECTORY</t>
        </is>
      </c>
      <c r="B27" s="48" t="n"/>
      <c r="C27" s="48" t="n"/>
    </row>
    <row r="28" ht="18" customHeight="1" s="60">
      <c r="A28" s="4" t="inlineStr">
        <is>
          <t>Sheet</t>
        </is>
      </c>
      <c r="B28" s="4" t="inlineStr">
        <is>
          <t>Purpose</t>
        </is>
      </c>
      <c r="C28" s="4" t="inlineStr">
        <is>
          <t>Owned By</t>
        </is>
      </c>
    </row>
    <row r="29" ht="18" customHeight="1" s="60">
      <c r="A29" s="2" t="inlineStr">
        <is>
          <t>RAG Screening Sheet</t>
        </is>
      </c>
      <c r="B29" s="3" t="inlineStr">
        <is>
          <t>Main working sheet — one row per company, all groups A–I</t>
        </is>
      </c>
      <c r="C29" s="3" t="inlineStr">
        <is>
          <t>RAG Operator</t>
        </is>
      </c>
    </row>
    <row r="30" ht="18" customHeight="1" s="60">
      <c r="A30" s="4" t="inlineStr">
        <is>
          <t>Universe Tracker</t>
        </is>
      </c>
      <c r="B30" s="5" t="inlineStr">
        <is>
          <t>50-company master list with review priority and status</t>
        </is>
      </c>
      <c r="C30" s="5" t="inlineStr">
        <is>
          <t>RAG Operator / Data Engineer</t>
        </is>
      </c>
    </row>
    <row r="31" ht="18" customHeight="1" s="60">
      <c r="A31" s="2" t="inlineStr">
        <is>
          <t>Watchlist &amp; Exclusion Summary</t>
        </is>
      </c>
      <c r="B31" s="3" t="inlineStr">
        <is>
          <t>Decision-ready flags for Captain and ESG Specialist</t>
        </is>
      </c>
      <c r="C31" s="3" t="inlineStr">
        <is>
          <t>RAG Operator</t>
        </is>
      </c>
    </row>
    <row r="32" ht="18" customHeight="1" s="60">
      <c r="A32" s="4" t="inlineStr">
        <is>
          <t>8-Test Greenwashing</t>
        </is>
      </c>
      <c r="B32" s="5" t="inlineStr">
        <is>
          <t>Test definitions, pass/fail criteria, Claude Project system prompt</t>
        </is>
      </c>
      <c r="C32" s="5" t="inlineStr">
        <is>
          <t>RAG Operator</t>
        </is>
      </c>
    </row>
    <row r="33" ht="18" customHeight="1" s="60">
      <c r="A33" s="2" t="inlineStr">
        <is>
          <t>Scoring Logic</t>
        </is>
      </c>
      <c r="B33" s="3" t="inlineStr">
        <is>
          <t>All formulas, weights, override rules, scoring point tables</t>
        </is>
      </c>
      <c r="C33" s="3" t="inlineStr">
        <is>
          <t>RAG Operator</t>
        </is>
      </c>
    </row>
    <row r="34" ht="18" customHeight="1" s="60">
      <c r="A34" s="4" t="inlineStr">
        <is>
          <t>Biodiversity Framework</t>
        </is>
      </c>
      <c r="B34" s="5" t="inlineStr">
        <is>
          <t>ENCORE / WWF / Aqueduct / TNFD methodology reference</t>
        </is>
      </c>
      <c r="C34" s="5" t="inlineStr">
        <is>
          <t>RAG Operator</t>
        </is>
      </c>
    </row>
    <row r="35" ht="18" customHeight="1" s="60">
      <c r="A35" s="2" t="inlineStr">
        <is>
          <t>Verification Log</t>
        </is>
      </c>
      <c r="B35" s="3" t="inlineStr">
        <is>
          <t>Manual verification records — 30% sample minimum</t>
        </is>
      </c>
      <c r="C35" s="3" t="inlineStr">
        <is>
          <t>RAG Operator</t>
        </is>
      </c>
    </row>
    <row r="36" ht="18" customHeight="1" s="60">
      <c r="A36" s="4" t="inlineStr">
        <is>
          <t>Source Register</t>
        </is>
      </c>
      <c r="B36" s="5" t="inlineStr">
        <is>
          <t>All documents reviewed with URL and citation format</t>
        </is>
      </c>
      <c r="C36" s="5" t="inlineStr">
        <is>
          <t>RAG Operator</t>
        </is>
      </c>
    </row>
    <row r="37" ht="18" customHeight="1" s="60">
      <c r="A37" s="2" t="inlineStr">
        <is>
          <t>Factor Definitions</t>
        </is>
      </c>
      <c r="B37" s="3" t="inlineStr">
        <is>
          <t>Academic rationale for every screening dimension</t>
        </is>
      </c>
      <c r="C37" s="3" t="inlineStr">
        <is>
          <t>RAG Operator</t>
        </is>
      </c>
    </row>
    <row r="38" ht="18" customHeight="1" s="60">
      <c r="A38" s="4" t="inlineStr">
        <is>
          <t>Data Dictionary</t>
        </is>
      </c>
      <c r="B38" s="5" t="inlineStr">
        <is>
          <t>Glossary of all terms and abbreviations</t>
        </is>
      </c>
      <c r="C38" s="5" t="inlineStr">
        <is>
          <t>RAG Operator</t>
        </is>
      </c>
    </row>
    <row r="39" ht="18" customHeight="1" s="60">
      <c r="A39" s="2" t="inlineStr">
        <is>
          <t>JSON Output Schema</t>
        </is>
      </c>
      <c r="B39" s="3" t="inlineStr">
        <is>
          <t>JSON structure for Pipeline Operator handoff</t>
        </is>
      </c>
      <c r="C39" s="3" t="inlineStr">
        <is>
          <t>RAG Operator / Pipeline Operator</t>
        </is>
      </c>
    </row>
    <row r="40" ht="18" customHeight="1" s="60">
      <c r="A40" s="4" t="inlineStr">
        <is>
          <t>Disclaimer &amp; Limitations</t>
        </is>
      </c>
      <c r="B40" s="5" t="inlineStr">
        <is>
          <t>Anti-overclaiming language — extract for Section 11</t>
        </is>
      </c>
      <c r="C40" s="5" t="inlineStr">
        <is>
          <t>RAG Operator</t>
        </is>
      </c>
    </row>
  </sheetData>
  <mergeCells count="5">
    <mergeCell ref="A13:C13"/>
    <mergeCell ref="A1:C1"/>
    <mergeCell ref="A27:C27"/>
    <mergeCell ref="A20:C20"/>
    <mergeCell ref="A2:C2"/>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EF220"/>
  <sheetViews>
    <sheetView showGridLines="0" tabSelected="1" zoomScaleNormal="100" workbookViewId="0">
      <pane xSplit="3" ySplit="6" topLeftCell="D7" activePane="bottomRight" state="frozen"/>
      <selection pane="topRight" activeCell="D1" sqref="D1"/>
      <selection pane="bottomLeft" activeCell="A5" sqref="A5"/>
      <selection pane="bottomRight" activeCell="B18" sqref="B18"/>
    </sheetView>
  </sheetViews>
  <sheetFormatPr baseColWidth="10" defaultColWidth="8.6640625" defaultRowHeight="14" outlineLevelRow="1"/>
  <cols>
    <col width="28" customWidth="1" style="57" min="1" max="1"/>
    <col width="12" customWidth="1" style="57" min="2" max="2"/>
    <col width="16" customWidth="1" style="57" min="3" max="3"/>
    <col width="20" customWidth="1" style="57" min="4" max="5"/>
    <col width="22" customWidth="1" style="57" min="6" max="7"/>
    <col width="18" customWidth="1" style="57" min="8" max="9"/>
    <col width="20" customWidth="1" style="57" min="10" max="10"/>
    <col width="22" customWidth="1" style="57" min="11" max="11"/>
    <col width="26" customWidth="1" style="57" min="12" max="12"/>
    <col width="22" customWidth="1" style="57" min="13" max="14"/>
    <col width="20" customWidth="1" style="57" min="15" max="15"/>
    <col width="16" customWidth="1" style="57" min="16" max="16"/>
    <col width="18" customWidth="1" style="57" min="17" max="17"/>
    <col width="16" customWidth="1" style="57" min="18" max="19"/>
    <col width="18" customWidth="1" style="57" min="20" max="20"/>
    <col width="22" customWidth="1" style="57" min="21" max="21"/>
    <col width="18" customWidth="1" style="57" min="22" max="22"/>
    <col width="20" customWidth="1" style="57" min="23" max="23"/>
    <col width="28" customWidth="1" style="57" min="24" max="24"/>
    <col width="22" customWidth="1" style="57" min="25" max="25"/>
    <col width="24" customWidth="1" style="57" min="26" max="26"/>
    <col width="18" customWidth="1" style="57" min="27" max="27"/>
    <col width="22" customWidth="1" style="57" min="28" max="28"/>
    <col width="18" customWidth="1" style="57" min="29" max="29"/>
    <col width="22" customWidth="1" style="57" min="30" max="30"/>
    <col width="24" customWidth="1" style="57" min="31" max="31"/>
    <col width="20" customWidth="1" style="57" min="32" max="33"/>
    <col width="28" customWidth="1" style="57" min="34" max="34"/>
    <col width="26" customWidth="1" style="57" min="35" max="35"/>
    <col width="22" customWidth="1" style="57" min="36" max="36"/>
    <col width="18" customWidth="1" style="57" min="37" max="37"/>
    <col width="26" customWidth="1" style="57" min="38" max="39"/>
    <col width="32" customWidth="1" style="57" min="40" max="40"/>
    <col width="20" customWidth="1" style="57" min="41" max="41"/>
    <col width="26" customWidth="1" style="57" min="42" max="42"/>
    <col width="28" customWidth="1" style="57" min="43" max="44"/>
    <col width="20" customWidth="1" style="57" min="45" max="45"/>
    <col width="28" customWidth="1" style="57" min="46" max="46"/>
    <col width="20" customWidth="1" style="57" min="47" max="47"/>
    <col width="22" customWidth="1" style="57" min="48" max="48"/>
    <col width="26" customWidth="1" style="57" min="49" max="50"/>
    <col width="30" customWidth="1" style="57" min="51" max="51"/>
    <col width="26" customWidth="1" style="57" min="52" max="52"/>
    <col width="28" customWidth="1" style="57" min="53" max="53"/>
    <col width="26" customWidth="1" style="57" min="54" max="55"/>
    <col width="20" customWidth="1" style="57" min="56" max="56"/>
    <col width="22" customWidth="1" style="57" min="57" max="58"/>
    <col width="26" customWidth="1" style="57" min="59" max="59"/>
    <col width="24" customWidth="1" style="57" min="60" max="60"/>
    <col width="22" customWidth="1" style="57" min="61" max="61"/>
    <col width="24" customWidth="1" style="57" min="62" max="62"/>
    <col width="20" customWidth="1" style="57" min="63" max="63"/>
    <col width="22" customWidth="1" style="57" min="64" max="64"/>
    <col width="26" customWidth="1" style="57" min="65" max="65"/>
    <col width="24" customWidth="1" style="57" min="66" max="66"/>
    <col width="18" customWidth="1" style="57" min="67" max="67"/>
    <col width="24" customWidth="1" style="57" min="68" max="68"/>
    <col width="28" customWidth="1" style="57" min="69" max="69"/>
    <col width="20" customWidth="1" style="57" min="70" max="70"/>
    <col width="24" customWidth="1" style="57" min="71" max="71"/>
    <col width="22" customWidth="1" style="57" min="72" max="72"/>
    <col width="26" customWidth="1" style="57" min="73" max="73"/>
    <col width="24" customWidth="1" style="57" min="74" max="75"/>
    <col width="22" customWidth="1" style="57" min="76" max="76"/>
    <col width="24" customWidth="1" style="57" min="77" max="78"/>
    <col width="26" customWidth="1" style="57" min="79" max="79"/>
    <col width="28" customWidth="1" style="57" min="80" max="80"/>
    <col width="26" customWidth="1" style="57" min="81" max="81"/>
    <col width="24" customWidth="1" style="57" min="82" max="82"/>
    <col width="26" customWidth="1" style="57" min="83" max="84"/>
    <col width="32" customWidth="1" style="57" min="85" max="85"/>
    <col width="28" customWidth="1" style="57" min="86" max="86"/>
    <col width="22" customWidth="1" style="57" min="87" max="88"/>
    <col width="20" customWidth="1" style="57" min="89" max="91"/>
    <col width="22" customWidth="1" style="57" min="92" max="92"/>
    <col width="20" customWidth="1" style="57" min="93" max="93"/>
    <col width="22" customWidth="1" style="57" min="94" max="95"/>
    <col width="20" customWidth="1" style="57" min="96" max="98"/>
    <col width="28" customWidth="1" style="57" min="99" max="99"/>
    <col width="20" customWidth="1" style="57" min="100" max="100"/>
    <col width="22" customWidth="1" style="57" min="101" max="101"/>
    <col width="32" customWidth="1" style="57" min="102" max="102"/>
    <col width="24" customWidth="1" style="57" min="103" max="103"/>
    <col width="18" customWidth="1" style="57" min="104" max="104"/>
    <col width="22" customWidth="1" style="57" min="105" max="105"/>
    <col width="24" customWidth="1" style="57" min="106" max="106"/>
    <col width="36" customWidth="1" style="57" min="107" max="107"/>
    <col width="28" customWidth="1" style="57" min="108" max="108"/>
    <col width="20" customWidth="1" style="57" min="109" max="109"/>
    <col width="24" customWidth="1" style="57" min="110" max="110"/>
    <col width="26" customWidth="1" style="57" min="111" max="111"/>
    <col width="22" customWidth="1" style="57" min="112" max="112"/>
    <col width="16" customWidth="1" style="57" min="113" max="113"/>
    <col width="18" customWidth="1" style="57" min="114" max="114"/>
    <col width="30" customWidth="1" style="57" min="115" max="115"/>
    <col width="24" customWidth="1" style="57" min="116" max="117"/>
    <col width="26" customWidth="1" style="57" min="118" max="118"/>
    <col width="22" customWidth="1" style="57" min="119" max="121"/>
    <col width="24" customWidth="1" style="57" min="122" max="122"/>
    <col width="22" customWidth="1" style="57" min="123" max="123"/>
    <col width="24" customWidth="1" style="57" min="124" max="125"/>
    <col width="26" customWidth="1" style="57" min="126" max="126"/>
    <col width="30" customWidth="1" style="57" min="127" max="127"/>
    <col width="36" customWidth="1" style="57" min="128" max="128"/>
    <col width="32" customWidth="1" style="57" min="129" max="129"/>
    <col width="20" customWidth="1" style="57" min="130" max="130"/>
    <col width="18" customWidth="1" style="57" min="131" max="136"/>
    <col width="8.6640625" customWidth="1" style="57" min="137" max="137"/>
    <col width="8.6640625" customWidth="1" style="57" min="138" max="16384"/>
  </cols>
  <sheetData>
    <row r="1" ht="30" customHeight="1" s="60">
      <c r="A1" s="54" t="inlineStr">
        <is>
          <t>RAG SCREENING SHEET  |  ESADE Sustainable Finance  |  Academic Prototype — Not Investment Advice  |  v1.0</t>
        </is>
      </c>
      <c r="B1" s="55" t="n"/>
      <c r="C1" s="55" t="n"/>
      <c r="D1" s="55" t="n"/>
      <c r="E1" s="55" t="n"/>
      <c r="F1" s="55" t="n"/>
      <c r="G1" s="55" t="n"/>
      <c r="H1" s="55" t="n"/>
      <c r="I1" s="55" t="n"/>
      <c r="J1" s="55" t="n"/>
      <c r="K1" s="55" t="n"/>
      <c r="L1" s="55" t="n"/>
      <c r="M1" s="55" t="n"/>
      <c r="N1" s="55" t="n"/>
      <c r="O1" s="55" t="n"/>
      <c r="P1" s="55" t="n"/>
      <c r="Q1" s="55" t="n"/>
      <c r="R1" s="55" t="n"/>
      <c r="S1" s="55" t="n"/>
      <c r="T1" s="55" t="n"/>
      <c r="U1" s="55" t="n"/>
      <c r="V1" s="55" t="n"/>
      <c r="W1" s="55" t="n"/>
      <c r="X1" s="55" t="n"/>
      <c r="Y1" s="55" t="n"/>
      <c r="Z1" s="55" t="n"/>
      <c r="AA1" s="55" t="n"/>
      <c r="AB1" s="55" t="n"/>
      <c r="AC1" s="55" t="n"/>
      <c r="AD1" s="55" t="n"/>
      <c r="AE1" s="55" t="n"/>
      <c r="AF1" s="55" t="n"/>
      <c r="AG1" s="55" t="n"/>
      <c r="AH1" s="55" t="n"/>
      <c r="AI1" s="55" t="n"/>
      <c r="AJ1" s="55" t="n"/>
      <c r="AK1" s="55" t="n"/>
      <c r="AL1" s="55" t="n"/>
      <c r="AM1" s="55" t="n"/>
      <c r="AN1" s="55" t="n"/>
      <c r="AO1" s="55" t="n"/>
      <c r="AP1" s="55" t="n"/>
      <c r="AQ1" s="55" t="n"/>
      <c r="AR1" s="55" t="n"/>
      <c r="AS1" s="55" t="n"/>
      <c r="AT1" s="55" t="n"/>
      <c r="AU1" s="55" t="n"/>
      <c r="AV1" s="55" t="n"/>
      <c r="AW1" s="55" t="n"/>
      <c r="AX1" s="55" t="n"/>
      <c r="AY1" s="55" t="n"/>
      <c r="AZ1" s="55" t="n"/>
      <c r="BA1" s="55" t="n"/>
      <c r="BB1" s="55" t="n"/>
      <c r="BC1" s="55" t="n"/>
      <c r="BD1" s="55" t="n"/>
      <c r="BE1" s="55" t="n"/>
      <c r="BF1" s="55" t="n"/>
      <c r="BG1" s="55" t="n"/>
      <c r="BH1" s="55" t="n"/>
      <c r="BI1" s="55" t="n"/>
      <c r="BJ1" s="55" t="n"/>
      <c r="BK1" s="55" t="n"/>
      <c r="BL1" s="55" t="n"/>
      <c r="BM1" s="55" t="n"/>
      <c r="BN1" s="55" t="n"/>
      <c r="BO1" s="55" t="n"/>
      <c r="BP1" s="55" t="n"/>
      <c r="BQ1" s="55" t="n"/>
      <c r="BR1" s="55" t="n"/>
      <c r="BS1" s="55" t="n"/>
      <c r="BT1" s="55" t="n"/>
      <c r="BU1" s="55" t="n"/>
      <c r="BV1" s="55" t="n"/>
      <c r="BW1" s="55" t="n"/>
      <c r="BX1" s="55" t="n"/>
      <c r="BY1" s="55" t="n"/>
      <c r="BZ1" s="55" t="n"/>
      <c r="CA1" s="55" t="n"/>
      <c r="CB1" s="55" t="n"/>
      <c r="CC1" s="55" t="n"/>
      <c r="CD1" s="55" t="n"/>
      <c r="CE1" s="55" t="n"/>
      <c r="CF1" s="55" t="n"/>
      <c r="CG1" s="55" t="n"/>
      <c r="CH1" s="55" t="n"/>
      <c r="CI1" s="55" t="n"/>
      <c r="CJ1" s="55" t="n"/>
      <c r="CK1" s="55" t="n"/>
      <c r="CL1" s="55" t="n"/>
      <c r="CM1" s="55" t="n"/>
      <c r="CN1" s="55" t="n"/>
      <c r="CO1" s="55" t="n"/>
      <c r="CP1" s="55" t="n"/>
      <c r="CQ1" s="55" t="n"/>
      <c r="CR1" s="55" t="n"/>
      <c r="CS1" s="55" t="n"/>
      <c r="CT1" s="55" t="n"/>
      <c r="CU1" s="55" t="n"/>
      <c r="CV1" s="55" t="n"/>
      <c r="CW1" s="55" t="n"/>
      <c r="CX1" s="55" t="n"/>
      <c r="CY1" s="55" t="n"/>
      <c r="CZ1" s="55" t="n"/>
      <c r="DA1" s="55" t="n"/>
      <c r="DB1" s="55" t="n"/>
      <c r="DC1" s="55" t="n"/>
      <c r="DD1" s="55" t="n"/>
      <c r="DE1" s="55" t="n"/>
      <c r="DF1" s="55" t="n"/>
      <c r="DG1" s="55" t="n"/>
      <c r="DH1" s="55" t="n"/>
      <c r="DI1" s="55" t="n"/>
      <c r="DJ1" s="55" t="n"/>
      <c r="DK1" s="55" t="n"/>
      <c r="DL1" s="55" t="n"/>
      <c r="DM1" s="55" t="n"/>
      <c r="DN1" s="55" t="n"/>
      <c r="DO1" s="55" t="n"/>
      <c r="DP1" s="55" t="n"/>
      <c r="DQ1" s="55" t="n"/>
      <c r="DR1" s="55" t="n"/>
      <c r="DS1" s="55" t="n"/>
      <c r="DT1" s="55" t="n"/>
      <c r="DU1" s="55" t="n"/>
      <c r="DV1" s="55" t="n"/>
      <c r="DW1" s="55" t="n"/>
      <c r="DX1" s="55" t="n"/>
      <c r="DY1" s="55" t="n"/>
      <c r="DZ1" s="55" t="n"/>
      <c r="EA1" s="55" t="n"/>
      <c r="EB1" s="55" t="n"/>
      <c r="EC1" s="55" t="n"/>
      <c r="ED1" s="55" t="n"/>
      <c r="EE1" s="55" t="n"/>
      <c r="EF1" s="55" t="n"/>
    </row>
    <row r="2" ht="21.75" customHeight="1" s="60">
      <c r="A2" s="51" t="inlineStr">
        <is>
          <t>A — COMPANY IDENTIFIERS</t>
        </is>
      </c>
      <c r="B2" s="52" t="n"/>
      <c r="C2" s="52" t="n"/>
      <c r="D2" s="52" t="n"/>
      <c r="E2" s="52" t="n"/>
      <c r="F2" s="52" t="n"/>
      <c r="G2" s="52" t="n"/>
      <c r="H2" s="52" t="n"/>
      <c r="I2" s="52" t="n"/>
      <c r="J2" s="53" t="n"/>
      <c r="K2" s="51" t="inlineStr">
        <is>
          <t>B — DOCUMENT COVERAGE</t>
        </is>
      </c>
      <c r="L2" s="52" t="n"/>
      <c r="M2" s="52" t="n"/>
      <c r="N2" s="52" t="n"/>
      <c r="O2" s="52" t="n"/>
      <c r="P2" s="52" t="n"/>
      <c r="Q2" s="52" t="n"/>
      <c r="R2" s="52" t="n"/>
      <c r="S2" s="52" t="n"/>
      <c r="T2" s="52" t="n"/>
      <c r="U2" s="52" t="n"/>
      <c r="V2" s="52" t="n"/>
      <c r="W2" s="52" t="n"/>
      <c r="X2" s="52" t="n"/>
      <c r="Y2" s="53" t="n"/>
      <c r="Z2" s="51" t="inlineStr">
        <is>
          <t>C — CLIMATE CLAIM CREDIBILITY</t>
        </is>
      </c>
      <c r="AA2" s="52" t="n"/>
      <c r="AB2" s="52" t="n"/>
      <c r="AC2" s="52" t="n"/>
      <c r="AD2" s="52" t="n"/>
      <c r="AE2" s="52" t="n"/>
      <c r="AF2" s="52" t="n"/>
      <c r="AG2" s="52" t="n"/>
      <c r="AH2" s="52" t="n"/>
      <c r="AI2" s="52" t="n"/>
      <c r="AJ2" s="52" t="n"/>
      <c r="AK2" s="52" t="n"/>
      <c r="AL2" s="52" t="n"/>
      <c r="AM2" s="52" t="n"/>
      <c r="AN2" s="52" t="n"/>
      <c r="AO2" s="52" t="n"/>
      <c r="AP2" s="52" t="n"/>
      <c r="AQ2" s="52" t="n"/>
      <c r="AR2" s="52" t="n"/>
      <c r="AS2" s="53" t="n"/>
      <c r="AT2" s="51" t="inlineStr">
        <is>
          <t>D — ESG SAFEGUARDS</t>
        </is>
      </c>
      <c r="AU2" s="52" t="n"/>
      <c r="AV2" s="52" t="n"/>
      <c r="AW2" s="52" t="n"/>
      <c r="AX2" s="52" t="n"/>
      <c r="AY2" s="52" t="n"/>
      <c r="AZ2" s="52" t="n"/>
      <c r="BA2" s="52" t="n"/>
      <c r="BB2" s="52" t="n"/>
      <c r="BC2" s="52" t="n"/>
      <c r="BD2" s="52" t="n"/>
      <c r="BE2" s="52" t="n"/>
      <c r="BF2" s="53" t="n"/>
      <c r="BG2" s="51" t="inlineStr">
        <is>
          <t>E — BIODIVERSITY / NATURE-RISK</t>
        </is>
      </c>
      <c r="BH2" s="52" t="n"/>
      <c r="BI2" s="52" t="n"/>
      <c r="BJ2" s="52" t="n"/>
      <c r="BK2" s="52" t="n"/>
      <c r="BL2" s="52" t="n"/>
      <c r="BM2" s="52" t="n"/>
      <c r="BN2" s="52" t="n"/>
      <c r="BO2" s="52" t="n"/>
      <c r="BP2" s="52" t="n"/>
      <c r="BQ2" s="52" t="n"/>
      <c r="BR2" s="52" t="n"/>
      <c r="BS2" s="52" t="n"/>
      <c r="BT2" s="53" t="n"/>
      <c r="BU2" s="51" t="inlineStr">
        <is>
          <t>F — EU REGULATION / TAXONOMY</t>
        </is>
      </c>
      <c r="BV2" s="52" t="n"/>
      <c r="BW2" s="52" t="n"/>
      <c r="BX2" s="52" t="n"/>
      <c r="BY2" s="52" t="n"/>
      <c r="BZ2" s="52" t="n"/>
      <c r="CA2" s="52" t="n"/>
      <c r="CB2" s="52" t="n"/>
      <c r="CC2" s="52" t="n"/>
      <c r="CD2" s="52" t="n"/>
      <c r="CE2" s="52" t="n"/>
      <c r="CF2" s="53" t="n"/>
      <c r="CG2" s="51" t="inlineStr">
        <is>
          <t>G — CONTROVERSY &amp; GREENWASHING  (8-TEST)</t>
        </is>
      </c>
      <c r="CH2" s="52" t="n"/>
      <c r="CI2" s="52" t="n"/>
      <c r="CJ2" s="52" t="n"/>
      <c r="CK2" s="52" t="n"/>
      <c r="CL2" s="52" t="n"/>
      <c r="CM2" s="52" t="n"/>
      <c r="CN2" s="52" t="n"/>
      <c r="CO2" s="52" t="n"/>
      <c r="CP2" s="52" t="n"/>
      <c r="CQ2" s="52" t="n"/>
      <c r="CR2" s="52" t="n"/>
      <c r="CS2" s="52" t="n"/>
      <c r="CT2" s="52" t="n"/>
      <c r="CU2" s="52" t="n"/>
      <c r="CV2" s="52" t="n"/>
      <c r="CW2" s="52" t="n"/>
      <c r="CX2" s="52" t="n"/>
      <c r="CY2" s="52" t="n"/>
      <c r="CZ2" s="52" t="n"/>
      <c r="DA2" s="52" t="n"/>
      <c r="DB2" s="53" t="n"/>
      <c r="DC2" s="51" t="inlineStr">
        <is>
          <t>H — EVIDENCE QUALITY &amp; VERIFICATION</t>
        </is>
      </c>
      <c r="DD2" s="52" t="n"/>
      <c r="DE2" s="52" t="n"/>
      <c r="DF2" s="52" t="n"/>
      <c r="DG2" s="52" t="n"/>
      <c r="DH2" s="52" t="n"/>
      <c r="DI2" s="52" t="n"/>
      <c r="DJ2" s="52" t="n"/>
      <c r="DK2" s="52" t="n"/>
      <c r="DL2" s="52" t="n"/>
      <c r="DM2" s="52" t="n"/>
      <c r="DN2" s="53" t="n"/>
      <c r="DO2" s="51" t="inlineStr">
        <is>
          <t>I — FINAL RAG OUTPUT</t>
        </is>
      </c>
      <c r="DP2" s="52" t="n"/>
      <c r="DQ2" s="52" t="n"/>
      <c r="DR2" s="52" t="n"/>
      <c r="DS2" s="52" t="n"/>
      <c r="DT2" s="52" t="n"/>
      <c r="DU2" s="52" t="n"/>
      <c r="DV2" s="52" t="n"/>
      <c r="DW2" s="52" t="n"/>
      <c r="DX2" s="52" t="n"/>
      <c r="DY2" s="52" t="n"/>
      <c r="DZ2" s="52" t="n"/>
      <c r="EA2" s="53" t="n"/>
      <c r="EB2" s="51" t="inlineStr">
        <is>
          <t>J — SUMMARY TAB</t>
        </is>
      </c>
      <c r="EC2" s="52" t="n"/>
      <c r="ED2" s="52" t="n"/>
      <c r="EE2" s="52" t="n"/>
      <c r="EF2" s="53" t="n"/>
    </row>
    <row r="3" outlineLevel="1" ht="21.75" customHeight="1" s="60">
      <c r="A3" s="37" t="inlineStr">
        <is>
          <t>A</t>
        </is>
      </c>
      <c r="B3" s="37" t="inlineStr">
        <is>
          <t>A</t>
        </is>
      </c>
      <c r="C3" s="37" t="inlineStr">
        <is>
          <t>A</t>
        </is>
      </c>
      <c r="D3" s="37" t="inlineStr">
        <is>
          <t>A</t>
        </is>
      </c>
      <c r="E3" s="37" t="inlineStr">
        <is>
          <t>A</t>
        </is>
      </c>
      <c r="F3" s="37" t="inlineStr">
        <is>
          <t>A</t>
        </is>
      </c>
      <c r="G3" s="37" t="inlineStr">
        <is>
          <t>A</t>
        </is>
      </c>
      <c r="H3" s="37" t="inlineStr">
        <is>
          <t>A</t>
        </is>
      </c>
      <c r="I3" s="37" t="inlineStr">
        <is>
          <t>A</t>
        </is>
      </c>
      <c r="J3" s="37" t="inlineStr">
        <is>
          <t>A</t>
        </is>
      </c>
      <c r="K3" s="37" t="inlineStr">
        <is>
          <t>B</t>
        </is>
      </c>
      <c r="L3" s="37" t="inlineStr">
        <is>
          <t>B</t>
        </is>
      </c>
      <c r="M3" s="37" t="inlineStr">
        <is>
          <t>B</t>
        </is>
      </c>
      <c r="N3" s="37" t="inlineStr">
        <is>
          <t>B</t>
        </is>
      </c>
      <c r="O3" s="37" t="inlineStr">
        <is>
          <t>B</t>
        </is>
      </c>
      <c r="P3" s="37" t="inlineStr">
        <is>
          <t>B</t>
        </is>
      </c>
      <c r="Q3" s="37" t="inlineStr">
        <is>
          <t>B</t>
        </is>
      </c>
      <c r="R3" s="37" t="inlineStr">
        <is>
          <t>B</t>
        </is>
      </c>
      <c r="S3" s="37" t="inlineStr">
        <is>
          <t>B</t>
        </is>
      </c>
      <c r="T3" s="37" t="inlineStr">
        <is>
          <t>B</t>
        </is>
      </c>
      <c r="U3" s="37" t="inlineStr">
        <is>
          <t>B</t>
        </is>
      </c>
      <c r="V3" s="37" t="inlineStr">
        <is>
          <t>B</t>
        </is>
      </c>
      <c r="W3" s="37" t="inlineStr">
        <is>
          <t>B</t>
        </is>
      </c>
      <c r="X3" s="37" t="inlineStr">
        <is>
          <t>B</t>
        </is>
      </c>
      <c r="Y3" s="37" t="inlineStr">
        <is>
          <t>B</t>
        </is>
      </c>
      <c r="Z3" s="37" t="inlineStr">
        <is>
          <t>C</t>
        </is>
      </c>
      <c r="AA3" s="37" t="inlineStr">
        <is>
          <t>C</t>
        </is>
      </c>
      <c r="AB3" s="37" t="inlineStr">
        <is>
          <t>C</t>
        </is>
      </c>
      <c r="AC3" s="37" t="inlineStr">
        <is>
          <t>C</t>
        </is>
      </c>
      <c r="AD3" s="37" t="inlineStr">
        <is>
          <t>C</t>
        </is>
      </c>
      <c r="AE3" s="37" t="inlineStr">
        <is>
          <t>C</t>
        </is>
      </c>
      <c r="AF3" s="37" t="inlineStr">
        <is>
          <t>C</t>
        </is>
      </c>
      <c r="AG3" s="37" t="inlineStr">
        <is>
          <t>C</t>
        </is>
      </c>
      <c r="AH3" s="37" t="inlineStr">
        <is>
          <t>C</t>
        </is>
      </c>
      <c r="AI3" s="37" t="inlineStr">
        <is>
          <t>C</t>
        </is>
      </c>
      <c r="AJ3" s="37" t="inlineStr">
        <is>
          <t>C</t>
        </is>
      </c>
      <c r="AK3" s="37" t="inlineStr">
        <is>
          <t>C</t>
        </is>
      </c>
      <c r="AL3" s="37" t="inlineStr">
        <is>
          <t>C</t>
        </is>
      </c>
      <c r="AM3" s="37" t="inlineStr">
        <is>
          <t>C</t>
        </is>
      </c>
      <c r="AN3" s="37" t="inlineStr">
        <is>
          <t>C</t>
        </is>
      </c>
      <c r="AO3" s="37" t="inlineStr">
        <is>
          <t>C</t>
        </is>
      </c>
      <c r="AP3" s="37" t="inlineStr">
        <is>
          <t>C</t>
        </is>
      </c>
      <c r="AQ3" s="37" t="inlineStr">
        <is>
          <t>C</t>
        </is>
      </c>
      <c r="AR3" s="37" t="inlineStr">
        <is>
          <t>C</t>
        </is>
      </c>
      <c r="AS3" s="37" t="inlineStr">
        <is>
          <t>C</t>
        </is>
      </c>
      <c r="AT3" s="37" t="inlineStr">
        <is>
          <t>D</t>
        </is>
      </c>
      <c r="AU3" s="37" t="inlineStr">
        <is>
          <t>D</t>
        </is>
      </c>
      <c r="AV3" s="37" t="inlineStr">
        <is>
          <t>D</t>
        </is>
      </c>
      <c r="AW3" s="37" t="inlineStr">
        <is>
          <t>D</t>
        </is>
      </c>
      <c r="AX3" s="37" t="inlineStr">
        <is>
          <t>D</t>
        </is>
      </c>
      <c r="AY3" s="37" t="inlineStr">
        <is>
          <t>D</t>
        </is>
      </c>
      <c r="AZ3" s="37" t="inlineStr">
        <is>
          <t>D</t>
        </is>
      </c>
      <c r="BA3" s="37" t="inlineStr">
        <is>
          <t>D</t>
        </is>
      </c>
      <c r="BB3" s="37" t="inlineStr">
        <is>
          <t>D</t>
        </is>
      </c>
      <c r="BC3" s="37" t="inlineStr">
        <is>
          <t>D</t>
        </is>
      </c>
      <c r="BD3" s="37" t="inlineStr">
        <is>
          <t>D</t>
        </is>
      </c>
      <c r="BE3" s="37" t="inlineStr">
        <is>
          <t>D</t>
        </is>
      </c>
      <c r="BF3" s="37" t="inlineStr">
        <is>
          <t>D</t>
        </is>
      </c>
      <c r="BG3" s="37" t="inlineStr">
        <is>
          <t>E</t>
        </is>
      </c>
      <c r="BH3" s="37" t="inlineStr">
        <is>
          <t>E</t>
        </is>
      </c>
      <c r="BI3" s="37" t="inlineStr">
        <is>
          <t>E</t>
        </is>
      </c>
      <c r="BJ3" s="37" t="inlineStr">
        <is>
          <t>E</t>
        </is>
      </c>
      <c r="BK3" s="37" t="inlineStr">
        <is>
          <t>E</t>
        </is>
      </c>
      <c r="BL3" s="37" t="inlineStr">
        <is>
          <t>E</t>
        </is>
      </c>
      <c r="BM3" s="37" t="inlineStr">
        <is>
          <t>E</t>
        </is>
      </c>
      <c r="BN3" s="37" t="inlineStr">
        <is>
          <t>E</t>
        </is>
      </c>
      <c r="BO3" s="37" t="inlineStr">
        <is>
          <t>E</t>
        </is>
      </c>
      <c r="BP3" s="37" t="inlineStr">
        <is>
          <t>E</t>
        </is>
      </c>
      <c r="BQ3" s="37" t="inlineStr">
        <is>
          <t>E</t>
        </is>
      </c>
      <c r="BR3" s="37" t="inlineStr">
        <is>
          <t>E</t>
        </is>
      </c>
      <c r="BS3" s="37" t="inlineStr">
        <is>
          <t>E</t>
        </is>
      </c>
      <c r="BT3" s="37" t="inlineStr">
        <is>
          <t>E</t>
        </is>
      </c>
      <c r="BU3" s="37" t="inlineStr">
        <is>
          <t>F</t>
        </is>
      </c>
      <c r="BV3" s="37" t="inlineStr">
        <is>
          <t>F</t>
        </is>
      </c>
      <c r="BW3" s="37" t="inlineStr">
        <is>
          <t>F</t>
        </is>
      </c>
      <c r="BX3" s="37" t="inlineStr">
        <is>
          <t>F</t>
        </is>
      </c>
      <c r="BY3" s="37" t="inlineStr">
        <is>
          <t>F</t>
        </is>
      </c>
      <c r="BZ3" s="37" t="inlineStr">
        <is>
          <t>F</t>
        </is>
      </c>
      <c r="CA3" s="37" t="inlineStr">
        <is>
          <t>F</t>
        </is>
      </c>
      <c r="CB3" s="37" t="inlineStr">
        <is>
          <t>F</t>
        </is>
      </c>
      <c r="CC3" s="37" t="inlineStr">
        <is>
          <t>F</t>
        </is>
      </c>
      <c r="CD3" s="37" t="inlineStr">
        <is>
          <t>F</t>
        </is>
      </c>
      <c r="CE3" s="37" t="inlineStr">
        <is>
          <t>F</t>
        </is>
      </c>
      <c r="CF3" s="37" t="inlineStr">
        <is>
          <t>F</t>
        </is>
      </c>
      <c r="CG3" s="37" t="inlineStr">
        <is>
          <t>G</t>
        </is>
      </c>
      <c r="CH3" s="37" t="inlineStr">
        <is>
          <t>G</t>
        </is>
      </c>
      <c r="CI3" s="37" t="inlineStr">
        <is>
          <t>G</t>
        </is>
      </c>
      <c r="CJ3" s="37" t="inlineStr">
        <is>
          <t>G</t>
        </is>
      </c>
      <c r="CK3" s="37" t="inlineStr">
        <is>
          <t>G</t>
        </is>
      </c>
      <c r="CL3" s="37" t="inlineStr">
        <is>
          <t>G</t>
        </is>
      </c>
      <c r="CM3" s="37" t="inlineStr">
        <is>
          <t>G</t>
        </is>
      </c>
      <c r="CN3" s="37" t="inlineStr">
        <is>
          <t>G</t>
        </is>
      </c>
      <c r="CO3" s="37" t="inlineStr">
        <is>
          <t>G</t>
        </is>
      </c>
      <c r="CP3" s="37" t="inlineStr">
        <is>
          <t>G</t>
        </is>
      </c>
      <c r="CQ3" s="37" t="inlineStr">
        <is>
          <t>G</t>
        </is>
      </c>
      <c r="CR3" s="37" t="inlineStr">
        <is>
          <t>G</t>
        </is>
      </c>
      <c r="CS3" s="37" t="inlineStr">
        <is>
          <t>G</t>
        </is>
      </c>
      <c r="CT3" s="37" t="inlineStr">
        <is>
          <t>G</t>
        </is>
      </c>
      <c r="CU3" s="37" t="inlineStr">
        <is>
          <t>G</t>
        </is>
      </c>
      <c r="CV3" s="37" t="inlineStr">
        <is>
          <t>G</t>
        </is>
      </c>
      <c r="CW3" s="37" t="inlineStr">
        <is>
          <t>G</t>
        </is>
      </c>
      <c r="CX3" s="37" t="inlineStr">
        <is>
          <t>G</t>
        </is>
      </c>
      <c r="CY3" s="37" t="inlineStr">
        <is>
          <t>G</t>
        </is>
      </c>
      <c r="CZ3" s="37" t="inlineStr">
        <is>
          <t>G</t>
        </is>
      </c>
      <c r="DA3" s="37" t="inlineStr">
        <is>
          <t>G</t>
        </is>
      </c>
      <c r="DB3" s="37" t="inlineStr">
        <is>
          <t>G</t>
        </is>
      </c>
      <c r="DC3" s="37" t="inlineStr">
        <is>
          <t>H</t>
        </is>
      </c>
      <c r="DD3" s="37" t="inlineStr">
        <is>
          <t>H</t>
        </is>
      </c>
      <c r="DE3" s="37" t="inlineStr">
        <is>
          <t>H</t>
        </is>
      </c>
      <c r="DF3" s="37" t="inlineStr">
        <is>
          <t>H</t>
        </is>
      </c>
      <c r="DG3" s="37" t="inlineStr">
        <is>
          <t>H</t>
        </is>
      </c>
      <c r="DH3" s="37" t="inlineStr">
        <is>
          <t>H</t>
        </is>
      </c>
      <c r="DI3" s="37" t="inlineStr">
        <is>
          <t>H</t>
        </is>
      </c>
      <c r="DJ3" s="37" t="inlineStr">
        <is>
          <t>H</t>
        </is>
      </c>
      <c r="DK3" s="37" t="inlineStr">
        <is>
          <t>H</t>
        </is>
      </c>
      <c r="DL3" s="37" t="inlineStr">
        <is>
          <t>H</t>
        </is>
      </c>
      <c r="DM3" s="37" t="inlineStr">
        <is>
          <t>H</t>
        </is>
      </c>
      <c r="DN3" s="37" t="inlineStr">
        <is>
          <t>H</t>
        </is>
      </c>
      <c r="DO3" s="37" t="inlineStr">
        <is>
          <t>I</t>
        </is>
      </c>
      <c r="DP3" s="37" t="inlineStr">
        <is>
          <t>I</t>
        </is>
      </c>
      <c r="DQ3" s="37" t="inlineStr">
        <is>
          <t>I</t>
        </is>
      </c>
      <c r="DR3" s="37" t="inlineStr">
        <is>
          <t>I</t>
        </is>
      </c>
      <c r="DS3" s="37" t="inlineStr">
        <is>
          <t>I</t>
        </is>
      </c>
      <c r="DT3" s="37" t="inlineStr">
        <is>
          <t>I</t>
        </is>
      </c>
      <c r="DU3" s="37" t="inlineStr">
        <is>
          <t>I</t>
        </is>
      </c>
      <c r="DV3" s="37" t="inlineStr">
        <is>
          <t>I</t>
        </is>
      </c>
      <c r="DW3" s="37" t="inlineStr">
        <is>
          <t>I</t>
        </is>
      </c>
      <c r="DX3" s="37" t="inlineStr">
        <is>
          <t>I</t>
        </is>
      </c>
      <c r="DY3" s="37" t="inlineStr">
        <is>
          <t>I</t>
        </is>
      </c>
      <c r="DZ3" s="37" t="inlineStr">
        <is>
          <t>I</t>
        </is>
      </c>
      <c r="EA3" s="37" t="inlineStr">
        <is>
          <t>I</t>
        </is>
      </c>
      <c r="EB3" s="37" t="inlineStr">
        <is>
          <t>J</t>
        </is>
      </c>
      <c r="EC3" s="37" t="inlineStr">
        <is>
          <t>J</t>
        </is>
      </c>
      <c r="ED3" s="37" t="inlineStr">
        <is>
          <t>J</t>
        </is>
      </c>
      <c r="EE3" s="37" t="inlineStr">
        <is>
          <t>J</t>
        </is>
      </c>
      <c r="EF3" s="37" t="inlineStr">
        <is>
          <t>J</t>
        </is>
      </c>
    </row>
    <row r="4" outlineLevel="1" ht="21.75" customHeight="1" s="60">
      <c r="A4" s="37" t="n">
        <v>1</v>
      </c>
      <c r="B4" s="37">
        <f>A4+1</f>
        <v/>
      </c>
      <c r="C4" s="37">
        <f>B4+1</f>
        <v/>
      </c>
      <c r="D4" s="37">
        <f>C4+1</f>
        <v/>
      </c>
      <c r="E4" s="37">
        <f>D4+1</f>
        <v/>
      </c>
      <c r="F4" s="37">
        <f>E4+1</f>
        <v/>
      </c>
      <c r="G4" s="37">
        <f>F4+1</f>
        <v/>
      </c>
      <c r="H4" s="37">
        <f>G4+1</f>
        <v/>
      </c>
      <c r="I4" s="37">
        <f>H4+1</f>
        <v/>
      </c>
      <c r="J4" s="37">
        <f>I4+1</f>
        <v/>
      </c>
      <c r="K4" s="37">
        <f>J4+1</f>
        <v/>
      </c>
      <c r="L4" s="37">
        <f>K4+1</f>
        <v/>
      </c>
      <c r="M4" s="37">
        <f>L4+1</f>
        <v/>
      </c>
      <c r="N4" s="37">
        <f>M4+1</f>
        <v/>
      </c>
      <c r="O4" s="37">
        <f>N4+1</f>
        <v/>
      </c>
      <c r="P4" s="37">
        <f>O4+1</f>
        <v/>
      </c>
      <c r="Q4" s="37">
        <f>P4+1</f>
        <v/>
      </c>
      <c r="R4" s="37">
        <f>Q4+1</f>
        <v/>
      </c>
      <c r="S4" s="37">
        <f>R4+1</f>
        <v/>
      </c>
      <c r="T4" s="37">
        <f>S4+1</f>
        <v/>
      </c>
      <c r="U4" s="37">
        <f>T4+1</f>
        <v/>
      </c>
      <c r="V4" s="37">
        <f>U4+1</f>
        <v/>
      </c>
      <c r="W4" s="37">
        <f>V4+1</f>
        <v/>
      </c>
      <c r="X4" s="37">
        <f>W4+1</f>
        <v/>
      </c>
      <c r="Y4" s="37">
        <f>X4+1</f>
        <v/>
      </c>
      <c r="Z4" s="37">
        <f>Y4+1</f>
        <v/>
      </c>
      <c r="AA4" s="37">
        <f>Z4+1</f>
        <v/>
      </c>
      <c r="AB4" s="37">
        <f>AA4+1</f>
        <v/>
      </c>
      <c r="AC4" s="37">
        <f>AB4+1</f>
        <v/>
      </c>
      <c r="AD4" s="37">
        <f>AC4+1</f>
        <v/>
      </c>
      <c r="AE4" s="37">
        <f>AD4+1</f>
        <v/>
      </c>
      <c r="AF4" s="37">
        <f>AE4+1</f>
        <v/>
      </c>
      <c r="AG4" s="37">
        <f>AF4+1</f>
        <v/>
      </c>
      <c r="AH4" s="37">
        <f>AG4+1</f>
        <v/>
      </c>
      <c r="AI4" s="37">
        <f>AH4+1</f>
        <v/>
      </c>
      <c r="AJ4" s="37">
        <f>AI4+1</f>
        <v/>
      </c>
      <c r="AK4" s="37">
        <f>AJ4+1</f>
        <v/>
      </c>
      <c r="AL4" s="37">
        <f>AK4+1</f>
        <v/>
      </c>
      <c r="AM4" s="37">
        <f>AL4+1</f>
        <v/>
      </c>
      <c r="AN4" s="37">
        <f>AM4+1</f>
        <v/>
      </c>
      <c r="AO4" s="37">
        <f>AN4+1</f>
        <v/>
      </c>
      <c r="AP4" s="37">
        <f>AO4+1</f>
        <v/>
      </c>
      <c r="AQ4" s="37">
        <f>AP4+1</f>
        <v/>
      </c>
      <c r="AR4" s="37">
        <f>AQ4+1</f>
        <v/>
      </c>
      <c r="AS4" s="37">
        <f>AR4+1</f>
        <v/>
      </c>
      <c r="AT4" s="37">
        <f>AS4+1</f>
        <v/>
      </c>
      <c r="AU4" s="37">
        <f>AT4+1</f>
        <v/>
      </c>
      <c r="AV4" s="37">
        <f>AU4+1</f>
        <v/>
      </c>
      <c r="AW4" s="37">
        <f>AV4+1</f>
        <v/>
      </c>
      <c r="AX4" s="37">
        <f>AW4+1</f>
        <v/>
      </c>
      <c r="AY4" s="37">
        <f>AX4+1</f>
        <v/>
      </c>
      <c r="AZ4" s="37">
        <f>AY4+1</f>
        <v/>
      </c>
      <c r="BA4" s="37">
        <f>AZ4+1</f>
        <v/>
      </c>
      <c r="BB4" s="37">
        <f>BA4+1</f>
        <v/>
      </c>
      <c r="BC4" s="37">
        <f>BB4+1</f>
        <v/>
      </c>
      <c r="BD4" s="37">
        <f>BC4+1</f>
        <v/>
      </c>
      <c r="BE4" s="37">
        <f>BD4+1</f>
        <v/>
      </c>
      <c r="BF4" s="37">
        <f>BE4+1</f>
        <v/>
      </c>
      <c r="BG4" s="37">
        <f>BF4+1</f>
        <v/>
      </c>
      <c r="BH4" s="37">
        <f>BG4+1</f>
        <v/>
      </c>
      <c r="BI4" s="37">
        <f>BH4+1</f>
        <v/>
      </c>
      <c r="BJ4" s="37">
        <f>BI4+1</f>
        <v/>
      </c>
      <c r="BK4" s="37">
        <f>BJ4+1</f>
        <v/>
      </c>
      <c r="BL4" s="37">
        <f>BK4+1</f>
        <v/>
      </c>
      <c r="BM4" s="37">
        <f>BL4+1</f>
        <v/>
      </c>
      <c r="BN4" s="37">
        <f>BM4+1</f>
        <v/>
      </c>
      <c r="BO4" s="37">
        <f>BN4+1</f>
        <v/>
      </c>
      <c r="BP4" s="37">
        <f>BO4+1</f>
        <v/>
      </c>
      <c r="BQ4" s="37">
        <f>BP4+1</f>
        <v/>
      </c>
      <c r="BR4" s="37">
        <f>BQ4+1</f>
        <v/>
      </c>
      <c r="BS4" s="37">
        <f>BR4+1</f>
        <v/>
      </c>
      <c r="BT4" s="37">
        <f>BS4+1</f>
        <v/>
      </c>
      <c r="BU4" s="37">
        <f>BT4+1</f>
        <v/>
      </c>
      <c r="BV4" s="37">
        <f>BU4+1</f>
        <v/>
      </c>
      <c r="BW4" s="37">
        <f>BV4+1</f>
        <v/>
      </c>
      <c r="BX4" s="37">
        <f>BW4+1</f>
        <v/>
      </c>
      <c r="BY4" s="37">
        <f>BX4+1</f>
        <v/>
      </c>
      <c r="BZ4" s="37">
        <f>BY4+1</f>
        <v/>
      </c>
      <c r="CA4" s="37">
        <f>BZ4+1</f>
        <v/>
      </c>
      <c r="CB4" s="37">
        <f>CA4+1</f>
        <v/>
      </c>
      <c r="CC4" s="37">
        <f>CB4+1</f>
        <v/>
      </c>
      <c r="CD4" s="37">
        <f>CC4+1</f>
        <v/>
      </c>
      <c r="CE4" s="37">
        <f>CD4+1</f>
        <v/>
      </c>
      <c r="CF4" s="37">
        <f>CE4+1</f>
        <v/>
      </c>
      <c r="CG4" s="37">
        <f>CF4+1</f>
        <v/>
      </c>
      <c r="CH4" s="37">
        <f>CG4+1</f>
        <v/>
      </c>
      <c r="CI4" s="37">
        <f>CH4+1</f>
        <v/>
      </c>
      <c r="CJ4" s="37">
        <f>CI4+1</f>
        <v/>
      </c>
      <c r="CK4" s="37">
        <f>CJ4+1</f>
        <v/>
      </c>
      <c r="CL4" s="37">
        <f>CK4+1</f>
        <v/>
      </c>
      <c r="CM4" s="37">
        <f>CL4+1</f>
        <v/>
      </c>
      <c r="CN4" s="37">
        <f>CM4+1</f>
        <v/>
      </c>
      <c r="CO4" s="37">
        <f>CN4+1</f>
        <v/>
      </c>
      <c r="CP4" s="37">
        <f>CO4+1</f>
        <v/>
      </c>
      <c r="CQ4" s="37">
        <f>CP4+1</f>
        <v/>
      </c>
      <c r="CR4" s="37">
        <f>CQ4+1</f>
        <v/>
      </c>
      <c r="CS4" s="37">
        <f>CR4+1</f>
        <v/>
      </c>
      <c r="CT4" s="37">
        <f>CS4+1</f>
        <v/>
      </c>
      <c r="CU4" s="37">
        <f>CT4+1</f>
        <v/>
      </c>
      <c r="CV4" s="37">
        <f>CU4+1</f>
        <v/>
      </c>
      <c r="CW4" s="37">
        <f>CV4+1</f>
        <v/>
      </c>
      <c r="CX4" s="37">
        <f>CW4+1</f>
        <v/>
      </c>
      <c r="CY4" s="37">
        <f>CX4+1</f>
        <v/>
      </c>
      <c r="CZ4" s="37">
        <f>CY4+1</f>
        <v/>
      </c>
      <c r="DA4" s="37">
        <f>CZ4+1</f>
        <v/>
      </c>
      <c r="DB4" s="37">
        <f>DA4+1</f>
        <v/>
      </c>
      <c r="DC4" s="37">
        <f>DB4+1</f>
        <v/>
      </c>
      <c r="DD4" s="37">
        <f>DC4+1</f>
        <v/>
      </c>
      <c r="DE4" s="37">
        <f>DD4+1</f>
        <v/>
      </c>
      <c r="DF4" s="37">
        <f>DE4+1</f>
        <v/>
      </c>
      <c r="DG4" s="37">
        <f>DF4+1</f>
        <v/>
      </c>
      <c r="DH4" s="37">
        <f>DG4+1</f>
        <v/>
      </c>
      <c r="DI4" s="37">
        <f>DH4+1</f>
        <v/>
      </c>
      <c r="DJ4" s="37">
        <f>DI4+1</f>
        <v/>
      </c>
      <c r="DK4" s="37">
        <f>DJ4+1</f>
        <v/>
      </c>
      <c r="DL4" s="37">
        <f>DK4+1</f>
        <v/>
      </c>
      <c r="DM4" s="37">
        <f>DL4+1</f>
        <v/>
      </c>
      <c r="DN4" s="37">
        <f>DM4+1</f>
        <v/>
      </c>
      <c r="DO4" s="37">
        <f>DN4+1</f>
        <v/>
      </c>
      <c r="DP4" s="37">
        <f>DO4+1</f>
        <v/>
      </c>
      <c r="DQ4" s="37">
        <f>DP4+1</f>
        <v/>
      </c>
      <c r="DR4" s="37">
        <f>DQ4+1</f>
        <v/>
      </c>
      <c r="DS4" s="37">
        <f>DR4+1</f>
        <v/>
      </c>
      <c r="DT4" s="37">
        <f>DS4+1</f>
        <v/>
      </c>
      <c r="DU4" s="37">
        <f>DT4+1</f>
        <v/>
      </c>
      <c r="DV4" s="37">
        <f>DU4+1</f>
        <v/>
      </c>
      <c r="DW4" s="37">
        <f>DV4+1</f>
        <v/>
      </c>
      <c r="DX4" s="37">
        <f>DW4+1</f>
        <v/>
      </c>
      <c r="DY4" s="37">
        <f>DX4+1</f>
        <v/>
      </c>
      <c r="DZ4" s="37">
        <f>DY4+1</f>
        <v/>
      </c>
      <c r="EA4" s="37">
        <f>DZ4+1</f>
        <v/>
      </c>
      <c r="EB4" s="37">
        <f>EA4+1</f>
        <v/>
      </c>
      <c r="EC4" s="37">
        <f>EB4+1</f>
        <v/>
      </c>
      <c r="ED4" s="37">
        <f>EC4+1</f>
        <v/>
      </c>
      <c r="EE4" s="37">
        <f>ED4+1</f>
        <v/>
      </c>
      <c r="EF4" s="37">
        <f>EE4+1</f>
        <v/>
      </c>
    </row>
    <row r="5" ht="18" customHeight="1" s="60">
      <c r="A5" s="7">
        <f>CONCATENATE(A3,A4)</f>
        <v/>
      </c>
      <c r="B5" s="7">
        <f>CONCATENATE(B3,B4)</f>
        <v/>
      </c>
      <c r="C5" s="7">
        <f>CONCATENATE(C3,C4)</f>
        <v/>
      </c>
      <c r="D5" s="7">
        <f>CONCATENATE(D3,D4)</f>
        <v/>
      </c>
      <c r="E5" s="7">
        <f>CONCATENATE(E3,E4)</f>
        <v/>
      </c>
      <c r="F5" s="7">
        <f>CONCATENATE(F3,F4)</f>
        <v/>
      </c>
      <c r="G5" s="7">
        <f>CONCATENATE(G3,G4)</f>
        <v/>
      </c>
      <c r="H5" s="7">
        <f>CONCATENATE(H3,H4)</f>
        <v/>
      </c>
      <c r="I5" s="7">
        <f>CONCATENATE(I3,I4)</f>
        <v/>
      </c>
      <c r="J5" s="7">
        <f>CONCATENATE(J3,J4)</f>
        <v/>
      </c>
      <c r="K5" s="8">
        <f>CONCATENATE(K3,K4)</f>
        <v/>
      </c>
      <c r="L5" s="8">
        <f>CONCATENATE(L3,L4)</f>
        <v/>
      </c>
      <c r="M5" s="8">
        <f>CONCATENATE(M3,M4)</f>
        <v/>
      </c>
      <c r="N5" s="8">
        <f>CONCATENATE(N3,N4)</f>
        <v/>
      </c>
      <c r="O5" s="8">
        <f>CONCATENATE(O3,O4)</f>
        <v/>
      </c>
      <c r="P5" s="8">
        <f>CONCATENATE(P3,P4)</f>
        <v/>
      </c>
      <c r="Q5" s="8">
        <f>CONCATENATE(Q3,Q4)</f>
        <v/>
      </c>
      <c r="R5" s="8">
        <f>CONCATENATE(R3,R4)</f>
        <v/>
      </c>
      <c r="S5" s="8">
        <f>CONCATENATE(S3,S4)</f>
        <v/>
      </c>
      <c r="T5" s="8">
        <f>CONCATENATE(T3,T4)</f>
        <v/>
      </c>
      <c r="U5" s="8">
        <f>CONCATENATE(U3,U4)</f>
        <v/>
      </c>
      <c r="V5" s="8">
        <f>CONCATENATE(V3,V4)</f>
        <v/>
      </c>
      <c r="W5" s="8">
        <f>CONCATENATE(W3,W4)</f>
        <v/>
      </c>
      <c r="X5" s="8">
        <f>CONCATENATE(X3,X4)</f>
        <v/>
      </c>
      <c r="Y5" s="8">
        <f>CONCATENATE(Y3,Y4)</f>
        <v/>
      </c>
      <c r="Z5" s="9">
        <f>CONCATENATE(Z3,Z4)</f>
        <v/>
      </c>
      <c r="AA5" s="9">
        <f>CONCATENATE(AA3,AA4)</f>
        <v/>
      </c>
      <c r="AB5" s="9">
        <f>CONCATENATE(AB3,AB4)</f>
        <v/>
      </c>
      <c r="AC5" s="9">
        <f>CONCATENATE(AC3,AC4)</f>
        <v/>
      </c>
      <c r="AD5" s="9">
        <f>CONCATENATE(AD3,AD4)</f>
        <v/>
      </c>
      <c r="AE5" s="9">
        <f>CONCATENATE(AE3,AE4)</f>
        <v/>
      </c>
      <c r="AF5" s="9">
        <f>CONCATENATE(AF3,AF4)</f>
        <v/>
      </c>
      <c r="AG5" s="9">
        <f>CONCATENATE(AG3,AG4)</f>
        <v/>
      </c>
      <c r="AH5" s="9">
        <f>CONCATENATE(AH3,AH4)</f>
        <v/>
      </c>
      <c r="AI5" s="9">
        <f>CONCATENATE(AI3,AI4)</f>
        <v/>
      </c>
      <c r="AJ5" s="9">
        <f>CONCATENATE(AJ3,AJ4)</f>
        <v/>
      </c>
      <c r="AK5" s="9">
        <f>CONCATENATE(AK3,AK4)</f>
        <v/>
      </c>
      <c r="AL5" s="9">
        <f>CONCATENATE(AL3,AL4)</f>
        <v/>
      </c>
      <c r="AM5" s="9">
        <f>CONCATENATE(AM3,AM4)</f>
        <v/>
      </c>
      <c r="AN5" s="9">
        <f>CONCATENATE(AN3,AN4)</f>
        <v/>
      </c>
      <c r="AO5" s="9">
        <f>CONCATENATE(AO3,AO4)</f>
        <v/>
      </c>
      <c r="AP5" s="9">
        <f>CONCATENATE(AP3,AP4)</f>
        <v/>
      </c>
      <c r="AQ5" s="9">
        <f>CONCATENATE(AQ3,AQ4)</f>
        <v/>
      </c>
      <c r="AR5" s="9">
        <f>CONCATENATE(AR3,AR4)</f>
        <v/>
      </c>
      <c r="AS5" s="9">
        <f>CONCATENATE(AS3,AS4)</f>
        <v/>
      </c>
      <c r="AT5" s="10">
        <f>CONCATENATE(AT3,AT4)</f>
        <v/>
      </c>
      <c r="AU5" s="10">
        <f>CONCATENATE(AU3,AU4)</f>
        <v/>
      </c>
      <c r="AV5" s="10">
        <f>CONCATENATE(AV3,AV4)</f>
        <v/>
      </c>
      <c r="AW5" s="10">
        <f>CONCATENATE(AW3,AW4)</f>
        <v/>
      </c>
      <c r="AX5" s="10">
        <f>CONCATENATE(AX3,AX4)</f>
        <v/>
      </c>
      <c r="AY5" s="10">
        <f>CONCATENATE(AY3,AY4)</f>
        <v/>
      </c>
      <c r="AZ5" s="10">
        <f>CONCATENATE(AZ3,AZ4)</f>
        <v/>
      </c>
      <c r="BA5" s="10">
        <f>CONCATENATE(BA3,BA4)</f>
        <v/>
      </c>
      <c r="BB5" s="10">
        <f>CONCATENATE(BB3,BB4)</f>
        <v/>
      </c>
      <c r="BC5" s="10">
        <f>CONCATENATE(BC3,BC4)</f>
        <v/>
      </c>
      <c r="BD5" s="10">
        <f>CONCATENATE(BD3,BD4)</f>
        <v/>
      </c>
      <c r="BE5" s="10">
        <f>CONCATENATE(BE3,BE4)</f>
        <v/>
      </c>
      <c r="BF5" s="10">
        <f>CONCATENATE(BF3,BF4)</f>
        <v/>
      </c>
      <c r="BG5" s="11">
        <f>CONCATENATE(BG3,BG4)</f>
        <v/>
      </c>
      <c r="BH5" s="11">
        <f>CONCATENATE(BH3,BH4)</f>
        <v/>
      </c>
      <c r="BI5" s="11">
        <f>CONCATENATE(BI3,BI4)</f>
        <v/>
      </c>
      <c r="BJ5" s="11">
        <f>CONCATENATE(BJ3,BJ4)</f>
        <v/>
      </c>
      <c r="BK5" s="11">
        <f>CONCATENATE(BK3,BK4)</f>
        <v/>
      </c>
      <c r="BL5" s="11">
        <f>CONCATENATE(BL3,BL4)</f>
        <v/>
      </c>
      <c r="BM5" s="11">
        <f>CONCATENATE(BM3,BM4)</f>
        <v/>
      </c>
      <c r="BN5" s="11">
        <f>CONCATENATE(BN3,BN4)</f>
        <v/>
      </c>
      <c r="BO5" s="11">
        <f>CONCATENATE(BO3,BO4)</f>
        <v/>
      </c>
      <c r="BP5" s="11">
        <f>CONCATENATE(BP3,BP4)</f>
        <v/>
      </c>
      <c r="BQ5" s="11">
        <f>CONCATENATE(BQ3,BQ4)</f>
        <v/>
      </c>
      <c r="BR5" s="11">
        <f>CONCATENATE(BR3,BR4)</f>
        <v/>
      </c>
      <c r="BS5" s="11">
        <f>CONCATENATE(BS3,BS4)</f>
        <v/>
      </c>
      <c r="BT5" s="11">
        <f>CONCATENATE(BT3,BT4)</f>
        <v/>
      </c>
      <c r="BU5" s="12">
        <f>CONCATENATE(BU3,BU4)</f>
        <v/>
      </c>
      <c r="BV5" s="12">
        <f>CONCATENATE(BV3,BV4)</f>
        <v/>
      </c>
      <c r="BW5" s="12">
        <f>CONCATENATE(BW3,BW4)</f>
        <v/>
      </c>
      <c r="BX5" s="12">
        <f>CONCATENATE(BX3,BX4)</f>
        <v/>
      </c>
      <c r="BY5" s="12">
        <f>CONCATENATE(BY3,BY4)</f>
        <v/>
      </c>
      <c r="BZ5" s="12">
        <f>CONCATENATE(BZ3,BZ4)</f>
        <v/>
      </c>
      <c r="CA5" s="12">
        <f>CONCATENATE(CA3,CA4)</f>
        <v/>
      </c>
      <c r="CB5" s="12">
        <f>CONCATENATE(CB3,CB4)</f>
        <v/>
      </c>
      <c r="CC5" s="12">
        <f>CONCATENATE(CC3,CC4)</f>
        <v/>
      </c>
      <c r="CD5" s="12">
        <f>CONCATENATE(CD3,CD4)</f>
        <v/>
      </c>
      <c r="CE5" s="12">
        <f>CONCATENATE(CE3,CE4)</f>
        <v/>
      </c>
      <c r="CF5" s="12">
        <f>CONCATENATE(CF3,CF4)</f>
        <v/>
      </c>
      <c r="CG5" s="13">
        <f>CONCATENATE(CG3,CG4)</f>
        <v/>
      </c>
      <c r="CH5" s="13">
        <f>CONCATENATE(CH3,CH4)</f>
        <v/>
      </c>
      <c r="CI5" s="13">
        <f>CONCATENATE(CI3,CI4)</f>
        <v/>
      </c>
      <c r="CJ5" s="13">
        <f>CONCATENATE(CJ3,CJ4)</f>
        <v/>
      </c>
      <c r="CK5" s="13">
        <f>CONCATENATE(CK3,CK4)</f>
        <v/>
      </c>
      <c r="CL5" s="13">
        <f>CONCATENATE(CL3,CL4)</f>
        <v/>
      </c>
      <c r="CM5" s="13">
        <f>CONCATENATE(CM3,CM4)</f>
        <v/>
      </c>
      <c r="CN5" s="13">
        <f>CONCATENATE(CN3,CN4)</f>
        <v/>
      </c>
      <c r="CO5" s="13">
        <f>CONCATENATE(CO3,CO4)</f>
        <v/>
      </c>
      <c r="CP5" s="13">
        <f>CONCATENATE(CP3,CP4)</f>
        <v/>
      </c>
      <c r="CQ5" s="13">
        <f>CONCATENATE(CQ3,CQ4)</f>
        <v/>
      </c>
      <c r="CR5" s="13">
        <f>CONCATENATE(CR3,CR4)</f>
        <v/>
      </c>
      <c r="CS5" s="13">
        <f>CONCATENATE(CS3,CS4)</f>
        <v/>
      </c>
      <c r="CT5" s="13">
        <f>CONCATENATE(CT3,CT4)</f>
        <v/>
      </c>
      <c r="CU5" s="13">
        <f>CONCATENATE(CU3,CU4)</f>
        <v/>
      </c>
      <c r="CV5" s="13">
        <f>CONCATENATE(CV3,CV4)</f>
        <v/>
      </c>
      <c r="CW5" s="13">
        <f>CONCATENATE(CW3,CW4)</f>
        <v/>
      </c>
      <c r="CX5" s="13">
        <f>CONCATENATE(CX3,CX4)</f>
        <v/>
      </c>
      <c r="CY5" s="13">
        <f>CONCATENATE(CY3,CY4)</f>
        <v/>
      </c>
      <c r="CZ5" s="13">
        <f>CONCATENATE(CZ3,CZ4)</f>
        <v/>
      </c>
      <c r="DA5" s="13">
        <f>CONCATENATE(DA3,DA4)</f>
        <v/>
      </c>
      <c r="DB5" s="13">
        <f>CONCATENATE(DB3,DB4)</f>
        <v/>
      </c>
      <c r="DC5" s="14">
        <f>CONCATENATE(DC3,DC4)</f>
        <v/>
      </c>
      <c r="DD5" s="14">
        <f>CONCATENATE(DD3,DD4)</f>
        <v/>
      </c>
      <c r="DE5" s="14">
        <f>CONCATENATE(DE3,DE4)</f>
        <v/>
      </c>
      <c r="DF5" s="14">
        <f>CONCATENATE(DF3,DF4)</f>
        <v/>
      </c>
      <c r="DG5" s="14">
        <f>CONCATENATE(DG3,DG4)</f>
        <v/>
      </c>
      <c r="DH5" s="14">
        <f>CONCATENATE(DH3,DH4)</f>
        <v/>
      </c>
      <c r="DI5" s="14">
        <f>CONCATENATE(DI3,DI4)</f>
        <v/>
      </c>
      <c r="DJ5" s="14">
        <f>CONCATENATE(DJ3,DJ4)</f>
        <v/>
      </c>
      <c r="DK5" s="14">
        <f>CONCATENATE(DK3,DK4)</f>
        <v/>
      </c>
      <c r="DL5" s="14">
        <f>CONCATENATE(DL3,DL4)</f>
        <v/>
      </c>
      <c r="DM5" s="14">
        <f>CONCATENATE(DM3,DM4)</f>
        <v/>
      </c>
      <c r="DN5" s="14">
        <f>CONCATENATE(DN3,DN4)</f>
        <v/>
      </c>
      <c r="DO5" s="15">
        <f>CONCATENATE(DO3,DO4)</f>
        <v/>
      </c>
      <c r="DP5" s="15">
        <f>CONCATENATE(DP3,DP4)</f>
        <v/>
      </c>
      <c r="DQ5" s="15">
        <f>CONCATENATE(DQ3,DQ4)</f>
        <v/>
      </c>
      <c r="DR5" s="15">
        <f>CONCATENATE(DR3,DR4)</f>
        <v/>
      </c>
      <c r="DS5" s="15">
        <f>CONCATENATE(DS3,DS4)</f>
        <v/>
      </c>
      <c r="DT5" s="15">
        <f>CONCATENATE(DT3,DT4)</f>
        <v/>
      </c>
      <c r="DU5" s="15">
        <f>CONCATENATE(DU3,DU4)</f>
        <v/>
      </c>
      <c r="DV5" s="15">
        <f>CONCATENATE(DV3,DV4)</f>
        <v/>
      </c>
      <c r="DW5" s="15">
        <f>CONCATENATE(DW3,DW4)</f>
        <v/>
      </c>
      <c r="DX5" s="15">
        <f>CONCATENATE(DX3,DX4)</f>
        <v/>
      </c>
      <c r="DY5" s="15">
        <f>CONCATENATE(DY3,DY4)</f>
        <v/>
      </c>
      <c r="DZ5" s="15">
        <f>CONCATENATE(DZ3,DZ4)</f>
        <v/>
      </c>
      <c r="EA5" s="15">
        <f>CONCATENATE(EA3,EA4)</f>
        <v/>
      </c>
      <c r="EB5" s="38">
        <f>CONCATENATE(EB3,EB4)</f>
        <v/>
      </c>
      <c r="EC5" s="38">
        <f>CONCATENATE(EC3,EC4)</f>
        <v/>
      </c>
      <c r="ED5" s="38">
        <f>CONCATENATE(ED3,ED4)</f>
        <v/>
      </c>
      <c r="EE5" s="38">
        <f>CONCATENATE(EE3,EE4)</f>
        <v/>
      </c>
      <c r="EF5" s="38">
        <f>CONCATENATE(EF3,EF4)</f>
        <v/>
      </c>
    </row>
    <row r="6" ht="39.75" customHeight="1" s="60">
      <c r="A6" s="16" t="inlineStr">
        <is>
          <t>Company Name</t>
        </is>
      </c>
      <c r="B6" s="16" t="inlineStr">
        <is>
          <t>Ticker</t>
        </is>
      </c>
      <c r="C6" s="16" t="inlineStr">
        <is>
          <t>ISIN</t>
        </is>
      </c>
      <c r="D6" s="16" t="inlineStr">
        <is>
          <t>Country (Incorporation)</t>
        </is>
      </c>
      <c r="E6" s="16" t="inlineStr">
        <is>
          <t>Country (Domicile)</t>
        </is>
      </c>
      <c r="F6" s="16" t="inlineStr">
        <is>
          <t>BICS Sector</t>
        </is>
      </c>
      <c r="G6" s="16" t="inlineStr">
        <is>
          <t>BICS Industry</t>
        </is>
      </c>
      <c r="H6" s="16" t="inlineStr">
        <is>
          <t>Universe Status</t>
        </is>
      </c>
      <c r="I6" s="16" t="inlineStr">
        <is>
          <t>Review Priority</t>
        </is>
      </c>
      <c r="J6" s="16" t="inlineStr">
        <is>
          <t>Row ID [auto]</t>
        </is>
      </c>
      <c r="K6" s="16" t="inlineStr">
        <is>
          <t>Annual Report Available?</t>
        </is>
      </c>
      <c r="L6" s="16" t="inlineStr">
        <is>
          <t>Sustainability Report Available?</t>
        </is>
      </c>
      <c r="M6" s="16" t="inlineStr">
        <is>
          <t>TCFD Report Available?</t>
        </is>
      </c>
      <c r="N6" s="16" t="inlineStr">
        <is>
          <t>CSRD / ESRS Disclosure?</t>
        </is>
      </c>
      <c r="O6" s="16" t="inlineStr">
        <is>
          <t>SBTi Database Checked?</t>
        </is>
      </c>
      <c r="P6" s="16" t="inlineStr">
        <is>
          <t>TPI Checked?</t>
        </is>
      </c>
      <c r="Q6" s="16" t="inlineStr">
        <is>
          <t>CA100+ Checked?</t>
        </is>
      </c>
      <c r="R6" s="16" t="inlineStr">
        <is>
          <t>ENCORE Checked?</t>
        </is>
      </c>
      <c r="S6" s="16" t="inlineStr">
        <is>
          <t>WWF BRF Checked?</t>
        </is>
      </c>
      <c r="T6" s="16" t="inlineStr">
        <is>
          <t>WRI Aqueduct Checked?</t>
        </is>
      </c>
      <c r="U6" s="16" t="inlineStr">
        <is>
          <t>Controversy Search Done?</t>
        </is>
      </c>
      <c r="V6" s="16" t="inlineStr">
        <is>
          <t># Sources Reviewed</t>
        </is>
      </c>
      <c r="W6" s="16" t="inlineStr">
        <is>
          <t>Most Recent Report Year</t>
        </is>
      </c>
      <c r="X6" s="16" t="inlineStr">
        <is>
          <t>Data Vintage Note</t>
        </is>
      </c>
      <c r="Y6" s="16" t="inlineStr">
        <is>
          <t>Doc Coverage Flag [auto]</t>
        </is>
      </c>
      <c r="Z6" s="16" t="inlineStr">
        <is>
          <t>Net-Zero Target Claimed?</t>
        </is>
      </c>
      <c r="AA6" s="16" t="inlineStr">
        <is>
          <t>Net-Zero Target Year</t>
        </is>
      </c>
      <c r="AB6" s="16" t="inlineStr">
        <is>
          <t>Interim Target Stated?</t>
        </is>
      </c>
      <c r="AC6" s="16" t="inlineStr">
        <is>
          <t>Interim Target Year</t>
        </is>
      </c>
      <c r="AD6" s="16" t="inlineStr">
        <is>
          <t>Interim Target % Reduction</t>
        </is>
      </c>
      <c r="AE6" s="16" t="inlineStr">
        <is>
          <t>Interim Target Baseline Year</t>
        </is>
      </c>
      <c r="AF6" s="16" t="inlineStr">
        <is>
          <t>Scope 1+2 Coverage</t>
        </is>
      </c>
      <c r="AG6" s="16" t="inlineStr">
        <is>
          <t>Scope 3 Disclosed?</t>
        </is>
      </c>
      <c r="AH6" s="16" t="inlineStr">
        <is>
          <t>Scope 3 Categories Count (of 15)</t>
        </is>
      </c>
      <c r="AI6" s="16" t="inlineStr">
        <is>
          <t>Scope 3 Included in Target?</t>
        </is>
      </c>
      <c r="AJ6" s="16" t="inlineStr">
        <is>
          <t>SBTi Status</t>
        </is>
      </c>
      <c r="AK6" s="16" t="inlineStr">
        <is>
          <t>SBTi Approval Year</t>
        </is>
      </c>
      <c r="AL6" s="16" t="inlineStr">
        <is>
          <t>Transition Plan Disclosed?</t>
        </is>
      </c>
      <c r="AM6" s="16" t="inlineStr">
        <is>
          <t>Capex Alignment Evidence?</t>
        </is>
      </c>
      <c r="AN6" s="16" t="inlineStr">
        <is>
          <t>Capex Alignment Quote</t>
        </is>
      </c>
      <c r="AO6" s="16" t="inlineStr">
        <is>
          <t>Capex % Sustainable</t>
        </is>
      </c>
      <c r="AP6" s="16" t="inlineStr">
        <is>
          <t>Climate Governance Evidence</t>
        </is>
      </c>
      <c r="AQ6" s="16" t="inlineStr">
        <is>
          <t>Lobbying Consistency</t>
        </is>
      </c>
      <c r="AR6" s="16" t="inlineStr">
        <is>
          <t>Climate Credibility Score [auto]</t>
        </is>
      </c>
      <c r="AS6" s="16" t="inlineStr">
        <is>
          <t>Climate Red Flag</t>
        </is>
      </c>
      <c r="AT6" s="16" t="inlineStr">
        <is>
          <t>HR Policy Status</t>
        </is>
      </c>
      <c r="AU6" s="16" t="inlineStr">
        <is>
          <t>HR Policy Page Ref</t>
        </is>
      </c>
      <c r="AV6" s="16" t="inlineStr">
        <is>
          <t>UNGC Signatory?</t>
        </is>
      </c>
      <c r="AW6" s="16" t="inlineStr">
        <is>
          <t>UNGC Violation Evidence</t>
        </is>
      </c>
      <c r="AX6" s="16" t="inlineStr">
        <is>
          <t>OECD MNE Compliance</t>
        </is>
      </c>
      <c r="AY6" s="16" t="inlineStr">
        <is>
          <t>Supply Chain DD Evidence</t>
        </is>
      </c>
      <c r="AZ6" s="16" t="inlineStr">
        <is>
          <t>Labour / H&amp;S Controversy</t>
        </is>
      </c>
      <c r="BA6" s="16" t="inlineStr">
        <is>
          <t>Board Sustainability Oversight</t>
        </is>
      </c>
      <c r="BB6" s="16" t="inlineStr">
        <is>
          <t>ESG-Linked Exec Pay</t>
        </is>
      </c>
      <c r="BC6" s="16" t="inlineStr">
        <is>
          <t>ESG Data Assurance</t>
        </is>
      </c>
      <c r="BD6" s="16" t="inlineStr">
        <is>
          <t>Assurance Provider</t>
        </is>
      </c>
      <c r="BE6" s="16" t="inlineStr">
        <is>
          <t>Safeguards Score [auto]</t>
        </is>
      </c>
      <c r="BF6" s="16" t="inlineStr">
        <is>
          <t>Safeguards Red Flag</t>
        </is>
      </c>
      <c r="BG6" s="16" t="inlineStr">
        <is>
          <t>Biodiversity Policy</t>
        </is>
      </c>
      <c r="BH6" s="16" t="inlineStr">
        <is>
          <t>Nature Dependency (ENCORE)</t>
        </is>
      </c>
      <c r="BI6" s="16" t="inlineStr">
        <is>
          <t>Nature Impact (ENCORE)</t>
        </is>
      </c>
      <c r="BJ6" s="16" t="inlineStr">
        <is>
          <t>Water Risk (WRI Aqueduct)</t>
        </is>
      </c>
      <c r="BK6" s="16" t="inlineStr">
        <is>
          <t>Land Use Exposure</t>
        </is>
      </c>
      <c r="BL6" s="16" t="inlineStr">
        <is>
          <t>Pollution / Waste Exposure</t>
        </is>
      </c>
      <c r="BM6" s="16" t="inlineStr">
        <is>
          <t>Biodiversity-Sensitive Sites</t>
        </is>
      </c>
      <c r="BN6" s="16" t="inlineStr">
        <is>
          <t>PAI 7 Relevance</t>
        </is>
      </c>
      <c r="BO6" s="16" t="inlineStr">
        <is>
          <t>PAI 7 % Revenue</t>
        </is>
      </c>
      <c r="BP6" s="16" t="inlineStr">
        <is>
          <t>Sector Nature Risk Class</t>
        </is>
      </c>
      <c r="BQ6" s="16" t="inlineStr">
        <is>
          <t>Mitigation Hierarchy Evidence</t>
        </is>
      </c>
      <c r="BR6" s="16" t="inlineStr">
        <is>
          <t>TNFD Alignment</t>
        </is>
      </c>
      <c r="BS6" s="16" t="inlineStr">
        <is>
          <t>Biodiversity Score [auto]</t>
        </is>
      </c>
      <c r="BT6" s="16" t="inlineStr">
        <is>
          <t>Nature-Risk Red Flag</t>
        </is>
      </c>
      <c r="BU6" s="16" t="inlineStr">
        <is>
          <t>Taxonomy Eligibility Source</t>
        </is>
      </c>
      <c r="BV6" s="16" t="inlineStr">
        <is>
          <t>Taxonomy Eligible Revenue %</t>
        </is>
      </c>
      <c r="BW6" s="16" t="inlineStr">
        <is>
          <t>Taxonomy Aligned Revenue %</t>
        </is>
      </c>
      <c r="BX6" s="16" t="inlineStr">
        <is>
          <t>Taxonomy Aligned Capex %</t>
        </is>
      </c>
      <c r="BY6" s="16" t="inlineStr">
        <is>
          <t>Alignment Company-Stated?</t>
        </is>
      </c>
      <c r="BZ6" s="16" t="inlineStr">
        <is>
          <t>DNSH Evidence</t>
        </is>
      </c>
      <c r="CA6" s="16" t="inlineStr">
        <is>
          <t>Minimum Safeguards Evidence</t>
        </is>
      </c>
      <c r="CB6" s="16" t="inlineStr">
        <is>
          <t>PAI Indicators Reported (of 18)</t>
        </is>
      </c>
      <c r="CC6" s="16" t="inlineStr">
        <is>
          <t>CSRD / ESRS Disclosure Quality</t>
        </is>
      </c>
      <c r="CD6" s="16" t="inlineStr">
        <is>
          <t>SFDR Fund Classification (self)</t>
        </is>
      </c>
      <c r="CE6" s="16" t="inlineStr">
        <is>
          <t>EU Reg Evidence Score [auto]</t>
        </is>
      </c>
      <c r="CF6" s="16" t="inlineStr">
        <is>
          <t>EU Reg Red Flag</t>
        </is>
      </c>
      <c r="CG6" s="16" t="inlineStr">
        <is>
          <t>Main Claim Tested</t>
        </is>
      </c>
      <c r="CH6" s="16" t="inlineStr">
        <is>
          <t>Claim Source Document</t>
        </is>
      </c>
      <c r="CI6" s="16" t="inlineStr">
        <is>
          <t>Claim Page / Section Ref</t>
        </is>
      </c>
      <c r="CJ6" s="16" t="inlineStr">
        <is>
          <t>8-Test 1: Specificity</t>
        </is>
      </c>
      <c r="CK6" s="16" t="inlineStr">
        <is>
          <t>8-Test 2: Metric</t>
        </is>
      </c>
      <c r="CL6" s="16" t="inlineStr">
        <is>
          <t>8-Test 3: Baseline</t>
        </is>
      </c>
      <c r="CM6" s="16" t="inlineStr">
        <is>
          <t>8-Test 4: Target</t>
        </is>
      </c>
      <c r="CN6" s="16" t="inlineStr">
        <is>
          <t>8-Test 5: Time Horizon</t>
        </is>
      </c>
      <c r="CO6" s="16" t="inlineStr">
        <is>
          <t>8-Test 6: Scope</t>
        </is>
      </c>
      <c r="CP6" s="16" t="inlineStr">
        <is>
          <t>8-Test 7: Verification</t>
        </is>
      </c>
      <c r="CQ6" s="16" t="inlineStr">
        <is>
          <t>8-Test 8: Consistency</t>
        </is>
      </c>
      <c r="CR6" s="16" t="inlineStr">
        <is>
          <t># Tests FAILED [auto]</t>
        </is>
      </c>
      <c r="CS6" s="16" t="inlineStr">
        <is>
          <t># Tests PARTIAL [auto]</t>
        </is>
      </c>
      <c r="CT6" s="16" t="inlineStr">
        <is>
          <t># Tests MISSING [auto]</t>
        </is>
      </c>
      <c r="CU6" s="16" t="inlineStr">
        <is>
          <t>Greenwashing Risk Score [auto]</t>
        </is>
      </c>
      <c r="CV6" s="16" t="inlineStr">
        <is>
          <t>Worst Dimension</t>
        </is>
      </c>
      <c r="CW6" s="16" t="inlineStr">
        <is>
          <t>Controversy Severity</t>
        </is>
      </c>
      <c r="CX6" s="16" t="inlineStr">
        <is>
          <t>Controversy Description</t>
        </is>
      </c>
      <c r="CY6" s="16" t="inlineStr">
        <is>
          <t>Controversy Source</t>
        </is>
      </c>
      <c r="CZ6" s="16" t="inlineStr">
        <is>
          <t>Controversy Date</t>
        </is>
      </c>
      <c r="DA6" s="16" t="inlineStr">
        <is>
          <t>Watchlist Trigger [auto]</t>
        </is>
      </c>
      <c r="DB6" s="16" t="inlineStr">
        <is>
          <t>Exclusion Trigger [auto]</t>
        </is>
      </c>
      <c r="DC6" s="17" t="inlineStr">
        <is>
          <t>Key Evidence Quote</t>
        </is>
      </c>
      <c r="DD6" s="17" t="inlineStr">
        <is>
          <t>Key Evidence Source Doc</t>
        </is>
      </c>
      <c r="DE6" s="17" t="inlineStr">
        <is>
          <t>Key Evidence Page Ref</t>
        </is>
      </c>
      <c r="DF6" s="17" t="inlineStr">
        <is>
          <t>Evidence Confidence (1–5)</t>
        </is>
      </c>
      <c r="DG6" s="17" t="inlineStr">
        <is>
          <t>AI Extraction Confidence (1–5)</t>
        </is>
      </c>
      <c r="DH6" s="17" t="inlineStr">
        <is>
          <t>Verification Status</t>
        </is>
      </c>
      <c r="DI6" s="17" t="inlineStr">
        <is>
          <t>Verified By</t>
        </is>
      </c>
      <c r="DJ6" s="17" t="inlineStr">
        <is>
          <t>Verification Date</t>
        </is>
      </c>
      <c r="DK6" s="17" t="inlineStr">
        <is>
          <t>Verification Notes</t>
        </is>
      </c>
      <c r="DL6" s="17" t="inlineStr">
        <is>
          <t>Low-Confidence Flag [auto]</t>
        </is>
      </c>
      <c r="DM6" s="17" t="inlineStr">
        <is>
          <t>Human Review Required [auto]</t>
        </is>
      </c>
      <c r="DN6" s="17" t="inlineStr">
        <is>
          <t>Evidence Quality Score [auto]</t>
        </is>
      </c>
      <c r="DO6" s="17" t="inlineStr">
        <is>
          <t>Climate Verdict</t>
        </is>
      </c>
      <c r="DP6" s="17" t="inlineStr">
        <is>
          <t>Biodiversity Verdict</t>
        </is>
      </c>
      <c r="DQ6" s="17" t="inlineStr">
        <is>
          <t>Safeguards Verdict</t>
        </is>
      </c>
      <c r="DR6" s="17" t="inlineStr">
        <is>
          <t>Greenwashing Verdict</t>
        </is>
      </c>
      <c r="DS6" s="17" t="inlineStr">
        <is>
          <t>EU Reg Verdict</t>
        </is>
      </c>
      <c r="DT6" s="17" t="inlineStr">
        <is>
          <t>Overall RAG Score [auto]</t>
        </is>
      </c>
      <c r="DU6" s="17" t="inlineStr">
        <is>
          <t>Final RAG Verdict [auto]</t>
        </is>
      </c>
      <c r="DV6" s="17" t="inlineStr">
        <is>
          <t>Human Override</t>
        </is>
      </c>
      <c r="DW6" s="17" t="inlineStr">
        <is>
          <t>Recommended Action</t>
        </is>
      </c>
      <c r="DX6" s="17" t="inlineStr">
        <is>
          <t>Verdict Rationale</t>
        </is>
      </c>
      <c r="DY6" s="17" t="inlineStr">
        <is>
          <t>Open Questions</t>
        </is>
      </c>
      <c r="DZ6" s="17" t="inlineStr">
        <is>
          <t>Handoff Owner</t>
        </is>
      </c>
      <c r="EA6" s="17" t="inlineStr">
        <is>
          <t>Handoff Status</t>
        </is>
      </c>
      <c r="EB6" s="17" t="inlineStr">
        <is>
          <t>Missing Source Flag</t>
        </is>
      </c>
      <c r="EC6" s="17" t="inlineStr">
        <is>
          <t>Missing Page Reference Flag</t>
        </is>
      </c>
      <c r="ED6" s="17" t="inlineStr">
        <is>
          <t>Verified Evidence Count</t>
        </is>
      </c>
      <c r="EE6" s="17" t="inlineStr">
        <is>
          <t>Verification Completion Percentage</t>
        </is>
      </c>
      <c r="EF6" s="17" t="inlineStr">
        <is>
          <t>Companies Ready for Handoff</t>
        </is>
      </c>
    </row>
    <row r="7" ht="18" customHeight="1" s="60">
      <c r="A7" s="3" t="inlineStr">
        <is>
          <t>Next PLC</t>
        </is>
      </c>
      <c r="B7" s="3" t="inlineStr">
        <is>
          <t>NXG</t>
        </is>
      </c>
      <c r="C7" s="3">
        <f>IF(ISBLANK('Universe Tracker'!D3),"",'Universe Tracker'!D3)</f>
        <v/>
      </c>
      <c r="D7" s="3" t="n"/>
      <c r="E7" s="3" t="n"/>
      <c r="F7" s="3">
        <f>IF(ISBLANK('Universe Tracker'!F3),"",'Universe Tracker'!F3)</f>
        <v/>
      </c>
      <c r="G7" s="3">
        <f>IF(ISBLANK('Universe Tracker'!G3),"",'Universe Tracker'!G3)</f>
        <v/>
      </c>
      <c r="H7" s="3" t="n"/>
      <c r="I7" s="3" t="n"/>
      <c r="J7" s="3">
        <f>IF(ISBLANK(B7),"",B7&amp;"_"&amp;C7)</f>
        <v/>
      </c>
      <c r="K7" s="3" t="n"/>
      <c r="L7" s="3" t="n"/>
      <c r="M7" s="3" t="n"/>
      <c r="N7" s="3" t="n"/>
      <c r="O7" s="3" t="n"/>
      <c r="P7" s="3" t="n"/>
      <c r="Q7" s="3" t="n"/>
      <c r="R7" s="3" t="n"/>
      <c r="S7" s="3" t="n"/>
      <c r="T7" s="3" t="n"/>
      <c r="U7" s="3" t="n"/>
      <c r="V7" s="3" t="n"/>
      <c r="W7" s="3" t="n"/>
      <c r="X7" s="3" t="n"/>
      <c r="Y7" s="3">
        <f>IF(AND(V7&gt;=2,K7="Yes",L7="Yes"),"Sufficient",IF(AND(V7&gt;=1,OR(K7="Yes",L7="Yes")),"Thin","Insufficient"))</f>
        <v/>
      </c>
      <c r="Z7" s="3" t="n"/>
      <c r="AA7" s="3" t="n"/>
      <c r="AB7" s="3" t="n"/>
      <c r="AC7" s="3" t="n"/>
      <c r="AD7" s="3" t="n"/>
      <c r="AE7" s="3" t="n"/>
      <c r="AF7" s="3" t="n"/>
      <c r="AG7" s="3" t="n"/>
      <c r="AH7" s="3" t="n"/>
      <c r="AI7" s="3" t="n"/>
      <c r="AJ7" s="3" t="n"/>
      <c r="AK7" s="3" t="n"/>
      <c r="AL7" s="3" t="n"/>
      <c r="AM7" s="3" t="n"/>
      <c r="AN7" s="3" t="n"/>
      <c r="AO7" s="3" t="n"/>
      <c r="AP7" s="3" t="n"/>
      <c r="AQ7" s="3" t="n"/>
      <c r="AR7" s="40">
        <f t="array" ref="AR7">MIN(100, MAX(0,
  IFERROR(_xlfn.XLOOKUP(AJ7,'Lookup Tables'!$A$2:$A$7,'Lookup Tables'!$B$2:$B$7,0),0)
  + IF(Z7="Yes", IF(IFERROR(_xlfn.XLOOKUP(AJ7,'Lookup Tables'!$A$2:$A$7,'Lookup Tables'!$B$2:$B$7,0),0)&lt;20, 5, 0), 0)
  + _xlfn.IFS(AB7="Yes", IF(ISNUMBER(AC7)*AND(AC7&lt;=2030),15,10), AB7="Long-term Only", 5, AB7="No", 0, TRUE, 0)
  + _xlfn.IFS(AF7="Full",10, AF7="Partial",5, AF7="Scope 2 Only",3, TRUE,0)
  + _xlfn.IFS(AG7="Yes", IF(ISNUMBER(AH7)*AND(AH7&gt;=5),10,6), AG7="Partial",4, TRUE,0)
  + _xlfn.IFS(AI7="Yes",5, AI7="Partial (material categories only)",3, TRUE,0)
  + _xlfn.IFS(AL7="Yes — Detailed",10, AL7="Yes — High Level",5, TRUE,0)
  + _xlfn.IFS(AM7="Yes — Quantified",15, AM7="Yes — Directional Only",7, TRUE,0)
  + _xlfn.IFS(AP7="Formal",5, AP7="Referenced",2, TRUE,0)
  + _xlfn.IFS(AQ7="No Issues Found",5, AQ7="Concern Identified",-5, AQ7="Severe Contradiction",-15, TRUE,0)
  + _xlfn.IFS(BC7="Reasonable Assurance",5, BC7="Limited Assurance",3, TRUE,0)
  - IF(AND(Z7="Yes", AI7="No"), 10, 0)
  - IF(AND(Z7="Yes", AM7="No"), 10, 0)
))</f>
        <v/>
      </c>
      <c r="AS7" s="3" t="n"/>
      <c r="AT7" s="3" t="n"/>
      <c r="AU7" s="3" t="n"/>
      <c r="AV7" s="3" t="n"/>
      <c r="AW7" s="3" t="n"/>
      <c r="AX7" s="3" t="n"/>
      <c r="AY7" s="3" t="n"/>
      <c r="AZ7" s="3" t="n"/>
      <c r="BA7" s="3" t="n"/>
      <c r="BB7" s="3" t="n"/>
      <c r="BC7" s="3" t="n"/>
      <c r="BD7" s="3" t="n"/>
      <c r="BE7" s="40">
        <f t="array" ref="BE7">MIN(100, MAX(0,
  IFERROR(_xlfn.XLOOKUP(AT7,'Lookup Tables'!$D$2:$D$6,'Lookup Tables'!$E$2:$E$6,0),0)
  + IFERROR(_xlfn.XLOOKUP(AV7,'Lookup Tables'!$G$2:$G$5,'Lookup Tables'!$H$2:$H$5,0),0)
  + IFERROR(_xlfn.XLOOKUP(AW7,'Lookup Tables'!$J$2:$J$5,'Lookup Tables'!$K$2:$K$5,0),0)
  + _xlfn.IFS(AX7="No Issues",10, AX7="Complaint Filed",3, AX7="Confirmed Breach",-15, TRUE,0)
  + IFERROR(_xlfn.XLOOKUP(AY7,'Lookup Tables'!$M$2:$M$6,'Lookup Tables'!$N$2:$N$6,0),0)
  + IFERROR(_xlfn.XLOOKUP(AZ7,'Lookup Tables'!$P$2:$P$6,'Lookup Tables'!$Q$2:$Q$6,0),0)
  + _xlfn.IFS(BA7="Formal Board Committee",5, BA7="Board Oversight Mentioned",2, TRUE,0)
  + _xlfn.IFS(BB7="Yes — Quantified Targets",5, BB7="Yes — Discretionary Only",2, TRUE,0)
  + _xlfn.IFS(BC7="Reasonable Assurance",5, BC7="Limited Assurance",3, BC7="Management Review Only",1, TRUE,0)
))</f>
        <v/>
      </c>
      <c r="BF7" s="3" t="n"/>
      <c r="BG7" s="3" t="n"/>
      <c r="BH7" s="3" t="n"/>
      <c r="BI7" s="3" t="n"/>
      <c r="BJ7" s="3" t="n"/>
      <c r="BK7" s="3" t="n"/>
      <c r="BL7" s="3" t="n"/>
      <c r="BM7" s="3" t="n"/>
      <c r="BN7" s="3" t="n"/>
      <c r="BO7" s="3" t="n"/>
      <c r="BP7" s="3" t="n"/>
      <c r="BQ7" s="3" t="n"/>
      <c r="BR7" s="3" t="n"/>
      <c r="BS7" s="45">
        <f t="array" ref="BS7">MIN(100, MAX(0,
  IFERROR(_xlfn.XLOOKUP(BG7,'Lookup Tables'!$A$11:$A$16,'Lookup Tables'!$B$11:$B$16,0),0)
  + IFERROR(_xlfn.XLOOKUP(BR7,'Lookup Tables'!$M$11:$M$14,'Lookup Tables'!$N$11:$N$14,0),0)
  + IFERROR(_xlfn.XLOOKUP(BQ7,'Lookup Tables'!$J$11:$J$15,'Lookup Tables'!$K$11:$K$15,0),0)
  + IFERROR(_xlfn.XLOOKUP(BH7,'Lookup Tables'!$D$11:$D$15,'Lookup Tables'!$E$11:$E$15,0),0)
  + IFERROR(_xlfn.XLOOKUP(BJ7,'Lookup Tables'!$G$11:$G$16,'Lookup Tables'!$H$11:$H$16,0),0)
  + IFERROR(_xlfn.XLOOKUP(BN7,'Lookup Tables'!$P$11:$P$15,'Lookup Tables'!$Q$11:$Q$15,0),0)
  + _xlfn.IFS(BM7="No Evidence",10, BM7="Unknown",3, BM7="Likely",0, BM7="Confirmed",-10, TRUE,3)
  + IFERROR(_xlfn.XLOOKUP(BP7,'Lookup Tables'!$J$21:$J$24,'Lookup Tables'!$K$21:$K$24,0),0)
))</f>
        <v/>
      </c>
      <c r="BT7" s="3" t="n"/>
      <c r="BU7" s="3" t="n"/>
      <c r="BV7" s="3" t="n"/>
      <c r="BW7" s="3" t="n"/>
      <c r="BX7" s="3" t="n"/>
      <c r="BY7" s="3" t="n"/>
      <c r="BZ7" s="3" t="n"/>
      <c r="CA7" s="3" t="n"/>
      <c r="CB7" s="3" t="n"/>
      <c r="CC7" s="3" t="n"/>
      <c r="CD7" s="3" t="n"/>
      <c r="CE7" s="44">
        <f t="array" ref="CE7">MIN(100, MAX(0,
  IF(ISNUMBER(BV7)*AND(BV7&gt;0), 10, 0)
  + _xlfn.IFS(BY7="Independently Verified",25, BY7="Yes",15, TRUE,0)
  + IFERROR(_xlfn.XLOOKUP(BZ7,'Lookup Tables'!$A$21:$A$24,'Lookup Tables'!$B$21:$B$24,0),0)
  + IFERROR(_xlfn.XLOOKUP(CA7,'Lookup Tables'!$D$21:$D$24,'Lookup Tables'!$E$21:$E$24,0),0)
  + _xlfn.IFS(ISNUMBER(CB7)*AND(CB7&gt;=11),15, ISNUMBER(CB7)*AND(CB7&gt;=6),10, ISNUMBER(CB7)*AND(CB7&gt;=1),5, TRUE,0)
  + IFERROR(_xlfn.XLOOKUP(CC7,'Lookup Tables'!$G$21:$G$25,'Lookup Tables'!$H$21:$H$25,0),0)
  - IF(ISNUMBER(BW7)*AND(ISNUMBER(BV7))*AND(BW7&gt;BV7), 20, 0)
  - IF(AND(BY7="Yes", ISNUMBER(BW7), BW7&gt;60), 10, 0)
))</f>
        <v/>
      </c>
      <c r="CF7" s="3" t="n"/>
      <c r="CG7" s="3" t="n"/>
      <c r="CH7" s="3" t="n"/>
      <c r="CI7" s="3" t="n"/>
      <c r="CJ7" s="3" t="n"/>
      <c r="CK7" s="3" t="n"/>
      <c r="CL7" s="3" t="n"/>
      <c r="CM7" s="3" t="n"/>
      <c r="CN7" s="3" t="n"/>
      <c r="CO7" s="3" t="n"/>
      <c r="CP7" s="3" t="n"/>
      <c r="CQ7" s="3" t="n"/>
      <c r="CR7" s="3">
        <f>COUNTIF(CJ7:CQ7,"FAIL")</f>
        <v/>
      </c>
      <c r="CS7" s="3">
        <f>COUNTIF(CJ7:CQ7,"PARTIAL")</f>
        <v/>
      </c>
      <c r="CT7" s="3">
        <f>COUNTIF(CJ7:CQ7,"MISSING")</f>
        <v/>
      </c>
      <c r="CU7" s="3">
        <f>MIN(100,
  CR7*15
  + CS7*6
  + CT7*3
  + IFERROR(_xlfn.XLOOKUP(CW7,'Lookup Tables'!$M$21:$M$25,'Lookup Tables'!$N$21:$N$25,0),0)
)</f>
        <v/>
      </c>
      <c r="CV7" s="3">
        <f>IFERROR(
CHOOSE(
MATCH("FAIL",CJ7:CQ7,0),
"1-Specificity","2-Metric","3-Baseline","4-Target",
"5-Time Horizon","6-Scope","7-Verification","8-Consistency"
),
IFERROR(
CHOOSE(
MATCH("PARTIAL",CJ7:CQ7,0),
"1-Specificity","2-Metric","3-Baseline","4-Target",
"5-Time Horizon","6-Scope","7-Verification","8-Consistency"
),
"No failures"
)
)</f>
        <v/>
      </c>
      <c r="CW7" s="3" t="n"/>
      <c r="CX7" s="3" t="n"/>
      <c r="CY7" s="3" t="n"/>
      <c r="CZ7" s="3" t="n"/>
      <c r="DA7" s="3">
        <f>IF(OR(CU7&gt;=50,CW7="Material",CW7="Severe",AS7="Material",AS7="Severe",BF7="Material",BF7="Severe — Exclusion Trigger",AND(ISNUMBER(BS7),BS7&lt;30)),"Yes","No")</f>
        <v/>
      </c>
      <c r="DB7" s="3">
        <f>IF(OR(CR7&gt;=6,AW7="Confirmed Violation",AX7="Confirmed Breach"),"Yes — Automatic",IF(CW7="Severe","Yes — Requires Captain Confirmation","No"))</f>
        <v/>
      </c>
      <c r="DC7" s="3" t="n"/>
      <c r="DD7" s="3" t="n"/>
      <c r="DE7" s="3" t="n"/>
      <c r="DF7" s="3" t="n"/>
      <c r="DG7" s="3" t="n"/>
      <c r="DH7" s="3" t="n"/>
      <c r="DI7" s="3" t="n"/>
      <c r="DJ7" s="3" t="n"/>
      <c r="DK7" s="3" t="n"/>
      <c r="DL7" s="3">
        <f>IF(OR(IFERROR(VALUE(LEFT(DF7,1)),99)&lt;=2,IFERROR(VALUE(LEFT(DG7,1)),99)&lt;=2),"Flagged","Clear")</f>
        <v/>
      </c>
      <c r="DM7" s="3">
        <f>IF(OR(DA7="Yes",DB7&lt;&gt;"No",DH7="Unverified",DL7="Flagged"),"Yes","No")</f>
        <v/>
      </c>
      <c r="DN7" s="3">
        <f t="array" ref="DN7">MIN(100,
  IF(ISNUMBER(V7), _xlfn.IFS(V7&gt;=3,25, V7=2,15, V7=1,5, TRUE,0), 0)
  + IFERROR(_xlfn.IFS(VALUE(LEFT(DF7,1))=5,25, VALUE(LEFT(DF7,1))=4,20, VALUE(LEFT(DF7,1))=3,15, VALUE(LEFT(DF7,1))=2,8, TRUE,0), 15)
  + IFERROR(_xlfn.IFS(VALUE(LEFT(DG7,1))=5,25, VALUE(LEFT(DG7,1))=4,20, VALUE(LEFT(DG7,1))=3,15, VALUE(LEFT(DG7,1))=2,8, TRUE,0), 15)
  + _xlfn.IFS(DH7="Fully Verified",25, DH7="Partially Verified",12, TRUE,0)
)</f>
        <v/>
      </c>
      <c r="DO7" s="3">
        <f t="array" ref="DO7">_xlfn.IFS(
  ISBLANK(AR7), "Insufficient Evidence",
  AND(AR7&gt;=65, AJ7="Approved"), "Strong",
  AR7&gt;=65, "Adequate",
  AR7&gt;=40, "Adequate",
  AR7&gt;=20, "Weak",
  TRUE, "Insufficient Evidence"
)</f>
        <v/>
      </c>
      <c r="DP7" s="3">
        <f t="array" ref="DP7">_xlfn.IFS(
  ISBLANK(BS7), "Insufficient Evidence",
  BS7&gt;=65, "Strong",
  BS7&gt;=40, "Adequate",
  BS7&gt;=20, "Weak",
  TRUE, "Insufficient Evidence"
)</f>
        <v/>
      </c>
      <c r="DQ7" s="3">
        <f t="array" ref="DQ7">_xlfn.IFS(
  ISBLANK(BE7), "Insufficient Evidence",
  OR(AW7="Confirmed Violation", AX7="Confirmed Breach"), "Severe — Hard Trigger",
  BE7&gt;=65, "Strong",
  BE7&gt;=40, "Adequate",
  BE7&gt;=20, "Weak",
  TRUE, "Insufficient Evidence"
)</f>
        <v/>
      </c>
      <c r="DR7" s="3">
        <f t="array" ref="DR7">_xlfn.IFS(
  ISBLANK(CU7), "Insufficient Evidence",
  CU7&lt;=20, "Low Risk",
  CU7&lt;=50, "Moderate Risk",
  CU7&lt;=75, "High Risk",
  TRUE, "Very High Risk"
)</f>
        <v/>
      </c>
      <c r="DS7" s="3">
        <f t="array" ref="DS7">_xlfn.IFS(
  ISBLANK(CE7), "Insufficient Evidence",
  AND(ISNUMBER(BW7),ISNUMBER(BV7),BW7&gt;BV7), "Overclaiming Risk",
  CE7&gt;=65, "Strong",
  CE7&gt;=40, "Adequate",
  TRUE, "Weak"
)</f>
        <v/>
      </c>
      <c r="DT7" s="3">
        <f>IF(DB7="Yes — Automatic",0,ROUND((IF(ISNUMBER(AR7),AR7,0)*0.3+IF(ISNUMBER(BS7),BS7,0)*0.2+IF(ISNUMBER(BE7),BE7,0)*0.2+IF(ISNUMBER(CE7),CE7,0)*0.15+(100-IF(ISNUMBER(CU7),CU7,50))*0.15)*IF(DN7&gt;=75,1,IF(DN7&gt;=50,0.9,IF(DN7&gt;=25,0.75,0.6))),1))</f>
        <v/>
      </c>
      <c r="DU7" s="3">
        <f t="array" ref="DU7">_xlfn.IFS(
  DV7="Upgraded to Clear", "Clear",
  DV7="Downgraded to Watchlist", "Watchlist",
  DV7="Downgraded to Exclusion", "Exclusion Risk",
  DB7="Yes — Automatic", "Exclusion Risk",
  OR(AW7="Confirmed Violation", AX7="Confirmed Breach"), "Exclusion Risk",
  OR(V7=0, ISBLANK(V7), DN7&lt;20), "Insufficient Evidence",
  AND(DT7&gt;=65, DA7="No", DB7="No"), "Clear",
  OR(DT7&gt;=40, DA7="Yes"), "Watchlist",
  TRUE, "Exclusion Risk"
)</f>
        <v/>
      </c>
      <c r="DV7" s="3" t="n"/>
      <c r="DW7" s="3">
        <f t="array" ref="DW7">_xlfn.IFS(
  DU7="Exclusion Risk", "Exclude — Hard Trigger",
  DU7="Insufficient Evidence", "Watchlist — Further Evidence Needed",
  DU7="Watchlist", "Watchlist — Further Evidence Needed",
  AND(DU7="Clear", DT7&gt;=80), "Include — No Conditions",
  DU7="Clear", "Include — Monitor",
  TRUE, "Watchlist — Further Evidence Needed"
)</f>
        <v/>
      </c>
      <c r="DX7" s="3" t="n"/>
      <c r="DY7" s="3" t="n"/>
      <c r="DZ7" s="3" t="n"/>
      <c r="EA7" s="3" t="n"/>
      <c r="EB7" s="3">
        <f>IF(OR(V7=0, ISBLANK(V7)), "MISSING — No sources reviewed", "")</f>
        <v/>
      </c>
      <c r="EC7" s="3">
        <f>IF(AND(NOT(ISBLANK(DC7)), ISBLANK(DE7)), "PAGE REF MISSING", "")</f>
        <v/>
      </c>
      <c r="ED7" s="3">
        <f>COUNTIF(DH7:DH56,"Fully Verified")</f>
        <v/>
      </c>
      <c r="EE7" s="3">
        <f>IFERROR(COUNTIF(DH7:DH56,"Fully Verified")/COUNTA(B7:B56),0)</f>
        <v/>
      </c>
      <c r="EF7" s="3">
        <f>COUNTIFS(DU7:DU56,"Clear",DH7:DH56,"Fully Verified")</f>
        <v/>
      </c>
    </row>
    <row r="8" ht="18" customHeight="1" s="60">
      <c r="A8" s="5" t="inlineStr">
        <is>
          <t>SBM Offshore NV</t>
        </is>
      </c>
      <c r="B8" s="5" t="inlineStr">
        <is>
          <t>IHCB</t>
        </is>
      </c>
      <c r="C8" s="5" t="inlineStr">
        <is>
          <t>NL0000360618</t>
        </is>
      </c>
      <c r="D8" s="3" t="n"/>
      <c r="E8" s="3" t="n"/>
      <c r="F8" s="3">
        <f>IF(ISBLANK('Universe Tracker'!F4),"",'Universe Tracker'!F4)</f>
        <v/>
      </c>
      <c r="G8" s="3">
        <f>IF(ISBLANK('Universe Tracker'!G4),"",'Universe Tracker'!G4)</f>
        <v/>
      </c>
      <c r="H8" s="3" t="n"/>
      <c r="I8" s="3" t="n"/>
      <c r="J8" s="3">
        <f>IF(ISBLANK(B8),"",B8&amp;"_"&amp;C8)</f>
        <v/>
      </c>
      <c r="K8" s="3" t="n"/>
      <c r="L8" s="3" t="n"/>
      <c r="M8" s="3" t="n"/>
      <c r="N8" s="3" t="n"/>
      <c r="O8" s="3" t="inlineStr">
        <is>
          <t>Yes</t>
        </is>
      </c>
      <c r="P8" s="3" t="inlineStr">
        <is>
          <t>Yes</t>
        </is>
      </c>
      <c r="Q8" s="3" t="n"/>
      <c r="R8" s="3" t="n"/>
      <c r="S8" s="3" t="n"/>
      <c r="T8" s="3" t="n"/>
      <c r="U8" s="3" t="n"/>
      <c r="V8" s="3" t="n"/>
      <c r="W8" s="3" t="n"/>
      <c r="X8" s="3" t="n"/>
      <c r="Y8" s="3">
        <f>IF(AND(V8&gt;=2,K8="Yes",L8="Yes"),"Sufficient",IF(AND(V8&gt;=1,OR(K8="Yes",L8="Yes")),"Thin","Insufficient"))</f>
        <v/>
      </c>
      <c r="Z8" s="3" t="n"/>
      <c r="AA8" s="3" t="n"/>
      <c r="AB8" s="3" t="n"/>
      <c r="AC8" s="3" t="n"/>
      <c r="AD8" s="3" t="n"/>
      <c r="AE8" s="3" t="n"/>
      <c r="AF8" s="3" t="n"/>
      <c r="AG8" s="3" t="n"/>
      <c r="AH8" s="3" t="n"/>
      <c r="AI8" s="3" t="n"/>
      <c r="AJ8" s="3" t="inlineStr">
        <is>
          <t>Not in SBTi database (checked 2026-05-21)</t>
        </is>
      </c>
      <c r="AK8" s="3" t="inlineStr"/>
      <c r="AL8" s="3" t="n"/>
      <c r="AM8" s="3" t="n"/>
      <c r="AN8" s="3" t="n"/>
      <c r="AO8" s="3" t="n"/>
      <c r="AP8" s="3" t="n"/>
      <c r="AQ8" s="3" t="n"/>
      <c r="AR8" s="40">
        <f t="array" ref="AR8">MIN(100, MAX(0,
  IFERROR(_xlfn.XLOOKUP(AJ8,'Lookup Tables'!$A$2:$A$7,'Lookup Tables'!$B$2:$B$7,0),0)
  + IF(Z8="Yes", IF(IFERROR(_xlfn.XLOOKUP(AJ8,'Lookup Tables'!$A$2:$A$7,'Lookup Tables'!$B$2:$B$7,0),0)&lt;20, 5, 0), 0)
  + _xlfn.IFS(AB8="Yes", IF(ISNUMBER(AC8)*AND(AC8&lt;=2030),15,10), AB8="Long-term Only", 5, AB8="No", 0, TRUE, 0)
  + _xlfn.IFS(AF8="Full",10, AF8="Partial",5, AF8="Scope 2 Only",3, TRUE,0)
  + _xlfn.IFS(AG8="Yes", IF(ISNUMBER(AH8)*AND(AH8&gt;=5),10,6), AG8="Partial",4, TRUE,0)
  + _xlfn.IFS(AI8="Yes",5, AI8="Partial (material categories only)",3, TRUE,0)
  + _xlfn.IFS(AL8="Yes — Detailed",10, AL8="Yes — High Level",5, TRUE,0)
  + _xlfn.IFS(AM8="Yes — Quantified",15, AM8="Yes — Directional Only",7, TRUE,0)
  + _xlfn.IFS(AP8="Formal",5, AP8="Referenced",2, TRUE,0)
  + _xlfn.IFS(AQ8="No Issues Found",5, AQ8="Concern Identified",-5, AQ8="Severe Contradiction",-15, TRUE,0)
  + _xlfn.IFS(BC8="Reasonable Assurance",5, BC8="Limited Assurance",3, TRUE,0)
  - IF(AND(Z8="Yes", AI8="No"), 10, 0)
  - IF(AND(Z8="Yes", AM8="No"), 10, 0)
))</f>
        <v/>
      </c>
      <c r="AS8" s="3" t="n"/>
      <c r="AT8" s="3" t="n"/>
      <c r="AU8" s="3" t="n"/>
      <c r="AV8" s="3" t="n"/>
      <c r="AW8" s="3" t="n"/>
      <c r="AX8" s="3" t="n"/>
      <c r="AY8" s="3" t="n"/>
      <c r="AZ8" s="3" t="n"/>
      <c r="BA8" s="3" t="n"/>
      <c r="BB8" s="3" t="n"/>
      <c r="BC8" s="3" t="n"/>
      <c r="BD8" s="3" t="n"/>
      <c r="BE8" s="40">
        <f t="array" ref="BE8">MIN(100, MAX(0,
  IFERROR(_xlfn.XLOOKUP(AT8,'Lookup Tables'!$D$2:$D$6,'Lookup Tables'!$E$2:$E$6,0),0)
  + IFERROR(_xlfn.XLOOKUP(AV8,'Lookup Tables'!$G$2:$G$5,'Lookup Tables'!$H$2:$H$5,0),0)
  + IFERROR(_xlfn.XLOOKUP(AW8,'Lookup Tables'!$J$2:$J$5,'Lookup Tables'!$K$2:$K$5,0),0)
  + _xlfn.IFS(AX8="No Issues",10, AX8="Complaint Filed",3, AX8="Confirmed Breach",-15, TRUE,0)
  + IFERROR(_xlfn.XLOOKUP(AY8,'Lookup Tables'!$M$2:$M$6,'Lookup Tables'!$N$2:$N$6,0),0)
  + IFERROR(_xlfn.XLOOKUP(AZ8,'Lookup Tables'!$P$2:$P$6,'Lookup Tables'!$Q$2:$Q$6,0),0)
  + _xlfn.IFS(BA8="Formal Board Committee",5, BA8="Board Oversight Mentioned",2, TRUE,0)
  + _xlfn.IFS(BB8="Yes — Quantified Targets",5, BB8="Yes — Discretionary Only",2, TRUE,0)
  + _xlfn.IFS(BC8="Reasonable Assurance",5, BC8="Limited Assurance",3, BC8="Management Review Only",1, TRUE,0)
))</f>
        <v/>
      </c>
      <c r="BF8" s="3" t="n"/>
      <c r="BG8" s="3" t="n"/>
      <c r="BH8" s="3" t="n"/>
      <c r="BI8" s="3" t="n"/>
      <c r="BJ8" s="3" t="n"/>
      <c r="BK8" s="3" t="n"/>
      <c r="BL8" s="3" t="n"/>
      <c r="BM8" s="3" t="n"/>
      <c r="BN8" s="3" t="n"/>
      <c r="BO8" s="3" t="n"/>
      <c r="BP8" s="3" t="n"/>
      <c r="BQ8" s="3" t="n"/>
      <c r="BR8" s="3" t="n"/>
      <c r="BS8" s="45">
        <f t="array" ref="BS8">MIN(100, MAX(0,
  IFERROR(_xlfn.XLOOKUP(BG8,'Lookup Tables'!$A$11:$A$16,'Lookup Tables'!$B$11:$B$16,0),0)
  + IFERROR(_xlfn.XLOOKUP(BR8,'Lookup Tables'!$M$11:$M$14,'Lookup Tables'!$N$11:$N$14,0),0)
  + IFERROR(_xlfn.XLOOKUP(BQ8,'Lookup Tables'!$J$11:$J$15,'Lookup Tables'!$K$11:$K$15,0),0)
  + IFERROR(_xlfn.XLOOKUP(BH8,'Lookup Tables'!$D$11:$D$15,'Lookup Tables'!$E$11:$E$15,0),0)
  + IFERROR(_xlfn.XLOOKUP(BJ8,'Lookup Tables'!$G$11:$G$16,'Lookup Tables'!$H$11:$H$16,0),0)
  + IFERROR(_xlfn.XLOOKUP(BN8,'Lookup Tables'!$P$11:$P$15,'Lookup Tables'!$Q$11:$Q$15,0),0)
  + _xlfn.IFS(BM8="No Evidence",10, BM8="Unknown",3, BM8="Likely",0, BM8="Confirmed",-10, TRUE,3)
  + IFERROR(_xlfn.XLOOKUP(BP8,'Lookup Tables'!$J$21:$J$24,'Lookup Tables'!$K$21:$K$24,0),0)
))</f>
        <v/>
      </c>
      <c r="BT8" s="3" t="n"/>
      <c r="BU8" s="3" t="n"/>
      <c r="BV8" s="3" t="n"/>
      <c r="BW8" s="3" t="n"/>
      <c r="BX8" s="3" t="n"/>
      <c r="BY8" s="3" t="n"/>
      <c r="BZ8" s="3" t="n"/>
      <c r="CA8" s="3" t="n"/>
      <c r="CB8" s="3" t="n"/>
      <c r="CC8" s="3" t="n"/>
      <c r="CD8" s="3" t="n"/>
      <c r="CE8" s="44">
        <f t="array" ref="CE8">MIN(100, MAX(0,
  IF(ISNUMBER(BV8)*AND(BV8&gt;0), 10, 0)
  + _xlfn.IFS(BY8="Independently Verified",25, BY8="Yes",15, TRUE,0)
  + IFERROR(_xlfn.XLOOKUP(BZ8,'Lookup Tables'!$A$21:$A$24,'Lookup Tables'!$B$21:$B$24,0),0)
  + IFERROR(_xlfn.XLOOKUP(CA8,'Lookup Tables'!$D$21:$D$24,'Lookup Tables'!$E$21:$E$24,0),0)
  + _xlfn.IFS(ISNUMBER(CB8)*AND(CB8&gt;=11),15, ISNUMBER(CB8)*AND(CB8&gt;=6),10, ISNUMBER(CB8)*AND(CB8&gt;=1),5, TRUE,0)
  + IFERROR(_xlfn.XLOOKUP(CC8,'Lookup Tables'!$G$21:$G$25,'Lookup Tables'!$H$21:$H$25,0),0)
  - IF(ISNUMBER(BW8)*AND(ISNUMBER(BV8))*AND(BW8&gt;BV8), 20, 0)
  - IF(AND(BY8="Yes", ISNUMBER(BW8), BW8&gt;60), 10, 0)
))</f>
        <v/>
      </c>
      <c r="CF8" s="3" t="n"/>
      <c r="CG8" s="3" t="inlineStr">
        <is>
          <t>Including the use of certified climate projects to compensate any residual scope 1 and 2 emissions</t>
        </is>
      </c>
      <c r="CH8" s="3" t="inlineStr">
        <is>
          <t>SBM-Offshore-Annual-Report-2025.pdf</t>
        </is>
      </c>
      <c r="CI8" s="3" t="n">
        <v>12</v>
      </c>
      <c r="CJ8" s="3" t="inlineStr">
        <is>
          <t>PARTIAL</t>
        </is>
      </c>
      <c r="CK8" s="3" t="inlineStr">
        <is>
          <t>PASS</t>
        </is>
      </c>
      <c r="CL8" s="3" t="inlineStr">
        <is>
          <t>PASS</t>
        </is>
      </c>
      <c r="CM8" s="3" t="inlineStr">
        <is>
          <t>PARTIAL</t>
        </is>
      </c>
      <c r="CN8" s="3" t="inlineStr">
        <is>
          <t>PASS</t>
        </is>
      </c>
      <c r="CO8" s="3" t="inlineStr">
        <is>
          <t>PASS</t>
        </is>
      </c>
      <c r="CP8" s="3" t="inlineStr">
        <is>
          <t>PARTIAL</t>
        </is>
      </c>
      <c r="CQ8" s="3" t="inlineStr">
        <is>
          <t>PARTIAL</t>
        </is>
      </c>
      <c r="CR8" s="3">
        <f>COUNTIF(CJ8:CQ8,"FAIL")</f>
        <v/>
      </c>
      <c r="CS8" s="3">
        <f>COUNTIF(CJ8:CQ8,"PARTIAL")</f>
        <v/>
      </c>
      <c r="CT8" s="3">
        <f>COUNTIF(CJ8:CQ8,"MISSING")</f>
        <v/>
      </c>
      <c r="CU8" s="3">
        <f>MIN(100,
  CR8*15
  + CS8*6
  + CT8*3
  + IFERROR(_xlfn.XLOOKUP(CW8,'Lookup Tables'!$M$21:$M$25,'Lookup Tables'!$N$21:$N$25,0),0)
)</f>
        <v/>
      </c>
      <c r="CV8" s="3">
        <f>IFERROR(
CHOOSE(
MATCH("FAIL",CJ8:CQ8,0),
"1-Specificity","2-Metric","3-Baseline","4-Target",
"5-Time Horizon","6-Scope","7-Verification","8-Consistency"
),
IFERROR(
CHOOSE(
MATCH("PARTIAL",CJ8:CQ8,0),
"1-Specificity","2-Metric","3-Baseline","4-Target",
"5-Time Horizon","6-Scope","7-Verification","8-Consistency"
),
"No failures"
)
)</f>
        <v/>
      </c>
      <c r="CW8" s="3" t="n"/>
      <c r="CX8" s="3" t="n"/>
      <c r="CY8" s="3" t="n"/>
      <c r="CZ8" s="3" t="n"/>
      <c r="DA8" s="3">
        <f>IF(OR(CU8&gt;=50,CW8="Material",CW8="Severe",AS8="Material",AS8="Severe",BF8="Material",BF8="Severe — Exclusion Trigger",AND(ISNUMBER(BS8),BS8&lt;30)),"Yes","No")</f>
        <v/>
      </c>
      <c r="DB8" s="3">
        <f>IF(OR(CR8&gt;=6,AW8="Confirmed Violation",AX8="Confirmed Breach"),"Yes — Automatic",IF(CW8="Severe","Yes — Requires Captain Confirmation","No"))</f>
        <v/>
      </c>
      <c r="DC8" s="3" t="inlineStr">
        <is>
          <t>Including the use of certified climate projects to compensate any residual scope 1 and 2 emissions</t>
        </is>
      </c>
      <c r="DD8" s="3" t="inlineStr">
        <is>
          <t>SBM-Offshore-Annual-Report-2025.pdf</t>
        </is>
      </c>
      <c r="DE8" s="3" t="n">
        <v>12</v>
      </c>
      <c r="DF8" s="3" t="n">
        <v>4</v>
      </c>
      <c r="DG8" s="3" t="n">
        <v>4</v>
      </c>
      <c r="DH8" s="3" t="inlineStr">
        <is>
          <t>PENDING</t>
        </is>
      </c>
      <c r="DI8" s="3" t="n"/>
      <c r="DJ8" s="3" t="n"/>
      <c r="DK8" s="3" t="n"/>
      <c r="DL8" s="3">
        <f>IF(OR(IFERROR(VALUE(LEFT(DF8,1)),99)&lt;=2,IFERROR(VALUE(LEFT(DG8,1)),99)&lt;=2),"Flagged","Clear")</f>
        <v/>
      </c>
      <c r="DM8" s="3">
        <f>IF(OR(DA8="Yes",DB8&lt;&gt;"No",DH8="Unverified",DL8="Flagged"),"Yes","No")</f>
        <v/>
      </c>
      <c r="DN8" s="3">
        <f t="array" ref="DN8">MIN(100,
  IF(ISNUMBER(V8), _xlfn.IFS(V8&gt;=3,25, V8=2,15, V8=1,5, TRUE,0), 0)
  + IFERROR(_xlfn.IFS(VALUE(LEFT(DF8,1))=5,25, VALUE(LEFT(DF8,1))=4,20, VALUE(LEFT(DF8,1))=3,15, VALUE(LEFT(DF8,1))=2,8, TRUE,0), 15)
  + IFERROR(_xlfn.IFS(VALUE(LEFT(DG8,1))=5,25, VALUE(LEFT(DG8,1))=4,20, VALUE(LEFT(DG8,1))=3,15, VALUE(LEFT(DG8,1))=2,8, TRUE,0), 15)
  + _xlfn.IFS(DH8="Fully Verified",25, DH8="Partially Verified",12, TRUE,0)
)</f>
        <v/>
      </c>
      <c r="DO8" s="3">
        <f t="array" ref="DO8">_xlfn.IFS(
  ISBLANK(AR8), "Insufficient Evidence",
  AND(AR8&gt;=65, AJ8="Approved"), "Strong",
  AR8&gt;=65, "Adequate",
  AR8&gt;=40, "Adequate",
  AR8&gt;=20, "Weak",
  TRUE, "Insufficient Evidence"
)</f>
        <v/>
      </c>
      <c r="DP8" s="3">
        <f t="array" ref="DP8">_xlfn.IFS(
  ISBLANK(BS8), "Insufficient Evidence",
  BS8&gt;=65, "Strong",
  BS8&gt;=40, "Adequate",
  BS8&gt;=20, "Weak",
  TRUE, "Insufficient Evidence"
)</f>
        <v/>
      </c>
      <c r="DQ8" s="3">
        <f t="array" ref="DQ8">_xlfn.IFS(
  ISBLANK(BE8), "Insufficient Evidence",
  OR(AW8="Confirmed Violation", AX8="Confirmed Breach"), "Severe — Hard Trigger",
  BE8&gt;=65, "Strong",
  BE8&gt;=40, "Adequate",
  BE8&gt;=20, "Weak",
  TRUE, "Insufficient Evidence"
)</f>
        <v/>
      </c>
      <c r="DR8" s="3">
        <f t="array" ref="DR8">_xlfn.IFS(
  ISBLANK(CU8), "Insufficient Evidence",
  CU8&lt;=20, "Low Risk",
  CU8&lt;=50, "Moderate Risk",
  CU8&lt;=75, "High Risk",
  TRUE, "Very High Risk"
)</f>
        <v/>
      </c>
      <c r="DS8" s="3">
        <f t="array" ref="DS8">_xlfn.IFS(
  ISBLANK(CE8), "Insufficient Evidence",
  AND(ISNUMBER(BW8),ISNUMBER(BV8),BW8&gt;BV8), "Overclaiming Risk",
  CE8&gt;=65, "Strong",
  CE8&gt;=40, "Adequate",
  TRUE, "Weak"
)</f>
        <v/>
      </c>
      <c r="DT8" s="3">
        <f>IF(DB8="Yes — Automatic",0,ROUND((IF(ISNUMBER(AR8),AR8,0)*0.3+IF(ISNUMBER(BS8),BS8,0)*0.2+IF(ISNUMBER(BE8),BE8,0)*0.2+IF(ISNUMBER(CE8),CE8,0)*0.15+(100-IF(ISNUMBER(CU8),CU8,50))*0.15)*IF(DN8&gt;=75,1,IF(DN8&gt;=50,0.9,IF(DN8&gt;=25,0.75,0.6))),1))</f>
        <v/>
      </c>
      <c r="DU8" s="3">
        <f t="array" ref="DU8">_xlfn.IFS(
  DV8="Upgraded to Clear", "Clear",
  DV8="Downgraded to Watchlist", "Watchlist",
  DV8="Downgraded to Exclusion", "Exclusion Risk",
  DB8="Yes — Automatic", "Exclusion Risk",
  OR(AW8="Confirmed Violation", AX8="Confirmed Breach"), "Exclusion Risk",
  OR(V8=0, ISBLANK(V8), DN8&lt;20), "Insufficient Evidence",
  AND(DT8&gt;=65, DA8="No", DB8="No"), "Clear",
  OR(DT8&gt;=40, DA8="Yes"), "Watchlist",
  TRUE, "Exclusion Risk"
)</f>
        <v/>
      </c>
      <c r="DV8" s="3" t="n"/>
      <c r="DW8" s="3">
        <f t="array" ref="DW8">_xlfn.IFS(
  DU8="Exclusion Risk", "Exclude — Hard Trigger",
  DU8="Insufficient Evidence", "Watchlist — Further Evidence Needed",
  DU8="Watchlist", "Watchlist — Further Evidence Needed",
  AND(DU8="Clear", DT8&gt;=80), "Include — No Conditions",
  DU8="Clear", "Include — Monitor",
  TRUE, "Watchlist — Further Evidence Needed"
)</f>
        <v/>
      </c>
      <c r="DX8" s="3" t="inlineStr">
        <is>
          <t>Main claim: "Including the use of certified climate projects to compensate any residual scope 1 and 2 emissions" (SBM-Offshore-Annual-Report-2025.pdf, p12). SBTi: no validated target in the SBTi database. 8-Test: 4 PARTIAL, 0 FAIL, 0 MISSING -&gt; PASS. Offshore-energy contractor. Disclosure is structured (2016 base year, intermediary 2030 targets, ISAE limited assurance) but four MED flags reflect an offset-reliant near-term 'climate neutral' claim, SBTi-guideline-based (not...</t>
        </is>
      </c>
      <c r="DY8" s="3" t="n"/>
      <c r="DZ8" s="3" t="n"/>
      <c r="EA8" s="3" t="n"/>
      <c r="EB8" s="3">
        <f>IF(OR(V8=0, ISBLANK(V8)), "MISSING — No sources reviewed", "")</f>
        <v/>
      </c>
      <c r="EC8" s="3">
        <f>IF(AND(NOT(ISBLANK(DC8)), ISBLANK(DE8)), "PAGE REF MISSING", "")</f>
        <v/>
      </c>
    </row>
    <row r="9" ht="18" customHeight="1" s="60">
      <c r="A9" s="3" t="inlineStr">
        <is>
          <t>Drax Group PLC</t>
        </is>
      </c>
      <c r="B9" s="3" t="inlineStr">
        <is>
          <t>D9F2</t>
        </is>
      </c>
      <c r="C9" s="3">
        <f>IF(ISBLANK('Universe Tracker'!D5),"",'Universe Tracker'!D5)</f>
        <v/>
      </c>
      <c r="D9" s="3" t="n"/>
      <c r="E9" s="3" t="n"/>
      <c r="F9" s="3">
        <f>IF(ISBLANK('Universe Tracker'!F5),"",'Universe Tracker'!F5)</f>
        <v/>
      </c>
      <c r="G9" s="3">
        <f>IF(ISBLANK('Universe Tracker'!G5),"",'Universe Tracker'!G5)</f>
        <v/>
      </c>
      <c r="H9" s="3" t="n"/>
      <c r="I9" s="3" t="n"/>
      <c r="J9" s="3">
        <f>IF(ISBLANK(B9),"",B9&amp;"_"&amp;C9)</f>
        <v/>
      </c>
      <c r="K9" s="3" t="n"/>
      <c r="L9" s="3" t="n"/>
      <c r="M9" s="3" t="n"/>
      <c r="N9" s="3" t="n"/>
      <c r="O9" s="3" t="n"/>
      <c r="P9" s="3" t="n"/>
      <c r="Q9" s="3" t="n"/>
      <c r="R9" s="3" t="n"/>
      <c r="S9" s="3" t="n"/>
      <c r="T9" s="3" t="n"/>
      <c r="U9" s="3" t="n"/>
      <c r="V9" s="3" t="n"/>
      <c r="W9" s="3" t="n"/>
      <c r="X9" s="3" t="n"/>
      <c r="Y9" s="3">
        <f>IF(AND(V9&gt;=2,K9="Yes",L9="Yes"),"Sufficient",IF(AND(V9&gt;=1,OR(K9="Yes",L9="Yes")),"Thin","Insufficient"))</f>
        <v/>
      </c>
      <c r="Z9" s="3" t="n"/>
      <c r="AA9" s="3" t="n"/>
      <c r="AB9" s="3" t="n"/>
      <c r="AC9" s="3" t="n"/>
      <c r="AD9" s="3" t="n"/>
      <c r="AE9" s="3" t="n"/>
      <c r="AF9" s="3" t="n"/>
      <c r="AG9" s="3" t="n"/>
      <c r="AH9" s="3" t="n"/>
      <c r="AI9" s="3" t="n"/>
      <c r="AJ9" s="3" t="n"/>
      <c r="AK9" s="3" t="n"/>
      <c r="AL9" s="3" t="n"/>
      <c r="AM9" s="3" t="n"/>
      <c r="AN9" s="3" t="n"/>
      <c r="AO9" s="3" t="n"/>
      <c r="AP9" s="3" t="n"/>
      <c r="AQ9" s="3" t="n"/>
      <c r="AR9" s="40">
        <f t="array" ref="AR9">MIN(100, MAX(0,
  IFERROR(_xlfn.XLOOKUP(AJ9,'Lookup Tables'!$A$2:$A$7,'Lookup Tables'!$B$2:$B$7,0),0)
  + IF(Z9="Yes", IF(IFERROR(_xlfn.XLOOKUP(AJ9,'Lookup Tables'!$A$2:$A$7,'Lookup Tables'!$B$2:$B$7,0),0)&lt;20, 5, 0), 0)
  + _xlfn.IFS(AB9="Yes", IF(ISNUMBER(AC9)*AND(AC9&lt;=2030),15,10), AB9="Long-term Only", 5, AB9="No", 0, TRUE, 0)
  + _xlfn.IFS(AF9="Full",10, AF9="Partial",5, AF9="Scope 2 Only",3, TRUE,0)
  + _xlfn.IFS(AG9="Yes", IF(ISNUMBER(AH9)*AND(AH9&gt;=5),10,6), AG9="Partial",4, TRUE,0)
  + _xlfn.IFS(AI9="Yes",5, AI9="Partial (material categories only)",3, TRUE,0)
  + _xlfn.IFS(AL9="Yes — Detailed",10, AL9="Yes — High Level",5, TRUE,0)
  + _xlfn.IFS(AM9="Yes — Quantified",15, AM9="Yes — Directional Only",7, TRUE,0)
  + _xlfn.IFS(AP9="Formal",5, AP9="Referenced",2, TRUE,0)
  + _xlfn.IFS(AQ9="No Issues Found",5, AQ9="Concern Identified",-5, AQ9="Severe Contradiction",-15, TRUE,0)
  + _xlfn.IFS(BC9="Reasonable Assurance",5, BC9="Limited Assurance",3, TRUE,0)
  - IF(AND(Z9="Yes", AI9="No"), 10, 0)
  - IF(AND(Z9="Yes", AM9="No"), 10, 0)
))</f>
        <v/>
      </c>
      <c r="AS9" s="3" t="n"/>
      <c r="AT9" s="3" t="n"/>
      <c r="AU9" s="3" t="n"/>
      <c r="AV9" s="3" t="n"/>
      <c r="AW9" s="3" t="n"/>
      <c r="AX9" s="3" t="n"/>
      <c r="AY9" s="3" t="n"/>
      <c r="AZ9" s="3" t="n"/>
      <c r="BA9" s="3" t="n"/>
      <c r="BB9" s="3" t="n"/>
      <c r="BC9" s="3" t="n"/>
      <c r="BD9" s="3" t="n"/>
      <c r="BE9" s="40">
        <f t="array" ref="BE9">MIN(100, MAX(0,
  IFERROR(_xlfn.XLOOKUP(AT9,'Lookup Tables'!$D$2:$D$6,'Lookup Tables'!$E$2:$E$6,0),0)
  + IFERROR(_xlfn.XLOOKUP(AV9,'Lookup Tables'!$G$2:$G$5,'Lookup Tables'!$H$2:$H$5,0),0)
  + IFERROR(_xlfn.XLOOKUP(AW9,'Lookup Tables'!$J$2:$J$5,'Lookup Tables'!$K$2:$K$5,0),0)
  + _xlfn.IFS(AX9="No Issues",10, AX9="Complaint Filed",3, AX9="Confirmed Breach",-15, TRUE,0)
  + IFERROR(_xlfn.XLOOKUP(AY9,'Lookup Tables'!$M$2:$M$6,'Lookup Tables'!$N$2:$N$6,0),0)
  + IFERROR(_xlfn.XLOOKUP(AZ9,'Lookup Tables'!$P$2:$P$6,'Lookup Tables'!$Q$2:$Q$6,0),0)
  + _xlfn.IFS(BA9="Formal Board Committee",5, BA9="Board Oversight Mentioned",2, TRUE,0)
  + _xlfn.IFS(BB9="Yes — Quantified Targets",5, BB9="Yes — Discretionary Only",2, TRUE,0)
  + _xlfn.IFS(BC9="Reasonable Assurance",5, BC9="Limited Assurance",3, BC9="Management Review Only",1, TRUE,0)
))</f>
        <v/>
      </c>
      <c r="BF9" s="3" t="n"/>
      <c r="BG9" s="3" t="n"/>
      <c r="BH9" s="3" t="n"/>
      <c r="BI9" s="3" t="n"/>
      <c r="BJ9" s="3" t="n"/>
      <c r="BK9" s="3" t="n"/>
      <c r="BL9" s="3" t="n"/>
      <c r="BM9" s="3" t="n"/>
      <c r="BN9" s="3" t="n"/>
      <c r="BO9" s="3" t="n"/>
      <c r="BP9" s="3" t="n"/>
      <c r="BQ9" s="3" t="n"/>
      <c r="BR9" s="3" t="n"/>
      <c r="BS9" s="45">
        <f t="array" ref="BS9">MIN(100, MAX(0,
  IFERROR(_xlfn.XLOOKUP(BG9,'Lookup Tables'!$A$11:$A$16,'Lookup Tables'!$B$11:$B$16,0),0)
  + IFERROR(_xlfn.XLOOKUP(BR9,'Lookup Tables'!$M$11:$M$14,'Lookup Tables'!$N$11:$N$14,0),0)
  + IFERROR(_xlfn.XLOOKUP(BQ9,'Lookup Tables'!$J$11:$J$15,'Lookup Tables'!$K$11:$K$15,0),0)
  + IFERROR(_xlfn.XLOOKUP(BH9,'Lookup Tables'!$D$11:$D$15,'Lookup Tables'!$E$11:$E$15,0),0)
  + IFERROR(_xlfn.XLOOKUP(BJ9,'Lookup Tables'!$G$11:$G$16,'Lookup Tables'!$H$11:$H$16,0),0)
  + IFERROR(_xlfn.XLOOKUP(BN9,'Lookup Tables'!$P$11:$P$15,'Lookup Tables'!$Q$11:$Q$15,0),0)
  + _xlfn.IFS(BM9="No Evidence",10, BM9="Unknown",3, BM9="Likely",0, BM9="Confirmed",-10, TRUE,3)
  + IFERROR(_xlfn.XLOOKUP(BP9,'Lookup Tables'!$J$21:$J$24,'Lookup Tables'!$K$21:$K$24,0),0)
))</f>
        <v/>
      </c>
      <c r="BT9" s="3" t="n"/>
      <c r="BU9" s="3" t="n"/>
      <c r="BV9" s="3" t="n"/>
      <c r="BW9" s="3" t="n"/>
      <c r="BX9" s="3" t="n"/>
      <c r="BY9" s="3" t="n"/>
      <c r="BZ9" s="3" t="n"/>
      <c r="CA9" s="3" t="n"/>
      <c r="CB9" s="3" t="n"/>
      <c r="CC9" s="3" t="n"/>
      <c r="CD9" s="3" t="n"/>
      <c r="CE9" s="44">
        <f t="array" ref="CE9">MIN(100, MAX(0,
  IF(ISNUMBER(BV9)*AND(BV9&gt;0), 10, 0)
  + _xlfn.IFS(BY9="Independently Verified",25, BY9="Yes",15, TRUE,0)
  + IFERROR(_xlfn.XLOOKUP(BZ9,'Lookup Tables'!$A$21:$A$24,'Lookup Tables'!$B$21:$B$24,0),0)
  + IFERROR(_xlfn.XLOOKUP(CA9,'Lookup Tables'!$D$21:$D$24,'Lookup Tables'!$E$21:$E$24,0),0)
  + _xlfn.IFS(ISNUMBER(CB9)*AND(CB9&gt;=11),15, ISNUMBER(CB9)*AND(CB9&gt;=6),10, ISNUMBER(CB9)*AND(CB9&gt;=1),5, TRUE,0)
  + IFERROR(_xlfn.XLOOKUP(CC9,'Lookup Tables'!$G$21:$G$25,'Lookup Tables'!$H$21:$H$25,0),0)
  - IF(ISNUMBER(BW9)*AND(ISNUMBER(BV9))*AND(BW9&gt;BV9), 20, 0)
  - IF(AND(BY9="Yes", ISNUMBER(BW9), BW9&gt;60), 10, 0)
))</f>
        <v/>
      </c>
      <c r="CF9" s="3" t="n"/>
      <c r="CG9" s="3" t="n"/>
      <c r="CH9" s="3" t="n"/>
      <c r="CI9" s="3" t="n"/>
      <c r="CJ9" s="3" t="n"/>
      <c r="CK9" s="3" t="n"/>
      <c r="CL9" s="3" t="n"/>
      <c r="CM9" s="3" t="n"/>
      <c r="CN9" s="3" t="n"/>
      <c r="CO9" s="3" t="n"/>
      <c r="CP9" s="3" t="n"/>
      <c r="CQ9" s="3" t="n"/>
      <c r="CR9" s="3">
        <f>COUNTIF(CJ9:CQ9,"FAIL")</f>
        <v/>
      </c>
      <c r="CS9" s="3">
        <f>COUNTIF(CJ9:CQ9,"PARTIAL")</f>
        <v/>
      </c>
      <c r="CT9" s="3">
        <f>COUNTIF(CJ9:CQ9,"MISSING")</f>
        <v/>
      </c>
      <c r="CU9" s="3">
        <f>MIN(100,
  CR9*15
  + CS9*6
  + CT9*3
  + IFERROR(_xlfn.XLOOKUP(CW9,'Lookup Tables'!$M$21:$M$25,'Lookup Tables'!$N$21:$N$25,0),0)
)</f>
        <v/>
      </c>
      <c r="CV9" s="3">
        <f>IFERROR(
CHOOSE(
MATCH("FAIL",CJ9:CQ9,0),
"1-Specificity","2-Metric","3-Baseline","4-Target",
"5-Time Horizon","6-Scope","7-Verification","8-Consistency"
),
IFERROR(
CHOOSE(
MATCH("PARTIAL",CJ9:CQ9,0),
"1-Specificity","2-Metric","3-Baseline","4-Target",
"5-Time Horizon","6-Scope","7-Verification","8-Consistency"
),
"No failures"
)
)</f>
        <v/>
      </c>
      <c r="CW9" s="3" t="n"/>
      <c r="CX9" s="3" t="n"/>
      <c r="CY9" s="3" t="n"/>
      <c r="CZ9" s="3" t="n"/>
      <c r="DA9" s="3">
        <f>IF(OR(CU9&gt;=50,CW9="Material",CW9="Severe",AS9="Material",AS9="Severe",BF9="Material",BF9="Severe — Exclusion Trigger",AND(ISNUMBER(BS9),BS9&lt;30)),"Yes","No")</f>
        <v/>
      </c>
      <c r="DB9" s="3">
        <f>IF(OR(CR9&gt;=6,AW9="Confirmed Violation",AX9="Confirmed Breach"),"Yes — Automatic",IF(CW9="Severe","Yes — Requires Captain Confirmation","No"))</f>
        <v/>
      </c>
      <c r="DC9" s="3" t="n"/>
      <c r="DD9" s="3" t="n"/>
      <c r="DE9" s="3" t="n"/>
      <c r="DF9" s="3" t="n"/>
      <c r="DG9" s="3" t="n"/>
      <c r="DH9" s="3" t="n"/>
      <c r="DI9" s="3" t="n"/>
      <c r="DJ9" s="3" t="n"/>
      <c r="DK9" s="3" t="n"/>
      <c r="DL9" s="3">
        <f>IF(OR(IFERROR(VALUE(LEFT(DF9,1)),99)&lt;=2,IFERROR(VALUE(LEFT(DG9,1)),99)&lt;=2),"Flagged","Clear")</f>
        <v/>
      </c>
      <c r="DM9" s="3">
        <f>IF(OR(DA9="Yes",DB9&lt;&gt;"No",DH9="Unverified",DL9="Flagged"),"Yes","No")</f>
        <v/>
      </c>
      <c r="DN9" s="3">
        <f t="array" ref="DN9">MIN(100,
  IF(ISNUMBER(V9), _xlfn.IFS(V9&gt;=3,25, V9=2,15, V9=1,5, TRUE,0), 0)
  + IFERROR(_xlfn.IFS(VALUE(LEFT(DF9,1))=5,25, VALUE(LEFT(DF9,1))=4,20, VALUE(LEFT(DF9,1))=3,15, VALUE(LEFT(DF9,1))=2,8, TRUE,0), 15)
  + IFERROR(_xlfn.IFS(VALUE(LEFT(DG9,1))=5,25, VALUE(LEFT(DG9,1))=4,20, VALUE(LEFT(DG9,1))=3,15, VALUE(LEFT(DG9,1))=2,8, TRUE,0), 15)
  + _xlfn.IFS(DH9="Fully Verified",25, DH9="Partially Verified",12, TRUE,0)
)</f>
        <v/>
      </c>
      <c r="DO9" s="3">
        <f t="array" ref="DO9">_xlfn.IFS(
  ISBLANK(AR9), "Insufficient Evidence",
  AND(AR9&gt;=65, AJ9="Approved"), "Strong",
  AR9&gt;=65, "Adequate",
  AR9&gt;=40, "Adequate",
  AR9&gt;=20, "Weak",
  TRUE, "Insufficient Evidence"
)</f>
        <v/>
      </c>
      <c r="DP9" s="3">
        <f t="array" ref="DP9">_xlfn.IFS(
  ISBLANK(BS9), "Insufficient Evidence",
  BS9&gt;=65, "Strong",
  BS9&gt;=40, "Adequate",
  BS9&gt;=20, "Weak",
  TRUE, "Insufficient Evidence"
)</f>
        <v/>
      </c>
      <c r="DQ9" s="3">
        <f t="array" ref="DQ9">_xlfn.IFS(
  ISBLANK(BE9), "Insufficient Evidence",
  OR(AW9="Confirmed Violation", AX9="Confirmed Breach"), "Severe — Hard Trigger",
  BE9&gt;=65, "Strong",
  BE9&gt;=40, "Adequate",
  BE9&gt;=20, "Weak",
  TRUE, "Insufficient Evidence"
)</f>
        <v/>
      </c>
      <c r="DR9" s="3">
        <f t="array" ref="DR9">_xlfn.IFS(
  ISBLANK(CU9), "Insufficient Evidence",
  CU9&lt;=20, "Low Risk",
  CU9&lt;=50, "Moderate Risk",
  CU9&lt;=75, "High Risk",
  TRUE, "Very High Risk"
)</f>
        <v/>
      </c>
      <c r="DS9" s="3">
        <f t="array" ref="DS9">_xlfn.IFS(
  ISBLANK(CE9), "Insufficient Evidence",
  AND(ISNUMBER(BW9),ISNUMBER(BV9),BW9&gt;BV9), "Overclaiming Risk",
  CE9&gt;=65, "Strong",
  CE9&gt;=40, "Adequate",
  TRUE, "Weak"
)</f>
        <v/>
      </c>
      <c r="DT9" s="3">
        <f>IF(DB9="Yes — Automatic",0,ROUND((IF(ISNUMBER(AR9),AR9,0)*0.3+IF(ISNUMBER(BS9),BS9,0)*0.2+IF(ISNUMBER(BE9),BE9,0)*0.2+IF(ISNUMBER(CE9),CE9,0)*0.15+(100-IF(ISNUMBER(CU9),CU9,50))*0.15)*IF(DN9&gt;=75,1,IF(DN9&gt;=50,0.9,IF(DN9&gt;=25,0.75,0.6))),1))</f>
        <v/>
      </c>
      <c r="DU9" s="3">
        <f t="array" ref="DU9">_xlfn.IFS(
  DV9="Upgraded to Clear", "Clear",
  DV9="Downgraded to Watchlist", "Watchlist",
  DV9="Downgraded to Exclusion", "Exclusion Risk",
  DB9="Yes — Automatic", "Exclusion Risk",
  OR(AW9="Confirmed Violation", AX9="Confirmed Breach"), "Exclusion Risk",
  OR(V9=0, ISBLANK(V9), DN9&lt;20), "Insufficient Evidence",
  AND(DT9&gt;=65, DA9="No", DB9="No"), "Clear",
  OR(DT9&gt;=40, DA9="Yes"), "Watchlist",
  TRUE, "Exclusion Risk"
)</f>
        <v/>
      </c>
      <c r="DV9" s="3" t="n"/>
      <c r="DW9" s="3">
        <f t="array" ref="DW9">_xlfn.IFS(
  DU9="Exclusion Risk", "Exclude — Hard Trigger",
  DU9="Insufficient Evidence", "Watchlist — Further Evidence Needed",
  DU9="Watchlist", "Watchlist — Further Evidence Needed",
  AND(DU9="Clear", DT9&gt;=80), "Include — No Conditions",
  DU9="Clear", "Include — Monitor",
  TRUE, "Watchlist — Further Evidence Needed"
)</f>
        <v/>
      </c>
      <c r="DX9" s="3" t="n"/>
      <c r="DY9" s="3" t="n"/>
      <c r="DZ9" s="3" t="n"/>
      <c r="EA9" s="3" t="n"/>
      <c r="EB9" s="3">
        <f>IF(OR(V9=0, ISBLANK(V9)), "MISSING — No sources reviewed", "")</f>
        <v/>
      </c>
      <c r="EC9" s="3">
        <f>IF(AND(NOT(ISBLANK(DC9)), ISBLANK(DE9)), "PAGE REF MISSING", "")</f>
        <v/>
      </c>
    </row>
    <row r="10" ht="18" customHeight="1" s="60">
      <c r="A10" s="5" t="inlineStr">
        <is>
          <t>SSAB AB</t>
        </is>
      </c>
      <c r="B10" s="5" t="inlineStr">
        <is>
          <t>SKWA</t>
        </is>
      </c>
      <c r="C10" s="5">
        <f>IF(ISBLANK('Universe Tracker'!D6),"",'Universe Tracker'!D6)</f>
        <v/>
      </c>
      <c r="D10" s="5" t="n"/>
      <c r="E10" s="5" t="n"/>
      <c r="F10" s="5">
        <f>IF(ISBLANK('Universe Tracker'!F6),"",'Universe Tracker'!F6)</f>
        <v/>
      </c>
      <c r="G10" s="5">
        <f>IF(ISBLANK('Universe Tracker'!G6),"",'Universe Tracker'!G6)</f>
        <v/>
      </c>
      <c r="H10" s="5" t="n"/>
      <c r="I10" s="5" t="n"/>
      <c r="J10" s="5">
        <f>IF(ISBLANK(B10),"",B10&amp;"_"&amp;C10)</f>
        <v/>
      </c>
      <c r="K10" s="5" t="n"/>
      <c r="L10" s="5" t="n"/>
      <c r="M10" s="5" t="n"/>
      <c r="N10" s="5" t="n"/>
      <c r="O10" s="5" t="n"/>
      <c r="P10" s="5" t="n"/>
      <c r="Q10" s="5" t="n"/>
      <c r="R10" s="5" t="n"/>
      <c r="S10" s="5" t="n"/>
      <c r="T10" s="5" t="n"/>
      <c r="U10" s="5" t="n"/>
      <c r="V10" s="5" t="n"/>
      <c r="W10" s="5" t="n"/>
      <c r="X10" s="5" t="n"/>
      <c r="Y10" s="5">
        <f>IF(AND(V10&gt;=2,K10="Yes",L10="Yes"),"Sufficient",IF(AND(V10&gt;=1,OR(K10="Yes",L10="Yes")),"Thin","Insufficient"))</f>
        <v/>
      </c>
      <c r="Z10" s="5" t="n"/>
      <c r="AA10" s="5" t="n"/>
      <c r="AB10" s="5" t="n"/>
      <c r="AC10" s="5" t="n"/>
      <c r="AD10" s="5" t="n"/>
      <c r="AE10" s="5" t="n"/>
      <c r="AF10" s="5" t="n"/>
      <c r="AG10" s="5" t="n"/>
      <c r="AH10" s="5" t="n"/>
      <c r="AI10" s="5" t="n"/>
      <c r="AJ10" s="5" t="n"/>
      <c r="AK10" s="5" t="n"/>
      <c r="AL10" s="5" t="n"/>
      <c r="AM10" s="5" t="n"/>
      <c r="AN10" s="5" t="n"/>
      <c r="AO10" s="5" t="n"/>
      <c r="AP10" s="5" t="n"/>
      <c r="AQ10" s="5" t="n"/>
      <c r="AR10" s="40">
        <f t="array" ref="AR10">MIN(100, MAX(0,
  IFERROR(_xlfn.XLOOKUP(AJ10,'Lookup Tables'!$A$2:$A$7,'Lookup Tables'!$B$2:$B$7,0),0)
  + IF(Z10="Yes", IF(IFERROR(_xlfn.XLOOKUP(AJ10,'Lookup Tables'!$A$2:$A$7,'Lookup Tables'!$B$2:$B$7,0),0)&lt;20, 5, 0), 0)
  + _xlfn.IFS(AB10="Yes", IF(ISNUMBER(AC10)*AND(AC10&lt;=2030),15,10), AB10="Long-term Only", 5, AB10="No", 0, TRUE, 0)
  + _xlfn.IFS(AF10="Full",10, AF10="Partial",5, AF10="Scope 2 Only",3, TRUE,0)
  + _xlfn.IFS(AG10="Yes", IF(ISNUMBER(AH10)*AND(AH10&gt;=5),10,6), AG10="Partial",4, TRUE,0)
  + _xlfn.IFS(AI10="Yes",5, AI10="Partial (material categories only)",3, TRUE,0)
  + _xlfn.IFS(AL10="Yes — Detailed",10, AL10="Yes — High Level",5, TRUE,0)
  + _xlfn.IFS(AM10="Yes — Quantified",15, AM10="Yes — Directional Only",7, TRUE,0)
  + _xlfn.IFS(AP10="Formal",5, AP10="Referenced",2, TRUE,0)
  + _xlfn.IFS(AQ10="No Issues Found",5, AQ10="Concern Identified",-5, AQ10="Severe Contradiction",-15, TRUE,0)
  + _xlfn.IFS(BC10="Reasonable Assurance",5, BC10="Limited Assurance",3, TRUE,0)
  - IF(AND(Z10="Yes", AI10="No"), 10, 0)
  - IF(AND(Z10="Yes", AM10="No"), 10, 0)
))</f>
        <v/>
      </c>
      <c r="AS10" s="5" t="n"/>
      <c r="AT10" s="5" t="n"/>
      <c r="AU10" s="5" t="n"/>
      <c r="AV10" s="5" t="n"/>
      <c r="AW10" s="5" t="n"/>
      <c r="AX10" s="5" t="n"/>
      <c r="AY10" s="5" t="n"/>
      <c r="AZ10" s="5" t="n"/>
      <c r="BA10" s="5" t="n"/>
      <c r="BB10" s="5" t="n"/>
      <c r="BC10" s="5" t="n"/>
      <c r="BD10" s="5" t="n"/>
      <c r="BE10" s="39">
        <f t="array" ref="BE10">MIN(100, MAX(0,
  IFERROR(_xlfn.XLOOKUP(AT10,'Lookup Tables'!$D$2:$D$6,'Lookup Tables'!$E$2:$E$6,0),0)
  + IFERROR(_xlfn.XLOOKUP(AV10,'Lookup Tables'!$G$2:$G$5,'Lookup Tables'!$H$2:$H$5,0),0)
  + IFERROR(_xlfn.XLOOKUP(AW10,'Lookup Tables'!$J$2:$J$5,'Lookup Tables'!$K$2:$K$5,0),0)
  + _xlfn.IFS(AX10="No Issues",10, AX10="Complaint Filed",3, AX10="Confirmed Breach",-15, TRUE,0)
  + IFERROR(_xlfn.XLOOKUP(AY10,'Lookup Tables'!$M$2:$M$6,'Lookup Tables'!$N$2:$N$6,0),0)
  + IFERROR(_xlfn.XLOOKUP(AZ10,'Lookup Tables'!$P$2:$P$6,'Lookup Tables'!$Q$2:$Q$6,0),0)
  + _xlfn.IFS(BA10="Formal Board Committee",5, BA10="Board Oversight Mentioned",2, TRUE,0)
  + _xlfn.IFS(BB10="Yes — Quantified Targets",5, BB10="Yes — Discretionary Only",2, TRUE,0)
  + _xlfn.IFS(BC10="Reasonable Assurance",5, BC10="Limited Assurance",3, BC10="Management Review Only",1, TRUE,0)
))</f>
        <v/>
      </c>
      <c r="BF10" s="5" t="n"/>
      <c r="BG10" s="5" t="n"/>
      <c r="BH10" s="5" t="n"/>
      <c r="BI10" s="5" t="n"/>
      <c r="BJ10" s="5" t="n"/>
      <c r="BK10" s="5" t="n"/>
      <c r="BL10" s="5" t="n"/>
      <c r="BM10" s="5" t="n"/>
      <c r="BN10" s="5" t="n"/>
      <c r="BO10" s="5" t="n"/>
      <c r="BP10" s="5" t="n"/>
      <c r="BQ10" s="5" t="n"/>
      <c r="BR10" s="5" t="n"/>
      <c r="BS10" s="41">
        <f t="array" ref="BS10">MIN(100, MAX(0,
  IFERROR(_xlfn.XLOOKUP(BG10,'Lookup Tables'!$A$11:$A$16,'Lookup Tables'!$B$11:$B$16,0),0)
  + IFERROR(_xlfn.XLOOKUP(BR10,'Lookup Tables'!$M$11:$M$14,'Lookup Tables'!$N$11:$N$14,0),0)
  + IFERROR(_xlfn.XLOOKUP(BQ10,'Lookup Tables'!$J$11:$J$15,'Lookup Tables'!$K$11:$K$15,0),0)
  + IFERROR(_xlfn.XLOOKUP(BH10,'Lookup Tables'!$D$11:$D$15,'Lookup Tables'!$E$11:$E$15,0),0)
  + IFERROR(_xlfn.XLOOKUP(BJ10,'Lookup Tables'!$G$11:$G$16,'Lookup Tables'!$H$11:$H$16,0),0)
  + IFERROR(_xlfn.XLOOKUP(BN10,'Lookup Tables'!$P$11:$P$15,'Lookup Tables'!$Q$11:$Q$15,0),0)
  + _xlfn.IFS(BM10="No Evidence",10, BM10="Unknown",3, BM10="Likely",0, BM10="Confirmed",-10, TRUE,3)
  + IFERROR(_xlfn.XLOOKUP(BP10,'Lookup Tables'!$J$21:$J$24,'Lookup Tables'!$K$21:$K$24,0),0)
))</f>
        <v/>
      </c>
      <c r="BT10" s="5" t="n"/>
      <c r="BU10" s="5" t="n"/>
      <c r="BV10" s="5" t="n"/>
      <c r="BW10" s="5" t="n"/>
      <c r="BX10" s="5" t="n"/>
      <c r="BY10" s="5" t="n"/>
      <c r="BZ10" s="5" t="n"/>
      <c r="CA10" s="5" t="n"/>
      <c r="CB10" s="5" t="n"/>
      <c r="CC10" s="5" t="n"/>
      <c r="CD10" s="5" t="n"/>
      <c r="CE10" s="43">
        <f t="array" ref="CE10">MIN(100, MAX(0,
  IF(ISNUMBER(BV10)*AND(BV10&gt;0), 10, 0)
  + _xlfn.IFS(BY10="Independently Verified",25, BY10="Yes",15, TRUE,0)
  + IFERROR(_xlfn.XLOOKUP(BZ10,'Lookup Tables'!$A$21:$A$24,'Lookup Tables'!$B$21:$B$24,0),0)
  + IFERROR(_xlfn.XLOOKUP(CA10,'Lookup Tables'!$D$21:$D$24,'Lookup Tables'!$E$21:$E$24,0),0)
  + _xlfn.IFS(ISNUMBER(CB10)*AND(CB10&gt;=11),15, ISNUMBER(CB10)*AND(CB10&gt;=6),10, ISNUMBER(CB10)*AND(CB10&gt;=1),5, TRUE,0)
  + IFERROR(_xlfn.XLOOKUP(CC10,'Lookup Tables'!$G$21:$G$25,'Lookup Tables'!$H$21:$H$25,0),0)
  - IF(ISNUMBER(BW10)*AND(ISNUMBER(BV10))*AND(BW10&gt;BV10), 20, 0)
  - IF(AND(BY10="Yes", ISNUMBER(BW10), BW10&gt;60), 10, 0)
))</f>
        <v/>
      </c>
      <c r="CF10" s="5" t="n"/>
      <c r="CG10" s="5" t="n"/>
      <c r="CH10" s="5" t="n"/>
      <c r="CI10" s="5" t="n"/>
      <c r="CJ10" s="5" t="n"/>
      <c r="CK10" s="5" t="n"/>
      <c r="CL10" s="5" t="n"/>
      <c r="CM10" s="5" t="n"/>
      <c r="CN10" s="5" t="n"/>
      <c r="CO10" s="5" t="n"/>
      <c r="CP10" s="5" t="n"/>
      <c r="CQ10" s="5" t="n"/>
      <c r="CR10" s="5">
        <f>COUNTIF(CJ10:CQ10,"FAIL")</f>
        <v/>
      </c>
      <c r="CS10" s="5">
        <f>COUNTIF(CJ10:CQ10,"PARTIAL")</f>
        <v/>
      </c>
      <c r="CT10" s="5">
        <f>COUNTIF(CJ10:CQ10,"MISSING")</f>
        <v/>
      </c>
      <c r="CU10" s="5">
        <f>MIN(100,
  CR10*15
  + CS10*6
  + CT10*3
  + IFERROR(_xlfn.XLOOKUP(CW10,'Lookup Tables'!$M$21:$M$25,'Lookup Tables'!$N$21:$N$25,0),0)
)</f>
        <v/>
      </c>
      <c r="CV10" s="5">
        <f>IFERROR(
CHOOSE(
MATCH("FAIL",CJ10:CQ10,0),
"1-Specificity","2-Metric","3-Baseline","4-Target",
"5-Time Horizon","6-Scope","7-Verification","8-Consistency"
),
IFERROR(
CHOOSE(
MATCH("PARTIAL",CJ10:CQ10,0),
"1-Specificity","2-Metric","3-Baseline","4-Target",
"5-Time Horizon","6-Scope","7-Verification","8-Consistency"
),
"No failures"
)
)</f>
        <v/>
      </c>
      <c r="CW10" s="5" t="n"/>
      <c r="CX10" s="5" t="n"/>
      <c r="CY10" s="5" t="n"/>
      <c r="CZ10" s="5" t="n"/>
      <c r="DA10" s="5">
        <f>IF(OR(CU10&gt;=50,CW10="Material",CW10="Severe",AS10="Material",AS10="Severe",BF10="Material",BF10="Severe — Exclusion Trigger",AND(ISNUMBER(BS10),BS10&lt;30)),"Yes","No")</f>
        <v/>
      </c>
      <c r="DB10" s="5">
        <f>IF(OR(CR10&gt;=6,AW10="Confirmed Violation",AX10="Confirmed Breach"),"Yes — Automatic",IF(CW10="Severe","Yes — Requires Captain Confirmation","No"))</f>
        <v/>
      </c>
      <c r="DC10" s="5" t="n"/>
      <c r="DD10" s="5" t="n"/>
      <c r="DE10" s="5" t="n"/>
      <c r="DF10" s="5" t="n"/>
      <c r="DG10" s="5" t="n"/>
      <c r="DH10" s="5" t="n"/>
      <c r="DI10" s="5" t="n"/>
      <c r="DJ10" s="5" t="n"/>
      <c r="DK10" s="5" t="n"/>
      <c r="DL10" s="5">
        <f>IF(OR(IFERROR(VALUE(LEFT(DF10,1)),99)&lt;=2,IFERROR(VALUE(LEFT(DG10,1)),99)&lt;=2),"Flagged","Clear")</f>
        <v/>
      </c>
      <c r="DM10" s="5">
        <f>IF(OR(DA10="Yes",DB10&lt;&gt;"No",DH10="Unverified",DL10="Flagged"),"Yes","No")</f>
        <v/>
      </c>
      <c r="DN10" s="5">
        <f t="array" ref="DN10">MIN(100,
  IF(ISNUMBER(V10), _xlfn.IFS(V10&gt;=3,25, V10=2,15, V10=1,5, TRUE,0), 0)
  + IFERROR(_xlfn.IFS(VALUE(LEFT(DF10,1))=5,25, VALUE(LEFT(DF10,1))=4,20, VALUE(LEFT(DF10,1))=3,15, VALUE(LEFT(DF10,1))=2,8, TRUE,0), 15)
  + IFERROR(_xlfn.IFS(VALUE(LEFT(DG10,1))=5,25, VALUE(LEFT(DG10,1))=4,20, VALUE(LEFT(DG10,1))=3,15, VALUE(LEFT(DG10,1))=2,8, TRUE,0), 15)
  + _xlfn.IFS(DH10="Fully Verified",25, DH10="Partially Verified",12, TRUE,0)
)</f>
        <v/>
      </c>
      <c r="DO10" s="5">
        <f t="array" ref="DO10">_xlfn.IFS(
  ISBLANK(AR10), "Insufficient Evidence",
  AND(AR10&gt;=65, AJ10="Approved"), "Strong",
  AR10&gt;=65, "Adequate",
  AR10&gt;=40, "Adequate",
  AR10&gt;=20, "Weak",
  TRUE, "Insufficient Evidence"
)</f>
        <v/>
      </c>
      <c r="DP10" s="5">
        <f t="array" ref="DP10">_xlfn.IFS(
  ISBLANK(BS10), "Insufficient Evidence",
  BS10&gt;=65, "Strong",
  BS10&gt;=40, "Adequate",
  BS10&gt;=20, "Weak",
  TRUE, "Insufficient Evidence"
)</f>
        <v/>
      </c>
      <c r="DQ10" s="5">
        <f t="array" ref="DQ10">_xlfn.IFS(
  ISBLANK(BE10), "Insufficient Evidence",
  OR(AW10="Confirmed Violation", AX10="Confirmed Breach"), "Severe — Hard Trigger",
  BE10&gt;=65, "Strong",
  BE10&gt;=40, "Adequate",
  BE10&gt;=20, "Weak",
  TRUE, "Insufficient Evidence"
)</f>
        <v/>
      </c>
      <c r="DR10" s="5">
        <f t="array" ref="DR10">_xlfn.IFS(
  ISBLANK(CU10), "Insufficient Evidence",
  CU10&lt;=20, "Low Risk",
  CU10&lt;=50, "Moderate Risk",
  CU10&lt;=75, "High Risk",
  TRUE, "Very High Risk"
)</f>
        <v/>
      </c>
      <c r="DS10" s="5">
        <f t="array" ref="DS10">_xlfn.IFS(
  ISBLANK(CE10), "Insufficient Evidence",
  AND(ISNUMBER(BW10),ISNUMBER(BV10),BW10&gt;BV10), "Overclaiming Risk",
  CE10&gt;=65, "Strong",
  CE10&gt;=40, "Adequate",
  TRUE, "Weak"
)</f>
        <v/>
      </c>
      <c r="DT10" s="5">
        <f>IF(DB10="Yes — Automatic",0,ROUND((IF(ISNUMBER(AR10),AR10,0)*0.3+IF(ISNUMBER(BS10),BS10,0)*0.2+IF(ISNUMBER(BE10),BE10,0)*0.2+IF(ISNUMBER(CE10),CE10,0)*0.15+(100-IF(ISNUMBER(CU10),CU10,50))*0.15)*IF(DN10&gt;=75,1,IF(DN10&gt;=50,0.9,IF(DN10&gt;=25,0.75,0.6))),1))</f>
        <v/>
      </c>
      <c r="DU10" s="5">
        <f t="array" ref="DU10">_xlfn.IFS(
  DV10="Upgraded to Clear", "Clear",
  DV10="Downgraded to Watchlist", "Watchlist",
  DV10="Downgraded to Exclusion", "Exclusion Risk",
  DB10="Yes — Automatic", "Exclusion Risk",
  OR(AW10="Confirmed Violation", AX10="Confirmed Breach"), "Exclusion Risk",
  OR(V10=0, ISBLANK(V10), DN10&lt;20), "Insufficient Evidence",
  AND(DT10&gt;=65, DA10="No", DB10="No"), "Clear",
  OR(DT10&gt;=40, DA10="Yes"), "Watchlist",
  TRUE, "Exclusion Risk"
)</f>
        <v/>
      </c>
      <c r="DV10" s="5" t="n"/>
      <c r="DW10" s="5">
        <f t="array" ref="DW10">_xlfn.IFS(
  DU10="Exclusion Risk", "Exclude — Hard Trigger",
  DU10="Insufficient Evidence", "Watchlist — Further Evidence Needed",
  DU10="Watchlist", "Watchlist — Further Evidence Needed",
  AND(DU10="Clear", DT10&gt;=80), "Include — No Conditions",
  DU10="Clear", "Include — Monitor",
  TRUE, "Watchlist — Further Evidence Needed"
)</f>
        <v/>
      </c>
      <c r="DX10" s="5" t="n"/>
      <c r="DY10" s="5" t="n"/>
      <c r="DZ10" s="5" t="n"/>
      <c r="EA10" s="5" t="n"/>
      <c r="EB10" s="5">
        <f>IF(OR(V10=0, ISBLANK(V10)), "MISSING — No sources reviewed", "")</f>
        <v/>
      </c>
      <c r="EC10" s="5">
        <f>IF(AND(NOT(ISBLANK(DC10)), ISBLANK(DE10)), "PAGE REF MISSING", "")</f>
        <v/>
      </c>
    </row>
    <row r="11" ht="18" customHeight="1" s="60">
      <c r="A11" s="3" t="inlineStr">
        <is>
          <t>Tenaris SA</t>
        </is>
      </c>
      <c r="B11" s="3" t="inlineStr">
        <is>
          <t>TW11</t>
        </is>
      </c>
      <c r="C11" s="3">
        <f>IF(ISBLANK('Universe Tracker'!D7),"",'Universe Tracker'!D7)</f>
        <v/>
      </c>
      <c r="D11" s="3" t="n"/>
      <c r="E11" s="3" t="n"/>
      <c r="F11" s="3">
        <f>IF(ISBLANK('Universe Tracker'!F7),"",'Universe Tracker'!F7)</f>
        <v/>
      </c>
      <c r="G11" s="3">
        <f>IF(ISBLANK('Universe Tracker'!G7),"",'Universe Tracker'!G7)</f>
        <v/>
      </c>
      <c r="H11" s="3" t="n"/>
      <c r="I11" s="3" t="n"/>
      <c r="J11" s="3">
        <f>IF(ISBLANK(B11),"",B11&amp;"_"&amp;C11)</f>
        <v/>
      </c>
      <c r="K11" s="3" t="n"/>
      <c r="L11" s="3" t="n"/>
      <c r="M11" s="3" t="n"/>
      <c r="N11" s="3" t="n"/>
      <c r="O11" s="3" t="n"/>
      <c r="P11" s="3" t="n"/>
      <c r="Q11" s="3" t="n"/>
      <c r="R11" s="3" t="n"/>
      <c r="S11" s="3" t="n"/>
      <c r="T11" s="3" t="n"/>
      <c r="U11" s="3" t="n"/>
      <c r="V11" s="3" t="n"/>
      <c r="W11" s="3" t="n"/>
      <c r="X11" s="3" t="n"/>
      <c r="Y11" s="3">
        <f>IF(AND(V11&gt;=2,K11="Yes",L11="Yes"),"Sufficient",IF(AND(V11&gt;=1,OR(K11="Yes",L11="Yes")),"Thin","Insufficient"))</f>
        <v/>
      </c>
      <c r="Z11" s="3" t="n"/>
      <c r="AA11" s="3" t="n"/>
      <c r="AB11" s="3" t="n"/>
      <c r="AC11" s="3" t="n"/>
      <c r="AD11" s="3" t="n"/>
      <c r="AE11" s="3" t="n"/>
      <c r="AF11" s="3" t="n"/>
      <c r="AG11" s="3" t="n"/>
      <c r="AH11" s="3" t="n"/>
      <c r="AI11" s="3" t="n"/>
      <c r="AJ11" s="3" t="n"/>
      <c r="AK11" s="3" t="n"/>
      <c r="AL11" s="3" t="n"/>
      <c r="AM11" s="3" t="n"/>
      <c r="AN11" s="3" t="n"/>
      <c r="AO11" s="3" t="n"/>
      <c r="AP11" s="3" t="n"/>
      <c r="AQ11" s="3" t="n"/>
      <c r="AR11" s="40">
        <f t="array" ref="AR11">MIN(100, MAX(0,
  IFERROR(_xlfn.XLOOKUP(AJ11,'Lookup Tables'!$A$2:$A$7,'Lookup Tables'!$B$2:$B$7,0),0)
  + IF(Z11="Yes", IF(IFERROR(_xlfn.XLOOKUP(AJ11,'Lookup Tables'!$A$2:$A$7,'Lookup Tables'!$B$2:$B$7,0),0)&lt;20, 5, 0), 0)
  + _xlfn.IFS(AB11="Yes", IF(ISNUMBER(AC11)*AND(AC11&lt;=2030),15,10), AB11="Long-term Only", 5, AB11="No", 0, TRUE, 0)
  + _xlfn.IFS(AF11="Full",10, AF11="Partial",5, AF11="Scope 2 Only",3, TRUE,0)
  + _xlfn.IFS(AG11="Yes", IF(ISNUMBER(AH11)*AND(AH11&gt;=5),10,6), AG11="Partial",4, TRUE,0)
  + _xlfn.IFS(AI11="Yes",5, AI11="Partial (material categories only)",3, TRUE,0)
  + _xlfn.IFS(AL11="Yes — Detailed",10, AL11="Yes — High Level",5, TRUE,0)
  + _xlfn.IFS(AM11="Yes — Quantified",15, AM11="Yes — Directional Only",7, TRUE,0)
  + _xlfn.IFS(AP11="Formal",5, AP11="Referenced",2, TRUE,0)
  + _xlfn.IFS(AQ11="No Issues Found",5, AQ11="Concern Identified",-5, AQ11="Severe Contradiction",-15, TRUE,0)
  + _xlfn.IFS(BC11="Reasonable Assurance",5, BC11="Limited Assurance",3, TRUE,0)
  - IF(AND(Z11="Yes", AI11="No"), 10, 0)
  - IF(AND(Z11="Yes", AM11="No"), 10, 0)
))</f>
        <v/>
      </c>
      <c r="AS11" s="3" t="n"/>
      <c r="AT11" s="3" t="n"/>
      <c r="AU11" s="3" t="n"/>
      <c r="AV11" s="3" t="n"/>
      <c r="AW11" s="3" t="n"/>
      <c r="AX11" s="3" t="n"/>
      <c r="AY11" s="3" t="n"/>
      <c r="AZ11" s="3" t="n"/>
      <c r="BA11" s="3" t="n"/>
      <c r="BB11" s="3" t="n"/>
      <c r="BC11" s="3" t="n"/>
      <c r="BD11" s="3" t="n"/>
      <c r="BE11" s="40">
        <f t="array" ref="BE11">MIN(100, MAX(0,
  IFERROR(_xlfn.XLOOKUP(AT11,'Lookup Tables'!$D$2:$D$6,'Lookup Tables'!$E$2:$E$6,0),0)
  + IFERROR(_xlfn.XLOOKUP(AV11,'Lookup Tables'!$G$2:$G$5,'Lookup Tables'!$H$2:$H$5,0),0)
  + IFERROR(_xlfn.XLOOKUP(AW11,'Lookup Tables'!$J$2:$J$5,'Lookup Tables'!$K$2:$K$5,0),0)
  + _xlfn.IFS(AX11="No Issues",10, AX11="Complaint Filed",3, AX11="Confirmed Breach",-15, TRUE,0)
  + IFERROR(_xlfn.XLOOKUP(AY11,'Lookup Tables'!$M$2:$M$6,'Lookup Tables'!$N$2:$N$6,0),0)
  + IFERROR(_xlfn.XLOOKUP(AZ11,'Lookup Tables'!$P$2:$P$6,'Lookup Tables'!$Q$2:$Q$6,0),0)
  + _xlfn.IFS(BA11="Formal Board Committee",5, BA11="Board Oversight Mentioned",2, TRUE,0)
  + _xlfn.IFS(BB11="Yes — Quantified Targets",5, BB11="Yes — Discretionary Only",2, TRUE,0)
  + _xlfn.IFS(BC11="Reasonable Assurance",5, BC11="Limited Assurance",3, BC11="Management Review Only",1, TRUE,0)
))</f>
        <v/>
      </c>
      <c r="BF11" s="3" t="n"/>
      <c r="BG11" s="3" t="n"/>
      <c r="BH11" s="3" t="n"/>
      <c r="BI11" s="3" t="n"/>
      <c r="BJ11" s="3" t="n"/>
      <c r="BK11" s="3" t="n"/>
      <c r="BL11" s="3" t="n"/>
      <c r="BM11" s="3" t="n"/>
      <c r="BN11" s="3" t="n"/>
      <c r="BO11" s="3" t="n"/>
      <c r="BP11" s="3" t="n"/>
      <c r="BQ11" s="3" t="n"/>
      <c r="BR11" s="3" t="n"/>
      <c r="BS11" s="42">
        <f t="array" ref="BS11">MIN(100, MAX(0,
  IFERROR(_xlfn.XLOOKUP(BG11,'Lookup Tables'!$A$11:$A$16,'Lookup Tables'!$B$11:$B$16,0),0)
  + IFERROR(_xlfn.XLOOKUP(BR11,'Lookup Tables'!$M$11:$M$14,'Lookup Tables'!$N$11:$N$14,0),0)
  + IFERROR(_xlfn.XLOOKUP(BQ11,'Lookup Tables'!$J$11:$J$15,'Lookup Tables'!$K$11:$K$15,0),0)
  + IFERROR(_xlfn.XLOOKUP(BH11,'Lookup Tables'!$D$11:$D$15,'Lookup Tables'!$E$11:$E$15,0),0)
  + IFERROR(_xlfn.XLOOKUP(BJ11,'Lookup Tables'!$G$11:$G$16,'Lookup Tables'!$H$11:$H$16,0),0)
  + IFERROR(_xlfn.XLOOKUP(BN11,'Lookup Tables'!$P$11:$P$15,'Lookup Tables'!$Q$11:$Q$15,0),0)
  + _xlfn.IFS(BM11="No Evidence",10, BM11="Unknown",3, BM11="Likely",0, BM11="Confirmed",-10, TRUE,3)
  + IFERROR(_xlfn.XLOOKUP(BP11,'Lookup Tables'!$J$21:$J$24,'Lookup Tables'!$K$21:$K$24,0),0)
))</f>
        <v/>
      </c>
      <c r="BT11" s="3" t="n"/>
      <c r="BU11" s="3" t="n"/>
      <c r="BV11" s="3" t="n"/>
      <c r="BW11" s="3" t="n"/>
      <c r="BX11" s="3" t="n"/>
      <c r="BY11" s="3" t="n"/>
      <c r="BZ11" s="3" t="n"/>
      <c r="CA11" s="3" t="n"/>
      <c r="CB11" s="3" t="n"/>
      <c r="CC11" s="3" t="n"/>
      <c r="CD11" s="3" t="n"/>
      <c r="CE11" s="44">
        <f t="array" ref="CE11">MIN(100, MAX(0,
  IF(ISNUMBER(BV11)*AND(BV11&gt;0), 10, 0)
  + _xlfn.IFS(BY11="Independently Verified",25, BY11="Yes",15, TRUE,0)
  + IFERROR(_xlfn.XLOOKUP(BZ11,'Lookup Tables'!$A$21:$A$24,'Lookup Tables'!$B$21:$B$24,0),0)
  + IFERROR(_xlfn.XLOOKUP(CA11,'Lookup Tables'!$D$21:$D$24,'Lookup Tables'!$E$21:$E$24,0),0)
  + _xlfn.IFS(ISNUMBER(CB11)*AND(CB11&gt;=11),15, ISNUMBER(CB11)*AND(CB11&gt;=6),10, ISNUMBER(CB11)*AND(CB11&gt;=1),5, TRUE,0)
  + IFERROR(_xlfn.XLOOKUP(CC11,'Lookup Tables'!$G$21:$G$25,'Lookup Tables'!$H$21:$H$25,0),0)
  - IF(ISNUMBER(BW11)*AND(ISNUMBER(BV11))*AND(BW11&gt;BV11), 20, 0)
  - IF(AND(BY11="Yes", ISNUMBER(BW11), BW11&gt;60), 10, 0)
))</f>
        <v/>
      </c>
      <c r="CF11" s="3" t="n"/>
      <c r="CG11" s="3" t="n"/>
      <c r="CH11" s="3" t="n"/>
      <c r="CI11" s="3" t="n"/>
      <c r="CJ11" s="3" t="n"/>
      <c r="CK11" s="3" t="n"/>
      <c r="CL11" s="3" t="n"/>
      <c r="CM11" s="3" t="n"/>
      <c r="CN11" s="3" t="n"/>
      <c r="CO11" s="3" t="n"/>
      <c r="CP11" s="3" t="n"/>
      <c r="CQ11" s="3" t="n"/>
      <c r="CR11" s="3">
        <f>COUNTIF(CJ11:CQ11,"FAIL")</f>
        <v/>
      </c>
      <c r="CS11" s="3">
        <f>COUNTIF(CJ11:CQ11,"PARTIAL")</f>
        <v/>
      </c>
      <c r="CT11" s="3">
        <f>COUNTIF(CJ11:CQ11,"MISSING")</f>
        <v/>
      </c>
      <c r="CU11" s="3">
        <f>MIN(100,
  CR11*15
  + CS11*6
  + CT11*3
  + IFERROR(_xlfn.XLOOKUP(CW11,'Lookup Tables'!$M$21:$M$25,'Lookup Tables'!$N$21:$N$25,0),0)
)</f>
        <v/>
      </c>
      <c r="CV11" s="3">
        <f>IFERROR(
CHOOSE(
MATCH("FAIL",CJ11:CQ11,0),
"1-Specificity","2-Metric","3-Baseline","4-Target",
"5-Time Horizon","6-Scope","7-Verification","8-Consistency"
),
IFERROR(
CHOOSE(
MATCH("PARTIAL",CJ11:CQ11,0),
"1-Specificity","2-Metric","3-Baseline","4-Target",
"5-Time Horizon","6-Scope","7-Verification","8-Consistency"
),
"No failures"
)
)</f>
        <v/>
      </c>
      <c r="CW11" s="3" t="n"/>
      <c r="CX11" s="3" t="n"/>
      <c r="CY11" s="3" t="n"/>
      <c r="CZ11" s="3" t="n"/>
      <c r="DA11" s="3">
        <f>IF(OR(CU11&gt;=50,CW11="Material",CW11="Severe",AS11="Material",AS11="Severe",BF11="Material",BF11="Severe — Exclusion Trigger",AND(ISNUMBER(BS11),BS11&lt;30)),"Yes","No")</f>
        <v/>
      </c>
      <c r="DB11" s="3">
        <f>IF(OR(CR11&gt;=6,AW11="Confirmed Violation",AX11="Confirmed Breach"),"Yes — Automatic",IF(CW11="Severe","Yes — Requires Captain Confirmation","No"))</f>
        <v/>
      </c>
      <c r="DC11" s="3" t="n"/>
      <c r="DD11" s="3" t="n"/>
      <c r="DE11" s="3" t="n"/>
      <c r="DF11" s="3" t="n"/>
      <c r="DG11" s="3" t="n"/>
      <c r="DH11" s="3" t="n"/>
      <c r="DI11" s="3" t="n"/>
      <c r="DJ11" s="3" t="n"/>
      <c r="DK11" s="3" t="n"/>
      <c r="DL11" s="3">
        <f>IF(OR(IFERROR(VALUE(LEFT(DF11,1)),99)&lt;=2,IFERROR(VALUE(LEFT(DG11,1)),99)&lt;=2),"Flagged","Clear")</f>
        <v/>
      </c>
      <c r="DM11" s="3">
        <f>IF(OR(DA11="Yes",DB11&lt;&gt;"No",DH11="Unverified",DL11="Flagged"),"Yes","No")</f>
        <v/>
      </c>
      <c r="DN11" s="3">
        <f t="array" ref="DN11">MIN(100,
  IF(ISNUMBER(V11), _xlfn.IFS(V11&gt;=3,25, V11=2,15, V11=1,5, TRUE,0), 0)
  + IFERROR(_xlfn.IFS(VALUE(LEFT(DF11,1))=5,25, VALUE(LEFT(DF11,1))=4,20, VALUE(LEFT(DF11,1))=3,15, VALUE(LEFT(DF11,1))=2,8, TRUE,0), 15)
  + IFERROR(_xlfn.IFS(VALUE(LEFT(DG11,1))=5,25, VALUE(LEFT(DG11,1))=4,20, VALUE(LEFT(DG11,1))=3,15, VALUE(LEFT(DG11,1))=2,8, TRUE,0), 15)
  + _xlfn.IFS(DH11="Fully Verified",25, DH11="Partially Verified",12, TRUE,0)
)</f>
        <v/>
      </c>
      <c r="DO11" s="3">
        <f t="array" ref="DO11">_xlfn.IFS(
  ISBLANK(AR11), "Insufficient Evidence",
  AND(AR11&gt;=65, AJ11="Approved"), "Strong",
  AR11&gt;=65, "Adequate",
  AR11&gt;=40, "Adequate",
  AR11&gt;=20, "Weak",
  TRUE, "Insufficient Evidence"
)</f>
        <v/>
      </c>
      <c r="DP11" s="3">
        <f t="array" ref="DP11">_xlfn.IFS(
  ISBLANK(BS11), "Insufficient Evidence",
  BS11&gt;=65, "Strong",
  BS11&gt;=40, "Adequate",
  BS11&gt;=20, "Weak",
  TRUE, "Insufficient Evidence"
)</f>
        <v/>
      </c>
      <c r="DQ11" s="3">
        <f t="array" ref="DQ11">_xlfn.IFS(
  ISBLANK(BE11), "Insufficient Evidence",
  OR(AW11="Confirmed Violation", AX11="Confirmed Breach"), "Severe — Hard Trigger",
  BE11&gt;=65, "Strong",
  BE11&gt;=40, "Adequate",
  BE11&gt;=20, "Weak",
  TRUE, "Insufficient Evidence"
)</f>
        <v/>
      </c>
      <c r="DR11" s="3">
        <f t="array" ref="DR11">_xlfn.IFS(
  ISBLANK(CU11), "Insufficient Evidence",
  CU11&lt;=20, "Low Risk",
  CU11&lt;=50, "Moderate Risk",
  CU11&lt;=75, "High Risk",
  TRUE, "Very High Risk"
)</f>
        <v/>
      </c>
      <c r="DS11" s="3">
        <f t="array" ref="DS11">_xlfn.IFS(
  ISBLANK(CE11), "Insufficient Evidence",
  AND(ISNUMBER(BW11),ISNUMBER(BV11),BW11&gt;BV11), "Overclaiming Risk",
  CE11&gt;=65, "Strong",
  CE11&gt;=40, "Adequate",
  TRUE, "Weak"
)</f>
        <v/>
      </c>
      <c r="DT11" s="3">
        <f>IF(DB11="Yes — Automatic",0,ROUND((IF(ISNUMBER(AR11),AR11,0)*0.3+IF(ISNUMBER(BS11),BS11,0)*0.2+IF(ISNUMBER(BE11),BE11,0)*0.2+IF(ISNUMBER(CE11),CE11,0)*0.15+(100-IF(ISNUMBER(CU11),CU11,50))*0.15)*IF(DN11&gt;=75,1,IF(DN11&gt;=50,0.9,IF(DN11&gt;=25,0.75,0.6))),1))</f>
        <v/>
      </c>
      <c r="DU11" s="3">
        <f t="array" ref="DU11">_xlfn.IFS(
  DV11="Upgraded to Clear", "Clear",
  DV11="Downgraded to Watchlist", "Watchlist",
  DV11="Downgraded to Exclusion", "Exclusion Risk",
  DB11="Yes — Automatic", "Exclusion Risk",
  OR(AW11="Confirmed Violation", AX11="Confirmed Breach"), "Exclusion Risk",
  OR(V11=0, ISBLANK(V11), DN11&lt;20), "Insufficient Evidence",
  AND(DT11&gt;=65, DA11="No", DB11="No"), "Clear",
  OR(DT11&gt;=40, DA11="Yes"), "Watchlist",
  TRUE, "Exclusion Risk"
)</f>
        <v/>
      </c>
      <c r="DV11" s="3" t="n"/>
      <c r="DW11" s="3">
        <f t="array" ref="DW11">_xlfn.IFS(
  DU11="Exclusion Risk", "Exclude — Hard Trigger",
  DU11="Insufficient Evidence", "Watchlist — Further Evidence Needed",
  DU11="Watchlist", "Watchlist — Further Evidence Needed",
  AND(DU11="Clear", DT11&gt;=80), "Include — No Conditions",
  DU11="Clear", "Include — Monitor",
  TRUE, "Watchlist — Further Evidence Needed"
)</f>
        <v/>
      </c>
      <c r="DX11" s="3" t="n"/>
      <c r="DY11" s="3" t="n"/>
      <c r="DZ11" s="3" t="n"/>
      <c r="EA11" s="3" t="n"/>
      <c r="EB11" s="3">
        <f>IF(OR(V11=0, ISBLANK(V11)), "MISSING — No sources reviewed", "")</f>
        <v/>
      </c>
      <c r="EC11" s="3">
        <f>IF(AND(NOT(ISBLANK(DC11)), ISBLANK(DE11)), "PAGE REF MISSING", "")</f>
        <v/>
      </c>
    </row>
    <row r="12" ht="18" customHeight="1" s="60">
      <c r="A12" s="5" t="inlineStr">
        <is>
          <t>Ackermans &amp; van Haaren NV</t>
        </is>
      </c>
      <c r="B12" s="5" t="inlineStr">
        <is>
          <t>B3K</t>
        </is>
      </c>
      <c r="C12" s="5">
        <f>IF(ISBLANK('Universe Tracker'!D8),"",'Universe Tracker'!D8)</f>
        <v/>
      </c>
      <c r="D12" s="5" t="n"/>
      <c r="E12" s="5" t="n"/>
      <c r="F12" s="5">
        <f>IF(ISBLANK('Universe Tracker'!F8),"",'Universe Tracker'!F8)</f>
        <v/>
      </c>
      <c r="G12" s="5">
        <f>IF(ISBLANK('Universe Tracker'!G8),"",'Universe Tracker'!G8)</f>
        <v/>
      </c>
      <c r="H12" s="5" t="n"/>
      <c r="I12" s="5" t="n"/>
      <c r="J12" s="5">
        <f>IF(ISBLANK(B12),"",B12&amp;"_"&amp;C12)</f>
        <v/>
      </c>
      <c r="K12" s="5" t="n"/>
      <c r="L12" s="5" t="n"/>
      <c r="M12" s="5" t="n"/>
      <c r="N12" s="5" t="n"/>
      <c r="O12" s="5" t="n"/>
      <c r="P12" s="5" t="n"/>
      <c r="Q12" s="5" t="n"/>
      <c r="R12" s="5" t="n"/>
      <c r="S12" s="5" t="n"/>
      <c r="T12" s="5" t="n"/>
      <c r="U12" s="5" t="n"/>
      <c r="V12" s="5" t="n"/>
      <c r="W12" s="5" t="n"/>
      <c r="X12" s="5" t="n"/>
      <c r="Y12" s="5">
        <f>IF(AND(V12&gt;=2,K12="Yes",L12="Yes"),"Sufficient",IF(AND(V12&gt;=1,OR(K12="Yes",L12="Yes")),"Thin","Insufficient"))</f>
        <v/>
      </c>
      <c r="Z12" s="5" t="n"/>
      <c r="AA12" s="5" t="n"/>
      <c r="AB12" s="5" t="n"/>
      <c r="AC12" s="5" t="n"/>
      <c r="AD12" s="5" t="n"/>
      <c r="AE12" s="5" t="n"/>
      <c r="AF12" s="5" t="n"/>
      <c r="AG12" s="5" t="n"/>
      <c r="AH12" s="5" t="n"/>
      <c r="AI12" s="5" t="n"/>
      <c r="AJ12" s="5" t="n"/>
      <c r="AK12" s="5" t="n"/>
      <c r="AL12" s="5" t="n"/>
      <c r="AM12" s="5" t="n"/>
      <c r="AN12" s="5" t="n"/>
      <c r="AO12" s="5" t="n"/>
      <c r="AP12" s="5" t="n"/>
      <c r="AQ12" s="5" t="n"/>
      <c r="AR12" s="40">
        <f t="array" ref="AR12">MIN(100, MAX(0,
  IFERROR(_xlfn.XLOOKUP(AJ12,'Lookup Tables'!$A$2:$A$7,'Lookup Tables'!$B$2:$B$7,0),0)
  + IF(Z12="Yes", IF(IFERROR(_xlfn.XLOOKUP(AJ12,'Lookup Tables'!$A$2:$A$7,'Lookup Tables'!$B$2:$B$7,0),0)&lt;20, 5, 0), 0)
  + _xlfn.IFS(AB12="Yes", IF(ISNUMBER(AC12)*AND(AC12&lt;=2030),15,10), AB12="Long-term Only", 5, AB12="No", 0, TRUE, 0)
  + _xlfn.IFS(AF12="Full",10, AF12="Partial",5, AF12="Scope 2 Only",3, TRUE,0)
  + _xlfn.IFS(AG12="Yes", IF(ISNUMBER(AH12)*AND(AH12&gt;=5),10,6), AG12="Partial",4, TRUE,0)
  + _xlfn.IFS(AI12="Yes",5, AI12="Partial (material categories only)",3, TRUE,0)
  + _xlfn.IFS(AL12="Yes — Detailed",10, AL12="Yes — High Level",5, TRUE,0)
  + _xlfn.IFS(AM12="Yes — Quantified",15, AM12="Yes — Directional Only",7, TRUE,0)
  + _xlfn.IFS(AP12="Formal",5, AP12="Referenced",2, TRUE,0)
  + _xlfn.IFS(AQ12="No Issues Found",5, AQ12="Concern Identified",-5, AQ12="Severe Contradiction",-15, TRUE,0)
  + _xlfn.IFS(BC12="Reasonable Assurance",5, BC12="Limited Assurance",3, TRUE,0)
  - IF(AND(Z12="Yes", AI12="No"), 10, 0)
  - IF(AND(Z12="Yes", AM12="No"), 10, 0)
))</f>
        <v/>
      </c>
      <c r="AS12" s="5" t="n"/>
      <c r="AT12" s="5" t="n"/>
      <c r="AU12" s="5" t="n"/>
      <c r="AV12" s="5" t="n"/>
      <c r="AW12" s="5" t="n"/>
      <c r="AX12" s="5" t="n"/>
      <c r="AY12" s="5" t="n"/>
      <c r="AZ12" s="5" t="n"/>
      <c r="BA12" s="5" t="n"/>
      <c r="BB12" s="5" t="n"/>
      <c r="BC12" s="5" t="n"/>
      <c r="BD12" s="5" t="n"/>
      <c r="BE12" s="39">
        <f t="array" ref="BE12">MIN(100, MAX(0,
  IFERROR(_xlfn.XLOOKUP(AT12,'Lookup Tables'!$D$2:$D$6,'Lookup Tables'!$E$2:$E$6,0),0)
  + IFERROR(_xlfn.XLOOKUP(AV12,'Lookup Tables'!$G$2:$G$5,'Lookup Tables'!$H$2:$H$5,0),0)
  + IFERROR(_xlfn.XLOOKUP(AW12,'Lookup Tables'!$J$2:$J$5,'Lookup Tables'!$K$2:$K$5,0),0)
  + _xlfn.IFS(AX12="No Issues",10, AX12="Complaint Filed",3, AX12="Confirmed Breach",-15, TRUE,0)
  + IFERROR(_xlfn.XLOOKUP(AY12,'Lookup Tables'!$M$2:$M$6,'Lookup Tables'!$N$2:$N$6,0),0)
  + IFERROR(_xlfn.XLOOKUP(AZ12,'Lookup Tables'!$P$2:$P$6,'Lookup Tables'!$Q$2:$Q$6,0),0)
  + _xlfn.IFS(BA12="Formal Board Committee",5, BA12="Board Oversight Mentioned",2, TRUE,0)
  + _xlfn.IFS(BB12="Yes — Quantified Targets",5, BB12="Yes — Discretionary Only",2, TRUE,0)
  + _xlfn.IFS(BC12="Reasonable Assurance",5, BC12="Limited Assurance",3, BC12="Management Review Only",1, TRUE,0)
))</f>
        <v/>
      </c>
      <c r="BF12" s="5" t="n"/>
      <c r="BG12" s="5" t="n"/>
      <c r="BH12" s="5" t="n"/>
      <c r="BI12" s="5" t="n"/>
      <c r="BJ12" s="5" t="n"/>
      <c r="BK12" s="5" t="n"/>
      <c r="BL12" s="5" t="n"/>
      <c r="BM12" s="5" t="n"/>
      <c r="BN12" s="5" t="n"/>
      <c r="BO12" s="5" t="n"/>
      <c r="BP12" s="5" t="n"/>
      <c r="BQ12" s="5" t="n"/>
      <c r="BR12" s="5" t="n"/>
      <c r="BS12" s="41">
        <f t="array" ref="BS12">MIN(100, MAX(0,
  IFERROR(_xlfn.XLOOKUP(BG12,'Lookup Tables'!$A$11:$A$16,'Lookup Tables'!$B$11:$B$16,0),0)
  + IFERROR(_xlfn.XLOOKUP(BR12,'Lookup Tables'!$M$11:$M$14,'Lookup Tables'!$N$11:$N$14,0),0)
  + IFERROR(_xlfn.XLOOKUP(BQ12,'Lookup Tables'!$J$11:$J$15,'Lookup Tables'!$K$11:$K$15,0),0)
  + IFERROR(_xlfn.XLOOKUP(BH12,'Lookup Tables'!$D$11:$D$15,'Lookup Tables'!$E$11:$E$15,0),0)
  + IFERROR(_xlfn.XLOOKUP(BJ12,'Lookup Tables'!$G$11:$G$16,'Lookup Tables'!$H$11:$H$16,0),0)
  + IFERROR(_xlfn.XLOOKUP(BN12,'Lookup Tables'!$P$11:$P$15,'Lookup Tables'!$Q$11:$Q$15,0),0)
  + _xlfn.IFS(BM12="No Evidence",10, BM12="Unknown",3, BM12="Likely",0, BM12="Confirmed",-10, TRUE,3)
  + IFERROR(_xlfn.XLOOKUP(BP12,'Lookup Tables'!$J$21:$J$24,'Lookup Tables'!$K$21:$K$24,0),0)
))</f>
        <v/>
      </c>
      <c r="BT12" s="5" t="n"/>
      <c r="BU12" s="5" t="n"/>
      <c r="BV12" s="5" t="n"/>
      <c r="BW12" s="5" t="n"/>
      <c r="BX12" s="5" t="n"/>
      <c r="BY12" s="5" t="n"/>
      <c r="BZ12" s="5" t="n"/>
      <c r="CA12" s="5" t="n"/>
      <c r="CB12" s="5" t="n"/>
      <c r="CC12" s="5" t="n"/>
      <c r="CD12" s="5" t="n"/>
      <c r="CE12" s="43">
        <f t="array" ref="CE12">MIN(100, MAX(0,
  IF(ISNUMBER(BV12)*AND(BV12&gt;0), 10, 0)
  + _xlfn.IFS(BY12="Independently Verified",25, BY12="Yes",15, TRUE,0)
  + IFERROR(_xlfn.XLOOKUP(BZ12,'Lookup Tables'!$A$21:$A$24,'Lookup Tables'!$B$21:$B$24,0),0)
  + IFERROR(_xlfn.XLOOKUP(CA12,'Lookup Tables'!$D$21:$D$24,'Lookup Tables'!$E$21:$E$24,0),0)
  + _xlfn.IFS(ISNUMBER(CB12)*AND(CB12&gt;=11),15, ISNUMBER(CB12)*AND(CB12&gt;=6),10, ISNUMBER(CB12)*AND(CB12&gt;=1),5, TRUE,0)
  + IFERROR(_xlfn.XLOOKUP(CC12,'Lookup Tables'!$G$21:$G$25,'Lookup Tables'!$H$21:$H$25,0),0)
  - IF(ISNUMBER(BW12)*AND(ISNUMBER(BV12))*AND(BW12&gt;BV12), 20, 0)
  - IF(AND(BY12="Yes", ISNUMBER(BW12), BW12&gt;60), 10, 0)
))</f>
        <v/>
      </c>
      <c r="CF12" s="5" t="n"/>
      <c r="CG12" s="5" t="n"/>
      <c r="CH12" s="5" t="n"/>
      <c r="CI12" s="5" t="n"/>
      <c r="CJ12" s="5" t="n"/>
      <c r="CK12" s="5" t="n"/>
      <c r="CL12" s="5" t="n"/>
      <c r="CM12" s="5" t="n"/>
      <c r="CN12" s="5" t="n"/>
      <c r="CO12" s="5" t="n"/>
      <c r="CP12" s="5" t="n"/>
      <c r="CQ12" s="5" t="n"/>
      <c r="CR12" s="5">
        <f>COUNTIF(CJ12:CQ12,"FAIL")</f>
        <v/>
      </c>
      <c r="CS12" s="5">
        <f>COUNTIF(CJ12:CQ12,"PARTIAL")</f>
        <v/>
      </c>
      <c r="CT12" s="5">
        <f>COUNTIF(CJ12:CQ12,"MISSING")</f>
        <v/>
      </c>
      <c r="CU12" s="5">
        <f>MIN(100,
  CR12*15
  + CS12*6
  + CT12*3
  + IFERROR(_xlfn.XLOOKUP(CW12,'Lookup Tables'!$M$21:$M$25,'Lookup Tables'!$N$21:$N$25,0),0)
)</f>
        <v/>
      </c>
      <c r="CV12" s="5">
        <f>IFERROR(
CHOOSE(
MATCH("FAIL",CJ12:CQ12,0),
"1-Specificity","2-Metric","3-Baseline","4-Target",
"5-Time Horizon","6-Scope","7-Verification","8-Consistency"
),
IFERROR(
CHOOSE(
MATCH("PARTIAL",CJ12:CQ12,0),
"1-Specificity","2-Metric","3-Baseline","4-Target",
"5-Time Horizon","6-Scope","7-Verification","8-Consistency"
),
"No failures"
)
)</f>
        <v/>
      </c>
      <c r="CW12" s="5" t="n"/>
      <c r="CX12" s="5" t="n"/>
      <c r="CY12" s="5" t="n"/>
      <c r="CZ12" s="5" t="n"/>
      <c r="DA12" s="5">
        <f>IF(OR(CU12&gt;=50,CW12="Material",CW12="Severe",AS12="Material",AS12="Severe",BF12="Material",BF12="Severe — Exclusion Trigger",AND(ISNUMBER(BS12),BS12&lt;30)),"Yes","No")</f>
        <v/>
      </c>
      <c r="DB12" s="5">
        <f>IF(OR(CR12&gt;=6,AW12="Confirmed Violation",AX12="Confirmed Breach"),"Yes — Automatic",IF(CW12="Severe","Yes — Requires Captain Confirmation","No"))</f>
        <v/>
      </c>
      <c r="DC12" s="5" t="n"/>
      <c r="DD12" s="5" t="n"/>
      <c r="DE12" s="5" t="n"/>
      <c r="DF12" s="5" t="n"/>
      <c r="DG12" s="5" t="n"/>
      <c r="DH12" s="5" t="n"/>
      <c r="DI12" s="5" t="n"/>
      <c r="DJ12" s="5" t="n"/>
      <c r="DK12" s="5" t="n"/>
      <c r="DL12" s="5">
        <f>IF(OR(IFERROR(VALUE(LEFT(DF12,1)),99)&lt;=2,IFERROR(VALUE(LEFT(DG12,1)),99)&lt;=2),"Flagged","Clear")</f>
        <v/>
      </c>
      <c r="DM12" s="5">
        <f>IF(OR(DA12="Yes",DB12&lt;&gt;"No",DH12="Unverified",DL12="Flagged"),"Yes","No")</f>
        <v/>
      </c>
      <c r="DN12" s="5">
        <f t="array" ref="DN12">MIN(100,
  IF(ISNUMBER(V12), _xlfn.IFS(V12&gt;=3,25, V12=2,15, V12=1,5, TRUE,0), 0)
  + IFERROR(_xlfn.IFS(VALUE(LEFT(DF12,1))=5,25, VALUE(LEFT(DF12,1))=4,20, VALUE(LEFT(DF12,1))=3,15, VALUE(LEFT(DF12,1))=2,8, TRUE,0), 15)
  + IFERROR(_xlfn.IFS(VALUE(LEFT(DG12,1))=5,25, VALUE(LEFT(DG12,1))=4,20, VALUE(LEFT(DG12,1))=3,15, VALUE(LEFT(DG12,1))=2,8, TRUE,0), 15)
  + _xlfn.IFS(DH12="Fully Verified",25, DH12="Partially Verified",12, TRUE,0)
)</f>
        <v/>
      </c>
      <c r="DO12" s="5">
        <f t="array" ref="DO12">_xlfn.IFS(
  ISBLANK(AR12), "Insufficient Evidence",
  AND(AR12&gt;=65, AJ12="Approved"), "Strong",
  AR12&gt;=65, "Adequate",
  AR12&gt;=40, "Adequate",
  AR12&gt;=20, "Weak",
  TRUE, "Insufficient Evidence"
)</f>
        <v/>
      </c>
      <c r="DP12" s="5">
        <f t="array" ref="DP12">_xlfn.IFS(
  ISBLANK(BS12), "Insufficient Evidence",
  BS12&gt;=65, "Strong",
  BS12&gt;=40, "Adequate",
  BS12&gt;=20, "Weak",
  TRUE, "Insufficient Evidence"
)</f>
        <v/>
      </c>
      <c r="DQ12" s="5">
        <f t="array" ref="DQ12">_xlfn.IFS(
  ISBLANK(BE12), "Insufficient Evidence",
  OR(AW12="Confirmed Violation", AX12="Confirmed Breach"), "Severe — Hard Trigger",
  BE12&gt;=65, "Strong",
  BE12&gt;=40, "Adequate",
  BE12&gt;=20, "Weak",
  TRUE, "Insufficient Evidence"
)</f>
        <v/>
      </c>
      <c r="DR12" s="5">
        <f t="array" ref="DR12">_xlfn.IFS(
  ISBLANK(CU12), "Insufficient Evidence",
  CU12&lt;=20, "Low Risk",
  CU12&lt;=50, "Moderate Risk",
  CU12&lt;=75, "High Risk",
  TRUE, "Very High Risk"
)</f>
        <v/>
      </c>
      <c r="DS12" s="5">
        <f t="array" ref="DS12">_xlfn.IFS(
  ISBLANK(CE12), "Insufficient Evidence",
  AND(ISNUMBER(BW12),ISNUMBER(BV12),BW12&gt;BV12), "Overclaiming Risk",
  CE12&gt;=65, "Strong",
  CE12&gt;=40, "Adequate",
  TRUE, "Weak"
)</f>
        <v/>
      </c>
      <c r="DT12" s="5">
        <f>IF(DB12="Yes — Automatic",0,ROUND((IF(ISNUMBER(AR12),AR12,0)*0.3+IF(ISNUMBER(BS12),BS12,0)*0.2+IF(ISNUMBER(BE12),BE12,0)*0.2+IF(ISNUMBER(CE12),CE12,0)*0.15+(100-IF(ISNUMBER(CU12),CU12,50))*0.15)*IF(DN12&gt;=75,1,IF(DN12&gt;=50,0.9,IF(DN12&gt;=25,0.75,0.6))),1))</f>
        <v/>
      </c>
      <c r="DU12" s="5">
        <f t="array" ref="DU12">_xlfn.IFS(
  DV12="Upgraded to Clear", "Clear",
  DV12="Downgraded to Watchlist", "Watchlist",
  DV12="Downgraded to Exclusion", "Exclusion Risk",
  DB12="Yes — Automatic", "Exclusion Risk",
  OR(AW12="Confirmed Violation", AX12="Confirmed Breach"), "Exclusion Risk",
  OR(V12=0, ISBLANK(V12), DN12&lt;20), "Insufficient Evidence",
  AND(DT12&gt;=65, DA12="No", DB12="No"), "Clear",
  OR(DT12&gt;=40, DA12="Yes"), "Watchlist",
  TRUE, "Exclusion Risk"
)</f>
        <v/>
      </c>
      <c r="DV12" s="5" t="n"/>
      <c r="DW12" s="5">
        <f t="array" ref="DW12">_xlfn.IFS(
  DU12="Exclusion Risk", "Exclude — Hard Trigger",
  DU12="Insufficient Evidence", "Watchlist — Further Evidence Needed",
  DU12="Watchlist", "Watchlist — Further Evidence Needed",
  AND(DU12="Clear", DT12&gt;=80), "Include — No Conditions",
  DU12="Clear", "Include — Monitor",
  TRUE, "Watchlist — Further Evidence Needed"
)</f>
        <v/>
      </c>
      <c r="DX12" s="5" t="n"/>
      <c r="DY12" s="5" t="n"/>
      <c r="DZ12" s="5" t="n"/>
      <c r="EA12" s="5" t="n"/>
      <c r="EB12" s="5">
        <f>IF(OR(V12=0, ISBLANK(V12)), "MISSING — No sources reviewed", "")</f>
        <v/>
      </c>
      <c r="EC12" s="5">
        <f>IF(AND(NOT(ISBLANK(DC12)), ISBLANK(DE12)), "PAGE REF MISSING", "")</f>
        <v/>
      </c>
    </row>
    <row r="13" ht="18" customHeight="1" s="60">
      <c r="A13" s="3" t="inlineStr">
        <is>
          <t>Novartis AG</t>
        </is>
      </c>
      <c r="B13" s="3" t="inlineStr">
        <is>
          <t>NOT</t>
        </is>
      </c>
      <c r="C13" s="3">
        <f>IF(ISBLANK('Universe Tracker'!D9),"",'Universe Tracker'!D9)</f>
        <v/>
      </c>
      <c r="D13" s="3" t="n"/>
      <c r="E13" s="3" t="n"/>
      <c r="F13" s="3">
        <f>IF(ISBLANK('Universe Tracker'!F9),"",'Universe Tracker'!F9)</f>
        <v/>
      </c>
      <c r="G13" s="3">
        <f>IF(ISBLANK('Universe Tracker'!G9),"",'Universe Tracker'!G9)</f>
        <v/>
      </c>
      <c r="H13" s="3" t="n"/>
      <c r="I13" s="3" t="n"/>
      <c r="J13" s="3">
        <f>IF(ISBLANK(B13),"",B13&amp;"_"&amp;C13)</f>
        <v/>
      </c>
      <c r="K13" s="3" t="n"/>
      <c r="L13" s="3" t="n"/>
      <c r="M13" s="3" t="n"/>
      <c r="N13" s="3" t="n"/>
      <c r="O13" s="3" t="n"/>
      <c r="P13" s="3" t="n"/>
      <c r="Q13" s="3" t="n"/>
      <c r="R13" s="3" t="n"/>
      <c r="S13" s="3" t="n"/>
      <c r="T13" s="3" t="n"/>
      <c r="U13" s="3" t="n"/>
      <c r="V13" s="3" t="n"/>
      <c r="W13" s="3" t="n"/>
      <c r="X13" s="3" t="n"/>
      <c r="Y13" s="3">
        <f>IF(AND(V13&gt;=2,K13="Yes",L13="Yes"),"Sufficient",IF(AND(V13&gt;=1,OR(K13="Yes",L13="Yes")),"Thin","Insufficient"))</f>
        <v/>
      </c>
      <c r="Z13" s="3" t="n"/>
      <c r="AA13" s="3" t="n"/>
      <c r="AB13" s="3" t="n"/>
      <c r="AC13" s="3" t="n"/>
      <c r="AD13" s="3" t="n"/>
      <c r="AE13" s="3" t="n"/>
      <c r="AF13" s="3" t="n"/>
      <c r="AG13" s="3" t="n"/>
      <c r="AH13" s="3" t="n"/>
      <c r="AI13" s="3" t="n"/>
      <c r="AJ13" s="3" t="n"/>
      <c r="AK13" s="3" t="n"/>
      <c r="AL13" s="3" t="n"/>
      <c r="AM13" s="3" t="n"/>
      <c r="AN13" s="3" t="n"/>
      <c r="AO13" s="3" t="n"/>
      <c r="AP13" s="3" t="n"/>
      <c r="AQ13" s="3" t="n"/>
      <c r="AR13" s="40">
        <f t="array" ref="AR13">MIN(100, MAX(0,
  IFERROR(_xlfn.XLOOKUP(AJ13,'Lookup Tables'!$A$2:$A$7,'Lookup Tables'!$B$2:$B$7,0),0)
  + IF(Z13="Yes", IF(IFERROR(_xlfn.XLOOKUP(AJ13,'Lookup Tables'!$A$2:$A$7,'Lookup Tables'!$B$2:$B$7,0),0)&lt;20, 5, 0), 0)
  + _xlfn.IFS(AB13="Yes", IF(ISNUMBER(AC13)*AND(AC13&lt;=2030),15,10), AB13="Long-term Only", 5, AB13="No", 0, TRUE, 0)
  + _xlfn.IFS(AF13="Full",10, AF13="Partial",5, AF13="Scope 2 Only",3, TRUE,0)
  + _xlfn.IFS(AG13="Yes", IF(ISNUMBER(AH13)*AND(AH13&gt;=5),10,6), AG13="Partial",4, TRUE,0)
  + _xlfn.IFS(AI13="Yes",5, AI13="Partial (material categories only)",3, TRUE,0)
  + _xlfn.IFS(AL13="Yes — Detailed",10, AL13="Yes — High Level",5, TRUE,0)
  + _xlfn.IFS(AM13="Yes — Quantified",15, AM13="Yes — Directional Only",7, TRUE,0)
  + _xlfn.IFS(AP13="Formal",5, AP13="Referenced",2, TRUE,0)
  + _xlfn.IFS(AQ13="No Issues Found",5, AQ13="Concern Identified",-5, AQ13="Severe Contradiction",-15, TRUE,0)
  + _xlfn.IFS(BC13="Reasonable Assurance",5, BC13="Limited Assurance",3, TRUE,0)
  - IF(AND(Z13="Yes", AI13="No"), 10, 0)
  - IF(AND(Z13="Yes", AM13="No"), 10, 0)
))</f>
        <v/>
      </c>
      <c r="AS13" s="3" t="n"/>
      <c r="AT13" s="3" t="n"/>
      <c r="AU13" s="3" t="n"/>
      <c r="AV13" s="3" t="n"/>
      <c r="AW13" s="3" t="n"/>
      <c r="AX13" s="3" t="n"/>
      <c r="AY13" s="3" t="n"/>
      <c r="AZ13" s="3" t="n"/>
      <c r="BA13" s="3" t="n"/>
      <c r="BB13" s="3" t="n"/>
      <c r="BC13" s="3" t="n"/>
      <c r="BD13" s="3" t="n"/>
      <c r="BE13" s="40">
        <f t="array" ref="BE13">MIN(100, MAX(0,
  IFERROR(_xlfn.XLOOKUP(AT13,'Lookup Tables'!$D$2:$D$6,'Lookup Tables'!$E$2:$E$6,0),0)
  + IFERROR(_xlfn.XLOOKUP(AV13,'Lookup Tables'!$G$2:$G$5,'Lookup Tables'!$H$2:$H$5,0),0)
  + IFERROR(_xlfn.XLOOKUP(AW13,'Lookup Tables'!$J$2:$J$5,'Lookup Tables'!$K$2:$K$5,0),0)
  + _xlfn.IFS(AX13="No Issues",10, AX13="Complaint Filed",3, AX13="Confirmed Breach",-15, TRUE,0)
  + IFERROR(_xlfn.XLOOKUP(AY13,'Lookup Tables'!$M$2:$M$6,'Lookup Tables'!$N$2:$N$6,0),0)
  + IFERROR(_xlfn.XLOOKUP(AZ13,'Lookup Tables'!$P$2:$P$6,'Lookup Tables'!$Q$2:$Q$6,0),0)
  + _xlfn.IFS(BA13="Formal Board Committee",5, BA13="Board Oversight Mentioned",2, TRUE,0)
  + _xlfn.IFS(BB13="Yes — Quantified Targets",5, BB13="Yes — Discretionary Only",2, TRUE,0)
  + _xlfn.IFS(BC13="Reasonable Assurance",5, BC13="Limited Assurance",3, BC13="Management Review Only",1, TRUE,0)
))</f>
        <v/>
      </c>
      <c r="BF13" s="3" t="n"/>
      <c r="BG13" s="3" t="n"/>
      <c r="BH13" s="3" t="n"/>
      <c r="BI13" s="3" t="n"/>
      <c r="BJ13" s="3" t="n"/>
      <c r="BK13" s="3" t="n"/>
      <c r="BL13" s="3" t="n"/>
      <c r="BM13" s="3" t="n"/>
      <c r="BN13" s="3" t="n"/>
      <c r="BO13" s="3" t="n"/>
      <c r="BP13" s="3" t="n"/>
      <c r="BQ13" s="3" t="n"/>
      <c r="BR13" s="3" t="n"/>
      <c r="BS13" s="42">
        <f t="array" ref="BS13">MIN(100, MAX(0,
  IFERROR(_xlfn.XLOOKUP(BG13,'Lookup Tables'!$A$11:$A$16,'Lookup Tables'!$B$11:$B$16,0),0)
  + IFERROR(_xlfn.XLOOKUP(BR13,'Lookup Tables'!$M$11:$M$14,'Lookup Tables'!$N$11:$N$14,0),0)
  + IFERROR(_xlfn.XLOOKUP(BQ13,'Lookup Tables'!$J$11:$J$15,'Lookup Tables'!$K$11:$K$15,0),0)
  + IFERROR(_xlfn.XLOOKUP(BH13,'Lookup Tables'!$D$11:$D$15,'Lookup Tables'!$E$11:$E$15,0),0)
  + IFERROR(_xlfn.XLOOKUP(BJ13,'Lookup Tables'!$G$11:$G$16,'Lookup Tables'!$H$11:$H$16,0),0)
  + IFERROR(_xlfn.XLOOKUP(BN13,'Lookup Tables'!$P$11:$P$15,'Lookup Tables'!$Q$11:$Q$15,0),0)
  + _xlfn.IFS(BM13="No Evidence",10, BM13="Unknown",3, BM13="Likely",0, BM13="Confirmed",-10, TRUE,3)
  + IFERROR(_xlfn.XLOOKUP(BP13,'Lookup Tables'!$J$21:$J$24,'Lookup Tables'!$K$21:$K$24,0),0)
))</f>
        <v/>
      </c>
      <c r="BT13" s="3" t="n"/>
      <c r="BU13" s="3" t="n"/>
      <c r="BV13" s="3" t="n"/>
      <c r="BW13" s="3" t="n"/>
      <c r="BX13" s="3" t="n"/>
      <c r="BY13" s="3" t="n"/>
      <c r="BZ13" s="3" t="n"/>
      <c r="CA13" s="3" t="n"/>
      <c r="CB13" s="3" t="n"/>
      <c r="CC13" s="3" t="n"/>
      <c r="CD13" s="3" t="n"/>
      <c r="CE13" s="44">
        <f t="array" ref="CE13">MIN(100, MAX(0,
  IF(ISNUMBER(BV13)*AND(BV13&gt;0), 10, 0)
  + _xlfn.IFS(BY13="Independently Verified",25, BY13="Yes",15, TRUE,0)
  + IFERROR(_xlfn.XLOOKUP(BZ13,'Lookup Tables'!$A$21:$A$24,'Lookup Tables'!$B$21:$B$24,0),0)
  + IFERROR(_xlfn.XLOOKUP(CA13,'Lookup Tables'!$D$21:$D$24,'Lookup Tables'!$E$21:$E$24,0),0)
  + _xlfn.IFS(ISNUMBER(CB13)*AND(CB13&gt;=11),15, ISNUMBER(CB13)*AND(CB13&gt;=6),10, ISNUMBER(CB13)*AND(CB13&gt;=1),5, TRUE,0)
  + IFERROR(_xlfn.XLOOKUP(CC13,'Lookup Tables'!$G$21:$G$25,'Lookup Tables'!$H$21:$H$25,0),0)
  - IF(ISNUMBER(BW13)*AND(ISNUMBER(BV13))*AND(BW13&gt;BV13), 20, 0)
  - IF(AND(BY13="Yes", ISNUMBER(BW13), BW13&gt;60), 10, 0)
))</f>
        <v/>
      </c>
      <c r="CF13" s="3" t="n"/>
      <c r="CG13" s="3" t="n"/>
      <c r="CH13" s="3" t="n"/>
      <c r="CI13" s="3" t="n"/>
      <c r="CJ13" s="3" t="n"/>
      <c r="CK13" s="3" t="n"/>
      <c r="CL13" s="3" t="n"/>
      <c r="CM13" s="3" t="n"/>
      <c r="CN13" s="3" t="n"/>
      <c r="CO13" s="3" t="n"/>
      <c r="CP13" s="3" t="n"/>
      <c r="CQ13" s="3" t="n"/>
      <c r="CR13" s="3">
        <f>COUNTIF(CJ13:CQ13,"FAIL")</f>
        <v/>
      </c>
      <c r="CS13" s="3">
        <f>COUNTIF(CJ13:CQ13,"PARTIAL")</f>
        <v/>
      </c>
      <c r="CT13" s="3">
        <f>COUNTIF(CJ13:CQ13,"MISSING")</f>
        <v/>
      </c>
      <c r="CU13" s="3">
        <f>MIN(100,
  CR13*15
  + CS13*6
  + CT13*3
  + IFERROR(_xlfn.XLOOKUP(CW13,'Lookup Tables'!$M$21:$M$25,'Lookup Tables'!$N$21:$N$25,0),0)
)</f>
        <v/>
      </c>
      <c r="CV13" s="3">
        <f>IFERROR(
CHOOSE(
MATCH("FAIL",CJ13:CQ13,0),
"1-Specificity","2-Metric","3-Baseline","4-Target",
"5-Time Horizon","6-Scope","7-Verification","8-Consistency"
),
IFERROR(
CHOOSE(
MATCH("PARTIAL",CJ13:CQ13,0),
"1-Specificity","2-Metric","3-Baseline","4-Target",
"5-Time Horizon","6-Scope","7-Verification","8-Consistency"
),
"No failures"
)
)</f>
        <v/>
      </c>
      <c r="CW13" s="3" t="n"/>
      <c r="CX13" s="3" t="n"/>
      <c r="CY13" s="3" t="n"/>
      <c r="CZ13" s="3" t="n"/>
      <c r="DA13" s="3">
        <f>IF(OR(CU13&gt;=50,CW13="Material",CW13="Severe",AS13="Material",AS13="Severe",BF13="Material",BF13="Severe — Exclusion Trigger",AND(ISNUMBER(BS13),BS13&lt;30)),"Yes","No")</f>
        <v/>
      </c>
      <c r="DB13" s="3">
        <f>IF(OR(CR13&gt;=6,AW13="Confirmed Violation",AX13="Confirmed Breach"),"Yes — Automatic",IF(CW13="Severe","Yes — Requires Captain Confirmation","No"))</f>
        <v/>
      </c>
      <c r="DC13" s="3" t="n"/>
      <c r="DD13" s="3" t="n"/>
      <c r="DE13" s="3" t="n"/>
      <c r="DF13" s="3" t="n"/>
      <c r="DG13" s="3" t="n"/>
      <c r="DH13" s="3" t="n"/>
      <c r="DI13" s="3" t="n"/>
      <c r="DJ13" s="3" t="n"/>
      <c r="DK13" s="3" t="n"/>
      <c r="DL13" s="3">
        <f>IF(OR(IFERROR(VALUE(LEFT(DF13,1)),99)&lt;=2,IFERROR(VALUE(LEFT(DG13,1)),99)&lt;=2),"Flagged","Clear")</f>
        <v/>
      </c>
      <c r="DM13" s="3">
        <f>IF(OR(DA13="Yes",DB13&lt;&gt;"No",DH13="Unverified",DL13="Flagged"),"Yes","No")</f>
        <v/>
      </c>
      <c r="DN13" s="3">
        <f t="array" ref="DN13">MIN(100,
  IF(ISNUMBER(V13), _xlfn.IFS(V13&gt;=3,25, V13=2,15, V13=1,5, TRUE,0), 0)
  + IFERROR(_xlfn.IFS(VALUE(LEFT(DF13,1))=5,25, VALUE(LEFT(DF13,1))=4,20, VALUE(LEFT(DF13,1))=3,15, VALUE(LEFT(DF13,1))=2,8, TRUE,0), 15)
  + IFERROR(_xlfn.IFS(VALUE(LEFT(DG13,1))=5,25, VALUE(LEFT(DG13,1))=4,20, VALUE(LEFT(DG13,1))=3,15, VALUE(LEFT(DG13,1))=2,8, TRUE,0), 15)
  + _xlfn.IFS(DH13="Fully Verified",25, DH13="Partially Verified",12, TRUE,0)
)</f>
        <v/>
      </c>
      <c r="DO13" s="3">
        <f t="array" ref="DO13">_xlfn.IFS(
  ISBLANK(AR13), "Insufficient Evidence",
  AND(AR13&gt;=65, AJ13="Approved"), "Strong",
  AR13&gt;=65, "Adequate",
  AR13&gt;=40, "Adequate",
  AR13&gt;=20, "Weak",
  TRUE, "Insufficient Evidence"
)</f>
        <v/>
      </c>
      <c r="DP13" s="3">
        <f t="array" ref="DP13">_xlfn.IFS(
  ISBLANK(BS13), "Insufficient Evidence",
  BS13&gt;=65, "Strong",
  BS13&gt;=40, "Adequate",
  BS13&gt;=20, "Weak",
  TRUE, "Insufficient Evidence"
)</f>
        <v/>
      </c>
      <c r="DQ13" s="3">
        <f t="array" ref="DQ13">_xlfn.IFS(
  ISBLANK(BE13), "Insufficient Evidence",
  OR(AW13="Confirmed Violation", AX13="Confirmed Breach"), "Severe — Hard Trigger",
  BE13&gt;=65, "Strong",
  BE13&gt;=40, "Adequate",
  BE13&gt;=20, "Weak",
  TRUE, "Insufficient Evidence"
)</f>
        <v/>
      </c>
      <c r="DR13" s="3">
        <f t="array" ref="DR13">_xlfn.IFS(
  ISBLANK(CU13), "Insufficient Evidence",
  CU13&lt;=20, "Low Risk",
  CU13&lt;=50, "Moderate Risk",
  CU13&lt;=75, "High Risk",
  TRUE, "Very High Risk"
)</f>
        <v/>
      </c>
      <c r="DS13" s="3">
        <f t="array" ref="DS13">_xlfn.IFS(
  ISBLANK(CE13), "Insufficient Evidence",
  AND(ISNUMBER(BW13),ISNUMBER(BV13),BW13&gt;BV13), "Overclaiming Risk",
  CE13&gt;=65, "Strong",
  CE13&gt;=40, "Adequate",
  TRUE, "Weak"
)</f>
        <v/>
      </c>
      <c r="DT13" s="3">
        <f>IF(DB13="Yes — Automatic",0,ROUND((IF(ISNUMBER(AR13),AR13,0)*0.3+IF(ISNUMBER(BS13),BS13,0)*0.2+IF(ISNUMBER(BE13),BE13,0)*0.2+IF(ISNUMBER(CE13),CE13,0)*0.15+(100-IF(ISNUMBER(CU13),CU13,50))*0.15)*IF(DN13&gt;=75,1,IF(DN13&gt;=50,0.9,IF(DN13&gt;=25,0.75,0.6))),1))</f>
        <v/>
      </c>
      <c r="DU13" s="3">
        <f t="array" ref="DU13">_xlfn.IFS(
  DV13="Upgraded to Clear", "Clear",
  DV13="Downgraded to Watchlist", "Watchlist",
  DV13="Downgraded to Exclusion", "Exclusion Risk",
  DB13="Yes — Automatic", "Exclusion Risk",
  OR(AW13="Confirmed Violation", AX13="Confirmed Breach"), "Exclusion Risk",
  OR(V13=0, ISBLANK(V13), DN13&lt;20), "Insufficient Evidence",
  AND(DT13&gt;=65, DA13="No", DB13="No"), "Clear",
  OR(DT13&gt;=40, DA13="Yes"), "Watchlist",
  TRUE, "Exclusion Risk"
)</f>
        <v/>
      </c>
      <c r="DV13" s="3" t="n"/>
      <c r="DW13" s="3">
        <f t="array" ref="DW13">_xlfn.IFS(
  DU13="Exclusion Risk", "Exclude — Hard Trigger",
  DU13="Insufficient Evidence", "Watchlist — Further Evidence Needed",
  DU13="Watchlist", "Watchlist — Further Evidence Needed",
  AND(DU13="Clear", DT13&gt;=80), "Include — No Conditions",
  DU13="Clear", "Include — Monitor",
  TRUE, "Watchlist — Further Evidence Needed"
)</f>
        <v/>
      </c>
      <c r="DX13" s="3" t="n"/>
      <c r="DY13" s="3" t="n"/>
      <c r="DZ13" s="3" t="n"/>
      <c r="EA13" s="3" t="n"/>
      <c r="EB13" s="3">
        <f>IF(OR(V13=0, ISBLANK(V13)), "MISSING — No sources reviewed", "")</f>
        <v/>
      </c>
      <c r="EC13" s="3">
        <f>IF(AND(NOT(ISBLANK(DC13)), ISBLANK(DE13)), "PAGE REF MISSING", "")</f>
        <v/>
      </c>
    </row>
    <row r="14" ht="18" customHeight="1" s="60">
      <c r="A14" s="5" t="inlineStr">
        <is>
          <t>Terna - Rete Elettrica Nazionale</t>
        </is>
      </c>
      <c r="B14" s="5" t="inlineStr">
        <is>
          <t>UEI</t>
        </is>
      </c>
      <c r="C14" s="5">
        <f>IF(ISBLANK('Universe Tracker'!D10),"",'Universe Tracker'!D10)</f>
        <v/>
      </c>
      <c r="D14" s="5" t="n"/>
      <c r="E14" s="5" t="n"/>
      <c r="F14" s="5">
        <f>IF(ISBLANK('Universe Tracker'!F10),"",'Universe Tracker'!F10)</f>
        <v/>
      </c>
      <c r="G14" s="5">
        <f>IF(ISBLANK('Universe Tracker'!G10),"",'Universe Tracker'!G10)</f>
        <v/>
      </c>
      <c r="H14" s="5" t="n"/>
      <c r="I14" s="5" t="n"/>
      <c r="J14" s="5">
        <f>IF(ISBLANK(B14),"",B14&amp;"_"&amp;C14)</f>
        <v/>
      </c>
      <c r="K14" s="5" t="n"/>
      <c r="L14" s="5" t="n"/>
      <c r="M14" s="5" t="n"/>
      <c r="N14" s="5" t="n"/>
      <c r="O14" s="5" t="n"/>
      <c r="P14" s="5" t="n"/>
      <c r="Q14" s="5" t="n"/>
      <c r="R14" s="5" t="n"/>
      <c r="S14" s="5" t="n"/>
      <c r="T14" s="5" t="n"/>
      <c r="U14" s="5" t="n"/>
      <c r="V14" s="5" t="n"/>
      <c r="W14" s="5" t="n"/>
      <c r="X14" s="5" t="n"/>
      <c r="Y14" s="5">
        <f>IF(AND(V14&gt;=2,K14="Yes",L14="Yes"),"Sufficient",IF(AND(V14&gt;=1,OR(K14="Yes",L14="Yes")),"Thin","Insufficient"))</f>
        <v/>
      </c>
      <c r="Z14" s="5" t="n"/>
      <c r="AA14" s="5" t="n"/>
      <c r="AB14" s="5" t="n"/>
      <c r="AC14" s="5" t="n"/>
      <c r="AD14" s="5" t="n"/>
      <c r="AE14" s="5" t="n"/>
      <c r="AF14" s="5" t="n"/>
      <c r="AG14" s="5" t="n"/>
      <c r="AH14" s="5" t="n"/>
      <c r="AI14" s="5" t="n"/>
      <c r="AJ14" s="5" t="n"/>
      <c r="AK14" s="5" t="n"/>
      <c r="AL14" s="5" t="n"/>
      <c r="AM14" s="5" t="n"/>
      <c r="AN14" s="5" t="n"/>
      <c r="AO14" s="5" t="n"/>
      <c r="AP14" s="5" t="n"/>
      <c r="AQ14" s="5" t="n"/>
      <c r="AR14" s="40">
        <f t="array" ref="AR14">MIN(100, MAX(0,
  IFERROR(_xlfn.XLOOKUP(AJ14,'Lookup Tables'!$A$2:$A$7,'Lookup Tables'!$B$2:$B$7,0),0)
  + IF(Z14="Yes", IF(IFERROR(_xlfn.XLOOKUP(AJ14,'Lookup Tables'!$A$2:$A$7,'Lookup Tables'!$B$2:$B$7,0),0)&lt;20, 5, 0), 0)
  + _xlfn.IFS(AB14="Yes", IF(ISNUMBER(AC14)*AND(AC14&lt;=2030),15,10), AB14="Long-term Only", 5, AB14="No", 0, TRUE, 0)
  + _xlfn.IFS(AF14="Full",10, AF14="Partial",5, AF14="Scope 2 Only",3, TRUE,0)
  + _xlfn.IFS(AG14="Yes", IF(ISNUMBER(AH14)*AND(AH14&gt;=5),10,6), AG14="Partial",4, TRUE,0)
  + _xlfn.IFS(AI14="Yes",5, AI14="Partial (material categories only)",3, TRUE,0)
  + _xlfn.IFS(AL14="Yes — Detailed",10, AL14="Yes — High Level",5, TRUE,0)
  + _xlfn.IFS(AM14="Yes — Quantified",15, AM14="Yes — Directional Only",7, TRUE,0)
  + _xlfn.IFS(AP14="Formal",5, AP14="Referenced",2, TRUE,0)
  + _xlfn.IFS(AQ14="No Issues Found",5, AQ14="Concern Identified",-5, AQ14="Severe Contradiction",-15, TRUE,0)
  + _xlfn.IFS(BC14="Reasonable Assurance",5, BC14="Limited Assurance",3, TRUE,0)
  - IF(AND(Z14="Yes", AI14="No"), 10, 0)
  - IF(AND(Z14="Yes", AM14="No"), 10, 0)
))</f>
        <v/>
      </c>
      <c r="AS14" s="5" t="n"/>
      <c r="AT14" s="5" t="n"/>
      <c r="AU14" s="5" t="n"/>
      <c r="AV14" s="5" t="n"/>
      <c r="AW14" s="5" t="n"/>
      <c r="AX14" s="5" t="n"/>
      <c r="AY14" s="5" t="n"/>
      <c r="AZ14" s="5" t="n"/>
      <c r="BA14" s="5" t="n"/>
      <c r="BB14" s="5" t="n"/>
      <c r="BC14" s="5" t="n"/>
      <c r="BD14" s="5" t="n"/>
      <c r="BE14" s="39">
        <f t="array" ref="BE14">MIN(100, MAX(0,
  IFERROR(_xlfn.XLOOKUP(AT14,'Lookup Tables'!$D$2:$D$6,'Lookup Tables'!$E$2:$E$6,0),0)
  + IFERROR(_xlfn.XLOOKUP(AV14,'Lookup Tables'!$G$2:$G$5,'Lookup Tables'!$H$2:$H$5,0),0)
  + IFERROR(_xlfn.XLOOKUP(AW14,'Lookup Tables'!$J$2:$J$5,'Lookup Tables'!$K$2:$K$5,0),0)
  + _xlfn.IFS(AX14="No Issues",10, AX14="Complaint Filed",3, AX14="Confirmed Breach",-15, TRUE,0)
  + IFERROR(_xlfn.XLOOKUP(AY14,'Lookup Tables'!$M$2:$M$6,'Lookup Tables'!$N$2:$N$6,0),0)
  + IFERROR(_xlfn.XLOOKUP(AZ14,'Lookup Tables'!$P$2:$P$6,'Lookup Tables'!$Q$2:$Q$6,0),0)
  + _xlfn.IFS(BA14="Formal Board Committee",5, BA14="Board Oversight Mentioned",2, TRUE,0)
  + _xlfn.IFS(BB14="Yes — Quantified Targets",5, BB14="Yes — Discretionary Only",2, TRUE,0)
  + _xlfn.IFS(BC14="Reasonable Assurance",5, BC14="Limited Assurance",3, BC14="Management Review Only",1, TRUE,0)
))</f>
        <v/>
      </c>
      <c r="BF14" s="5" t="n"/>
      <c r="BG14" s="5" t="n"/>
      <c r="BH14" s="5" t="n"/>
      <c r="BI14" s="5" t="n"/>
      <c r="BJ14" s="5" t="n"/>
      <c r="BK14" s="5" t="n"/>
      <c r="BL14" s="5" t="n"/>
      <c r="BM14" s="5" t="n"/>
      <c r="BN14" s="5" t="n"/>
      <c r="BO14" s="5" t="n"/>
      <c r="BP14" s="5" t="n"/>
      <c r="BQ14" s="5" t="n"/>
      <c r="BR14" s="5" t="n"/>
      <c r="BS14" s="41">
        <f t="array" ref="BS14">MIN(100, MAX(0,
  IFERROR(_xlfn.XLOOKUP(BG14,'Lookup Tables'!$A$11:$A$16,'Lookup Tables'!$B$11:$B$16,0),0)
  + IFERROR(_xlfn.XLOOKUP(BR14,'Lookup Tables'!$M$11:$M$14,'Lookup Tables'!$N$11:$N$14,0),0)
  + IFERROR(_xlfn.XLOOKUP(BQ14,'Lookup Tables'!$J$11:$J$15,'Lookup Tables'!$K$11:$K$15,0),0)
  + IFERROR(_xlfn.XLOOKUP(BH14,'Lookup Tables'!$D$11:$D$15,'Lookup Tables'!$E$11:$E$15,0),0)
  + IFERROR(_xlfn.XLOOKUP(BJ14,'Lookup Tables'!$G$11:$G$16,'Lookup Tables'!$H$11:$H$16,0),0)
  + IFERROR(_xlfn.XLOOKUP(BN14,'Lookup Tables'!$P$11:$P$15,'Lookup Tables'!$Q$11:$Q$15,0),0)
  + _xlfn.IFS(BM14="No Evidence",10, BM14="Unknown",3, BM14="Likely",0, BM14="Confirmed",-10, TRUE,3)
  + IFERROR(_xlfn.XLOOKUP(BP14,'Lookup Tables'!$J$21:$J$24,'Lookup Tables'!$K$21:$K$24,0),0)
))</f>
        <v/>
      </c>
      <c r="BT14" s="5" t="n"/>
      <c r="BU14" s="5" t="n"/>
      <c r="BV14" s="5" t="n"/>
      <c r="BW14" s="5" t="n"/>
      <c r="BX14" s="5" t="n"/>
      <c r="BY14" s="5" t="n"/>
      <c r="BZ14" s="5" t="n"/>
      <c r="CA14" s="5" t="n"/>
      <c r="CB14" s="5" t="n"/>
      <c r="CC14" s="5" t="n"/>
      <c r="CD14" s="5" t="n"/>
      <c r="CE14" s="43">
        <f t="array" ref="CE14">MIN(100, MAX(0,
  IF(ISNUMBER(BV14)*AND(BV14&gt;0), 10, 0)
  + _xlfn.IFS(BY14="Independently Verified",25, BY14="Yes",15, TRUE,0)
  + IFERROR(_xlfn.XLOOKUP(BZ14,'Lookup Tables'!$A$21:$A$24,'Lookup Tables'!$B$21:$B$24,0),0)
  + IFERROR(_xlfn.XLOOKUP(CA14,'Lookup Tables'!$D$21:$D$24,'Lookup Tables'!$E$21:$E$24,0),0)
  + _xlfn.IFS(ISNUMBER(CB14)*AND(CB14&gt;=11),15, ISNUMBER(CB14)*AND(CB14&gt;=6),10, ISNUMBER(CB14)*AND(CB14&gt;=1),5, TRUE,0)
  + IFERROR(_xlfn.XLOOKUP(CC14,'Lookup Tables'!$G$21:$G$25,'Lookup Tables'!$H$21:$H$25,0),0)
  - IF(ISNUMBER(BW14)*AND(ISNUMBER(BV14))*AND(BW14&gt;BV14), 20, 0)
  - IF(AND(BY14="Yes", ISNUMBER(BW14), BW14&gt;60), 10, 0)
))</f>
        <v/>
      </c>
      <c r="CF14" s="5" t="n"/>
      <c r="CG14" s="5" t="n"/>
      <c r="CH14" s="5" t="n"/>
      <c r="CI14" s="5" t="n"/>
      <c r="CJ14" s="5" t="n"/>
      <c r="CK14" s="5" t="n"/>
      <c r="CL14" s="5" t="n"/>
      <c r="CM14" s="5" t="n"/>
      <c r="CN14" s="5" t="n"/>
      <c r="CO14" s="5" t="n"/>
      <c r="CP14" s="5" t="n"/>
      <c r="CQ14" s="5" t="n"/>
      <c r="CR14" s="5">
        <f>COUNTIF(CJ14:CQ14,"FAIL")</f>
        <v/>
      </c>
      <c r="CS14" s="5">
        <f>COUNTIF(CJ14:CQ14,"PARTIAL")</f>
        <v/>
      </c>
      <c r="CT14" s="5">
        <f>COUNTIF(CJ14:CQ14,"MISSING")</f>
        <v/>
      </c>
      <c r="CU14" s="5">
        <f>MIN(100,
  CR14*15
  + CS14*6
  + CT14*3
  + IFERROR(_xlfn.XLOOKUP(CW14,'Lookup Tables'!$M$21:$M$25,'Lookup Tables'!$N$21:$N$25,0),0)
)</f>
        <v/>
      </c>
      <c r="CV14" s="5">
        <f>IFERROR(
CHOOSE(
MATCH("FAIL",CJ14:CQ14,0),
"1-Specificity","2-Metric","3-Baseline","4-Target",
"5-Time Horizon","6-Scope","7-Verification","8-Consistency"
),
IFERROR(
CHOOSE(
MATCH("PARTIAL",CJ14:CQ14,0),
"1-Specificity","2-Metric","3-Baseline","4-Target",
"5-Time Horizon","6-Scope","7-Verification","8-Consistency"
),
"No failures"
)
)</f>
        <v/>
      </c>
      <c r="CW14" s="5" t="n"/>
      <c r="CX14" s="5" t="n"/>
      <c r="CY14" s="5" t="n"/>
      <c r="CZ14" s="5" t="n"/>
      <c r="DA14" s="5">
        <f>IF(OR(CU14&gt;=50,CW14="Material",CW14="Severe",AS14="Material",AS14="Severe",BF14="Material",BF14="Severe — Exclusion Trigger",AND(ISNUMBER(BS14),BS14&lt;30)),"Yes","No")</f>
        <v/>
      </c>
      <c r="DB14" s="5">
        <f>IF(OR(CR14&gt;=6,AW14="Confirmed Violation",AX14="Confirmed Breach"),"Yes — Automatic",IF(CW14="Severe","Yes — Requires Captain Confirmation","No"))</f>
        <v/>
      </c>
      <c r="DC14" s="5" t="n"/>
      <c r="DD14" s="5" t="n"/>
      <c r="DE14" s="5" t="n"/>
      <c r="DF14" s="5" t="n"/>
      <c r="DG14" s="5" t="n"/>
      <c r="DH14" s="5" t="n"/>
      <c r="DI14" s="5" t="n"/>
      <c r="DJ14" s="5" t="n"/>
      <c r="DK14" s="5" t="n"/>
      <c r="DL14" s="5">
        <f>IF(OR(IFERROR(VALUE(LEFT(DF14,1)),99)&lt;=2,IFERROR(VALUE(LEFT(DG14,1)),99)&lt;=2),"Flagged","Clear")</f>
        <v/>
      </c>
      <c r="DM14" s="5">
        <f>IF(OR(DA14="Yes",DB14&lt;&gt;"No",DH14="Unverified",DL14="Flagged"),"Yes","No")</f>
        <v/>
      </c>
      <c r="DN14" s="5">
        <f t="array" ref="DN14">MIN(100,
  IF(ISNUMBER(V14), _xlfn.IFS(V14&gt;=3,25, V14=2,15, V14=1,5, TRUE,0), 0)
  + IFERROR(_xlfn.IFS(VALUE(LEFT(DF14,1))=5,25, VALUE(LEFT(DF14,1))=4,20, VALUE(LEFT(DF14,1))=3,15, VALUE(LEFT(DF14,1))=2,8, TRUE,0), 15)
  + IFERROR(_xlfn.IFS(VALUE(LEFT(DG14,1))=5,25, VALUE(LEFT(DG14,1))=4,20, VALUE(LEFT(DG14,1))=3,15, VALUE(LEFT(DG14,1))=2,8, TRUE,0), 15)
  + _xlfn.IFS(DH14="Fully Verified",25, DH14="Partially Verified",12, TRUE,0)
)</f>
        <v/>
      </c>
      <c r="DO14" s="5">
        <f t="array" ref="DO14">_xlfn.IFS(
  ISBLANK(AR14), "Insufficient Evidence",
  AND(AR14&gt;=65, AJ14="Approved"), "Strong",
  AR14&gt;=65, "Adequate",
  AR14&gt;=40, "Adequate",
  AR14&gt;=20, "Weak",
  TRUE, "Insufficient Evidence"
)</f>
        <v/>
      </c>
      <c r="DP14" s="5">
        <f t="array" ref="DP14">_xlfn.IFS(
  ISBLANK(BS14), "Insufficient Evidence",
  BS14&gt;=65, "Strong",
  BS14&gt;=40, "Adequate",
  BS14&gt;=20, "Weak",
  TRUE, "Insufficient Evidence"
)</f>
        <v/>
      </c>
      <c r="DQ14" s="5">
        <f t="array" ref="DQ14">_xlfn.IFS(
  ISBLANK(BE14), "Insufficient Evidence",
  OR(AW14="Confirmed Violation", AX14="Confirmed Breach"), "Severe — Hard Trigger",
  BE14&gt;=65, "Strong",
  BE14&gt;=40, "Adequate",
  BE14&gt;=20, "Weak",
  TRUE, "Insufficient Evidence"
)</f>
        <v/>
      </c>
      <c r="DR14" s="5">
        <f t="array" ref="DR14">_xlfn.IFS(
  ISBLANK(CU14), "Insufficient Evidence",
  CU14&lt;=20, "Low Risk",
  CU14&lt;=50, "Moderate Risk",
  CU14&lt;=75, "High Risk",
  TRUE, "Very High Risk"
)</f>
        <v/>
      </c>
      <c r="DS14" s="5">
        <f t="array" ref="DS14">_xlfn.IFS(
  ISBLANK(CE14), "Insufficient Evidence",
  AND(ISNUMBER(BW14),ISNUMBER(BV14),BW14&gt;BV14), "Overclaiming Risk",
  CE14&gt;=65, "Strong",
  CE14&gt;=40, "Adequate",
  TRUE, "Weak"
)</f>
        <v/>
      </c>
      <c r="DT14" s="5">
        <f>IF(DB14="Yes — Automatic",0,ROUND((IF(ISNUMBER(AR14),AR14,0)*0.3+IF(ISNUMBER(BS14),BS14,0)*0.2+IF(ISNUMBER(BE14),BE14,0)*0.2+IF(ISNUMBER(CE14),CE14,0)*0.15+(100-IF(ISNUMBER(CU14),CU14,50))*0.15)*IF(DN14&gt;=75,1,IF(DN14&gt;=50,0.9,IF(DN14&gt;=25,0.75,0.6))),1))</f>
        <v/>
      </c>
      <c r="DU14" s="5">
        <f t="array" ref="DU14">_xlfn.IFS(
  DV14="Upgraded to Clear", "Clear",
  DV14="Downgraded to Watchlist", "Watchlist",
  DV14="Downgraded to Exclusion", "Exclusion Risk",
  DB14="Yes — Automatic", "Exclusion Risk",
  OR(AW14="Confirmed Violation", AX14="Confirmed Breach"), "Exclusion Risk",
  OR(V14=0, ISBLANK(V14), DN14&lt;20), "Insufficient Evidence",
  AND(DT14&gt;=65, DA14="No", DB14="No"), "Clear",
  OR(DT14&gt;=40, DA14="Yes"), "Watchlist",
  TRUE, "Exclusion Risk"
)</f>
        <v/>
      </c>
      <c r="DV14" s="5" t="n"/>
      <c r="DW14" s="5">
        <f t="array" ref="DW14">_xlfn.IFS(
  DU14="Exclusion Risk", "Exclude — Hard Trigger",
  DU14="Insufficient Evidence", "Watchlist — Further Evidence Needed",
  DU14="Watchlist", "Watchlist — Further Evidence Needed",
  AND(DU14="Clear", DT14&gt;=80), "Include — No Conditions",
  DU14="Clear", "Include — Monitor",
  TRUE, "Watchlist — Further Evidence Needed"
)</f>
        <v/>
      </c>
      <c r="DX14" s="5" t="n"/>
      <c r="DY14" s="5" t="n"/>
      <c r="DZ14" s="5" t="n"/>
      <c r="EA14" s="5" t="n"/>
      <c r="EB14" s="5">
        <f>IF(OR(V14=0, ISBLANK(V14)), "MISSING — No sources reviewed", "")</f>
        <v/>
      </c>
      <c r="EC14" s="5">
        <f>IF(AND(NOT(ISBLANK(DC14)), ISBLANK(DE14)), "PAGE REF MISSING", "")</f>
        <v/>
      </c>
    </row>
    <row r="15" ht="18" customHeight="1" s="60">
      <c r="A15" s="3" t="inlineStr">
        <is>
          <t>NatWest Group PLC</t>
        </is>
      </c>
      <c r="B15" s="3" t="inlineStr">
        <is>
          <t>RYSD</t>
        </is>
      </c>
      <c r="C15" s="3">
        <f>IF(ISBLANK('Universe Tracker'!D11),"",'Universe Tracker'!D11)</f>
        <v/>
      </c>
      <c r="D15" s="3" t="n"/>
      <c r="E15" s="3" t="n"/>
      <c r="F15" s="3">
        <f>IF(ISBLANK('Universe Tracker'!F11),"",'Universe Tracker'!F11)</f>
        <v/>
      </c>
      <c r="G15" s="3">
        <f>IF(ISBLANK('Universe Tracker'!G11),"",'Universe Tracker'!G11)</f>
        <v/>
      </c>
      <c r="H15" s="3" t="n"/>
      <c r="I15" s="3" t="n"/>
      <c r="J15" s="3">
        <f>IF(ISBLANK(B15),"",B15&amp;"_"&amp;C15)</f>
        <v/>
      </c>
      <c r="K15" s="3" t="n"/>
      <c r="L15" s="3" t="n"/>
      <c r="M15" s="3" t="n"/>
      <c r="N15" s="3" t="n"/>
      <c r="O15" s="3" t="n"/>
      <c r="P15" s="3" t="n"/>
      <c r="Q15" s="3" t="n"/>
      <c r="R15" s="3" t="n"/>
      <c r="S15" s="3" t="n"/>
      <c r="T15" s="3" t="n"/>
      <c r="U15" s="3" t="n"/>
      <c r="V15" s="3" t="n"/>
      <c r="W15" s="3" t="n"/>
      <c r="X15" s="3" t="n"/>
      <c r="Y15" s="3">
        <f>IF(AND(V15&gt;=2,K15="Yes",L15="Yes"),"Sufficient",IF(AND(V15&gt;=1,OR(K15="Yes",L15="Yes")),"Thin","Insufficient"))</f>
        <v/>
      </c>
      <c r="Z15" s="3" t="n"/>
      <c r="AA15" s="3" t="n"/>
      <c r="AB15" s="3" t="n"/>
      <c r="AC15" s="3" t="n"/>
      <c r="AD15" s="3" t="n"/>
      <c r="AE15" s="3" t="n"/>
      <c r="AF15" s="3" t="n"/>
      <c r="AG15" s="3" t="n"/>
      <c r="AH15" s="3" t="n"/>
      <c r="AI15" s="3" t="n"/>
      <c r="AJ15" s="3" t="n"/>
      <c r="AK15" s="3" t="n"/>
      <c r="AL15" s="3" t="n"/>
      <c r="AM15" s="3" t="n"/>
      <c r="AN15" s="3" t="n"/>
      <c r="AO15" s="3" t="n"/>
      <c r="AP15" s="3" t="n"/>
      <c r="AQ15" s="3" t="n"/>
      <c r="AR15" s="40">
        <f t="array" ref="AR15">MIN(100, MAX(0,
  IFERROR(_xlfn.XLOOKUP(AJ15,'Lookup Tables'!$A$2:$A$7,'Lookup Tables'!$B$2:$B$7,0),0)
  + IF(Z15="Yes", IF(IFERROR(_xlfn.XLOOKUP(AJ15,'Lookup Tables'!$A$2:$A$7,'Lookup Tables'!$B$2:$B$7,0),0)&lt;20, 5, 0), 0)
  + _xlfn.IFS(AB15="Yes", IF(ISNUMBER(AC15)*AND(AC15&lt;=2030),15,10), AB15="Long-term Only", 5, AB15="No", 0, TRUE, 0)
  + _xlfn.IFS(AF15="Full",10, AF15="Partial",5, AF15="Scope 2 Only",3, TRUE,0)
  + _xlfn.IFS(AG15="Yes", IF(ISNUMBER(AH15)*AND(AH15&gt;=5),10,6), AG15="Partial",4, TRUE,0)
  + _xlfn.IFS(AI15="Yes",5, AI15="Partial (material categories only)",3, TRUE,0)
  + _xlfn.IFS(AL15="Yes — Detailed",10, AL15="Yes — High Level",5, TRUE,0)
  + _xlfn.IFS(AM15="Yes — Quantified",15, AM15="Yes — Directional Only",7, TRUE,0)
  + _xlfn.IFS(AP15="Formal",5, AP15="Referenced",2, TRUE,0)
  + _xlfn.IFS(AQ15="No Issues Found",5, AQ15="Concern Identified",-5, AQ15="Severe Contradiction",-15, TRUE,0)
  + _xlfn.IFS(BC15="Reasonable Assurance",5, BC15="Limited Assurance",3, TRUE,0)
  - IF(AND(Z15="Yes", AI15="No"), 10, 0)
  - IF(AND(Z15="Yes", AM15="No"), 10, 0)
))</f>
        <v/>
      </c>
      <c r="AS15" s="3" t="n"/>
      <c r="AT15" s="3" t="n"/>
      <c r="AU15" s="3" t="n"/>
      <c r="AV15" s="3" t="n"/>
      <c r="AW15" s="3" t="n"/>
      <c r="AX15" s="3" t="n"/>
      <c r="AY15" s="3" t="n"/>
      <c r="AZ15" s="3" t="n"/>
      <c r="BA15" s="3" t="n"/>
      <c r="BB15" s="3" t="n"/>
      <c r="BC15" s="3" t="n"/>
      <c r="BD15" s="3" t="n"/>
      <c r="BE15" s="40">
        <f t="array" ref="BE15">MIN(100, MAX(0,
  IFERROR(_xlfn.XLOOKUP(AT15,'Lookup Tables'!$D$2:$D$6,'Lookup Tables'!$E$2:$E$6,0),0)
  + IFERROR(_xlfn.XLOOKUP(AV15,'Lookup Tables'!$G$2:$G$5,'Lookup Tables'!$H$2:$H$5,0),0)
  + IFERROR(_xlfn.XLOOKUP(AW15,'Lookup Tables'!$J$2:$J$5,'Lookup Tables'!$K$2:$K$5,0),0)
  + _xlfn.IFS(AX15="No Issues",10, AX15="Complaint Filed",3, AX15="Confirmed Breach",-15, TRUE,0)
  + IFERROR(_xlfn.XLOOKUP(AY15,'Lookup Tables'!$M$2:$M$6,'Lookup Tables'!$N$2:$N$6,0),0)
  + IFERROR(_xlfn.XLOOKUP(AZ15,'Lookup Tables'!$P$2:$P$6,'Lookup Tables'!$Q$2:$Q$6,0),0)
  + _xlfn.IFS(BA15="Formal Board Committee",5, BA15="Board Oversight Mentioned",2, TRUE,0)
  + _xlfn.IFS(BB15="Yes — Quantified Targets",5, BB15="Yes — Discretionary Only",2, TRUE,0)
  + _xlfn.IFS(BC15="Reasonable Assurance",5, BC15="Limited Assurance",3, BC15="Management Review Only",1, TRUE,0)
))</f>
        <v/>
      </c>
      <c r="BF15" s="3" t="n"/>
      <c r="BG15" s="3" t="n"/>
      <c r="BH15" s="3" t="n"/>
      <c r="BI15" s="3" t="n"/>
      <c r="BJ15" s="3" t="n"/>
      <c r="BK15" s="3" t="n"/>
      <c r="BL15" s="3" t="n"/>
      <c r="BM15" s="3" t="n"/>
      <c r="BN15" s="3" t="n"/>
      <c r="BO15" s="3" t="n"/>
      <c r="BP15" s="3" t="n"/>
      <c r="BQ15" s="3" t="n"/>
      <c r="BR15" s="3" t="n"/>
      <c r="BS15" s="42">
        <f t="array" ref="BS15">MIN(100, MAX(0,
  IFERROR(_xlfn.XLOOKUP(BG15,'Lookup Tables'!$A$11:$A$16,'Lookup Tables'!$B$11:$B$16,0),0)
  + IFERROR(_xlfn.XLOOKUP(BR15,'Lookup Tables'!$M$11:$M$14,'Lookup Tables'!$N$11:$N$14,0),0)
  + IFERROR(_xlfn.XLOOKUP(BQ15,'Lookup Tables'!$J$11:$J$15,'Lookup Tables'!$K$11:$K$15,0),0)
  + IFERROR(_xlfn.XLOOKUP(BH15,'Lookup Tables'!$D$11:$D$15,'Lookup Tables'!$E$11:$E$15,0),0)
  + IFERROR(_xlfn.XLOOKUP(BJ15,'Lookup Tables'!$G$11:$G$16,'Lookup Tables'!$H$11:$H$16,0),0)
  + IFERROR(_xlfn.XLOOKUP(BN15,'Lookup Tables'!$P$11:$P$15,'Lookup Tables'!$Q$11:$Q$15,0),0)
  + _xlfn.IFS(BM15="No Evidence",10, BM15="Unknown",3, BM15="Likely",0, BM15="Confirmed",-10, TRUE,3)
  + IFERROR(_xlfn.XLOOKUP(BP15,'Lookup Tables'!$J$21:$J$24,'Lookup Tables'!$K$21:$K$24,0),0)
))</f>
        <v/>
      </c>
      <c r="BT15" s="3" t="n"/>
      <c r="BU15" s="3" t="n"/>
      <c r="BV15" s="3" t="n"/>
      <c r="BW15" s="3" t="n"/>
      <c r="BX15" s="3" t="n"/>
      <c r="BY15" s="3" t="n"/>
      <c r="BZ15" s="3" t="n"/>
      <c r="CA15" s="3" t="n"/>
      <c r="CB15" s="3" t="n"/>
      <c r="CC15" s="3" t="n"/>
      <c r="CD15" s="3" t="n"/>
      <c r="CE15" s="44">
        <f t="array" ref="CE15">MIN(100, MAX(0,
  IF(ISNUMBER(BV15)*AND(BV15&gt;0), 10, 0)
  + _xlfn.IFS(BY15="Independently Verified",25, BY15="Yes",15, TRUE,0)
  + IFERROR(_xlfn.XLOOKUP(BZ15,'Lookup Tables'!$A$21:$A$24,'Lookup Tables'!$B$21:$B$24,0),0)
  + IFERROR(_xlfn.XLOOKUP(CA15,'Lookup Tables'!$D$21:$D$24,'Lookup Tables'!$E$21:$E$24,0),0)
  + _xlfn.IFS(ISNUMBER(CB15)*AND(CB15&gt;=11),15, ISNUMBER(CB15)*AND(CB15&gt;=6),10, ISNUMBER(CB15)*AND(CB15&gt;=1),5, TRUE,0)
  + IFERROR(_xlfn.XLOOKUP(CC15,'Lookup Tables'!$G$21:$G$25,'Lookup Tables'!$H$21:$H$25,0),0)
  - IF(ISNUMBER(BW15)*AND(ISNUMBER(BV15))*AND(BW15&gt;BV15), 20, 0)
  - IF(AND(BY15="Yes", ISNUMBER(BW15), BW15&gt;60), 10, 0)
))</f>
        <v/>
      </c>
      <c r="CF15" s="3" t="n"/>
      <c r="CG15" s="3" t="n"/>
      <c r="CH15" s="3" t="n"/>
      <c r="CI15" s="3" t="n"/>
      <c r="CJ15" s="3" t="n"/>
      <c r="CK15" s="3" t="n"/>
      <c r="CL15" s="3" t="n"/>
      <c r="CM15" s="3" t="n"/>
      <c r="CN15" s="3" t="n"/>
      <c r="CO15" s="3" t="n"/>
      <c r="CP15" s="3" t="n"/>
      <c r="CQ15" s="3" t="n"/>
      <c r="CR15" s="3">
        <f>COUNTIF(CJ15:CQ15,"FAIL")</f>
        <v/>
      </c>
      <c r="CS15" s="3">
        <f>COUNTIF(CJ15:CQ15,"PARTIAL")</f>
        <v/>
      </c>
      <c r="CT15" s="3">
        <f>COUNTIF(CJ15:CQ15,"MISSING")</f>
        <v/>
      </c>
      <c r="CU15" s="3">
        <f>MIN(100,
  CR15*15
  + CS15*6
  + CT15*3
  + IFERROR(_xlfn.XLOOKUP(CW15,'Lookup Tables'!$M$21:$M$25,'Lookup Tables'!$N$21:$N$25,0),0)
)</f>
        <v/>
      </c>
      <c r="CV15" s="3">
        <f>IFERROR(
CHOOSE(
MATCH("FAIL",CJ15:CQ15,0),
"1-Specificity","2-Metric","3-Baseline","4-Target",
"5-Time Horizon","6-Scope","7-Verification","8-Consistency"
),
IFERROR(
CHOOSE(
MATCH("PARTIAL",CJ15:CQ15,0),
"1-Specificity","2-Metric","3-Baseline","4-Target",
"5-Time Horizon","6-Scope","7-Verification","8-Consistency"
),
"No failures"
)
)</f>
        <v/>
      </c>
      <c r="CW15" s="3" t="n"/>
      <c r="CX15" s="3" t="n"/>
      <c r="CY15" s="3" t="n"/>
      <c r="CZ15" s="3" t="n"/>
      <c r="DA15" s="3">
        <f>IF(OR(CU15&gt;=50,CW15="Material",CW15="Severe",AS15="Material",AS15="Severe",BF15="Material",BF15="Severe — Exclusion Trigger",AND(ISNUMBER(BS15),BS15&lt;30)),"Yes","No")</f>
        <v/>
      </c>
      <c r="DB15" s="3">
        <f>IF(OR(CR15&gt;=6,AW15="Confirmed Violation",AX15="Confirmed Breach"),"Yes — Automatic",IF(CW15="Severe","Yes — Requires Captain Confirmation","No"))</f>
        <v/>
      </c>
      <c r="DC15" s="3" t="n"/>
      <c r="DD15" s="3" t="n"/>
      <c r="DE15" s="3" t="n"/>
      <c r="DF15" s="3" t="n"/>
      <c r="DG15" s="3" t="n"/>
      <c r="DH15" s="3" t="n"/>
      <c r="DI15" s="3" t="n"/>
      <c r="DJ15" s="3" t="n"/>
      <c r="DK15" s="3" t="n"/>
      <c r="DL15" s="3">
        <f>IF(OR(IFERROR(VALUE(LEFT(DF15,1)),99)&lt;=2,IFERROR(VALUE(LEFT(DG15,1)),99)&lt;=2),"Flagged","Clear")</f>
        <v/>
      </c>
      <c r="DM15" s="3">
        <f>IF(OR(DA15="Yes",DB15&lt;&gt;"No",DH15="Unverified",DL15="Flagged"),"Yes","No")</f>
        <v/>
      </c>
      <c r="DN15" s="3">
        <f t="array" ref="DN15">MIN(100,
  IF(ISNUMBER(V15), _xlfn.IFS(V15&gt;=3,25, V15=2,15, V15=1,5, TRUE,0), 0)
  + IFERROR(_xlfn.IFS(VALUE(LEFT(DF15,1))=5,25, VALUE(LEFT(DF15,1))=4,20, VALUE(LEFT(DF15,1))=3,15, VALUE(LEFT(DF15,1))=2,8, TRUE,0), 15)
  + IFERROR(_xlfn.IFS(VALUE(LEFT(DG15,1))=5,25, VALUE(LEFT(DG15,1))=4,20, VALUE(LEFT(DG15,1))=3,15, VALUE(LEFT(DG15,1))=2,8, TRUE,0), 15)
  + _xlfn.IFS(DH15="Fully Verified",25, DH15="Partially Verified",12, TRUE,0)
)</f>
        <v/>
      </c>
      <c r="DO15" s="3">
        <f t="array" ref="DO15">_xlfn.IFS(
  ISBLANK(AR15), "Insufficient Evidence",
  AND(AR15&gt;=65, AJ15="Approved"), "Strong",
  AR15&gt;=65, "Adequate",
  AR15&gt;=40, "Adequate",
  AR15&gt;=20, "Weak",
  TRUE, "Insufficient Evidence"
)</f>
        <v/>
      </c>
      <c r="DP15" s="3">
        <f t="array" ref="DP15">_xlfn.IFS(
  ISBLANK(BS15), "Insufficient Evidence",
  BS15&gt;=65, "Strong",
  BS15&gt;=40, "Adequate",
  BS15&gt;=20, "Weak",
  TRUE, "Insufficient Evidence"
)</f>
        <v/>
      </c>
      <c r="DQ15" s="3">
        <f t="array" ref="DQ15">_xlfn.IFS(
  ISBLANK(BE15), "Insufficient Evidence",
  OR(AW15="Confirmed Violation", AX15="Confirmed Breach"), "Severe — Hard Trigger",
  BE15&gt;=65, "Strong",
  BE15&gt;=40, "Adequate",
  BE15&gt;=20, "Weak",
  TRUE, "Insufficient Evidence"
)</f>
        <v/>
      </c>
      <c r="DR15" s="3">
        <f t="array" ref="DR15">_xlfn.IFS(
  ISBLANK(CU15), "Insufficient Evidence",
  CU15&lt;=20, "Low Risk",
  CU15&lt;=50, "Moderate Risk",
  CU15&lt;=75, "High Risk",
  TRUE, "Very High Risk"
)</f>
        <v/>
      </c>
      <c r="DS15" s="3">
        <f t="array" ref="DS15">_xlfn.IFS(
  ISBLANK(CE15), "Insufficient Evidence",
  AND(ISNUMBER(BW15),ISNUMBER(BV15),BW15&gt;BV15), "Overclaiming Risk",
  CE15&gt;=65, "Strong",
  CE15&gt;=40, "Adequate",
  TRUE, "Weak"
)</f>
        <v/>
      </c>
      <c r="DT15" s="3">
        <f>IF(DB15="Yes — Automatic",0,ROUND((IF(ISNUMBER(AR15),AR15,0)*0.3+IF(ISNUMBER(BS15),BS15,0)*0.2+IF(ISNUMBER(BE15),BE15,0)*0.2+IF(ISNUMBER(CE15),CE15,0)*0.15+(100-IF(ISNUMBER(CU15),CU15,50))*0.15)*IF(DN15&gt;=75,1,IF(DN15&gt;=50,0.9,IF(DN15&gt;=25,0.75,0.6))),1))</f>
        <v/>
      </c>
      <c r="DU15" s="3">
        <f t="array" ref="DU15">_xlfn.IFS(
  DV15="Upgraded to Clear", "Clear",
  DV15="Downgraded to Watchlist", "Watchlist",
  DV15="Downgraded to Exclusion", "Exclusion Risk",
  DB15="Yes — Automatic", "Exclusion Risk",
  OR(AW15="Confirmed Violation", AX15="Confirmed Breach"), "Exclusion Risk",
  OR(V15=0, ISBLANK(V15), DN15&lt;20), "Insufficient Evidence",
  AND(DT15&gt;=65, DA15="No", DB15="No"), "Clear",
  OR(DT15&gt;=40, DA15="Yes"), "Watchlist",
  TRUE, "Exclusion Risk"
)</f>
        <v/>
      </c>
      <c r="DV15" s="3" t="n"/>
      <c r="DW15" s="3">
        <f t="array" ref="DW15">_xlfn.IFS(
  DU15="Exclusion Risk", "Exclude — Hard Trigger",
  DU15="Insufficient Evidence", "Watchlist — Further Evidence Needed",
  DU15="Watchlist", "Watchlist — Further Evidence Needed",
  AND(DU15="Clear", DT15&gt;=80), "Include — No Conditions",
  DU15="Clear", "Include — Monitor",
  TRUE, "Watchlist — Further Evidence Needed"
)</f>
        <v/>
      </c>
      <c r="DX15" s="3" t="n"/>
      <c r="DY15" s="3" t="n"/>
      <c r="DZ15" s="3" t="n"/>
      <c r="EA15" s="3" t="n"/>
      <c r="EB15" s="3">
        <f>IF(OR(V15=0, ISBLANK(V15)), "MISSING — No sources reviewed", "")</f>
        <v/>
      </c>
      <c r="EC15" s="3">
        <f>IF(AND(NOT(ISBLANK(DC15)), ISBLANK(DE15)), "PAGE REF MISSING", "")</f>
        <v/>
      </c>
    </row>
    <row r="16" ht="18" customHeight="1" s="60">
      <c r="A16" s="5" t="inlineStr">
        <is>
          <t>Wartsila OYJ Abp</t>
        </is>
      </c>
      <c r="B16" s="5" t="inlineStr">
        <is>
          <t>MTA</t>
        </is>
      </c>
      <c r="C16" s="5">
        <f>IF(ISBLANK('Universe Tracker'!D12),"",'Universe Tracker'!D12)</f>
        <v/>
      </c>
      <c r="D16" s="5" t="n"/>
      <c r="E16" s="5" t="n"/>
      <c r="F16" s="5">
        <f>IF(ISBLANK('Universe Tracker'!F12),"",'Universe Tracker'!F12)</f>
        <v/>
      </c>
      <c r="G16" s="5">
        <f>IF(ISBLANK('Universe Tracker'!G12),"",'Universe Tracker'!G12)</f>
        <v/>
      </c>
      <c r="H16" s="5" t="n"/>
      <c r="I16" s="5" t="n"/>
      <c r="J16" s="5">
        <f>IF(ISBLANK(B16),"",B16&amp;"_"&amp;C16)</f>
        <v/>
      </c>
      <c r="K16" s="5" t="n"/>
      <c r="L16" s="5" t="n"/>
      <c r="M16" s="5" t="n"/>
      <c r="N16" s="5" t="n"/>
      <c r="O16" s="5" t="n"/>
      <c r="P16" s="5" t="n"/>
      <c r="Q16" s="5" t="n"/>
      <c r="R16" s="5" t="n"/>
      <c r="S16" s="5" t="n"/>
      <c r="T16" s="5" t="n"/>
      <c r="U16" s="5" t="n"/>
      <c r="V16" s="5" t="n"/>
      <c r="W16" s="5" t="n"/>
      <c r="X16" s="5" t="n"/>
      <c r="Y16" s="5">
        <f>IF(AND(V16&gt;=2,K16="Yes",L16="Yes"),"Sufficient",IF(AND(V16&gt;=1,OR(K16="Yes",L16="Yes")),"Thin","Insufficient"))</f>
        <v/>
      </c>
      <c r="Z16" s="5" t="n"/>
      <c r="AA16" s="5" t="n"/>
      <c r="AB16" s="5" t="n"/>
      <c r="AC16" s="5" t="n"/>
      <c r="AD16" s="5" t="n"/>
      <c r="AE16" s="5" t="n"/>
      <c r="AF16" s="5" t="n"/>
      <c r="AG16" s="5" t="n"/>
      <c r="AH16" s="5" t="n"/>
      <c r="AI16" s="5" t="n"/>
      <c r="AJ16" s="5" t="n"/>
      <c r="AK16" s="5" t="n"/>
      <c r="AL16" s="5" t="n"/>
      <c r="AM16" s="5" t="n"/>
      <c r="AN16" s="5" t="n"/>
      <c r="AO16" s="5" t="n"/>
      <c r="AP16" s="5" t="n"/>
      <c r="AQ16" s="5" t="n"/>
      <c r="AR16" s="40">
        <f t="array" ref="AR16">MIN(100, MAX(0,
  IFERROR(_xlfn.XLOOKUP(AJ16,'Lookup Tables'!$A$2:$A$7,'Lookup Tables'!$B$2:$B$7,0),0)
  + IF(Z16="Yes", IF(IFERROR(_xlfn.XLOOKUP(AJ16,'Lookup Tables'!$A$2:$A$7,'Lookup Tables'!$B$2:$B$7,0),0)&lt;20, 5, 0), 0)
  + _xlfn.IFS(AB16="Yes", IF(ISNUMBER(AC16)*AND(AC16&lt;=2030),15,10), AB16="Long-term Only", 5, AB16="No", 0, TRUE, 0)
  + _xlfn.IFS(AF16="Full",10, AF16="Partial",5, AF16="Scope 2 Only",3, TRUE,0)
  + _xlfn.IFS(AG16="Yes", IF(ISNUMBER(AH16)*AND(AH16&gt;=5),10,6), AG16="Partial",4, TRUE,0)
  + _xlfn.IFS(AI16="Yes",5, AI16="Partial (material categories only)",3, TRUE,0)
  + _xlfn.IFS(AL16="Yes — Detailed",10, AL16="Yes — High Level",5, TRUE,0)
  + _xlfn.IFS(AM16="Yes — Quantified",15, AM16="Yes — Directional Only",7, TRUE,0)
  + _xlfn.IFS(AP16="Formal",5, AP16="Referenced",2, TRUE,0)
  + _xlfn.IFS(AQ16="No Issues Found",5, AQ16="Concern Identified",-5, AQ16="Severe Contradiction",-15, TRUE,0)
  + _xlfn.IFS(BC16="Reasonable Assurance",5, BC16="Limited Assurance",3, TRUE,0)
  - IF(AND(Z16="Yes", AI16="No"), 10, 0)
  - IF(AND(Z16="Yes", AM16="No"), 10, 0)
))</f>
        <v/>
      </c>
      <c r="AS16" s="5" t="n"/>
      <c r="AT16" s="5" t="n"/>
      <c r="AU16" s="5" t="n"/>
      <c r="AV16" s="5" t="n"/>
      <c r="AW16" s="5" t="n"/>
      <c r="AX16" s="5" t="n"/>
      <c r="AY16" s="5" t="n"/>
      <c r="AZ16" s="5" t="n"/>
      <c r="BA16" s="5" t="n"/>
      <c r="BB16" s="5" t="n"/>
      <c r="BC16" s="5" t="n"/>
      <c r="BD16" s="5" t="n"/>
      <c r="BE16" s="39">
        <f t="array" ref="BE16">MIN(100, MAX(0,
  IFERROR(_xlfn.XLOOKUP(AT16,'Lookup Tables'!$D$2:$D$6,'Lookup Tables'!$E$2:$E$6,0),0)
  + IFERROR(_xlfn.XLOOKUP(AV16,'Lookup Tables'!$G$2:$G$5,'Lookup Tables'!$H$2:$H$5,0),0)
  + IFERROR(_xlfn.XLOOKUP(AW16,'Lookup Tables'!$J$2:$J$5,'Lookup Tables'!$K$2:$K$5,0),0)
  + _xlfn.IFS(AX16="No Issues",10, AX16="Complaint Filed",3, AX16="Confirmed Breach",-15, TRUE,0)
  + IFERROR(_xlfn.XLOOKUP(AY16,'Lookup Tables'!$M$2:$M$6,'Lookup Tables'!$N$2:$N$6,0),0)
  + IFERROR(_xlfn.XLOOKUP(AZ16,'Lookup Tables'!$P$2:$P$6,'Lookup Tables'!$Q$2:$Q$6,0),0)
  + _xlfn.IFS(BA16="Formal Board Committee",5, BA16="Board Oversight Mentioned",2, TRUE,0)
  + _xlfn.IFS(BB16="Yes — Quantified Targets",5, BB16="Yes — Discretionary Only",2, TRUE,0)
  + _xlfn.IFS(BC16="Reasonable Assurance",5, BC16="Limited Assurance",3, BC16="Management Review Only",1, TRUE,0)
))</f>
        <v/>
      </c>
      <c r="BF16" s="5" t="n"/>
      <c r="BG16" s="5" t="n"/>
      <c r="BH16" s="5" t="n"/>
      <c r="BI16" s="5" t="n"/>
      <c r="BJ16" s="5" t="n"/>
      <c r="BK16" s="5" t="n"/>
      <c r="BL16" s="5" t="n"/>
      <c r="BM16" s="5" t="n"/>
      <c r="BN16" s="5" t="n"/>
      <c r="BO16" s="5" t="n"/>
      <c r="BP16" s="5" t="n"/>
      <c r="BQ16" s="5" t="n"/>
      <c r="BR16" s="5" t="n"/>
      <c r="BS16" s="41">
        <f t="array" ref="BS16">MIN(100, MAX(0,
  IFERROR(_xlfn.XLOOKUP(BG16,'Lookup Tables'!$A$11:$A$16,'Lookup Tables'!$B$11:$B$16,0),0)
  + IFERROR(_xlfn.XLOOKUP(BR16,'Lookup Tables'!$M$11:$M$14,'Lookup Tables'!$N$11:$N$14,0),0)
  + IFERROR(_xlfn.XLOOKUP(BQ16,'Lookup Tables'!$J$11:$J$15,'Lookup Tables'!$K$11:$K$15,0),0)
  + IFERROR(_xlfn.XLOOKUP(BH16,'Lookup Tables'!$D$11:$D$15,'Lookup Tables'!$E$11:$E$15,0),0)
  + IFERROR(_xlfn.XLOOKUP(BJ16,'Lookup Tables'!$G$11:$G$16,'Lookup Tables'!$H$11:$H$16,0),0)
  + IFERROR(_xlfn.XLOOKUP(BN16,'Lookup Tables'!$P$11:$P$15,'Lookup Tables'!$Q$11:$Q$15,0),0)
  + _xlfn.IFS(BM16="No Evidence",10, BM16="Unknown",3, BM16="Likely",0, BM16="Confirmed",-10, TRUE,3)
  + IFERROR(_xlfn.XLOOKUP(BP16,'Lookup Tables'!$J$21:$J$24,'Lookup Tables'!$K$21:$K$24,0),0)
))</f>
        <v/>
      </c>
      <c r="BT16" s="5" t="n"/>
      <c r="BU16" s="5" t="n"/>
      <c r="BV16" s="5" t="n"/>
      <c r="BW16" s="5" t="n"/>
      <c r="BX16" s="5" t="n"/>
      <c r="BY16" s="5" t="n"/>
      <c r="BZ16" s="5" t="n"/>
      <c r="CA16" s="5" t="n"/>
      <c r="CB16" s="5" t="n"/>
      <c r="CC16" s="5" t="n"/>
      <c r="CD16" s="5" t="n"/>
      <c r="CE16" s="43">
        <f t="array" ref="CE16">MIN(100, MAX(0,
  IF(ISNUMBER(BV16)*AND(BV16&gt;0), 10, 0)
  + _xlfn.IFS(BY16="Independently Verified",25, BY16="Yes",15, TRUE,0)
  + IFERROR(_xlfn.XLOOKUP(BZ16,'Lookup Tables'!$A$21:$A$24,'Lookup Tables'!$B$21:$B$24,0),0)
  + IFERROR(_xlfn.XLOOKUP(CA16,'Lookup Tables'!$D$21:$D$24,'Lookup Tables'!$E$21:$E$24,0),0)
  + _xlfn.IFS(ISNUMBER(CB16)*AND(CB16&gt;=11),15, ISNUMBER(CB16)*AND(CB16&gt;=6),10, ISNUMBER(CB16)*AND(CB16&gt;=1),5, TRUE,0)
  + IFERROR(_xlfn.XLOOKUP(CC16,'Lookup Tables'!$G$21:$G$25,'Lookup Tables'!$H$21:$H$25,0),0)
  - IF(ISNUMBER(BW16)*AND(ISNUMBER(BV16))*AND(BW16&gt;BV16), 20, 0)
  - IF(AND(BY16="Yes", ISNUMBER(BW16), BW16&gt;60), 10, 0)
))</f>
        <v/>
      </c>
      <c r="CF16" s="5" t="n"/>
      <c r="CG16" s="5" t="n"/>
      <c r="CH16" s="5" t="n"/>
      <c r="CI16" s="5" t="n"/>
      <c r="CJ16" s="5" t="n"/>
      <c r="CK16" s="5" t="n"/>
      <c r="CL16" s="5" t="n"/>
      <c r="CM16" s="5" t="n"/>
      <c r="CN16" s="5" t="n"/>
      <c r="CO16" s="5" t="n"/>
      <c r="CP16" s="5" t="n"/>
      <c r="CQ16" s="5" t="n"/>
      <c r="CR16" s="5">
        <f>COUNTIF(CJ16:CQ16,"FAIL")</f>
        <v/>
      </c>
      <c r="CS16" s="5">
        <f>COUNTIF(CJ16:CQ16,"PARTIAL")</f>
        <v/>
      </c>
      <c r="CT16" s="5">
        <f>COUNTIF(CJ16:CQ16,"MISSING")</f>
        <v/>
      </c>
      <c r="CU16" s="5">
        <f>MIN(100,
  CR16*15
  + CS16*6
  + CT16*3
  + IFERROR(_xlfn.XLOOKUP(CW16,'Lookup Tables'!$M$21:$M$25,'Lookup Tables'!$N$21:$N$25,0),0)
)</f>
        <v/>
      </c>
      <c r="CV16" s="5">
        <f>IFERROR(
CHOOSE(
MATCH("FAIL",CJ16:CQ16,0),
"1-Specificity","2-Metric","3-Baseline","4-Target",
"5-Time Horizon","6-Scope","7-Verification","8-Consistency"
),
IFERROR(
CHOOSE(
MATCH("PARTIAL",CJ16:CQ16,0),
"1-Specificity","2-Metric","3-Baseline","4-Target",
"5-Time Horizon","6-Scope","7-Verification","8-Consistency"
),
"No failures"
)
)</f>
        <v/>
      </c>
      <c r="CW16" s="5" t="n"/>
      <c r="CX16" s="5" t="n"/>
      <c r="CY16" s="5" t="n"/>
      <c r="CZ16" s="5" t="n"/>
      <c r="DA16" s="5">
        <f>IF(OR(CU16&gt;=50,CW16="Material",CW16="Severe",AS16="Material",AS16="Severe",BF16="Material",BF16="Severe — Exclusion Trigger",AND(ISNUMBER(BS16),BS16&lt;30)),"Yes","No")</f>
        <v/>
      </c>
      <c r="DB16" s="5">
        <f>IF(OR(CR16&gt;=6,AW16="Confirmed Violation",AX16="Confirmed Breach"),"Yes — Automatic",IF(CW16="Severe","Yes — Requires Captain Confirmation","No"))</f>
        <v/>
      </c>
      <c r="DC16" s="5" t="n"/>
      <c r="DD16" s="5" t="n"/>
      <c r="DE16" s="5" t="n"/>
      <c r="DF16" s="5" t="n"/>
      <c r="DG16" s="5" t="n"/>
      <c r="DH16" s="5" t="n"/>
      <c r="DI16" s="5" t="n"/>
      <c r="DJ16" s="5" t="n"/>
      <c r="DK16" s="5" t="n"/>
      <c r="DL16" s="5">
        <f>IF(OR(IFERROR(VALUE(LEFT(DF16,1)),99)&lt;=2,IFERROR(VALUE(LEFT(DG16,1)),99)&lt;=2),"Flagged","Clear")</f>
        <v/>
      </c>
      <c r="DM16" s="5">
        <f>IF(OR(DA16="Yes",DB16&lt;&gt;"No",DH16="Unverified",DL16="Flagged"),"Yes","No")</f>
        <v/>
      </c>
      <c r="DN16" s="5">
        <f t="array" ref="DN16">MIN(100,
  IF(ISNUMBER(V16), _xlfn.IFS(V16&gt;=3,25, V16=2,15, V16=1,5, TRUE,0), 0)
  + IFERROR(_xlfn.IFS(VALUE(LEFT(DF16,1))=5,25, VALUE(LEFT(DF16,1))=4,20, VALUE(LEFT(DF16,1))=3,15, VALUE(LEFT(DF16,1))=2,8, TRUE,0), 15)
  + IFERROR(_xlfn.IFS(VALUE(LEFT(DG16,1))=5,25, VALUE(LEFT(DG16,1))=4,20, VALUE(LEFT(DG16,1))=3,15, VALUE(LEFT(DG16,1))=2,8, TRUE,0), 15)
  + _xlfn.IFS(DH16="Fully Verified",25, DH16="Partially Verified",12, TRUE,0)
)</f>
        <v/>
      </c>
      <c r="DO16" s="5">
        <f t="array" ref="DO16">_xlfn.IFS(
  ISBLANK(AR16), "Insufficient Evidence",
  AND(AR16&gt;=65, AJ16="Approved"), "Strong",
  AR16&gt;=65, "Adequate",
  AR16&gt;=40, "Adequate",
  AR16&gt;=20, "Weak",
  TRUE, "Insufficient Evidence"
)</f>
        <v/>
      </c>
      <c r="DP16" s="5">
        <f t="array" ref="DP16">_xlfn.IFS(
  ISBLANK(BS16), "Insufficient Evidence",
  BS16&gt;=65, "Strong",
  BS16&gt;=40, "Adequate",
  BS16&gt;=20, "Weak",
  TRUE, "Insufficient Evidence"
)</f>
        <v/>
      </c>
      <c r="DQ16" s="5">
        <f t="array" ref="DQ16">_xlfn.IFS(
  ISBLANK(BE16), "Insufficient Evidence",
  OR(AW16="Confirmed Violation", AX16="Confirmed Breach"), "Severe — Hard Trigger",
  BE16&gt;=65, "Strong",
  BE16&gt;=40, "Adequate",
  BE16&gt;=20, "Weak",
  TRUE, "Insufficient Evidence"
)</f>
        <v/>
      </c>
      <c r="DR16" s="5">
        <f t="array" ref="DR16">_xlfn.IFS(
  ISBLANK(CU16), "Insufficient Evidence",
  CU16&lt;=20, "Low Risk",
  CU16&lt;=50, "Moderate Risk",
  CU16&lt;=75, "High Risk",
  TRUE, "Very High Risk"
)</f>
        <v/>
      </c>
      <c r="DS16" s="5">
        <f t="array" ref="DS16">_xlfn.IFS(
  ISBLANK(CE16), "Insufficient Evidence",
  AND(ISNUMBER(BW16),ISNUMBER(BV16),BW16&gt;BV16), "Overclaiming Risk",
  CE16&gt;=65, "Strong",
  CE16&gt;=40, "Adequate",
  TRUE, "Weak"
)</f>
        <v/>
      </c>
      <c r="DT16" s="5">
        <f>IF(DB16="Yes — Automatic",0,ROUND((IF(ISNUMBER(AR16),AR16,0)*0.3+IF(ISNUMBER(BS16),BS16,0)*0.2+IF(ISNUMBER(BE16),BE16,0)*0.2+IF(ISNUMBER(CE16),CE16,0)*0.15+(100-IF(ISNUMBER(CU16),CU16,50))*0.15)*IF(DN16&gt;=75,1,IF(DN16&gt;=50,0.9,IF(DN16&gt;=25,0.75,0.6))),1))</f>
        <v/>
      </c>
      <c r="DU16" s="5">
        <f t="array" ref="DU16">_xlfn.IFS(
  DV16="Upgraded to Clear", "Clear",
  DV16="Downgraded to Watchlist", "Watchlist",
  DV16="Downgraded to Exclusion", "Exclusion Risk",
  DB16="Yes — Automatic", "Exclusion Risk",
  OR(AW16="Confirmed Violation", AX16="Confirmed Breach"), "Exclusion Risk",
  OR(V16=0, ISBLANK(V16), DN16&lt;20), "Insufficient Evidence",
  AND(DT16&gt;=65, DA16="No", DB16="No"), "Clear",
  OR(DT16&gt;=40, DA16="Yes"), "Watchlist",
  TRUE, "Exclusion Risk"
)</f>
        <v/>
      </c>
      <c r="DV16" s="5" t="n"/>
      <c r="DW16" s="5">
        <f t="array" ref="DW16">_xlfn.IFS(
  DU16="Exclusion Risk", "Exclude — Hard Trigger",
  DU16="Insufficient Evidence", "Watchlist — Further Evidence Needed",
  DU16="Watchlist", "Watchlist — Further Evidence Needed",
  AND(DU16="Clear", DT16&gt;=80), "Include — No Conditions",
  DU16="Clear", "Include — Monitor",
  TRUE, "Watchlist — Further Evidence Needed"
)</f>
        <v/>
      </c>
      <c r="DX16" s="5" t="n"/>
      <c r="DY16" s="5" t="n"/>
      <c r="DZ16" s="5" t="n"/>
      <c r="EA16" s="5" t="n"/>
      <c r="EB16" s="5">
        <f>IF(OR(V16=0, ISBLANK(V16)), "MISSING — No sources reviewed", "")</f>
        <v/>
      </c>
      <c r="EC16" s="5">
        <f>IF(AND(NOT(ISBLANK(DC16)), ISBLANK(DE16)), "PAGE REF MISSING", "")</f>
        <v/>
      </c>
    </row>
    <row r="17" ht="18" customHeight="1" s="60">
      <c r="A17" s="3" t="inlineStr">
        <is>
          <t>UniCredit SpA</t>
        </is>
      </c>
      <c r="B17" s="3" t="inlineStr">
        <is>
          <t>CRIN</t>
        </is>
      </c>
      <c r="C17" s="3">
        <f>IF(ISBLANK('Universe Tracker'!D13),"",'Universe Tracker'!D13)</f>
        <v/>
      </c>
      <c r="D17" s="3" t="n"/>
      <c r="E17" s="3" t="n"/>
      <c r="F17" s="3">
        <f>IF(ISBLANK('Universe Tracker'!F13),"",'Universe Tracker'!F13)</f>
        <v/>
      </c>
      <c r="G17" s="3">
        <f>IF(ISBLANK('Universe Tracker'!G13),"",'Universe Tracker'!G13)</f>
        <v/>
      </c>
      <c r="H17" s="3" t="n"/>
      <c r="I17" s="3" t="n"/>
      <c r="J17" s="3">
        <f>IF(ISBLANK(B17),"",B17&amp;"_"&amp;C17)</f>
        <v/>
      </c>
      <c r="K17" s="3" t="n"/>
      <c r="L17" s="3" t="n"/>
      <c r="M17" s="3" t="n"/>
      <c r="N17" s="3" t="n"/>
      <c r="O17" s="3" t="n"/>
      <c r="P17" s="3" t="n"/>
      <c r="Q17" s="3" t="n"/>
      <c r="R17" s="3" t="n"/>
      <c r="S17" s="3" t="n"/>
      <c r="T17" s="3" t="n"/>
      <c r="U17" s="3" t="n"/>
      <c r="V17" s="3" t="n"/>
      <c r="W17" s="3" t="n"/>
      <c r="X17" s="3" t="n"/>
      <c r="Y17" s="3">
        <f>IF(AND(V17&gt;=2,K17="Yes",L17="Yes"),"Sufficient",IF(AND(V17&gt;=1,OR(K17="Yes",L17="Yes")),"Thin","Insufficient"))</f>
        <v/>
      </c>
      <c r="Z17" s="3" t="n"/>
      <c r="AA17" s="3" t="n"/>
      <c r="AB17" s="3" t="n"/>
      <c r="AC17" s="3" t="n"/>
      <c r="AD17" s="3" t="n"/>
      <c r="AE17" s="3" t="n"/>
      <c r="AF17" s="3" t="n"/>
      <c r="AG17" s="3" t="n"/>
      <c r="AH17" s="3" t="n"/>
      <c r="AI17" s="3" t="n"/>
      <c r="AJ17" s="3" t="n"/>
      <c r="AK17" s="3" t="n"/>
      <c r="AL17" s="3" t="n"/>
      <c r="AM17" s="3" t="n"/>
      <c r="AN17" s="3" t="n"/>
      <c r="AO17" s="3" t="n"/>
      <c r="AP17" s="3" t="n"/>
      <c r="AQ17" s="3" t="n"/>
      <c r="AR17" s="40">
        <f t="array" ref="AR17">MIN(100, MAX(0,
  IFERROR(_xlfn.XLOOKUP(AJ17,'Lookup Tables'!$A$2:$A$7,'Lookup Tables'!$B$2:$B$7,0),0)
  + IF(Z17="Yes", IF(IFERROR(_xlfn.XLOOKUP(AJ17,'Lookup Tables'!$A$2:$A$7,'Lookup Tables'!$B$2:$B$7,0),0)&lt;20, 5, 0), 0)
  + _xlfn.IFS(AB17="Yes", IF(ISNUMBER(AC17)*AND(AC17&lt;=2030),15,10), AB17="Long-term Only", 5, AB17="No", 0, TRUE, 0)
  + _xlfn.IFS(AF17="Full",10, AF17="Partial",5, AF17="Scope 2 Only",3, TRUE,0)
  + _xlfn.IFS(AG17="Yes", IF(ISNUMBER(AH17)*AND(AH17&gt;=5),10,6), AG17="Partial",4, TRUE,0)
  + _xlfn.IFS(AI17="Yes",5, AI17="Partial (material categories only)",3, TRUE,0)
  + _xlfn.IFS(AL17="Yes — Detailed",10, AL17="Yes — High Level",5, TRUE,0)
  + _xlfn.IFS(AM17="Yes — Quantified",15, AM17="Yes — Directional Only",7, TRUE,0)
  + _xlfn.IFS(AP17="Formal",5, AP17="Referenced",2, TRUE,0)
  + _xlfn.IFS(AQ17="No Issues Found",5, AQ17="Concern Identified",-5, AQ17="Severe Contradiction",-15, TRUE,0)
  + _xlfn.IFS(BC17="Reasonable Assurance",5, BC17="Limited Assurance",3, TRUE,0)
  - IF(AND(Z17="Yes", AI17="No"), 10, 0)
  - IF(AND(Z17="Yes", AM17="No"), 10, 0)
))</f>
        <v/>
      </c>
      <c r="AS17" s="3" t="n"/>
      <c r="AT17" s="3" t="n"/>
      <c r="AU17" s="3" t="n"/>
      <c r="AV17" s="3" t="n"/>
      <c r="AW17" s="3" t="n"/>
      <c r="AX17" s="3" t="n"/>
      <c r="AY17" s="3" t="n"/>
      <c r="AZ17" s="3" t="n"/>
      <c r="BA17" s="3" t="n"/>
      <c r="BB17" s="3" t="n"/>
      <c r="BC17" s="3" t="n"/>
      <c r="BD17" s="3" t="n"/>
      <c r="BE17" s="40">
        <f t="array" ref="BE17">MIN(100, MAX(0,
  IFERROR(_xlfn.XLOOKUP(AT17,'Lookup Tables'!$D$2:$D$6,'Lookup Tables'!$E$2:$E$6,0),0)
  + IFERROR(_xlfn.XLOOKUP(AV17,'Lookup Tables'!$G$2:$G$5,'Lookup Tables'!$H$2:$H$5,0),0)
  + IFERROR(_xlfn.XLOOKUP(AW17,'Lookup Tables'!$J$2:$J$5,'Lookup Tables'!$K$2:$K$5,0),0)
  + _xlfn.IFS(AX17="No Issues",10, AX17="Complaint Filed",3, AX17="Confirmed Breach",-15, TRUE,0)
  + IFERROR(_xlfn.XLOOKUP(AY17,'Lookup Tables'!$M$2:$M$6,'Lookup Tables'!$N$2:$N$6,0),0)
  + IFERROR(_xlfn.XLOOKUP(AZ17,'Lookup Tables'!$P$2:$P$6,'Lookup Tables'!$Q$2:$Q$6,0),0)
  + _xlfn.IFS(BA17="Formal Board Committee",5, BA17="Board Oversight Mentioned",2, TRUE,0)
  + _xlfn.IFS(BB17="Yes — Quantified Targets",5, BB17="Yes — Discretionary Only",2, TRUE,0)
  + _xlfn.IFS(BC17="Reasonable Assurance",5, BC17="Limited Assurance",3, BC17="Management Review Only",1, TRUE,0)
))</f>
        <v/>
      </c>
      <c r="BF17" s="3" t="n"/>
      <c r="BG17" s="3" t="n"/>
      <c r="BH17" s="3" t="n"/>
      <c r="BI17" s="3" t="n"/>
      <c r="BJ17" s="3" t="n"/>
      <c r="BK17" s="3" t="n"/>
      <c r="BL17" s="3" t="n"/>
      <c r="BM17" s="3" t="n"/>
      <c r="BN17" s="3" t="n"/>
      <c r="BO17" s="3" t="n"/>
      <c r="BP17" s="3" t="n"/>
      <c r="BQ17" s="3" t="n"/>
      <c r="BR17" s="3" t="n"/>
      <c r="BS17" s="42">
        <f t="array" ref="BS17">MIN(100, MAX(0,
  IFERROR(_xlfn.XLOOKUP(BG17,'Lookup Tables'!$A$11:$A$16,'Lookup Tables'!$B$11:$B$16,0),0)
  + IFERROR(_xlfn.XLOOKUP(BR17,'Lookup Tables'!$M$11:$M$14,'Lookup Tables'!$N$11:$N$14,0),0)
  + IFERROR(_xlfn.XLOOKUP(BQ17,'Lookup Tables'!$J$11:$J$15,'Lookup Tables'!$K$11:$K$15,0),0)
  + IFERROR(_xlfn.XLOOKUP(BH17,'Lookup Tables'!$D$11:$D$15,'Lookup Tables'!$E$11:$E$15,0),0)
  + IFERROR(_xlfn.XLOOKUP(BJ17,'Lookup Tables'!$G$11:$G$16,'Lookup Tables'!$H$11:$H$16,0),0)
  + IFERROR(_xlfn.XLOOKUP(BN17,'Lookup Tables'!$P$11:$P$15,'Lookup Tables'!$Q$11:$Q$15,0),0)
  + _xlfn.IFS(BM17="No Evidence",10, BM17="Unknown",3, BM17="Likely",0, BM17="Confirmed",-10, TRUE,3)
  + IFERROR(_xlfn.XLOOKUP(BP17,'Lookup Tables'!$J$21:$J$24,'Lookup Tables'!$K$21:$K$24,0),0)
))</f>
        <v/>
      </c>
      <c r="BT17" s="3" t="n"/>
      <c r="BU17" s="3" t="n"/>
      <c r="BV17" s="3" t="n"/>
      <c r="BW17" s="3" t="n"/>
      <c r="BX17" s="3" t="n"/>
      <c r="BY17" s="3" t="n"/>
      <c r="BZ17" s="3" t="n"/>
      <c r="CA17" s="3" t="n"/>
      <c r="CB17" s="3" t="n"/>
      <c r="CC17" s="3" t="n"/>
      <c r="CD17" s="3" t="n"/>
      <c r="CE17" s="44">
        <f t="array" ref="CE17">MIN(100, MAX(0,
  IF(ISNUMBER(BV17)*AND(BV17&gt;0), 10, 0)
  + _xlfn.IFS(BY17="Independently Verified",25, BY17="Yes",15, TRUE,0)
  + IFERROR(_xlfn.XLOOKUP(BZ17,'Lookup Tables'!$A$21:$A$24,'Lookup Tables'!$B$21:$B$24,0),0)
  + IFERROR(_xlfn.XLOOKUP(CA17,'Lookup Tables'!$D$21:$D$24,'Lookup Tables'!$E$21:$E$24,0),0)
  + _xlfn.IFS(ISNUMBER(CB17)*AND(CB17&gt;=11),15, ISNUMBER(CB17)*AND(CB17&gt;=6),10, ISNUMBER(CB17)*AND(CB17&gt;=1),5, TRUE,0)
  + IFERROR(_xlfn.XLOOKUP(CC17,'Lookup Tables'!$G$21:$G$25,'Lookup Tables'!$H$21:$H$25,0),0)
  - IF(ISNUMBER(BW17)*AND(ISNUMBER(BV17))*AND(BW17&gt;BV17), 20, 0)
  - IF(AND(BY17="Yes", ISNUMBER(BW17), BW17&gt;60), 10, 0)
))</f>
        <v/>
      </c>
      <c r="CF17" s="3" t="n"/>
      <c r="CG17" s="3" t="n"/>
      <c r="CH17" s="3" t="n"/>
      <c r="CI17" s="3" t="n"/>
      <c r="CJ17" s="3" t="n"/>
      <c r="CK17" s="3" t="n"/>
      <c r="CL17" s="3" t="n"/>
      <c r="CM17" s="3" t="n"/>
      <c r="CN17" s="3" t="n"/>
      <c r="CO17" s="3" t="n"/>
      <c r="CP17" s="3" t="n"/>
      <c r="CQ17" s="3" t="n"/>
      <c r="CR17" s="3">
        <f>COUNTIF(CJ17:CQ17,"FAIL")</f>
        <v/>
      </c>
      <c r="CS17" s="3">
        <f>COUNTIF(CJ17:CQ17,"PARTIAL")</f>
        <v/>
      </c>
      <c r="CT17" s="3">
        <f>COUNTIF(CJ17:CQ17,"MISSING")</f>
        <v/>
      </c>
      <c r="CU17" s="3">
        <f>MIN(100,
  CR17*15
  + CS17*6
  + CT17*3
  + IFERROR(_xlfn.XLOOKUP(CW17,'Lookup Tables'!$M$21:$M$25,'Lookup Tables'!$N$21:$N$25,0),0)
)</f>
        <v/>
      </c>
      <c r="CV17" s="3">
        <f>IFERROR(
CHOOSE(
MATCH("FAIL",CJ17:CQ17,0),
"1-Specificity","2-Metric","3-Baseline","4-Target",
"5-Time Horizon","6-Scope","7-Verification","8-Consistency"
),
IFERROR(
CHOOSE(
MATCH("PARTIAL",CJ17:CQ17,0),
"1-Specificity","2-Metric","3-Baseline","4-Target",
"5-Time Horizon","6-Scope","7-Verification","8-Consistency"
),
"No failures"
)
)</f>
        <v/>
      </c>
      <c r="CW17" s="3" t="n"/>
      <c r="CX17" s="3" t="n"/>
      <c r="CY17" s="3" t="n"/>
      <c r="CZ17" s="3" t="n"/>
      <c r="DA17" s="3">
        <f>IF(OR(CU17&gt;=50,CW17="Material",CW17="Severe",AS17="Material",AS17="Severe",BF17="Material",BF17="Severe — Exclusion Trigger",AND(ISNUMBER(BS17),BS17&lt;30)),"Yes","No")</f>
        <v/>
      </c>
      <c r="DB17" s="3">
        <f>IF(OR(CR17&gt;=6,AW17="Confirmed Violation",AX17="Confirmed Breach"),"Yes — Automatic",IF(CW17="Severe","Yes — Requires Captain Confirmation","No"))</f>
        <v/>
      </c>
      <c r="DC17" s="3" t="n"/>
      <c r="DD17" s="3" t="n"/>
      <c r="DE17" s="3" t="n"/>
      <c r="DF17" s="3" t="n"/>
      <c r="DG17" s="3" t="n"/>
      <c r="DH17" s="3" t="n"/>
      <c r="DI17" s="3" t="n"/>
      <c r="DJ17" s="3" t="n"/>
      <c r="DK17" s="3" t="n"/>
      <c r="DL17" s="3">
        <f>IF(OR(IFERROR(VALUE(LEFT(DF17,1)),99)&lt;=2,IFERROR(VALUE(LEFT(DG17,1)),99)&lt;=2),"Flagged","Clear")</f>
        <v/>
      </c>
      <c r="DM17" s="3">
        <f>IF(OR(DA17="Yes",DB17&lt;&gt;"No",DH17="Unverified",DL17="Flagged"),"Yes","No")</f>
        <v/>
      </c>
      <c r="DN17" s="3">
        <f t="array" ref="DN17">MIN(100,
  IF(ISNUMBER(V17), _xlfn.IFS(V17&gt;=3,25, V17=2,15, V17=1,5, TRUE,0), 0)
  + IFERROR(_xlfn.IFS(VALUE(LEFT(DF17,1))=5,25, VALUE(LEFT(DF17,1))=4,20, VALUE(LEFT(DF17,1))=3,15, VALUE(LEFT(DF17,1))=2,8, TRUE,0), 15)
  + IFERROR(_xlfn.IFS(VALUE(LEFT(DG17,1))=5,25, VALUE(LEFT(DG17,1))=4,20, VALUE(LEFT(DG17,1))=3,15, VALUE(LEFT(DG17,1))=2,8, TRUE,0), 15)
  + _xlfn.IFS(DH17="Fully Verified",25, DH17="Partially Verified",12, TRUE,0)
)</f>
        <v/>
      </c>
      <c r="DO17" s="3">
        <f t="array" ref="DO17">_xlfn.IFS(
  ISBLANK(AR17), "Insufficient Evidence",
  AND(AR17&gt;=65, AJ17="Approved"), "Strong",
  AR17&gt;=65, "Adequate",
  AR17&gt;=40, "Adequate",
  AR17&gt;=20, "Weak",
  TRUE, "Insufficient Evidence"
)</f>
        <v/>
      </c>
      <c r="DP17" s="3">
        <f t="array" ref="DP17">_xlfn.IFS(
  ISBLANK(BS17), "Insufficient Evidence",
  BS17&gt;=65, "Strong",
  BS17&gt;=40, "Adequate",
  BS17&gt;=20, "Weak",
  TRUE, "Insufficient Evidence"
)</f>
        <v/>
      </c>
      <c r="DQ17" s="3">
        <f t="array" ref="DQ17">_xlfn.IFS(
  ISBLANK(BE17), "Insufficient Evidence",
  OR(AW17="Confirmed Violation", AX17="Confirmed Breach"), "Severe — Hard Trigger",
  BE17&gt;=65, "Strong",
  BE17&gt;=40, "Adequate",
  BE17&gt;=20, "Weak",
  TRUE, "Insufficient Evidence"
)</f>
        <v/>
      </c>
      <c r="DR17" s="3">
        <f t="array" ref="DR17">_xlfn.IFS(
  ISBLANK(CU17), "Insufficient Evidence",
  CU17&lt;=20, "Low Risk",
  CU17&lt;=50, "Moderate Risk",
  CU17&lt;=75, "High Risk",
  TRUE, "Very High Risk"
)</f>
        <v/>
      </c>
      <c r="DS17" s="3">
        <f t="array" ref="DS17">_xlfn.IFS(
  ISBLANK(CE17), "Insufficient Evidence",
  AND(ISNUMBER(BW17),ISNUMBER(BV17),BW17&gt;BV17), "Overclaiming Risk",
  CE17&gt;=65, "Strong",
  CE17&gt;=40, "Adequate",
  TRUE, "Weak"
)</f>
        <v/>
      </c>
      <c r="DT17" s="3">
        <f>IF(DB17="Yes — Automatic",0,ROUND((IF(ISNUMBER(AR17),AR17,0)*0.3+IF(ISNUMBER(BS17),BS17,0)*0.2+IF(ISNUMBER(BE17),BE17,0)*0.2+IF(ISNUMBER(CE17),CE17,0)*0.15+(100-IF(ISNUMBER(CU17),CU17,50))*0.15)*IF(DN17&gt;=75,1,IF(DN17&gt;=50,0.9,IF(DN17&gt;=25,0.75,0.6))),1))</f>
        <v/>
      </c>
      <c r="DU17" s="3">
        <f t="array" ref="DU17">_xlfn.IFS(
  DV17="Upgraded to Clear", "Clear",
  DV17="Downgraded to Watchlist", "Watchlist",
  DV17="Downgraded to Exclusion", "Exclusion Risk",
  DB17="Yes — Automatic", "Exclusion Risk",
  OR(AW17="Confirmed Violation", AX17="Confirmed Breach"), "Exclusion Risk",
  OR(V17=0, ISBLANK(V17), DN17&lt;20), "Insufficient Evidence",
  AND(DT17&gt;=65, DA17="No", DB17="No"), "Clear",
  OR(DT17&gt;=40, DA17="Yes"), "Watchlist",
  TRUE, "Exclusion Risk"
)</f>
        <v/>
      </c>
      <c r="DV17" s="3" t="n"/>
      <c r="DW17" s="3">
        <f t="array" ref="DW17">_xlfn.IFS(
  DU17="Exclusion Risk", "Exclude — Hard Trigger",
  DU17="Insufficient Evidence", "Watchlist — Further Evidence Needed",
  DU17="Watchlist", "Watchlist — Further Evidence Needed",
  AND(DU17="Clear", DT17&gt;=80), "Include — No Conditions",
  DU17="Clear", "Include — Monitor",
  TRUE, "Watchlist — Further Evidence Needed"
)</f>
        <v/>
      </c>
      <c r="DX17" s="3" t="n"/>
      <c r="DY17" s="3" t="n"/>
      <c r="DZ17" s="3" t="n"/>
      <c r="EA17" s="3" t="n"/>
      <c r="EB17" s="3">
        <f>IF(OR(V17=0, ISBLANK(V17)), "MISSING — No sources reviewed", "")</f>
        <v/>
      </c>
      <c r="EC17" s="3">
        <f>IF(AND(NOT(ISBLANK(DC17)), ISBLANK(DE17)), "PAGE REF MISSING", "")</f>
        <v/>
      </c>
    </row>
    <row r="18" ht="18" customHeight="1" s="60">
      <c r="A18" s="5" t="inlineStr">
        <is>
          <t>Games Workshop Group PLC</t>
        </is>
      </c>
      <c r="B18" s="5" t="inlineStr">
        <is>
          <t>G7W</t>
        </is>
      </c>
      <c r="C18" s="5">
        <f>IF(ISBLANK('Universe Tracker'!D14),"",'Universe Tracker'!D14)</f>
        <v/>
      </c>
      <c r="D18" s="5" t="n"/>
      <c r="E18" s="5" t="n"/>
      <c r="F18" s="5">
        <f>IF(ISBLANK('Universe Tracker'!F14),"",'Universe Tracker'!F14)</f>
        <v/>
      </c>
      <c r="G18" s="5">
        <f>IF(ISBLANK('Universe Tracker'!G14),"",'Universe Tracker'!G14)</f>
        <v/>
      </c>
      <c r="H18" s="5" t="n"/>
      <c r="I18" s="5" t="n"/>
      <c r="J18" s="5">
        <f>IF(ISBLANK(B18),"",B18&amp;"_"&amp;C18)</f>
        <v/>
      </c>
      <c r="K18" s="5" t="n"/>
      <c r="L18" s="5" t="n"/>
      <c r="M18" s="5" t="n"/>
      <c r="N18" s="5" t="n"/>
      <c r="O18" s="5" t="n"/>
      <c r="P18" s="5" t="n"/>
      <c r="Q18" s="5" t="n"/>
      <c r="R18" s="5" t="n"/>
      <c r="S18" s="5" t="n"/>
      <c r="T18" s="5" t="n"/>
      <c r="U18" s="5" t="n"/>
      <c r="V18" s="5" t="n"/>
      <c r="W18" s="5" t="n"/>
      <c r="X18" s="5" t="n"/>
      <c r="Y18" s="5">
        <f>IF(AND(V18&gt;=2,K18="Yes",L18="Yes"),"Sufficient",IF(AND(V18&gt;=1,OR(K18="Yes",L18="Yes")),"Thin","Insufficient"))</f>
        <v/>
      </c>
      <c r="Z18" s="5" t="n"/>
      <c r="AA18" s="5" t="n"/>
      <c r="AB18" s="5" t="n"/>
      <c r="AC18" s="5" t="n"/>
      <c r="AD18" s="5" t="n"/>
      <c r="AE18" s="5" t="n"/>
      <c r="AF18" s="5" t="n"/>
      <c r="AG18" s="5" t="n"/>
      <c r="AH18" s="5" t="n"/>
      <c r="AI18" s="5" t="n"/>
      <c r="AJ18" s="5" t="n"/>
      <c r="AK18" s="5" t="n"/>
      <c r="AL18" s="5" t="n"/>
      <c r="AM18" s="5" t="n"/>
      <c r="AN18" s="5" t="n"/>
      <c r="AO18" s="5" t="n"/>
      <c r="AP18" s="5" t="n"/>
      <c r="AQ18" s="5" t="n"/>
      <c r="AR18" s="40">
        <f t="array" ref="AR18">MIN(100, MAX(0,
  IFERROR(_xlfn.XLOOKUP(AJ18,'Lookup Tables'!$A$2:$A$7,'Lookup Tables'!$B$2:$B$7,0),0)
  + IF(Z18="Yes", IF(IFERROR(_xlfn.XLOOKUP(AJ18,'Lookup Tables'!$A$2:$A$7,'Lookup Tables'!$B$2:$B$7,0),0)&lt;20, 5, 0), 0)
  + _xlfn.IFS(AB18="Yes", IF(ISNUMBER(AC18)*AND(AC18&lt;=2030),15,10), AB18="Long-term Only", 5, AB18="No", 0, TRUE, 0)
  + _xlfn.IFS(AF18="Full",10, AF18="Partial",5, AF18="Scope 2 Only",3, TRUE,0)
  + _xlfn.IFS(AG18="Yes", IF(ISNUMBER(AH18)*AND(AH18&gt;=5),10,6), AG18="Partial",4, TRUE,0)
  + _xlfn.IFS(AI18="Yes",5, AI18="Partial (material categories only)",3, TRUE,0)
  + _xlfn.IFS(AL18="Yes — Detailed",10, AL18="Yes — High Level",5, TRUE,0)
  + _xlfn.IFS(AM18="Yes — Quantified",15, AM18="Yes — Directional Only",7, TRUE,0)
  + _xlfn.IFS(AP18="Formal",5, AP18="Referenced",2, TRUE,0)
  + _xlfn.IFS(AQ18="No Issues Found",5, AQ18="Concern Identified",-5, AQ18="Severe Contradiction",-15, TRUE,0)
  + _xlfn.IFS(BC18="Reasonable Assurance",5, BC18="Limited Assurance",3, TRUE,0)
  - IF(AND(Z18="Yes", AI18="No"), 10, 0)
  - IF(AND(Z18="Yes", AM18="No"), 10, 0)
))</f>
        <v/>
      </c>
      <c r="AS18" s="5" t="n"/>
      <c r="AT18" s="5" t="n"/>
      <c r="AU18" s="5" t="n"/>
      <c r="AV18" s="5" t="n"/>
      <c r="AW18" s="5" t="n"/>
      <c r="AX18" s="5" t="n"/>
      <c r="AY18" s="5" t="n"/>
      <c r="AZ18" s="5" t="n"/>
      <c r="BA18" s="5" t="n"/>
      <c r="BB18" s="5" t="n"/>
      <c r="BC18" s="5" t="n"/>
      <c r="BD18" s="5" t="n"/>
      <c r="BE18" s="39">
        <f t="array" ref="BE18">MIN(100, MAX(0,
  IFERROR(_xlfn.XLOOKUP(AT18,'Lookup Tables'!$D$2:$D$6,'Lookup Tables'!$E$2:$E$6,0),0)
  + IFERROR(_xlfn.XLOOKUP(AV18,'Lookup Tables'!$G$2:$G$5,'Lookup Tables'!$H$2:$H$5,0),0)
  + IFERROR(_xlfn.XLOOKUP(AW18,'Lookup Tables'!$J$2:$J$5,'Lookup Tables'!$K$2:$K$5,0),0)
  + _xlfn.IFS(AX18="No Issues",10, AX18="Complaint Filed",3, AX18="Confirmed Breach",-15, TRUE,0)
  + IFERROR(_xlfn.XLOOKUP(AY18,'Lookup Tables'!$M$2:$M$6,'Lookup Tables'!$N$2:$N$6,0),0)
  + IFERROR(_xlfn.XLOOKUP(AZ18,'Lookup Tables'!$P$2:$P$6,'Lookup Tables'!$Q$2:$Q$6,0),0)
  + _xlfn.IFS(BA18="Formal Board Committee",5, BA18="Board Oversight Mentioned",2, TRUE,0)
  + _xlfn.IFS(BB18="Yes — Quantified Targets",5, BB18="Yes — Discretionary Only",2, TRUE,0)
  + _xlfn.IFS(BC18="Reasonable Assurance",5, BC18="Limited Assurance",3, BC18="Management Review Only",1, TRUE,0)
))</f>
        <v/>
      </c>
      <c r="BF18" s="5" t="n"/>
      <c r="BG18" s="5" t="n"/>
      <c r="BH18" s="5" t="n"/>
      <c r="BI18" s="5" t="n"/>
      <c r="BJ18" s="5" t="n"/>
      <c r="BK18" s="5" t="n"/>
      <c r="BL18" s="5" t="n"/>
      <c r="BM18" s="5" t="n"/>
      <c r="BN18" s="5" t="n"/>
      <c r="BO18" s="5" t="n"/>
      <c r="BP18" s="5" t="n"/>
      <c r="BQ18" s="5" t="n"/>
      <c r="BR18" s="5" t="n"/>
      <c r="BS18" s="41">
        <f t="array" ref="BS18">MIN(100, MAX(0,
  IFERROR(_xlfn.XLOOKUP(BG18,'Lookup Tables'!$A$11:$A$16,'Lookup Tables'!$B$11:$B$16,0),0)
  + IFERROR(_xlfn.XLOOKUP(BR18,'Lookup Tables'!$M$11:$M$14,'Lookup Tables'!$N$11:$N$14,0),0)
  + IFERROR(_xlfn.XLOOKUP(BQ18,'Lookup Tables'!$J$11:$J$15,'Lookup Tables'!$K$11:$K$15,0),0)
  + IFERROR(_xlfn.XLOOKUP(BH18,'Lookup Tables'!$D$11:$D$15,'Lookup Tables'!$E$11:$E$15,0),0)
  + IFERROR(_xlfn.XLOOKUP(BJ18,'Lookup Tables'!$G$11:$G$16,'Lookup Tables'!$H$11:$H$16,0),0)
  + IFERROR(_xlfn.XLOOKUP(BN18,'Lookup Tables'!$P$11:$P$15,'Lookup Tables'!$Q$11:$Q$15,0),0)
  + _xlfn.IFS(BM18="No Evidence",10, BM18="Unknown",3, BM18="Likely",0, BM18="Confirmed",-10, TRUE,3)
  + IFERROR(_xlfn.XLOOKUP(BP18,'Lookup Tables'!$J$21:$J$24,'Lookup Tables'!$K$21:$K$24,0),0)
))</f>
        <v/>
      </c>
      <c r="BT18" s="5" t="n"/>
      <c r="BU18" s="5" t="n"/>
      <c r="BV18" s="5" t="n"/>
      <c r="BW18" s="5" t="n"/>
      <c r="BX18" s="5" t="n"/>
      <c r="BY18" s="5" t="n"/>
      <c r="BZ18" s="5" t="n"/>
      <c r="CA18" s="5" t="n"/>
      <c r="CB18" s="5" t="n"/>
      <c r="CC18" s="5" t="n"/>
      <c r="CD18" s="5" t="n"/>
      <c r="CE18" s="43">
        <f t="array" ref="CE18">MIN(100, MAX(0,
  IF(ISNUMBER(BV18)*AND(BV18&gt;0), 10, 0)
  + _xlfn.IFS(BY18="Independently Verified",25, BY18="Yes",15, TRUE,0)
  + IFERROR(_xlfn.XLOOKUP(BZ18,'Lookup Tables'!$A$21:$A$24,'Lookup Tables'!$B$21:$B$24,0),0)
  + IFERROR(_xlfn.XLOOKUP(CA18,'Lookup Tables'!$D$21:$D$24,'Lookup Tables'!$E$21:$E$24,0),0)
  + _xlfn.IFS(ISNUMBER(CB18)*AND(CB18&gt;=11),15, ISNUMBER(CB18)*AND(CB18&gt;=6),10, ISNUMBER(CB18)*AND(CB18&gt;=1),5, TRUE,0)
  + IFERROR(_xlfn.XLOOKUP(CC18,'Lookup Tables'!$G$21:$G$25,'Lookup Tables'!$H$21:$H$25,0),0)
  - IF(ISNUMBER(BW18)*AND(ISNUMBER(BV18))*AND(BW18&gt;BV18), 20, 0)
  - IF(AND(BY18="Yes", ISNUMBER(BW18), BW18&gt;60), 10, 0)
))</f>
        <v/>
      </c>
      <c r="CF18" s="5" t="n"/>
      <c r="CG18" s="5" t="n"/>
      <c r="CH18" s="5" t="n"/>
      <c r="CI18" s="5" t="n"/>
      <c r="CJ18" s="5" t="n"/>
      <c r="CK18" s="5" t="n"/>
      <c r="CL18" s="5" t="n"/>
      <c r="CM18" s="5" t="n"/>
      <c r="CN18" s="5" t="n"/>
      <c r="CO18" s="5" t="n"/>
      <c r="CP18" s="5" t="n"/>
      <c r="CQ18" s="5" t="n"/>
      <c r="CR18" s="5">
        <f>COUNTIF(CJ18:CQ18,"FAIL")</f>
        <v/>
      </c>
      <c r="CS18" s="5">
        <f>COUNTIF(CJ18:CQ18,"PARTIAL")</f>
        <v/>
      </c>
      <c r="CT18" s="5">
        <f>COUNTIF(CJ18:CQ18,"MISSING")</f>
        <v/>
      </c>
      <c r="CU18" s="5">
        <f>MIN(100,
  CR18*15
  + CS18*6
  + CT18*3
  + IFERROR(_xlfn.XLOOKUP(CW18,'Lookup Tables'!$M$21:$M$25,'Lookup Tables'!$N$21:$N$25,0),0)
)</f>
        <v/>
      </c>
      <c r="CV18" s="5">
        <f>IFERROR(
CHOOSE(
MATCH("FAIL",CJ18:CQ18,0),
"1-Specificity","2-Metric","3-Baseline","4-Target",
"5-Time Horizon","6-Scope","7-Verification","8-Consistency"
),
IFERROR(
CHOOSE(
MATCH("PARTIAL",CJ18:CQ18,0),
"1-Specificity","2-Metric","3-Baseline","4-Target",
"5-Time Horizon","6-Scope","7-Verification","8-Consistency"
),
"No failures"
)
)</f>
        <v/>
      </c>
      <c r="CW18" s="5" t="n"/>
      <c r="CX18" s="5" t="n"/>
      <c r="CY18" s="5" t="n"/>
      <c r="CZ18" s="5" t="n"/>
      <c r="DA18" s="5">
        <f>IF(OR(CU18&gt;=50,CW18="Material",CW18="Severe",AS18="Material",AS18="Severe",BF18="Material",BF18="Severe — Exclusion Trigger",AND(ISNUMBER(BS18),BS18&lt;30)),"Yes","No")</f>
        <v/>
      </c>
      <c r="DB18" s="5">
        <f>IF(OR(CR18&gt;=6,AW18="Confirmed Violation",AX18="Confirmed Breach"),"Yes — Automatic",IF(CW18="Severe","Yes — Requires Captain Confirmation","No"))</f>
        <v/>
      </c>
      <c r="DC18" s="5" t="n"/>
      <c r="DD18" s="5" t="n"/>
      <c r="DE18" s="5" t="n"/>
      <c r="DF18" s="5" t="n"/>
      <c r="DG18" s="5" t="n"/>
      <c r="DH18" s="5" t="n"/>
      <c r="DI18" s="5" t="n"/>
      <c r="DJ18" s="5" t="n"/>
      <c r="DK18" s="5" t="n"/>
      <c r="DL18" s="5">
        <f>IF(OR(IFERROR(VALUE(LEFT(DF18,1)),99)&lt;=2,IFERROR(VALUE(LEFT(DG18,1)),99)&lt;=2),"Flagged","Clear")</f>
        <v/>
      </c>
      <c r="DM18" s="5">
        <f>IF(OR(DA18="Yes",DB18&lt;&gt;"No",DH18="Unverified",DL18="Flagged"),"Yes","No")</f>
        <v/>
      </c>
      <c r="DN18" s="5">
        <f t="array" ref="DN18">MIN(100,
  IF(ISNUMBER(V18), _xlfn.IFS(V18&gt;=3,25, V18=2,15, V18=1,5, TRUE,0), 0)
  + IFERROR(_xlfn.IFS(VALUE(LEFT(DF18,1))=5,25, VALUE(LEFT(DF18,1))=4,20, VALUE(LEFT(DF18,1))=3,15, VALUE(LEFT(DF18,1))=2,8, TRUE,0), 15)
  + IFERROR(_xlfn.IFS(VALUE(LEFT(DG18,1))=5,25, VALUE(LEFT(DG18,1))=4,20, VALUE(LEFT(DG18,1))=3,15, VALUE(LEFT(DG18,1))=2,8, TRUE,0), 15)
  + _xlfn.IFS(DH18="Fully Verified",25, DH18="Partially Verified",12, TRUE,0)
)</f>
        <v/>
      </c>
      <c r="DO18" s="5">
        <f t="array" ref="DO18">_xlfn.IFS(
  ISBLANK(AR18), "Insufficient Evidence",
  AND(AR18&gt;=65, AJ18="Approved"), "Strong",
  AR18&gt;=65, "Adequate",
  AR18&gt;=40, "Adequate",
  AR18&gt;=20, "Weak",
  TRUE, "Insufficient Evidence"
)</f>
        <v/>
      </c>
      <c r="DP18" s="5">
        <f t="array" ref="DP18">_xlfn.IFS(
  ISBLANK(BS18), "Insufficient Evidence",
  BS18&gt;=65, "Strong",
  BS18&gt;=40, "Adequate",
  BS18&gt;=20, "Weak",
  TRUE, "Insufficient Evidence"
)</f>
        <v/>
      </c>
      <c r="DQ18" s="5">
        <f t="array" ref="DQ18">_xlfn.IFS(
  ISBLANK(BE18), "Insufficient Evidence",
  OR(AW18="Confirmed Violation", AX18="Confirmed Breach"), "Severe — Hard Trigger",
  BE18&gt;=65, "Strong",
  BE18&gt;=40, "Adequate",
  BE18&gt;=20, "Weak",
  TRUE, "Insufficient Evidence"
)</f>
        <v/>
      </c>
      <c r="DR18" s="5">
        <f t="array" ref="DR18">_xlfn.IFS(
  ISBLANK(CU18), "Insufficient Evidence",
  CU18&lt;=20, "Low Risk",
  CU18&lt;=50, "Moderate Risk",
  CU18&lt;=75, "High Risk",
  TRUE, "Very High Risk"
)</f>
        <v/>
      </c>
      <c r="DS18" s="5">
        <f t="array" ref="DS18">_xlfn.IFS(
  ISBLANK(CE18), "Insufficient Evidence",
  AND(ISNUMBER(BW18),ISNUMBER(BV18),BW18&gt;BV18), "Overclaiming Risk",
  CE18&gt;=65, "Strong",
  CE18&gt;=40, "Adequate",
  TRUE, "Weak"
)</f>
        <v/>
      </c>
      <c r="DT18" s="5">
        <f>IF(DB18="Yes — Automatic",0,ROUND((IF(ISNUMBER(AR18),AR18,0)*0.3+IF(ISNUMBER(BS18),BS18,0)*0.2+IF(ISNUMBER(BE18),BE18,0)*0.2+IF(ISNUMBER(CE18),CE18,0)*0.15+(100-IF(ISNUMBER(CU18),CU18,50))*0.15)*IF(DN18&gt;=75,1,IF(DN18&gt;=50,0.9,IF(DN18&gt;=25,0.75,0.6))),1))</f>
        <v/>
      </c>
      <c r="DU18" s="5">
        <f t="array" ref="DU18">_xlfn.IFS(
  DV18="Upgraded to Clear", "Clear",
  DV18="Downgraded to Watchlist", "Watchlist",
  DV18="Downgraded to Exclusion", "Exclusion Risk",
  DB18="Yes — Automatic", "Exclusion Risk",
  OR(AW18="Confirmed Violation", AX18="Confirmed Breach"), "Exclusion Risk",
  OR(V18=0, ISBLANK(V18), DN18&lt;20), "Insufficient Evidence",
  AND(DT18&gt;=65, DA18="No", DB18="No"), "Clear",
  OR(DT18&gt;=40, DA18="Yes"), "Watchlist",
  TRUE, "Exclusion Risk"
)</f>
        <v/>
      </c>
      <c r="DV18" s="5" t="n"/>
      <c r="DW18" s="5">
        <f t="array" ref="DW18">_xlfn.IFS(
  DU18="Exclusion Risk", "Exclude — Hard Trigger",
  DU18="Insufficient Evidence", "Watchlist — Further Evidence Needed",
  DU18="Watchlist", "Watchlist — Further Evidence Needed",
  AND(DU18="Clear", DT18&gt;=80), "Include — No Conditions",
  DU18="Clear", "Include — Monitor",
  TRUE, "Watchlist — Further Evidence Needed"
)</f>
        <v/>
      </c>
      <c r="DX18" s="5" t="n"/>
      <c r="DY18" s="5" t="n"/>
      <c r="DZ18" s="5" t="n"/>
      <c r="EA18" s="5" t="n"/>
      <c r="EB18" s="5">
        <f>IF(OR(V18=0, ISBLANK(V18)), "MISSING — No sources reviewed", "")</f>
        <v/>
      </c>
      <c r="EC18" s="5">
        <f>IF(AND(NOT(ISBLANK(DC18)), ISBLANK(DE18)), "PAGE REF MISSING", "")</f>
        <v/>
      </c>
    </row>
    <row r="19" ht="18" customHeight="1" s="60">
      <c r="A19" s="3" t="inlineStr">
        <is>
          <t>3i Group PLC</t>
        </is>
      </c>
      <c r="B19" s="3" t="inlineStr">
        <is>
          <t>IGQ5</t>
        </is>
      </c>
      <c r="C19" s="3">
        <f>IF(ISBLANK('Universe Tracker'!D15),"",'Universe Tracker'!D15)</f>
        <v/>
      </c>
      <c r="D19" s="3" t="n"/>
      <c r="E19" s="3" t="n"/>
      <c r="F19" s="3">
        <f>IF(ISBLANK('Universe Tracker'!F15),"",'Universe Tracker'!F15)</f>
        <v/>
      </c>
      <c r="G19" s="3">
        <f>IF(ISBLANK('Universe Tracker'!G15),"",'Universe Tracker'!G15)</f>
        <v/>
      </c>
      <c r="H19" s="3" t="n"/>
      <c r="I19" s="3" t="n"/>
      <c r="J19" s="3">
        <f>IF(ISBLANK(B19),"",B19&amp;"_"&amp;C19)</f>
        <v/>
      </c>
      <c r="K19" s="3" t="n"/>
      <c r="L19" s="3" t="n"/>
      <c r="M19" s="3" t="n"/>
      <c r="N19" s="3" t="n"/>
      <c r="O19" s="3" t="n"/>
      <c r="P19" s="3" t="n"/>
      <c r="Q19" s="3" t="n"/>
      <c r="R19" s="3" t="n"/>
      <c r="S19" s="3" t="n"/>
      <c r="T19" s="3" t="n"/>
      <c r="U19" s="3" t="n"/>
      <c r="V19" s="3" t="n"/>
      <c r="W19" s="3" t="n"/>
      <c r="X19" s="3" t="n"/>
      <c r="Y19" s="3">
        <f>IF(AND(V19&gt;=2,K19="Yes",L19="Yes"),"Sufficient",IF(AND(V19&gt;=1,OR(K19="Yes",L19="Yes")),"Thin","Insufficient"))</f>
        <v/>
      </c>
      <c r="Z19" s="3" t="n"/>
      <c r="AA19" s="3" t="n"/>
      <c r="AB19" s="3" t="n"/>
      <c r="AC19" s="3" t="n"/>
      <c r="AD19" s="3" t="n"/>
      <c r="AE19" s="3" t="n"/>
      <c r="AF19" s="3" t="n"/>
      <c r="AG19" s="3" t="n"/>
      <c r="AH19" s="3" t="n"/>
      <c r="AI19" s="3" t="n"/>
      <c r="AJ19" s="3" t="n"/>
      <c r="AK19" s="3" t="n"/>
      <c r="AL19" s="3" t="n"/>
      <c r="AM19" s="3" t="n"/>
      <c r="AN19" s="3" t="n"/>
      <c r="AO19" s="3" t="n"/>
      <c r="AP19" s="3" t="n"/>
      <c r="AQ19" s="3" t="n"/>
      <c r="AR19" s="40">
        <f t="array" ref="AR19">MIN(100, MAX(0,
  IFERROR(_xlfn.XLOOKUP(AJ19,'Lookup Tables'!$A$2:$A$7,'Lookup Tables'!$B$2:$B$7,0),0)
  + IF(Z19="Yes", IF(IFERROR(_xlfn.XLOOKUP(AJ19,'Lookup Tables'!$A$2:$A$7,'Lookup Tables'!$B$2:$B$7,0),0)&lt;20, 5, 0), 0)
  + _xlfn.IFS(AB19="Yes", IF(ISNUMBER(AC19)*AND(AC19&lt;=2030),15,10), AB19="Long-term Only", 5, AB19="No", 0, TRUE, 0)
  + _xlfn.IFS(AF19="Full",10, AF19="Partial",5, AF19="Scope 2 Only",3, TRUE,0)
  + _xlfn.IFS(AG19="Yes", IF(ISNUMBER(AH19)*AND(AH19&gt;=5),10,6), AG19="Partial",4, TRUE,0)
  + _xlfn.IFS(AI19="Yes",5, AI19="Partial (material categories only)",3, TRUE,0)
  + _xlfn.IFS(AL19="Yes — Detailed",10, AL19="Yes — High Level",5, TRUE,0)
  + _xlfn.IFS(AM19="Yes — Quantified",15, AM19="Yes — Directional Only",7, TRUE,0)
  + _xlfn.IFS(AP19="Formal",5, AP19="Referenced",2, TRUE,0)
  + _xlfn.IFS(AQ19="No Issues Found",5, AQ19="Concern Identified",-5, AQ19="Severe Contradiction",-15, TRUE,0)
  + _xlfn.IFS(BC19="Reasonable Assurance",5, BC19="Limited Assurance",3, TRUE,0)
  - IF(AND(Z19="Yes", AI19="No"), 10, 0)
  - IF(AND(Z19="Yes", AM19="No"), 10, 0)
))</f>
        <v/>
      </c>
      <c r="AS19" s="3" t="n"/>
      <c r="AT19" s="3" t="n"/>
      <c r="AU19" s="3" t="n"/>
      <c r="AV19" s="3" t="n"/>
      <c r="AW19" s="3" t="n"/>
      <c r="AX19" s="3" t="n"/>
      <c r="AY19" s="3" t="n"/>
      <c r="AZ19" s="3" t="n"/>
      <c r="BA19" s="3" t="n"/>
      <c r="BB19" s="3" t="n"/>
      <c r="BC19" s="3" t="n"/>
      <c r="BD19" s="3" t="n"/>
      <c r="BE19" s="40">
        <f t="array" ref="BE19">MIN(100, MAX(0,
  IFERROR(_xlfn.XLOOKUP(AT19,'Lookup Tables'!$D$2:$D$6,'Lookup Tables'!$E$2:$E$6,0),0)
  + IFERROR(_xlfn.XLOOKUP(AV19,'Lookup Tables'!$G$2:$G$5,'Lookup Tables'!$H$2:$H$5,0),0)
  + IFERROR(_xlfn.XLOOKUP(AW19,'Lookup Tables'!$J$2:$J$5,'Lookup Tables'!$K$2:$K$5,0),0)
  + _xlfn.IFS(AX19="No Issues",10, AX19="Complaint Filed",3, AX19="Confirmed Breach",-15, TRUE,0)
  + IFERROR(_xlfn.XLOOKUP(AY19,'Lookup Tables'!$M$2:$M$6,'Lookup Tables'!$N$2:$N$6,0),0)
  + IFERROR(_xlfn.XLOOKUP(AZ19,'Lookup Tables'!$P$2:$P$6,'Lookup Tables'!$Q$2:$Q$6,0),0)
  + _xlfn.IFS(BA19="Formal Board Committee",5, BA19="Board Oversight Mentioned",2, TRUE,0)
  + _xlfn.IFS(BB19="Yes — Quantified Targets",5, BB19="Yes — Discretionary Only",2, TRUE,0)
  + _xlfn.IFS(BC19="Reasonable Assurance",5, BC19="Limited Assurance",3, BC19="Management Review Only",1, TRUE,0)
))</f>
        <v/>
      </c>
      <c r="BF19" s="3" t="n"/>
      <c r="BG19" s="3" t="n"/>
      <c r="BH19" s="3" t="n"/>
      <c r="BI19" s="3" t="n"/>
      <c r="BJ19" s="3" t="n"/>
      <c r="BK19" s="3" t="n"/>
      <c r="BL19" s="3" t="n"/>
      <c r="BM19" s="3" t="n"/>
      <c r="BN19" s="3" t="n"/>
      <c r="BO19" s="3" t="n"/>
      <c r="BP19" s="3" t="n"/>
      <c r="BQ19" s="3" t="n"/>
      <c r="BR19" s="3" t="n"/>
      <c r="BS19" s="42">
        <f t="array" ref="BS19">MIN(100, MAX(0,
  IFERROR(_xlfn.XLOOKUP(BG19,'Lookup Tables'!$A$11:$A$16,'Lookup Tables'!$B$11:$B$16,0),0)
  + IFERROR(_xlfn.XLOOKUP(BR19,'Lookup Tables'!$M$11:$M$14,'Lookup Tables'!$N$11:$N$14,0),0)
  + IFERROR(_xlfn.XLOOKUP(BQ19,'Lookup Tables'!$J$11:$J$15,'Lookup Tables'!$K$11:$K$15,0),0)
  + IFERROR(_xlfn.XLOOKUP(BH19,'Lookup Tables'!$D$11:$D$15,'Lookup Tables'!$E$11:$E$15,0),0)
  + IFERROR(_xlfn.XLOOKUP(BJ19,'Lookup Tables'!$G$11:$G$16,'Lookup Tables'!$H$11:$H$16,0),0)
  + IFERROR(_xlfn.XLOOKUP(BN19,'Lookup Tables'!$P$11:$P$15,'Lookup Tables'!$Q$11:$Q$15,0),0)
  + _xlfn.IFS(BM19="No Evidence",10, BM19="Unknown",3, BM19="Likely",0, BM19="Confirmed",-10, TRUE,3)
  + IFERROR(_xlfn.XLOOKUP(BP19,'Lookup Tables'!$J$21:$J$24,'Lookup Tables'!$K$21:$K$24,0),0)
))</f>
        <v/>
      </c>
      <c r="BT19" s="3" t="n"/>
      <c r="BU19" s="3" t="n"/>
      <c r="BV19" s="3" t="n"/>
      <c r="BW19" s="3" t="n"/>
      <c r="BX19" s="3" t="n"/>
      <c r="BY19" s="3" t="n"/>
      <c r="BZ19" s="3" t="n"/>
      <c r="CA19" s="3" t="n"/>
      <c r="CB19" s="3" t="n"/>
      <c r="CC19" s="3" t="n"/>
      <c r="CD19" s="3" t="n"/>
      <c r="CE19" s="44">
        <f t="array" ref="CE19">MIN(100, MAX(0,
  IF(ISNUMBER(BV19)*AND(BV19&gt;0), 10, 0)
  + _xlfn.IFS(BY19="Independently Verified",25, BY19="Yes",15, TRUE,0)
  + IFERROR(_xlfn.XLOOKUP(BZ19,'Lookup Tables'!$A$21:$A$24,'Lookup Tables'!$B$21:$B$24,0),0)
  + IFERROR(_xlfn.XLOOKUP(CA19,'Lookup Tables'!$D$21:$D$24,'Lookup Tables'!$E$21:$E$24,0),0)
  + _xlfn.IFS(ISNUMBER(CB19)*AND(CB19&gt;=11),15, ISNUMBER(CB19)*AND(CB19&gt;=6),10, ISNUMBER(CB19)*AND(CB19&gt;=1),5, TRUE,0)
  + IFERROR(_xlfn.XLOOKUP(CC19,'Lookup Tables'!$G$21:$G$25,'Lookup Tables'!$H$21:$H$25,0),0)
  - IF(ISNUMBER(BW19)*AND(ISNUMBER(BV19))*AND(BW19&gt;BV19), 20, 0)
  - IF(AND(BY19="Yes", ISNUMBER(BW19), BW19&gt;60), 10, 0)
))</f>
        <v/>
      </c>
      <c r="CF19" s="3" t="n"/>
      <c r="CG19" s="3" t="n"/>
      <c r="CH19" s="3" t="n"/>
      <c r="CI19" s="3" t="n"/>
      <c r="CJ19" s="3" t="n"/>
      <c r="CK19" s="3" t="n"/>
      <c r="CL19" s="3" t="n"/>
      <c r="CM19" s="3" t="n"/>
      <c r="CN19" s="3" t="n"/>
      <c r="CO19" s="3" t="n"/>
      <c r="CP19" s="3" t="n"/>
      <c r="CQ19" s="3" t="n"/>
      <c r="CR19" s="3">
        <f>COUNTIF(CJ19:CQ19,"FAIL")</f>
        <v/>
      </c>
      <c r="CS19" s="3">
        <f>COUNTIF(CJ19:CQ19,"PARTIAL")</f>
        <v/>
      </c>
      <c r="CT19" s="3">
        <f>COUNTIF(CJ19:CQ19,"MISSING")</f>
        <v/>
      </c>
      <c r="CU19" s="3">
        <f>MIN(100,
  CR19*15
  + CS19*6
  + CT19*3
  + IFERROR(_xlfn.XLOOKUP(CW19,'Lookup Tables'!$M$21:$M$25,'Lookup Tables'!$N$21:$N$25,0),0)
)</f>
        <v/>
      </c>
      <c r="CV19" s="3">
        <f>IFERROR(
CHOOSE(
MATCH("FAIL",CJ19:CQ19,0),
"1-Specificity","2-Metric","3-Baseline","4-Target",
"5-Time Horizon","6-Scope","7-Verification","8-Consistency"
),
IFERROR(
CHOOSE(
MATCH("PARTIAL",CJ19:CQ19,0),
"1-Specificity","2-Metric","3-Baseline","4-Target",
"5-Time Horizon","6-Scope","7-Verification","8-Consistency"
),
"No failures"
)
)</f>
        <v/>
      </c>
      <c r="CW19" s="3" t="n"/>
      <c r="CX19" s="3" t="n"/>
      <c r="CY19" s="3" t="n"/>
      <c r="CZ19" s="3" t="n"/>
      <c r="DA19" s="3">
        <f>IF(OR(CU19&gt;=50,CW19="Material",CW19="Severe",AS19="Material",AS19="Severe",BF19="Material",BF19="Severe — Exclusion Trigger",AND(ISNUMBER(BS19),BS19&lt;30)),"Yes","No")</f>
        <v/>
      </c>
      <c r="DB19" s="3">
        <f>IF(OR(CR19&gt;=6,AW19="Confirmed Violation",AX19="Confirmed Breach"),"Yes — Automatic",IF(CW19="Severe","Yes — Requires Captain Confirmation","No"))</f>
        <v/>
      </c>
      <c r="DC19" s="3" t="n"/>
      <c r="DD19" s="3" t="n"/>
      <c r="DE19" s="3" t="n"/>
      <c r="DF19" s="3" t="n"/>
      <c r="DG19" s="3" t="n"/>
      <c r="DH19" s="3" t="n"/>
      <c r="DI19" s="3" t="n"/>
      <c r="DJ19" s="3" t="n"/>
      <c r="DK19" s="3" t="n"/>
      <c r="DL19" s="3">
        <f>IF(OR(IFERROR(VALUE(LEFT(DF19,1)),99)&lt;=2,IFERROR(VALUE(LEFT(DG19,1)),99)&lt;=2),"Flagged","Clear")</f>
        <v/>
      </c>
      <c r="DM19" s="3">
        <f>IF(OR(DA19="Yes",DB19&lt;&gt;"No",DH19="Unverified",DL19="Flagged"),"Yes","No")</f>
        <v/>
      </c>
      <c r="DN19" s="3">
        <f t="array" ref="DN19">MIN(100,
  IF(ISNUMBER(V19), _xlfn.IFS(V19&gt;=3,25, V19=2,15, V19=1,5, TRUE,0), 0)
  + IFERROR(_xlfn.IFS(VALUE(LEFT(DF19,1))=5,25, VALUE(LEFT(DF19,1))=4,20, VALUE(LEFT(DF19,1))=3,15, VALUE(LEFT(DF19,1))=2,8, TRUE,0), 15)
  + IFERROR(_xlfn.IFS(VALUE(LEFT(DG19,1))=5,25, VALUE(LEFT(DG19,1))=4,20, VALUE(LEFT(DG19,1))=3,15, VALUE(LEFT(DG19,1))=2,8, TRUE,0), 15)
  + _xlfn.IFS(DH19="Fully Verified",25, DH19="Partially Verified",12, TRUE,0)
)</f>
        <v/>
      </c>
      <c r="DO19" s="3">
        <f t="array" ref="DO19">_xlfn.IFS(
  ISBLANK(AR19), "Insufficient Evidence",
  AND(AR19&gt;=65, AJ19="Approved"), "Strong",
  AR19&gt;=65, "Adequate",
  AR19&gt;=40, "Adequate",
  AR19&gt;=20, "Weak",
  TRUE, "Insufficient Evidence"
)</f>
        <v/>
      </c>
      <c r="DP19" s="3">
        <f t="array" ref="DP19">_xlfn.IFS(
  ISBLANK(BS19), "Insufficient Evidence",
  BS19&gt;=65, "Strong",
  BS19&gt;=40, "Adequate",
  BS19&gt;=20, "Weak",
  TRUE, "Insufficient Evidence"
)</f>
        <v/>
      </c>
      <c r="DQ19" s="3">
        <f t="array" ref="DQ19">_xlfn.IFS(
  ISBLANK(BE19), "Insufficient Evidence",
  OR(AW19="Confirmed Violation", AX19="Confirmed Breach"), "Severe — Hard Trigger",
  BE19&gt;=65, "Strong",
  BE19&gt;=40, "Adequate",
  BE19&gt;=20, "Weak",
  TRUE, "Insufficient Evidence"
)</f>
        <v/>
      </c>
      <c r="DR19" s="3">
        <f t="array" ref="DR19">_xlfn.IFS(
  ISBLANK(CU19), "Insufficient Evidence",
  CU19&lt;=20, "Low Risk",
  CU19&lt;=50, "Moderate Risk",
  CU19&lt;=75, "High Risk",
  TRUE, "Very High Risk"
)</f>
        <v/>
      </c>
      <c r="DS19" s="3">
        <f t="array" ref="DS19">_xlfn.IFS(
  ISBLANK(CE19), "Insufficient Evidence",
  AND(ISNUMBER(BW19),ISNUMBER(BV19),BW19&gt;BV19), "Overclaiming Risk",
  CE19&gt;=65, "Strong",
  CE19&gt;=40, "Adequate",
  TRUE, "Weak"
)</f>
        <v/>
      </c>
      <c r="DT19" s="3">
        <f>IF(DB19="Yes — Automatic",0,ROUND((IF(ISNUMBER(AR19),AR19,0)*0.3+IF(ISNUMBER(BS19),BS19,0)*0.2+IF(ISNUMBER(BE19),BE19,0)*0.2+IF(ISNUMBER(CE19),CE19,0)*0.15+(100-IF(ISNUMBER(CU19),CU19,50))*0.15)*IF(DN19&gt;=75,1,IF(DN19&gt;=50,0.9,IF(DN19&gt;=25,0.75,0.6))),1))</f>
        <v/>
      </c>
      <c r="DU19" s="3">
        <f t="array" ref="DU19">_xlfn.IFS(
  DV19="Upgraded to Clear", "Clear",
  DV19="Downgraded to Watchlist", "Watchlist",
  DV19="Downgraded to Exclusion", "Exclusion Risk",
  DB19="Yes — Automatic", "Exclusion Risk",
  OR(AW19="Confirmed Violation", AX19="Confirmed Breach"), "Exclusion Risk",
  OR(V19=0, ISBLANK(V19), DN19&lt;20), "Insufficient Evidence",
  AND(DT19&gt;=65, DA19="No", DB19="No"), "Clear",
  OR(DT19&gt;=40, DA19="Yes"), "Watchlist",
  TRUE, "Exclusion Risk"
)</f>
        <v/>
      </c>
      <c r="DV19" s="3" t="n"/>
      <c r="DW19" s="3">
        <f t="array" ref="DW19">_xlfn.IFS(
  DU19="Exclusion Risk", "Exclude — Hard Trigger",
  DU19="Insufficient Evidence", "Watchlist — Further Evidence Needed",
  DU19="Watchlist", "Watchlist — Further Evidence Needed",
  AND(DU19="Clear", DT19&gt;=80), "Include — No Conditions",
  DU19="Clear", "Include — Monitor",
  TRUE, "Watchlist — Further Evidence Needed"
)</f>
        <v/>
      </c>
      <c r="DX19" s="3" t="n"/>
      <c r="DY19" s="3" t="n"/>
      <c r="DZ19" s="3" t="n"/>
      <c r="EA19" s="3" t="n"/>
      <c r="EB19" s="3">
        <f>IF(OR(V19=0, ISBLANK(V19)), "MISSING — No sources reviewed", "")</f>
        <v/>
      </c>
      <c r="EC19" s="3">
        <f>IF(AND(NOT(ISBLANK(DC19)), ISBLANK(DE19)), "PAGE REF MISSING", "")</f>
        <v/>
      </c>
    </row>
    <row r="20" ht="18" customHeight="1" s="60">
      <c r="A20" s="5" t="inlineStr">
        <is>
          <t>Powszechna Kasa Oszczednosci Bank Polski SA</t>
        </is>
      </c>
      <c r="B20" s="5" t="inlineStr">
        <is>
          <t>P9O</t>
        </is>
      </c>
      <c r="C20" s="5">
        <f>IF(ISBLANK('Universe Tracker'!D16),"",'Universe Tracker'!D16)</f>
        <v/>
      </c>
      <c r="D20" s="5" t="n"/>
      <c r="E20" s="5" t="n"/>
      <c r="F20" s="5">
        <f>IF(ISBLANK('Universe Tracker'!F16),"",'Universe Tracker'!F16)</f>
        <v/>
      </c>
      <c r="G20" s="5">
        <f>IF(ISBLANK('Universe Tracker'!G16),"",'Universe Tracker'!G16)</f>
        <v/>
      </c>
      <c r="H20" s="5" t="n"/>
      <c r="I20" s="5" t="n"/>
      <c r="J20" s="5">
        <f>IF(ISBLANK(B20),"",B20&amp;"_"&amp;C20)</f>
        <v/>
      </c>
      <c r="K20" s="5" t="n"/>
      <c r="L20" s="5" t="n"/>
      <c r="M20" s="5" t="n"/>
      <c r="N20" s="5" t="n"/>
      <c r="O20" s="5" t="n"/>
      <c r="P20" s="5" t="n"/>
      <c r="Q20" s="5" t="n"/>
      <c r="R20" s="5" t="n"/>
      <c r="S20" s="5" t="n"/>
      <c r="T20" s="5" t="n"/>
      <c r="U20" s="5" t="n"/>
      <c r="V20" s="5" t="n"/>
      <c r="W20" s="5" t="n"/>
      <c r="X20" s="5" t="n"/>
      <c r="Y20" s="5">
        <f>IF(AND(V20&gt;=2,K20="Yes",L20="Yes"),"Sufficient",IF(AND(V20&gt;=1,OR(K20="Yes",L20="Yes")),"Thin","Insufficient"))</f>
        <v/>
      </c>
      <c r="Z20" s="5" t="n"/>
      <c r="AA20" s="5" t="n"/>
      <c r="AB20" s="5" t="n"/>
      <c r="AC20" s="5" t="n"/>
      <c r="AD20" s="5" t="n"/>
      <c r="AE20" s="5" t="n"/>
      <c r="AF20" s="5" t="n"/>
      <c r="AG20" s="5" t="n"/>
      <c r="AH20" s="5" t="n"/>
      <c r="AI20" s="5" t="n"/>
      <c r="AJ20" s="5" t="n"/>
      <c r="AK20" s="5" t="n"/>
      <c r="AL20" s="5" t="n"/>
      <c r="AM20" s="5" t="n"/>
      <c r="AN20" s="5" t="n"/>
      <c r="AO20" s="5" t="n"/>
      <c r="AP20" s="5" t="n"/>
      <c r="AQ20" s="5" t="n"/>
      <c r="AR20" s="40">
        <f t="array" ref="AR20">MIN(100, MAX(0,
  IFERROR(_xlfn.XLOOKUP(AJ20,'Lookup Tables'!$A$2:$A$7,'Lookup Tables'!$B$2:$B$7,0),0)
  + IF(Z20="Yes", IF(IFERROR(_xlfn.XLOOKUP(AJ20,'Lookup Tables'!$A$2:$A$7,'Lookup Tables'!$B$2:$B$7,0),0)&lt;20, 5, 0), 0)
  + _xlfn.IFS(AB20="Yes", IF(ISNUMBER(AC20)*AND(AC20&lt;=2030),15,10), AB20="Long-term Only", 5, AB20="No", 0, TRUE, 0)
  + _xlfn.IFS(AF20="Full",10, AF20="Partial",5, AF20="Scope 2 Only",3, TRUE,0)
  + _xlfn.IFS(AG20="Yes", IF(ISNUMBER(AH20)*AND(AH20&gt;=5),10,6), AG20="Partial",4, TRUE,0)
  + _xlfn.IFS(AI20="Yes",5, AI20="Partial (material categories only)",3, TRUE,0)
  + _xlfn.IFS(AL20="Yes — Detailed",10, AL20="Yes — High Level",5, TRUE,0)
  + _xlfn.IFS(AM20="Yes — Quantified",15, AM20="Yes — Directional Only",7, TRUE,0)
  + _xlfn.IFS(AP20="Formal",5, AP20="Referenced",2, TRUE,0)
  + _xlfn.IFS(AQ20="No Issues Found",5, AQ20="Concern Identified",-5, AQ20="Severe Contradiction",-15, TRUE,0)
  + _xlfn.IFS(BC20="Reasonable Assurance",5, BC20="Limited Assurance",3, TRUE,0)
  - IF(AND(Z20="Yes", AI20="No"), 10, 0)
  - IF(AND(Z20="Yes", AM20="No"), 10, 0)
))</f>
        <v/>
      </c>
      <c r="AS20" s="5" t="n"/>
      <c r="AT20" s="5" t="n"/>
      <c r="AU20" s="5" t="n"/>
      <c r="AV20" s="5" t="n"/>
      <c r="AW20" s="5" t="n"/>
      <c r="AX20" s="5" t="n"/>
      <c r="AY20" s="5" t="n"/>
      <c r="AZ20" s="5" t="n"/>
      <c r="BA20" s="5" t="n"/>
      <c r="BB20" s="5" t="n"/>
      <c r="BC20" s="5" t="n"/>
      <c r="BD20" s="5" t="n"/>
      <c r="BE20" s="39">
        <f t="array" ref="BE20">MIN(100, MAX(0,
  IFERROR(_xlfn.XLOOKUP(AT20,'Lookup Tables'!$D$2:$D$6,'Lookup Tables'!$E$2:$E$6,0),0)
  + IFERROR(_xlfn.XLOOKUP(AV20,'Lookup Tables'!$G$2:$G$5,'Lookup Tables'!$H$2:$H$5,0),0)
  + IFERROR(_xlfn.XLOOKUP(AW20,'Lookup Tables'!$J$2:$J$5,'Lookup Tables'!$K$2:$K$5,0),0)
  + _xlfn.IFS(AX20="No Issues",10, AX20="Complaint Filed",3, AX20="Confirmed Breach",-15, TRUE,0)
  + IFERROR(_xlfn.XLOOKUP(AY20,'Lookup Tables'!$M$2:$M$6,'Lookup Tables'!$N$2:$N$6,0),0)
  + IFERROR(_xlfn.XLOOKUP(AZ20,'Lookup Tables'!$P$2:$P$6,'Lookup Tables'!$Q$2:$Q$6,0),0)
  + _xlfn.IFS(BA20="Formal Board Committee",5, BA20="Board Oversight Mentioned",2, TRUE,0)
  + _xlfn.IFS(BB20="Yes — Quantified Targets",5, BB20="Yes — Discretionary Only",2, TRUE,0)
  + _xlfn.IFS(BC20="Reasonable Assurance",5, BC20="Limited Assurance",3, BC20="Management Review Only",1, TRUE,0)
))</f>
        <v/>
      </c>
      <c r="BF20" s="5" t="n"/>
      <c r="BG20" s="5" t="n"/>
      <c r="BH20" s="5" t="n"/>
      <c r="BI20" s="5" t="n"/>
      <c r="BJ20" s="5" t="n"/>
      <c r="BK20" s="5" t="n"/>
      <c r="BL20" s="5" t="n"/>
      <c r="BM20" s="5" t="n"/>
      <c r="BN20" s="5" t="n"/>
      <c r="BO20" s="5" t="n"/>
      <c r="BP20" s="5" t="n"/>
      <c r="BQ20" s="5" t="n"/>
      <c r="BR20" s="5" t="n"/>
      <c r="BS20" s="41">
        <f t="array" ref="BS20">MIN(100, MAX(0,
  IFERROR(_xlfn.XLOOKUP(BG20,'Lookup Tables'!$A$11:$A$16,'Lookup Tables'!$B$11:$B$16,0),0)
  + IFERROR(_xlfn.XLOOKUP(BR20,'Lookup Tables'!$M$11:$M$14,'Lookup Tables'!$N$11:$N$14,0),0)
  + IFERROR(_xlfn.XLOOKUP(BQ20,'Lookup Tables'!$J$11:$J$15,'Lookup Tables'!$K$11:$K$15,0),0)
  + IFERROR(_xlfn.XLOOKUP(BH20,'Lookup Tables'!$D$11:$D$15,'Lookup Tables'!$E$11:$E$15,0),0)
  + IFERROR(_xlfn.XLOOKUP(BJ20,'Lookup Tables'!$G$11:$G$16,'Lookup Tables'!$H$11:$H$16,0),0)
  + IFERROR(_xlfn.XLOOKUP(BN20,'Lookup Tables'!$P$11:$P$15,'Lookup Tables'!$Q$11:$Q$15,0),0)
  + _xlfn.IFS(BM20="No Evidence",10, BM20="Unknown",3, BM20="Likely",0, BM20="Confirmed",-10, TRUE,3)
  + IFERROR(_xlfn.XLOOKUP(BP20,'Lookup Tables'!$J$21:$J$24,'Lookup Tables'!$K$21:$K$24,0),0)
))</f>
        <v/>
      </c>
      <c r="BT20" s="5" t="n"/>
      <c r="BU20" s="5" t="n"/>
      <c r="BV20" s="5" t="n"/>
      <c r="BW20" s="5" t="n"/>
      <c r="BX20" s="5" t="n"/>
      <c r="BY20" s="5" t="n"/>
      <c r="BZ20" s="5" t="n"/>
      <c r="CA20" s="5" t="n"/>
      <c r="CB20" s="5" t="n"/>
      <c r="CC20" s="5" t="n"/>
      <c r="CD20" s="5" t="n"/>
      <c r="CE20" s="43">
        <f t="array" ref="CE20">MIN(100, MAX(0,
  IF(ISNUMBER(BV20)*AND(BV20&gt;0), 10, 0)
  + _xlfn.IFS(BY20="Independently Verified",25, BY20="Yes",15, TRUE,0)
  + IFERROR(_xlfn.XLOOKUP(BZ20,'Lookup Tables'!$A$21:$A$24,'Lookup Tables'!$B$21:$B$24,0),0)
  + IFERROR(_xlfn.XLOOKUP(CA20,'Lookup Tables'!$D$21:$D$24,'Lookup Tables'!$E$21:$E$24,0),0)
  + _xlfn.IFS(ISNUMBER(CB20)*AND(CB20&gt;=11),15, ISNUMBER(CB20)*AND(CB20&gt;=6),10, ISNUMBER(CB20)*AND(CB20&gt;=1),5, TRUE,0)
  + IFERROR(_xlfn.XLOOKUP(CC20,'Lookup Tables'!$G$21:$G$25,'Lookup Tables'!$H$21:$H$25,0),0)
  - IF(ISNUMBER(BW20)*AND(ISNUMBER(BV20))*AND(BW20&gt;BV20), 20, 0)
  - IF(AND(BY20="Yes", ISNUMBER(BW20), BW20&gt;60), 10, 0)
))</f>
        <v/>
      </c>
      <c r="CF20" s="5" t="n"/>
      <c r="CG20" s="5" t="n"/>
      <c r="CH20" s="5" t="n"/>
      <c r="CI20" s="5" t="n"/>
      <c r="CJ20" s="5" t="n"/>
      <c r="CK20" s="5" t="n"/>
      <c r="CL20" s="5" t="n"/>
      <c r="CM20" s="5" t="n"/>
      <c r="CN20" s="5" t="n"/>
      <c r="CO20" s="5" t="n"/>
      <c r="CP20" s="5" t="n"/>
      <c r="CQ20" s="5" t="n"/>
      <c r="CR20" s="5">
        <f>COUNTIF(CJ20:CQ20,"FAIL")</f>
        <v/>
      </c>
      <c r="CS20" s="5">
        <f>COUNTIF(CJ20:CQ20,"PARTIAL")</f>
        <v/>
      </c>
      <c r="CT20" s="5">
        <f>COUNTIF(CJ20:CQ20,"MISSING")</f>
        <v/>
      </c>
      <c r="CU20" s="5">
        <f>MIN(100,
  CR20*15
  + CS20*6
  + CT20*3
  + IFERROR(_xlfn.XLOOKUP(CW20,'Lookup Tables'!$M$21:$M$25,'Lookup Tables'!$N$21:$N$25,0),0)
)</f>
        <v/>
      </c>
      <c r="CV20" s="5">
        <f>IFERROR(
CHOOSE(
MATCH("FAIL",CJ20:CQ20,0),
"1-Specificity","2-Metric","3-Baseline","4-Target",
"5-Time Horizon","6-Scope","7-Verification","8-Consistency"
),
IFERROR(
CHOOSE(
MATCH("PARTIAL",CJ20:CQ20,0),
"1-Specificity","2-Metric","3-Baseline","4-Target",
"5-Time Horizon","6-Scope","7-Verification","8-Consistency"
),
"No failures"
)
)</f>
        <v/>
      </c>
      <c r="CW20" s="5" t="n"/>
      <c r="CX20" s="5" t="n"/>
      <c r="CY20" s="5" t="n"/>
      <c r="CZ20" s="5" t="n"/>
      <c r="DA20" s="5">
        <f>IF(OR(CU20&gt;=50,CW20="Material",CW20="Severe",AS20="Material",AS20="Severe",BF20="Material",BF20="Severe — Exclusion Trigger",AND(ISNUMBER(BS20),BS20&lt;30)),"Yes","No")</f>
        <v/>
      </c>
      <c r="DB20" s="5">
        <f>IF(OR(CR20&gt;=6,AW20="Confirmed Violation",AX20="Confirmed Breach"),"Yes — Automatic",IF(CW20="Severe","Yes — Requires Captain Confirmation","No"))</f>
        <v/>
      </c>
      <c r="DC20" s="5" t="n"/>
      <c r="DD20" s="5" t="n"/>
      <c r="DE20" s="5" t="n"/>
      <c r="DF20" s="5" t="n"/>
      <c r="DG20" s="5" t="n"/>
      <c r="DH20" s="5" t="n"/>
      <c r="DI20" s="5" t="n"/>
      <c r="DJ20" s="5" t="n"/>
      <c r="DK20" s="5" t="n"/>
      <c r="DL20" s="5">
        <f>IF(OR(IFERROR(VALUE(LEFT(DF20,1)),99)&lt;=2,IFERROR(VALUE(LEFT(DG20,1)),99)&lt;=2),"Flagged","Clear")</f>
        <v/>
      </c>
      <c r="DM20" s="5">
        <f>IF(OR(DA20="Yes",DB20&lt;&gt;"No",DH20="Unverified",DL20="Flagged"),"Yes","No")</f>
        <v/>
      </c>
      <c r="DN20" s="5">
        <f t="array" ref="DN20">MIN(100,
  IF(ISNUMBER(V20), _xlfn.IFS(V20&gt;=3,25, V20=2,15, V20=1,5, TRUE,0), 0)
  + IFERROR(_xlfn.IFS(VALUE(LEFT(DF20,1))=5,25, VALUE(LEFT(DF20,1))=4,20, VALUE(LEFT(DF20,1))=3,15, VALUE(LEFT(DF20,1))=2,8, TRUE,0), 15)
  + IFERROR(_xlfn.IFS(VALUE(LEFT(DG20,1))=5,25, VALUE(LEFT(DG20,1))=4,20, VALUE(LEFT(DG20,1))=3,15, VALUE(LEFT(DG20,1))=2,8, TRUE,0), 15)
  + _xlfn.IFS(DH20="Fully Verified",25, DH20="Partially Verified",12, TRUE,0)
)</f>
        <v/>
      </c>
      <c r="DO20" s="5">
        <f t="array" ref="DO20">_xlfn.IFS(
  ISBLANK(AR20), "Insufficient Evidence",
  AND(AR20&gt;=65, AJ20="Approved"), "Strong",
  AR20&gt;=65, "Adequate",
  AR20&gt;=40, "Adequate",
  AR20&gt;=20, "Weak",
  TRUE, "Insufficient Evidence"
)</f>
        <v/>
      </c>
      <c r="DP20" s="5">
        <f t="array" ref="DP20">_xlfn.IFS(
  ISBLANK(BS20), "Insufficient Evidence",
  BS20&gt;=65, "Strong",
  BS20&gt;=40, "Adequate",
  BS20&gt;=20, "Weak",
  TRUE, "Insufficient Evidence"
)</f>
        <v/>
      </c>
      <c r="DQ20" s="5">
        <f t="array" ref="DQ20">_xlfn.IFS(
  ISBLANK(BE20), "Insufficient Evidence",
  OR(AW20="Confirmed Violation", AX20="Confirmed Breach"), "Severe — Hard Trigger",
  BE20&gt;=65, "Strong",
  BE20&gt;=40, "Adequate",
  BE20&gt;=20, "Weak",
  TRUE, "Insufficient Evidence"
)</f>
        <v/>
      </c>
      <c r="DR20" s="5">
        <f t="array" ref="DR20">_xlfn.IFS(
  ISBLANK(CU20), "Insufficient Evidence",
  CU20&lt;=20, "Low Risk",
  CU20&lt;=50, "Moderate Risk",
  CU20&lt;=75, "High Risk",
  TRUE, "Very High Risk"
)</f>
        <v/>
      </c>
      <c r="DS20" s="5">
        <f t="array" ref="DS20">_xlfn.IFS(
  ISBLANK(CE20), "Insufficient Evidence",
  AND(ISNUMBER(BW20),ISNUMBER(BV20),BW20&gt;BV20), "Overclaiming Risk",
  CE20&gt;=65, "Strong",
  CE20&gt;=40, "Adequate",
  TRUE, "Weak"
)</f>
        <v/>
      </c>
      <c r="DT20" s="5">
        <f>IF(DB20="Yes — Automatic",0,ROUND((IF(ISNUMBER(AR20),AR20,0)*0.3+IF(ISNUMBER(BS20),BS20,0)*0.2+IF(ISNUMBER(BE20),BE20,0)*0.2+IF(ISNUMBER(CE20),CE20,0)*0.15+(100-IF(ISNUMBER(CU20),CU20,50))*0.15)*IF(DN20&gt;=75,1,IF(DN20&gt;=50,0.9,IF(DN20&gt;=25,0.75,0.6))),1))</f>
        <v/>
      </c>
      <c r="DU20" s="5">
        <f t="array" ref="DU20">_xlfn.IFS(
  DV20="Upgraded to Clear", "Clear",
  DV20="Downgraded to Watchlist", "Watchlist",
  DV20="Downgraded to Exclusion", "Exclusion Risk",
  DB20="Yes — Automatic", "Exclusion Risk",
  OR(AW20="Confirmed Violation", AX20="Confirmed Breach"), "Exclusion Risk",
  OR(V20=0, ISBLANK(V20), DN20&lt;20), "Insufficient Evidence",
  AND(DT20&gt;=65, DA20="No", DB20="No"), "Clear",
  OR(DT20&gt;=40, DA20="Yes"), "Watchlist",
  TRUE, "Exclusion Risk"
)</f>
        <v/>
      </c>
      <c r="DV20" s="5" t="n"/>
      <c r="DW20" s="5">
        <f t="array" ref="DW20">_xlfn.IFS(
  DU20="Exclusion Risk", "Exclude — Hard Trigger",
  DU20="Insufficient Evidence", "Watchlist — Further Evidence Needed",
  DU20="Watchlist", "Watchlist — Further Evidence Needed",
  AND(DU20="Clear", DT20&gt;=80), "Include — No Conditions",
  DU20="Clear", "Include — Monitor",
  TRUE, "Watchlist — Further Evidence Needed"
)</f>
        <v/>
      </c>
      <c r="DX20" s="5" t="n"/>
      <c r="DY20" s="5" t="n"/>
      <c r="DZ20" s="5" t="n"/>
      <c r="EA20" s="5" t="n"/>
      <c r="EB20" s="5">
        <f>IF(OR(V20=0, ISBLANK(V20)), "MISSING — No sources reviewed", "")</f>
        <v/>
      </c>
      <c r="EC20" s="5">
        <f>IF(AND(NOT(ISBLANK(DC20)), ISBLANK(DE20)), "PAGE REF MISSING", "")</f>
        <v/>
      </c>
    </row>
    <row r="21" ht="18" customHeight="1" s="60">
      <c r="A21" s="3" t="inlineStr">
        <is>
          <t>Legrand SA</t>
        </is>
      </c>
      <c r="B21" s="3" t="inlineStr">
        <is>
          <t>LRC</t>
        </is>
      </c>
      <c r="C21" s="3">
        <f>IF(ISBLANK('Universe Tracker'!D17),"",'Universe Tracker'!D17)</f>
        <v/>
      </c>
      <c r="D21" s="3" t="n"/>
      <c r="E21" s="3" t="n"/>
      <c r="F21" s="3">
        <f>IF(ISBLANK('Universe Tracker'!F17),"",'Universe Tracker'!F17)</f>
        <v/>
      </c>
      <c r="G21" s="3">
        <f>IF(ISBLANK('Universe Tracker'!G17),"",'Universe Tracker'!G17)</f>
        <v/>
      </c>
      <c r="H21" s="3" t="n"/>
      <c r="I21" s="3" t="n"/>
      <c r="J21" s="3">
        <f>IF(ISBLANK(B21),"",B21&amp;"_"&amp;C21)</f>
        <v/>
      </c>
      <c r="K21" s="3" t="n"/>
      <c r="L21" s="3" t="n"/>
      <c r="M21" s="3" t="n"/>
      <c r="N21" s="3" t="n"/>
      <c r="O21" s="3" t="n"/>
      <c r="P21" s="3" t="n"/>
      <c r="Q21" s="3" t="n"/>
      <c r="R21" s="3" t="n"/>
      <c r="S21" s="3" t="n"/>
      <c r="T21" s="3" t="n"/>
      <c r="U21" s="3" t="n"/>
      <c r="V21" s="3" t="n"/>
      <c r="W21" s="3" t="n"/>
      <c r="X21" s="3" t="n"/>
      <c r="Y21" s="3">
        <f>IF(AND(V21&gt;=2,K21="Yes",L21="Yes"),"Sufficient",IF(AND(V21&gt;=1,OR(K21="Yes",L21="Yes")),"Thin","Insufficient"))</f>
        <v/>
      </c>
      <c r="Z21" s="3" t="n"/>
      <c r="AA21" s="3" t="n"/>
      <c r="AB21" s="3" t="n"/>
      <c r="AC21" s="3" t="n"/>
      <c r="AD21" s="3" t="n"/>
      <c r="AE21" s="3" t="n"/>
      <c r="AF21" s="3" t="n"/>
      <c r="AG21" s="3" t="n"/>
      <c r="AH21" s="3" t="n"/>
      <c r="AI21" s="3" t="n"/>
      <c r="AJ21" s="3" t="n"/>
      <c r="AK21" s="3" t="n"/>
      <c r="AL21" s="3" t="n"/>
      <c r="AM21" s="3" t="n"/>
      <c r="AN21" s="3" t="n"/>
      <c r="AO21" s="3" t="n"/>
      <c r="AP21" s="3" t="n"/>
      <c r="AQ21" s="3" t="n"/>
      <c r="AR21" s="40">
        <f t="array" ref="AR21">MIN(100, MAX(0,
  IFERROR(_xlfn.XLOOKUP(AJ21,'Lookup Tables'!$A$2:$A$7,'Lookup Tables'!$B$2:$B$7,0),0)
  + IF(Z21="Yes", IF(IFERROR(_xlfn.XLOOKUP(AJ21,'Lookup Tables'!$A$2:$A$7,'Lookup Tables'!$B$2:$B$7,0),0)&lt;20, 5, 0), 0)
  + _xlfn.IFS(AB21="Yes", IF(ISNUMBER(AC21)*AND(AC21&lt;=2030),15,10), AB21="Long-term Only", 5, AB21="No", 0, TRUE, 0)
  + _xlfn.IFS(AF21="Full",10, AF21="Partial",5, AF21="Scope 2 Only",3, TRUE,0)
  + _xlfn.IFS(AG21="Yes", IF(ISNUMBER(AH21)*AND(AH21&gt;=5),10,6), AG21="Partial",4, TRUE,0)
  + _xlfn.IFS(AI21="Yes",5, AI21="Partial (material categories only)",3, TRUE,0)
  + _xlfn.IFS(AL21="Yes — Detailed",10, AL21="Yes — High Level",5, TRUE,0)
  + _xlfn.IFS(AM21="Yes — Quantified",15, AM21="Yes — Directional Only",7, TRUE,0)
  + _xlfn.IFS(AP21="Formal",5, AP21="Referenced",2, TRUE,0)
  + _xlfn.IFS(AQ21="No Issues Found",5, AQ21="Concern Identified",-5, AQ21="Severe Contradiction",-15, TRUE,0)
  + _xlfn.IFS(BC21="Reasonable Assurance",5, BC21="Limited Assurance",3, TRUE,0)
  - IF(AND(Z21="Yes", AI21="No"), 10, 0)
  - IF(AND(Z21="Yes", AM21="No"), 10, 0)
))</f>
        <v/>
      </c>
      <c r="AS21" s="3" t="n"/>
      <c r="AT21" s="3" t="n"/>
      <c r="AU21" s="3" t="n"/>
      <c r="AV21" s="3" t="n"/>
      <c r="AW21" s="3" t="n"/>
      <c r="AX21" s="3" t="n"/>
      <c r="AY21" s="3" t="n"/>
      <c r="AZ21" s="3" t="n"/>
      <c r="BA21" s="3" t="n"/>
      <c r="BB21" s="3" t="n"/>
      <c r="BC21" s="3" t="n"/>
      <c r="BD21" s="3" t="n"/>
      <c r="BE21" s="40">
        <f t="array" ref="BE21">MIN(100, MAX(0,
  IFERROR(_xlfn.XLOOKUP(AT21,'Lookup Tables'!$D$2:$D$6,'Lookup Tables'!$E$2:$E$6,0),0)
  + IFERROR(_xlfn.XLOOKUP(AV21,'Lookup Tables'!$G$2:$G$5,'Lookup Tables'!$H$2:$H$5,0),0)
  + IFERROR(_xlfn.XLOOKUP(AW21,'Lookup Tables'!$J$2:$J$5,'Lookup Tables'!$K$2:$K$5,0),0)
  + _xlfn.IFS(AX21="No Issues",10, AX21="Complaint Filed",3, AX21="Confirmed Breach",-15, TRUE,0)
  + IFERROR(_xlfn.XLOOKUP(AY21,'Lookup Tables'!$M$2:$M$6,'Lookup Tables'!$N$2:$N$6,0),0)
  + IFERROR(_xlfn.XLOOKUP(AZ21,'Lookup Tables'!$P$2:$P$6,'Lookup Tables'!$Q$2:$Q$6,0),0)
  + _xlfn.IFS(BA21="Formal Board Committee",5, BA21="Board Oversight Mentioned",2, TRUE,0)
  + _xlfn.IFS(BB21="Yes — Quantified Targets",5, BB21="Yes — Discretionary Only",2, TRUE,0)
  + _xlfn.IFS(BC21="Reasonable Assurance",5, BC21="Limited Assurance",3, BC21="Management Review Only",1, TRUE,0)
))</f>
        <v/>
      </c>
      <c r="BF21" s="3" t="n"/>
      <c r="BG21" s="3" t="n"/>
      <c r="BH21" s="3" t="n"/>
      <c r="BI21" s="3" t="n"/>
      <c r="BJ21" s="3" t="n"/>
      <c r="BK21" s="3" t="n"/>
      <c r="BL21" s="3" t="n"/>
      <c r="BM21" s="3" t="n"/>
      <c r="BN21" s="3" t="n"/>
      <c r="BO21" s="3" t="n"/>
      <c r="BP21" s="3" t="n"/>
      <c r="BQ21" s="3" t="n"/>
      <c r="BR21" s="3" t="n"/>
      <c r="BS21" s="42">
        <f t="array" ref="BS21">MIN(100, MAX(0,
  IFERROR(_xlfn.XLOOKUP(BG21,'Lookup Tables'!$A$11:$A$16,'Lookup Tables'!$B$11:$B$16,0),0)
  + IFERROR(_xlfn.XLOOKUP(BR21,'Lookup Tables'!$M$11:$M$14,'Lookup Tables'!$N$11:$N$14,0),0)
  + IFERROR(_xlfn.XLOOKUP(BQ21,'Lookup Tables'!$J$11:$J$15,'Lookup Tables'!$K$11:$K$15,0),0)
  + IFERROR(_xlfn.XLOOKUP(BH21,'Lookup Tables'!$D$11:$D$15,'Lookup Tables'!$E$11:$E$15,0),0)
  + IFERROR(_xlfn.XLOOKUP(BJ21,'Lookup Tables'!$G$11:$G$16,'Lookup Tables'!$H$11:$H$16,0),0)
  + IFERROR(_xlfn.XLOOKUP(BN21,'Lookup Tables'!$P$11:$P$15,'Lookup Tables'!$Q$11:$Q$15,0),0)
  + _xlfn.IFS(BM21="No Evidence",10, BM21="Unknown",3, BM21="Likely",0, BM21="Confirmed",-10, TRUE,3)
  + IFERROR(_xlfn.XLOOKUP(BP21,'Lookup Tables'!$J$21:$J$24,'Lookup Tables'!$K$21:$K$24,0),0)
))</f>
        <v/>
      </c>
      <c r="BT21" s="3" t="n"/>
      <c r="BU21" s="3" t="n"/>
      <c r="BV21" s="3" t="n"/>
      <c r="BW21" s="3" t="n"/>
      <c r="BX21" s="3" t="n"/>
      <c r="BY21" s="3" t="n"/>
      <c r="BZ21" s="3" t="n"/>
      <c r="CA21" s="3" t="n"/>
      <c r="CB21" s="3" t="n"/>
      <c r="CC21" s="3" t="n"/>
      <c r="CD21" s="3" t="n"/>
      <c r="CE21" s="44">
        <f t="array" ref="CE21">MIN(100, MAX(0,
  IF(ISNUMBER(BV21)*AND(BV21&gt;0), 10, 0)
  + _xlfn.IFS(BY21="Independently Verified",25, BY21="Yes",15, TRUE,0)
  + IFERROR(_xlfn.XLOOKUP(BZ21,'Lookup Tables'!$A$21:$A$24,'Lookup Tables'!$B$21:$B$24,0),0)
  + IFERROR(_xlfn.XLOOKUP(CA21,'Lookup Tables'!$D$21:$D$24,'Lookup Tables'!$E$21:$E$24,0),0)
  + _xlfn.IFS(ISNUMBER(CB21)*AND(CB21&gt;=11),15, ISNUMBER(CB21)*AND(CB21&gt;=6),10, ISNUMBER(CB21)*AND(CB21&gt;=1),5, TRUE,0)
  + IFERROR(_xlfn.XLOOKUP(CC21,'Lookup Tables'!$G$21:$G$25,'Lookup Tables'!$H$21:$H$25,0),0)
  - IF(ISNUMBER(BW21)*AND(ISNUMBER(BV21))*AND(BW21&gt;BV21), 20, 0)
  - IF(AND(BY21="Yes", ISNUMBER(BW21), BW21&gt;60), 10, 0)
))</f>
        <v/>
      </c>
      <c r="CF21" s="3" t="n"/>
      <c r="CG21" s="3" t="n"/>
      <c r="CH21" s="3" t="n"/>
      <c r="CI21" s="3" t="n"/>
      <c r="CJ21" s="3" t="n"/>
      <c r="CK21" s="3" t="n"/>
      <c r="CL21" s="3" t="n"/>
      <c r="CM21" s="3" t="n"/>
      <c r="CN21" s="3" t="n"/>
      <c r="CO21" s="3" t="n"/>
      <c r="CP21" s="3" t="n"/>
      <c r="CQ21" s="3" t="n"/>
      <c r="CR21" s="3">
        <f>COUNTIF(CJ21:CQ21,"FAIL")</f>
        <v/>
      </c>
      <c r="CS21" s="3">
        <f>COUNTIF(CJ21:CQ21,"PARTIAL")</f>
        <v/>
      </c>
      <c r="CT21" s="3">
        <f>COUNTIF(CJ21:CQ21,"MISSING")</f>
        <v/>
      </c>
      <c r="CU21" s="3">
        <f>MIN(100,
  CR21*15
  + CS21*6
  + CT21*3
  + IFERROR(_xlfn.XLOOKUP(CW21,'Lookup Tables'!$M$21:$M$25,'Lookup Tables'!$N$21:$N$25,0),0)
)</f>
        <v/>
      </c>
      <c r="CV21" s="3">
        <f>IFERROR(
CHOOSE(
MATCH("FAIL",CJ21:CQ21,0),
"1-Specificity","2-Metric","3-Baseline","4-Target",
"5-Time Horizon","6-Scope","7-Verification","8-Consistency"
),
IFERROR(
CHOOSE(
MATCH("PARTIAL",CJ21:CQ21,0),
"1-Specificity","2-Metric","3-Baseline","4-Target",
"5-Time Horizon","6-Scope","7-Verification","8-Consistency"
),
"No failures"
)
)</f>
        <v/>
      </c>
      <c r="CW21" s="3" t="n"/>
      <c r="CX21" s="3" t="n"/>
      <c r="CY21" s="3" t="n"/>
      <c r="CZ21" s="3" t="n"/>
      <c r="DA21" s="3">
        <f>IF(OR(CU21&gt;=50,CW21="Material",CW21="Severe",AS21="Material",AS21="Severe",BF21="Material",BF21="Severe — Exclusion Trigger",AND(ISNUMBER(BS21),BS21&lt;30)),"Yes","No")</f>
        <v/>
      </c>
      <c r="DB21" s="3">
        <f>IF(OR(CR21&gt;=6,AW21="Confirmed Violation",AX21="Confirmed Breach"),"Yes — Automatic",IF(CW21="Severe","Yes — Requires Captain Confirmation","No"))</f>
        <v/>
      </c>
      <c r="DC21" s="3" t="n"/>
      <c r="DD21" s="3" t="n"/>
      <c r="DE21" s="3" t="n"/>
      <c r="DF21" s="3" t="n"/>
      <c r="DG21" s="3" t="n"/>
      <c r="DH21" s="3" t="n"/>
      <c r="DI21" s="3" t="n"/>
      <c r="DJ21" s="3" t="n"/>
      <c r="DK21" s="3" t="n"/>
      <c r="DL21" s="3">
        <f>IF(OR(IFERROR(VALUE(LEFT(DF21,1)),99)&lt;=2,IFERROR(VALUE(LEFT(DG21,1)),99)&lt;=2),"Flagged","Clear")</f>
        <v/>
      </c>
      <c r="DM21" s="3">
        <f>IF(OR(DA21="Yes",DB21&lt;&gt;"No",DH21="Unverified",DL21="Flagged"),"Yes","No")</f>
        <v/>
      </c>
      <c r="DN21" s="3">
        <f t="array" ref="DN21">MIN(100,
  IF(ISNUMBER(V21), _xlfn.IFS(V21&gt;=3,25, V21=2,15, V21=1,5, TRUE,0), 0)
  + IFERROR(_xlfn.IFS(VALUE(LEFT(DF21,1))=5,25, VALUE(LEFT(DF21,1))=4,20, VALUE(LEFT(DF21,1))=3,15, VALUE(LEFT(DF21,1))=2,8, TRUE,0), 15)
  + IFERROR(_xlfn.IFS(VALUE(LEFT(DG21,1))=5,25, VALUE(LEFT(DG21,1))=4,20, VALUE(LEFT(DG21,1))=3,15, VALUE(LEFT(DG21,1))=2,8, TRUE,0), 15)
  + _xlfn.IFS(DH21="Fully Verified",25, DH21="Partially Verified",12, TRUE,0)
)</f>
        <v/>
      </c>
      <c r="DO21" s="3">
        <f t="array" ref="DO21">_xlfn.IFS(
  ISBLANK(AR21), "Insufficient Evidence",
  AND(AR21&gt;=65, AJ21="Approved"), "Strong",
  AR21&gt;=65, "Adequate",
  AR21&gt;=40, "Adequate",
  AR21&gt;=20, "Weak",
  TRUE, "Insufficient Evidence"
)</f>
        <v/>
      </c>
      <c r="DP21" s="3">
        <f t="array" ref="DP21">_xlfn.IFS(
  ISBLANK(BS21), "Insufficient Evidence",
  BS21&gt;=65, "Strong",
  BS21&gt;=40, "Adequate",
  BS21&gt;=20, "Weak",
  TRUE, "Insufficient Evidence"
)</f>
        <v/>
      </c>
      <c r="DQ21" s="3">
        <f t="array" ref="DQ21">_xlfn.IFS(
  ISBLANK(BE21), "Insufficient Evidence",
  OR(AW21="Confirmed Violation", AX21="Confirmed Breach"), "Severe — Hard Trigger",
  BE21&gt;=65, "Strong",
  BE21&gt;=40, "Adequate",
  BE21&gt;=20, "Weak",
  TRUE, "Insufficient Evidence"
)</f>
        <v/>
      </c>
      <c r="DR21" s="3">
        <f t="array" ref="DR21">_xlfn.IFS(
  ISBLANK(CU21), "Insufficient Evidence",
  CU21&lt;=20, "Low Risk",
  CU21&lt;=50, "Moderate Risk",
  CU21&lt;=75, "High Risk",
  TRUE, "Very High Risk"
)</f>
        <v/>
      </c>
      <c r="DS21" s="3">
        <f t="array" ref="DS21">_xlfn.IFS(
  ISBLANK(CE21), "Insufficient Evidence",
  AND(ISNUMBER(BW21),ISNUMBER(BV21),BW21&gt;BV21), "Overclaiming Risk",
  CE21&gt;=65, "Strong",
  CE21&gt;=40, "Adequate",
  TRUE, "Weak"
)</f>
        <v/>
      </c>
      <c r="DT21" s="3">
        <f>IF(DB21="Yes — Automatic",0,ROUND((IF(ISNUMBER(AR21),AR21,0)*0.3+IF(ISNUMBER(BS21),BS21,0)*0.2+IF(ISNUMBER(BE21),BE21,0)*0.2+IF(ISNUMBER(CE21),CE21,0)*0.15+(100-IF(ISNUMBER(CU21),CU21,50))*0.15)*IF(DN21&gt;=75,1,IF(DN21&gt;=50,0.9,IF(DN21&gt;=25,0.75,0.6))),1))</f>
        <v/>
      </c>
      <c r="DU21" s="3">
        <f t="array" ref="DU21">_xlfn.IFS(
  DV21="Upgraded to Clear", "Clear",
  DV21="Downgraded to Watchlist", "Watchlist",
  DV21="Downgraded to Exclusion", "Exclusion Risk",
  DB21="Yes — Automatic", "Exclusion Risk",
  OR(AW21="Confirmed Violation", AX21="Confirmed Breach"), "Exclusion Risk",
  OR(V21=0, ISBLANK(V21), DN21&lt;20), "Insufficient Evidence",
  AND(DT21&gt;=65, DA21="No", DB21="No"), "Clear",
  OR(DT21&gt;=40, DA21="Yes"), "Watchlist",
  TRUE, "Exclusion Risk"
)</f>
        <v/>
      </c>
      <c r="DV21" s="3" t="n"/>
      <c r="DW21" s="3">
        <f t="array" ref="DW21">_xlfn.IFS(
  DU21="Exclusion Risk", "Exclude — Hard Trigger",
  DU21="Insufficient Evidence", "Watchlist — Further Evidence Needed",
  DU21="Watchlist", "Watchlist — Further Evidence Needed",
  AND(DU21="Clear", DT21&gt;=80), "Include — No Conditions",
  DU21="Clear", "Include — Monitor",
  TRUE, "Watchlist — Further Evidence Needed"
)</f>
        <v/>
      </c>
      <c r="DX21" s="3" t="n"/>
      <c r="DY21" s="3" t="n"/>
      <c r="DZ21" s="3" t="n"/>
      <c r="EA21" s="3" t="n"/>
      <c r="EB21" s="3">
        <f>IF(OR(V21=0, ISBLANK(V21)), "MISSING — No sources reviewed", "")</f>
        <v/>
      </c>
      <c r="EC21" s="3">
        <f>IF(AND(NOT(ISBLANK(DC21)), ISBLANK(DE21)), "PAGE REF MISSING", "")</f>
        <v/>
      </c>
    </row>
    <row r="22" ht="18" customHeight="1" s="60">
      <c r="A22" s="5" t="inlineStr">
        <is>
          <t>Swissquote Group Holding SA</t>
        </is>
      </c>
      <c r="B22" s="5" t="inlineStr">
        <is>
          <t>1SQ</t>
        </is>
      </c>
      <c r="C22" s="5" t="inlineStr">
        <is>
          <t>CH0010675863</t>
        </is>
      </c>
      <c r="D22" s="5" t="n"/>
      <c r="E22" s="5" t="n"/>
      <c r="F22" s="5">
        <f>IF(ISBLANK('Universe Tracker'!F18),"",'Universe Tracker'!F18)</f>
        <v/>
      </c>
      <c r="G22" s="5">
        <f>IF(ISBLANK('Universe Tracker'!G18),"",'Universe Tracker'!G18)</f>
        <v/>
      </c>
      <c r="H22" s="5" t="n"/>
      <c r="I22" s="5" t="n"/>
      <c r="J22" s="5">
        <f>IF(ISBLANK(B22),"",B22&amp;"_"&amp;C22)</f>
        <v/>
      </c>
      <c r="K22" s="5" t="n"/>
      <c r="L22" s="5" t="n"/>
      <c r="M22" s="5" t="n"/>
      <c r="N22" s="5" t="n"/>
      <c r="O22" s="5" t="inlineStr">
        <is>
          <t>Yes</t>
        </is>
      </c>
      <c r="P22" s="5" t="inlineStr">
        <is>
          <t>Yes</t>
        </is>
      </c>
      <c r="Q22" s="5" t="n"/>
      <c r="R22" s="5" t="n"/>
      <c r="S22" s="5" t="n"/>
      <c r="T22" s="5" t="n"/>
      <c r="U22" s="5" t="n"/>
      <c r="V22" s="5" t="n"/>
      <c r="W22" s="5" t="n"/>
      <c r="X22" s="5" t="n"/>
      <c r="Y22" s="5">
        <f>IF(AND(V22&gt;=2,K22="Yes",L22="Yes"),"Sufficient",IF(AND(V22&gt;=1,OR(K22="Yes",L22="Yes")),"Thin","Insufficient"))</f>
        <v/>
      </c>
      <c r="Z22" s="5" t="n"/>
      <c r="AA22" s="5" t="n"/>
      <c r="AB22" s="5" t="n"/>
      <c r="AC22" s="5" t="n"/>
      <c r="AD22" s="5" t="n"/>
      <c r="AE22" s="5" t="n"/>
      <c r="AF22" s="5" t="n"/>
      <c r="AG22" s="5" t="n"/>
      <c r="AH22" s="5" t="n"/>
      <c r="AI22" s="5" t="n"/>
      <c r="AJ22" s="5" t="inlineStr">
        <is>
          <t>Not in SBTi database (checked 2026-05-21)</t>
        </is>
      </c>
      <c r="AK22" s="5" t="inlineStr"/>
      <c r="AL22" s="5" t="n"/>
      <c r="AM22" s="5" t="n"/>
      <c r="AN22" s="5" t="n"/>
      <c r="AO22" s="5" t="n"/>
      <c r="AP22" s="5" t="n"/>
      <c r="AQ22" s="5" t="n"/>
      <c r="AR22" s="40">
        <f t="array" ref="AR22">MIN(100, MAX(0,
  IFERROR(_xlfn.XLOOKUP(AJ22,'Lookup Tables'!$A$2:$A$7,'Lookup Tables'!$B$2:$B$7,0),0)
  + IF(Z22="Yes", IF(IFERROR(_xlfn.XLOOKUP(AJ22,'Lookup Tables'!$A$2:$A$7,'Lookup Tables'!$B$2:$B$7,0),0)&lt;20, 5, 0), 0)
  + _xlfn.IFS(AB22="Yes", IF(ISNUMBER(AC22)*AND(AC22&lt;=2030),15,10), AB22="Long-term Only", 5, AB22="No", 0, TRUE, 0)
  + _xlfn.IFS(AF22="Full",10, AF22="Partial",5, AF22="Scope 2 Only",3, TRUE,0)
  + _xlfn.IFS(AG22="Yes", IF(ISNUMBER(AH22)*AND(AH22&gt;=5),10,6), AG22="Partial",4, TRUE,0)
  + _xlfn.IFS(AI22="Yes",5, AI22="Partial (material categories only)",3, TRUE,0)
  + _xlfn.IFS(AL22="Yes — Detailed",10, AL22="Yes — High Level",5, TRUE,0)
  + _xlfn.IFS(AM22="Yes — Quantified",15, AM22="Yes — Directional Only",7, TRUE,0)
  + _xlfn.IFS(AP22="Formal",5, AP22="Referenced",2, TRUE,0)
  + _xlfn.IFS(AQ22="No Issues Found",5, AQ22="Concern Identified",-5, AQ22="Severe Contradiction",-15, TRUE,0)
  + _xlfn.IFS(BC22="Reasonable Assurance",5, BC22="Limited Assurance",3, TRUE,0)
  - IF(AND(Z22="Yes", AI22="No"), 10, 0)
  - IF(AND(Z22="Yes", AM22="No"), 10, 0)
))</f>
        <v/>
      </c>
      <c r="AS22" s="5" t="n"/>
      <c r="AT22" s="5" t="n"/>
      <c r="AU22" s="5" t="n"/>
      <c r="AV22" s="5" t="n"/>
      <c r="AW22" s="5" t="n"/>
      <c r="AX22" s="5" t="n"/>
      <c r="AY22" s="5" t="n"/>
      <c r="AZ22" s="5" t="n"/>
      <c r="BA22" s="5" t="n"/>
      <c r="BB22" s="5" t="n"/>
      <c r="BC22" s="5" t="n"/>
      <c r="BD22" s="5" t="n"/>
      <c r="BE22" s="39">
        <f t="array" ref="BE22">MIN(100, MAX(0,
  IFERROR(_xlfn.XLOOKUP(AT22,'Lookup Tables'!$D$2:$D$6,'Lookup Tables'!$E$2:$E$6,0),0)
  + IFERROR(_xlfn.XLOOKUP(AV22,'Lookup Tables'!$G$2:$G$5,'Lookup Tables'!$H$2:$H$5,0),0)
  + IFERROR(_xlfn.XLOOKUP(AW22,'Lookup Tables'!$J$2:$J$5,'Lookup Tables'!$K$2:$K$5,0),0)
  + _xlfn.IFS(AX22="No Issues",10, AX22="Complaint Filed",3, AX22="Confirmed Breach",-15, TRUE,0)
  + IFERROR(_xlfn.XLOOKUP(AY22,'Lookup Tables'!$M$2:$M$6,'Lookup Tables'!$N$2:$N$6,0),0)
  + IFERROR(_xlfn.XLOOKUP(AZ22,'Lookup Tables'!$P$2:$P$6,'Lookup Tables'!$Q$2:$Q$6,0),0)
  + _xlfn.IFS(BA22="Formal Board Committee",5, BA22="Board Oversight Mentioned",2, TRUE,0)
  + _xlfn.IFS(BB22="Yes — Quantified Targets",5, BB22="Yes — Discretionary Only",2, TRUE,0)
  + _xlfn.IFS(BC22="Reasonable Assurance",5, BC22="Limited Assurance",3, BC22="Management Review Only",1, TRUE,0)
))</f>
        <v/>
      </c>
      <c r="BF22" s="5" t="n"/>
      <c r="BG22" s="5" t="n"/>
      <c r="BH22" s="5" t="n"/>
      <c r="BI22" s="5" t="n"/>
      <c r="BJ22" s="5" t="n"/>
      <c r="BK22" s="5" t="n"/>
      <c r="BL22" s="5" t="n"/>
      <c r="BM22" s="5" t="n"/>
      <c r="BN22" s="5" t="n"/>
      <c r="BO22" s="5" t="n"/>
      <c r="BP22" s="5" t="n"/>
      <c r="BQ22" s="5" t="n"/>
      <c r="BR22" s="5" t="n"/>
      <c r="BS22" s="41">
        <f t="array" ref="BS22">MIN(100, MAX(0,
  IFERROR(_xlfn.XLOOKUP(BG22,'Lookup Tables'!$A$11:$A$16,'Lookup Tables'!$B$11:$B$16,0),0)
  + IFERROR(_xlfn.XLOOKUP(BR22,'Lookup Tables'!$M$11:$M$14,'Lookup Tables'!$N$11:$N$14,0),0)
  + IFERROR(_xlfn.XLOOKUP(BQ22,'Lookup Tables'!$J$11:$J$15,'Lookup Tables'!$K$11:$K$15,0),0)
  + IFERROR(_xlfn.XLOOKUP(BH22,'Lookup Tables'!$D$11:$D$15,'Lookup Tables'!$E$11:$E$15,0),0)
  + IFERROR(_xlfn.XLOOKUP(BJ22,'Lookup Tables'!$G$11:$G$16,'Lookup Tables'!$H$11:$H$16,0),0)
  + IFERROR(_xlfn.XLOOKUP(BN22,'Lookup Tables'!$P$11:$P$15,'Lookup Tables'!$Q$11:$Q$15,0),0)
  + _xlfn.IFS(BM22="No Evidence",10, BM22="Unknown",3, BM22="Likely",0, BM22="Confirmed",-10, TRUE,3)
  + IFERROR(_xlfn.XLOOKUP(BP22,'Lookup Tables'!$J$21:$J$24,'Lookup Tables'!$K$21:$K$24,0),0)
))</f>
        <v/>
      </c>
      <c r="BT22" s="5" t="n"/>
      <c r="BU22" s="5" t="n"/>
      <c r="BV22" s="5" t="n"/>
      <c r="BW22" s="5" t="n"/>
      <c r="BX22" s="5" t="n"/>
      <c r="BY22" s="5" t="n"/>
      <c r="BZ22" s="5" t="n"/>
      <c r="CA22" s="5" t="n"/>
      <c r="CB22" s="5" t="n"/>
      <c r="CC22" s="5" t="n"/>
      <c r="CD22" s="5" t="n"/>
      <c r="CE22" s="43">
        <f t="array" ref="CE22">MIN(100, MAX(0,
  IF(ISNUMBER(BV22)*AND(BV22&gt;0), 10, 0)
  + _xlfn.IFS(BY22="Independently Verified",25, BY22="Yes",15, TRUE,0)
  + IFERROR(_xlfn.XLOOKUP(BZ22,'Lookup Tables'!$A$21:$A$24,'Lookup Tables'!$B$21:$B$24,0),0)
  + IFERROR(_xlfn.XLOOKUP(CA22,'Lookup Tables'!$D$21:$D$24,'Lookup Tables'!$E$21:$E$24,0),0)
  + _xlfn.IFS(ISNUMBER(CB22)*AND(CB22&gt;=11),15, ISNUMBER(CB22)*AND(CB22&gt;=6),10, ISNUMBER(CB22)*AND(CB22&gt;=1),5, TRUE,0)
  + IFERROR(_xlfn.XLOOKUP(CC22,'Lookup Tables'!$G$21:$G$25,'Lookup Tables'!$H$21:$H$25,0),0)
  - IF(ISNUMBER(BW22)*AND(ISNUMBER(BV22))*AND(BW22&gt;BV22), 20, 0)
  - IF(AND(BY22="Yes", ISNUMBER(BW22), BW22&gt;60), 10, 0)
))</f>
        <v/>
      </c>
      <c r="CF22" s="5" t="n"/>
      <c r="CG22" s="5" t="inlineStr">
        <is>
          <t>net-zero operations in our property portfolio by 2040</t>
        </is>
      </c>
      <c r="CH22" s="5" t="inlineStr">
        <is>
          <t>SPS_ESG-Booklet_EN.pdf</t>
        </is>
      </c>
      <c r="CI22" s="5" t="n">
        <v>3</v>
      </c>
      <c r="CJ22" s="5" t="inlineStr">
        <is>
          <t>PASS</t>
        </is>
      </c>
      <c r="CK22" s="5" t="inlineStr">
        <is>
          <t>PARTIAL</t>
        </is>
      </c>
      <c r="CL22" s="5" t="inlineStr">
        <is>
          <t>MISSING</t>
        </is>
      </c>
      <c r="CM22" s="5" t="inlineStr">
        <is>
          <t>PARTIAL</t>
        </is>
      </c>
      <c r="CN22" s="5" t="inlineStr">
        <is>
          <t>PASS</t>
        </is>
      </c>
      <c r="CO22" s="5" t="inlineStr">
        <is>
          <t>PASS</t>
        </is>
      </c>
      <c r="CP22" s="5" t="inlineStr">
        <is>
          <t>PARTIAL</t>
        </is>
      </c>
      <c r="CQ22" s="5" t="inlineStr">
        <is>
          <t>MISSING</t>
        </is>
      </c>
      <c r="CR22" s="5">
        <f>COUNTIF(CJ22:CQ22,"FAIL")</f>
        <v/>
      </c>
      <c r="CS22" s="5">
        <f>COUNTIF(CJ22:CQ22,"PARTIAL")</f>
        <v/>
      </c>
      <c r="CT22" s="5">
        <f>COUNTIF(CJ22:CQ22,"MISSING")</f>
        <v/>
      </c>
      <c r="CU22" s="5">
        <f>MIN(100,
  CR22*15
  + CS22*6
  + CT22*3
  + IFERROR(_xlfn.XLOOKUP(CW22,'Lookup Tables'!$M$21:$M$25,'Lookup Tables'!$N$21:$N$25,0),0)
)</f>
        <v/>
      </c>
      <c r="CV22" s="5">
        <f>IFERROR(
CHOOSE(
MATCH("FAIL",CJ22:CQ22,0),
"1-Specificity","2-Metric","3-Baseline","4-Target",
"5-Time Horizon","6-Scope","7-Verification","8-Consistency"
),
IFERROR(
CHOOSE(
MATCH("PARTIAL",CJ22:CQ22,0),
"1-Specificity","2-Metric","3-Baseline","4-Target",
"5-Time Horizon","6-Scope","7-Verification","8-Consistency"
),
"No failures"
)
)</f>
        <v/>
      </c>
      <c r="CW22" s="5" t="n"/>
      <c r="CX22" s="5" t="n"/>
      <c r="CY22" s="5" t="n"/>
      <c r="CZ22" s="5" t="n"/>
      <c r="DA22" s="5">
        <f>IF(OR(CU22&gt;=50,CW22="Material",CW22="Severe",AS22="Material",AS22="Severe",BF22="Material",BF22="Severe — Exclusion Trigger",AND(ISNUMBER(BS22),BS22&lt;30)),"Yes","No")</f>
        <v/>
      </c>
      <c r="DB22" s="5">
        <f>IF(OR(CR22&gt;=6,AW22="Confirmed Violation",AX22="Confirmed Breach"),"Yes — Automatic",IF(CW22="Severe","Yes — Requires Captain Confirmation","No"))</f>
        <v/>
      </c>
      <c r="DC22" s="5" t="inlineStr">
        <is>
          <t>net-zero operations in our property portfolio by 2040</t>
        </is>
      </c>
      <c r="DD22" s="5" t="inlineStr">
        <is>
          <t>SPS_ESG-Booklet_EN.pdf</t>
        </is>
      </c>
      <c r="DE22" s="5" t="n">
        <v>3</v>
      </c>
      <c r="DF22" s="5" t="n">
        <v>3</v>
      </c>
      <c r="DG22" s="5" t="n">
        <v>4</v>
      </c>
      <c r="DH22" s="5" t="inlineStr">
        <is>
          <t>PENDING</t>
        </is>
      </c>
      <c r="DI22" s="5" t="n"/>
      <c r="DJ22" s="5" t="n"/>
      <c r="DK22" s="5" t="n"/>
      <c r="DL22" s="5">
        <f>IF(OR(IFERROR(VALUE(LEFT(DF22,1)),99)&lt;=2,IFERROR(VALUE(LEFT(DG22,1)),99)&lt;=2),"Flagged","Clear")</f>
        <v/>
      </c>
      <c r="DM22" s="5">
        <f>IF(OR(DA22="Yes",DB22&lt;&gt;"No",DH22="Unverified",DL22="Flagged"),"Yes","No")</f>
        <v/>
      </c>
      <c r="DN22" s="5">
        <f t="array" ref="DN22">MIN(100,
  IF(ISNUMBER(V22), _xlfn.IFS(V22&gt;=3,25, V22=2,15, V22=1,5, TRUE,0), 0)
  + IFERROR(_xlfn.IFS(VALUE(LEFT(DF22,1))=5,25, VALUE(LEFT(DF22,1))=4,20, VALUE(LEFT(DF22,1))=3,15, VALUE(LEFT(DF22,1))=2,8, TRUE,0), 15)
  + IFERROR(_xlfn.IFS(VALUE(LEFT(DG22,1))=5,25, VALUE(LEFT(DG22,1))=4,20, VALUE(LEFT(DG22,1))=3,15, VALUE(LEFT(DG22,1))=2,8, TRUE,0), 15)
  + _xlfn.IFS(DH22="Fully Verified",25, DH22="Partially Verified",12, TRUE,0)
)</f>
        <v/>
      </c>
      <c r="DO22" s="5">
        <f t="array" ref="DO22">_xlfn.IFS(
  ISBLANK(AR22), "Insufficient Evidence",
  AND(AR22&gt;=65, AJ22="Approved"), "Strong",
  AR22&gt;=65, "Adequate",
  AR22&gt;=40, "Adequate",
  AR22&gt;=20, "Weak",
  TRUE, "Insufficient Evidence"
)</f>
        <v/>
      </c>
      <c r="DP22" s="5">
        <f t="array" ref="DP22">_xlfn.IFS(
  ISBLANK(BS22), "Insufficient Evidence",
  BS22&gt;=65, "Strong",
  BS22&gt;=40, "Adequate",
  BS22&gt;=20, "Weak",
  TRUE, "Insufficient Evidence"
)</f>
        <v/>
      </c>
      <c r="DQ22" s="5">
        <f t="array" ref="DQ22">_xlfn.IFS(
  ISBLANK(BE22), "Insufficient Evidence",
  OR(AW22="Confirmed Violation", AX22="Confirmed Breach"), "Severe — Hard Trigger",
  BE22&gt;=65, "Strong",
  BE22&gt;=40, "Adequate",
  BE22&gt;=20, "Weak",
  TRUE, "Insufficient Evidence"
)</f>
        <v/>
      </c>
      <c r="DR22" s="5">
        <f t="array" ref="DR22">_xlfn.IFS(
  ISBLANK(CU22), "Insufficient Evidence",
  CU22&lt;=20, "Low Risk",
  CU22&lt;=50, "Moderate Risk",
  CU22&lt;=75, "High Risk",
  TRUE, "Very High Risk"
)</f>
        <v/>
      </c>
      <c r="DS22" s="5">
        <f t="array" ref="DS22">_xlfn.IFS(
  ISBLANK(CE22), "Insufficient Evidence",
  AND(ISNUMBER(BW22),ISNUMBER(BV22),BW22&gt;BV22), "Overclaiming Risk",
  CE22&gt;=65, "Strong",
  CE22&gt;=40, "Adequate",
  TRUE, "Weak"
)</f>
        <v/>
      </c>
      <c r="DT22" s="5">
        <f>IF(DB22="Yes — Automatic",0,ROUND((IF(ISNUMBER(AR22),AR22,0)*0.3+IF(ISNUMBER(BS22),BS22,0)*0.2+IF(ISNUMBER(BE22),BE22,0)*0.2+IF(ISNUMBER(CE22),CE22,0)*0.15+(100-IF(ISNUMBER(CU22),CU22,50))*0.15)*IF(DN22&gt;=75,1,IF(DN22&gt;=50,0.9,IF(DN22&gt;=25,0.75,0.6))),1))</f>
        <v/>
      </c>
      <c r="DU22" s="5">
        <f t="array" ref="DU22">_xlfn.IFS(
  DV22="Upgraded to Clear", "Clear",
  DV22="Downgraded to Watchlist", "Watchlist",
  DV22="Downgraded to Exclusion", "Exclusion Risk",
  DB22="Yes — Automatic", "Exclusion Risk",
  OR(AW22="Confirmed Violation", AX22="Confirmed Breach"), "Exclusion Risk",
  OR(V22=0, ISBLANK(V22), DN22&lt;20), "Insufficient Evidence",
  AND(DT22&gt;=65, DA22="No", DB22="No"), "Clear",
  OR(DT22&gt;=40, DA22="Yes"), "Watchlist",
  TRUE, "Exclusion Risk"
)</f>
        <v/>
      </c>
      <c r="DV22" s="5" t="n"/>
      <c r="DW22" s="5">
        <f t="array" ref="DW22">_xlfn.IFS(
  DU22="Exclusion Risk", "Exclude — Hard Trigger",
  DU22="Insufficient Evidence", "Watchlist — Further Evidence Needed",
  DU22="Watchlist", "Watchlist — Further Evidence Needed",
  AND(DU22="Clear", DT22&gt;=80), "Include — No Conditions",
  DU22="Clear", "Include — Monitor",
  TRUE, "Watchlist — Further Evidence Needed"
)</f>
        <v/>
      </c>
      <c r="DX22" s="5" t="inlineStr">
        <is>
          <t>Main claim: "net-zero operations in our property portfolio by 2040" (SPS_ESG-Booklet_EN.pdf, p3). SBTi: no validated target in the SBTi database. 8-Test: 3 PARTIAL, 0 FAIL, 2 MISSING -&gt; PASS. SOURCE LIMITATION: assessed from Swiss Prime's 16-page ESG summary booklet; the company's full disclosures are split across separate E/S/G reports. 'baseline' and 'consistency' are marked MISSING because they are absent from this...</t>
        </is>
      </c>
      <c r="DY22" s="5" t="n"/>
      <c r="DZ22" s="5" t="n"/>
      <c r="EA22" s="5" t="n"/>
      <c r="EB22" s="5">
        <f>IF(OR(V22=0, ISBLANK(V22)), "MISSING — No sources reviewed", "")</f>
        <v/>
      </c>
      <c r="EC22" s="5">
        <f>IF(AND(NOT(ISBLANK(DC22)), ISBLANK(DE22)), "PAGE REF MISSING", "")</f>
        <v/>
      </c>
    </row>
    <row r="23" ht="18" customHeight="1" s="60">
      <c r="A23" s="3" t="inlineStr">
        <is>
          <t>AXA SA</t>
        </is>
      </c>
      <c r="B23" s="3" t="inlineStr">
        <is>
          <t>AXA</t>
        </is>
      </c>
      <c r="C23" s="3">
        <f>IF(ISBLANK('Universe Tracker'!D19),"",'Universe Tracker'!D19)</f>
        <v/>
      </c>
      <c r="D23" s="3" t="n"/>
      <c r="E23" s="3" t="n"/>
      <c r="F23" s="3">
        <f>IF(ISBLANK('Universe Tracker'!F19),"",'Universe Tracker'!F19)</f>
        <v/>
      </c>
      <c r="G23" s="3">
        <f>IF(ISBLANK('Universe Tracker'!G19),"",'Universe Tracker'!G19)</f>
        <v/>
      </c>
      <c r="H23" s="3" t="n"/>
      <c r="I23" s="3" t="n"/>
      <c r="J23" s="3">
        <f>IF(ISBLANK(B23),"",B23&amp;"_"&amp;C23)</f>
        <v/>
      </c>
      <c r="K23" s="3" t="n"/>
      <c r="L23" s="3" t="n"/>
      <c r="M23" s="3" t="n"/>
      <c r="N23" s="3" t="n"/>
      <c r="O23" s="3" t="n"/>
      <c r="P23" s="3" t="n"/>
      <c r="Q23" s="3" t="n"/>
      <c r="R23" s="3" t="n"/>
      <c r="S23" s="3" t="n"/>
      <c r="T23" s="3" t="n"/>
      <c r="U23" s="3" t="n"/>
      <c r="V23" s="3" t="n"/>
      <c r="W23" s="3" t="n"/>
      <c r="X23" s="3" t="n"/>
      <c r="Y23" s="3">
        <f>IF(AND(V23&gt;=2,K23="Yes",L23="Yes"),"Sufficient",IF(AND(V23&gt;=1,OR(K23="Yes",L23="Yes")),"Thin","Insufficient"))</f>
        <v/>
      </c>
      <c r="Z23" s="3" t="n"/>
      <c r="AA23" s="3" t="n"/>
      <c r="AB23" s="3" t="n"/>
      <c r="AC23" s="3" t="n"/>
      <c r="AD23" s="3" t="n"/>
      <c r="AE23" s="3" t="n"/>
      <c r="AF23" s="3" t="n"/>
      <c r="AG23" s="3" t="n"/>
      <c r="AH23" s="3" t="n"/>
      <c r="AI23" s="3" t="n"/>
      <c r="AJ23" s="3" t="n"/>
      <c r="AK23" s="3" t="n"/>
      <c r="AL23" s="3" t="n"/>
      <c r="AM23" s="3" t="n"/>
      <c r="AN23" s="3" t="n"/>
      <c r="AO23" s="3" t="n"/>
      <c r="AP23" s="3" t="n"/>
      <c r="AQ23" s="3" t="n"/>
      <c r="AR23" s="40">
        <f t="array" ref="AR23">MIN(100, MAX(0,
  IFERROR(_xlfn.XLOOKUP(AJ23,'Lookup Tables'!$A$2:$A$7,'Lookup Tables'!$B$2:$B$7,0),0)
  + IF(Z23="Yes", IF(IFERROR(_xlfn.XLOOKUP(AJ23,'Lookup Tables'!$A$2:$A$7,'Lookup Tables'!$B$2:$B$7,0),0)&lt;20, 5, 0), 0)
  + _xlfn.IFS(AB23="Yes", IF(ISNUMBER(AC23)*AND(AC23&lt;=2030),15,10), AB23="Long-term Only", 5, AB23="No", 0, TRUE, 0)
  + _xlfn.IFS(AF23="Full",10, AF23="Partial",5, AF23="Scope 2 Only",3, TRUE,0)
  + _xlfn.IFS(AG23="Yes", IF(ISNUMBER(AH23)*AND(AH23&gt;=5),10,6), AG23="Partial",4, TRUE,0)
  + _xlfn.IFS(AI23="Yes",5, AI23="Partial (material categories only)",3, TRUE,0)
  + _xlfn.IFS(AL23="Yes — Detailed",10, AL23="Yes — High Level",5, TRUE,0)
  + _xlfn.IFS(AM23="Yes — Quantified",15, AM23="Yes — Directional Only",7, TRUE,0)
  + _xlfn.IFS(AP23="Formal",5, AP23="Referenced",2, TRUE,0)
  + _xlfn.IFS(AQ23="No Issues Found",5, AQ23="Concern Identified",-5, AQ23="Severe Contradiction",-15, TRUE,0)
  + _xlfn.IFS(BC23="Reasonable Assurance",5, BC23="Limited Assurance",3, TRUE,0)
  - IF(AND(Z23="Yes", AI23="No"), 10, 0)
  - IF(AND(Z23="Yes", AM23="No"), 10, 0)
))</f>
        <v/>
      </c>
      <c r="AS23" s="3" t="n"/>
      <c r="AT23" s="3" t="n"/>
      <c r="AU23" s="3" t="n"/>
      <c r="AV23" s="3" t="n"/>
      <c r="AW23" s="3" t="n"/>
      <c r="AX23" s="3" t="n"/>
      <c r="AY23" s="3" t="n"/>
      <c r="AZ23" s="3" t="n"/>
      <c r="BA23" s="3" t="n"/>
      <c r="BB23" s="3" t="n"/>
      <c r="BC23" s="3" t="n"/>
      <c r="BD23" s="3" t="n"/>
      <c r="BE23" s="40">
        <f t="array" ref="BE23">MIN(100, MAX(0,
  IFERROR(_xlfn.XLOOKUP(AT23,'Lookup Tables'!$D$2:$D$6,'Lookup Tables'!$E$2:$E$6,0),0)
  + IFERROR(_xlfn.XLOOKUP(AV23,'Lookup Tables'!$G$2:$G$5,'Lookup Tables'!$H$2:$H$5,0),0)
  + IFERROR(_xlfn.XLOOKUP(AW23,'Lookup Tables'!$J$2:$J$5,'Lookup Tables'!$K$2:$K$5,0),0)
  + _xlfn.IFS(AX23="No Issues",10, AX23="Complaint Filed",3, AX23="Confirmed Breach",-15, TRUE,0)
  + IFERROR(_xlfn.XLOOKUP(AY23,'Lookup Tables'!$M$2:$M$6,'Lookup Tables'!$N$2:$N$6,0),0)
  + IFERROR(_xlfn.XLOOKUP(AZ23,'Lookup Tables'!$P$2:$P$6,'Lookup Tables'!$Q$2:$Q$6,0),0)
  + _xlfn.IFS(BA23="Formal Board Committee",5, BA23="Board Oversight Mentioned",2, TRUE,0)
  + _xlfn.IFS(BB23="Yes — Quantified Targets",5, BB23="Yes — Discretionary Only",2, TRUE,0)
  + _xlfn.IFS(BC23="Reasonable Assurance",5, BC23="Limited Assurance",3, BC23="Management Review Only",1, TRUE,0)
))</f>
        <v/>
      </c>
      <c r="BF23" s="3" t="n"/>
      <c r="BG23" s="3" t="n"/>
      <c r="BH23" s="3" t="n"/>
      <c r="BI23" s="3" t="n"/>
      <c r="BJ23" s="3" t="n"/>
      <c r="BK23" s="3" t="n"/>
      <c r="BL23" s="3" t="n"/>
      <c r="BM23" s="3" t="n"/>
      <c r="BN23" s="3" t="n"/>
      <c r="BO23" s="3" t="n"/>
      <c r="BP23" s="3" t="n"/>
      <c r="BQ23" s="3" t="n"/>
      <c r="BR23" s="3" t="n"/>
      <c r="BS23" s="42">
        <f t="array" ref="BS23">MIN(100, MAX(0,
  IFERROR(_xlfn.XLOOKUP(BG23,'Lookup Tables'!$A$11:$A$16,'Lookup Tables'!$B$11:$B$16,0),0)
  + IFERROR(_xlfn.XLOOKUP(BR23,'Lookup Tables'!$M$11:$M$14,'Lookup Tables'!$N$11:$N$14,0),0)
  + IFERROR(_xlfn.XLOOKUP(BQ23,'Lookup Tables'!$J$11:$J$15,'Lookup Tables'!$K$11:$K$15,0),0)
  + IFERROR(_xlfn.XLOOKUP(BH23,'Lookup Tables'!$D$11:$D$15,'Lookup Tables'!$E$11:$E$15,0),0)
  + IFERROR(_xlfn.XLOOKUP(BJ23,'Lookup Tables'!$G$11:$G$16,'Lookup Tables'!$H$11:$H$16,0),0)
  + IFERROR(_xlfn.XLOOKUP(BN23,'Lookup Tables'!$P$11:$P$15,'Lookup Tables'!$Q$11:$Q$15,0),0)
  + _xlfn.IFS(BM23="No Evidence",10, BM23="Unknown",3, BM23="Likely",0, BM23="Confirmed",-10, TRUE,3)
  + IFERROR(_xlfn.XLOOKUP(BP23,'Lookup Tables'!$J$21:$J$24,'Lookup Tables'!$K$21:$K$24,0),0)
))</f>
        <v/>
      </c>
      <c r="BT23" s="3" t="n"/>
      <c r="BU23" s="3" t="n"/>
      <c r="BV23" s="3" t="n"/>
      <c r="BW23" s="3" t="n"/>
      <c r="BX23" s="3" t="n"/>
      <c r="BY23" s="3" t="n"/>
      <c r="BZ23" s="3" t="n"/>
      <c r="CA23" s="3" t="n"/>
      <c r="CB23" s="3" t="n"/>
      <c r="CC23" s="3" t="n"/>
      <c r="CD23" s="3" t="n"/>
      <c r="CE23" s="44">
        <f t="array" ref="CE23">MIN(100, MAX(0,
  IF(ISNUMBER(BV23)*AND(BV23&gt;0), 10, 0)
  + _xlfn.IFS(BY23="Independently Verified",25, BY23="Yes",15, TRUE,0)
  + IFERROR(_xlfn.XLOOKUP(BZ23,'Lookup Tables'!$A$21:$A$24,'Lookup Tables'!$B$21:$B$24,0),0)
  + IFERROR(_xlfn.XLOOKUP(CA23,'Lookup Tables'!$D$21:$D$24,'Lookup Tables'!$E$21:$E$24,0),0)
  + _xlfn.IFS(ISNUMBER(CB23)*AND(CB23&gt;=11),15, ISNUMBER(CB23)*AND(CB23&gt;=6),10, ISNUMBER(CB23)*AND(CB23&gt;=1),5, TRUE,0)
  + IFERROR(_xlfn.XLOOKUP(CC23,'Lookup Tables'!$G$21:$G$25,'Lookup Tables'!$H$21:$H$25,0),0)
  - IF(ISNUMBER(BW23)*AND(ISNUMBER(BV23))*AND(BW23&gt;BV23), 20, 0)
  - IF(AND(BY23="Yes", ISNUMBER(BW23), BW23&gt;60), 10, 0)
))</f>
        <v/>
      </c>
      <c r="CF23" s="3" t="n"/>
      <c r="CG23" s="3" t="n"/>
      <c r="CH23" s="3" t="n"/>
      <c r="CI23" s="3" t="n"/>
      <c r="CJ23" s="3" t="n"/>
      <c r="CK23" s="3" t="n"/>
      <c r="CL23" s="3" t="n"/>
      <c r="CM23" s="3" t="n"/>
      <c r="CN23" s="3" t="n"/>
      <c r="CO23" s="3" t="n"/>
      <c r="CP23" s="3" t="n"/>
      <c r="CQ23" s="3" t="n"/>
      <c r="CR23" s="3">
        <f>COUNTIF(CJ23:CQ23,"FAIL")</f>
        <v/>
      </c>
      <c r="CS23" s="3">
        <f>COUNTIF(CJ23:CQ23,"PARTIAL")</f>
        <v/>
      </c>
      <c r="CT23" s="3">
        <f>COUNTIF(CJ23:CQ23,"MISSING")</f>
        <v/>
      </c>
      <c r="CU23" s="3">
        <f>MIN(100,
  CR23*15
  + CS23*6
  + CT23*3
  + IFERROR(_xlfn.XLOOKUP(CW23,'Lookup Tables'!$M$21:$M$25,'Lookup Tables'!$N$21:$N$25,0),0)
)</f>
        <v/>
      </c>
      <c r="CV23" s="3">
        <f>IFERROR(
CHOOSE(
MATCH("FAIL",CJ23:CQ23,0),
"1-Specificity","2-Metric","3-Baseline","4-Target",
"5-Time Horizon","6-Scope","7-Verification","8-Consistency"
),
IFERROR(
CHOOSE(
MATCH("PARTIAL",CJ23:CQ23,0),
"1-Specificity","2-Metric","3-Baseline","4-Target",
"5-Time Horizon","6-Scope","7-Verification","8-Consistency"
),
"No failures"
)
)</f>
        <v/>
      </c>
      <c r="CW23" s="3" t="n"/>
      <c r="CX23" s="3" t="n"/>
      <c r="CY23" s="3" t="n"/>
      <c r="CZ23" s="3" t="n"/>
      <c r="DA23" s="3">
        <f>IF(OR(CU23&gt;=50,CW23="Material",CW23="Severe",AS23="Material",AS23="Severe",BF23="Material",BF23="Severe — Exclusion Trigger",AND(ISNUMBER(BS23),BS23&lt;30)),"Yes","No")</f>
        <v/>
      </c>
      <c r="DB23" s="3">
        <f>IF(OR(CR23&gt;=6,AW23="Confirmed Violation",AX23="Confirmed Breach"),"Yes — Automatic",IF(CW23="Severe","Yes — Requires Captain Confirmation","No"))</f>
        <v/>
      </c>
      <c r="DC23" s="3" t="n"/>
      <c r="DD23" s="3" t="n"/>
      <c r="DE23" s="3" t="n"/>
      <c r="DF23" s="3" t="n"/>
      <c r="DG23" s="3" t="n"/>
      <c r="DH23" s="3" t="n"/>
      <c r="DI23" s="3" t="n"/>
      <c r="DJ23" s="3" t="n"/>
      <c r="DK23" s="3" t="n"/>
      <c r="DL23" s="3">
        <f>IF(OR(IFERROR(VALUE(LEFT(DF23,1)),99)&lt;=2,IFERROR(VALUE(LEFT(DG23,1)),99)&lt;=2),"Flagged","Clear")</f>
        <v/>
      </c>
      <c r="DM23" s="3">
        <f>IF(OR(DA23="Yes",DB23&lt;&gt;"No",DH23="Unverified",DL23="Flagged"),"Yes","No")</f>
        <v/>
      </c>
      <c r="DN23" s="3">
        <f t="array" ref="DN23">MIN(100,
  IF(ISNUMBER(V23), _xlfn.IFS(V23&gt;=3,25, V23=2,15, V23=1,5, TRUE,0), 0)
  + IFERROR(_xlfn.IFS(VALUE(LEFT(DF23,1))=5,25, VALUE(LEFT(DF23,1))=4,20, VALUE(LEFT(DF23,1))=3,15, VALUE(LEFT(DF23,1))=2,8, TRUE,0), 15)
  + IFERROR(_xlfn.IFS(VALUE(LEFT(DG23,1))=5,25, VALUE(LEFT(DG23,1))=4,20, VALUE(LEFT(DG23,1))=3,15, VALUE(LEFT(DG23,1))=2,8, TRUE,0), 15)
  + _xlfn.IFS(DH23="Fully Verified",25, DH23="Partially Verified",12, TRUE,0)
)</f>
        <v/>
      </c>
      <c r="DO23" s="3">
        <f t="array" ref="DO23">_xlfn.IFS(
  ISBLANK(AR23), "Insufficient Evidence",
  AND(AR23&gt;=65, AJ23="Approved"), "Strong",
  AR23&gt;=65, "Adequate",
  AR23&gt;=40, "Adequate",
  AR23&gt;=20, "Weak",
  TRUE, "Insufficient Evidence"
)</f>
        <v/>
      </c>
      <c r="DP23" s="3">
        <f t="array" ref="DP23">_xlfn.IFS(
  ISBLANK(BS23), "Insufficient Evidence",
  BS23&gt;=65, "Strong",
  BS23&gt;=40, "Adequate",
  BS23&gt;=20, "Weak",
  TRUE, "Insufficient Evidence"
)</f>
        <v/>
      </c>
      <c r="DQ23" s="3">
        <f t="array" ref="DQ23">_xlfn.IFS(
  ISBLANK(BE23), "Insufficient Evidence",
  OR(AW23="Confirmed Violation", AX23="Confirmed Breach"), "Severe — Hard Trigger",
  BE23&gt;=65, "Strong",
  BE23&gt;=40, "Adequate",
  BE23&gt;=20, "Weak",
  TRUE, "Insufficient Evidence"
)</f>
        <v/>
      </c>
      <c r="DR23" s="3">
        <f t="array" ref="DR23">_xlfn.IFS(
  ISBLANK(CU23), "Insufficient Evidence",
  CU23&lt;=20, "Low Risk",
  CU23&lt;=50, "Moderate Risk",
  CU23&lt;=75, "High Risk",
  TRUE, "Very High Risk"
)</f>
        <v/>
      </c>
      <c r="DS23" s="3">
        <f t="array" ref="DS23">_xlfn.IFS(
  ISBLANK(CE23), "Insufficient Evidence",
  AND(ISNUMBER(BW23),ISNUMBER(BV23),BW23&gt;BV23), "Overclaiming Risk",
  CE23&gt;=65, "Strong",
  CE23&gt;=40, "Adequate",
  TRUE, "Weak"
)</f>
        <v/>
      </c>
      <c r="DT23" s="3">
        <f>IF(DB23="Yes — Automatic",0,ROUND((IF(ISNUMBER(AR23),AR23,0)*0.3+IF(ISNUMBER(BS23),BS23,0)*0.2+IF(ISNUMBER(BE23),BE23,0)*0.2+IF(ISNUMBER(CE23),CE23,0)*0.15+(100-IF(ISNUMBER(CU23),CU23,50))*0.15)*IF(DN23&gt;=75,1,IF(DN23&gt;=50,0.9,IF(DN23&gt;=25,0.75,0.6))),1))</f>
        <v/>
      </c>
      <c r="DU23" s="3">
        <f t="array" ref="DU23">_xlfn.IFS(
  DV23="Upgraded to Clear", "Clear",
  DV23="Downgraded to Watchlist", "Watchlist",
  DV23="Downgraded to Exclusion", "Exclusion Risk",
  DB23="Yes — Automatic", "Exclusion Risk",
  OR(AW23="Confirmed Violation", AX23="Confirmed Breach"), "Exclusion Risk",
  OR(V23=0, ISBLANK(V23), DN23&lt;20), "Insufficient Evidence",
  AND(DT23&gt;=65, DA23="No", DB23="No"), "Clear",
  OR(DT23&gt;=40, DA23="Yes"), "Watchlist",
  TRUE, "Exclusion Risk"
)</f>
        <v/>
      </c>
      <c r="DV23" s="3" t="n"/>
      <c r="DW23" s="3">
        <f t="array" ref="DW23">_xlfn.IFS(
  DU23="Exclusion Risk", "Exclude — Hard Trigger",
  DU23="Insufficient Evidence", "Watchlist — Further Evidence Needed",
  DU23="Watchlist", "Watchlist — Further Evidence Needed",
  AND(DU23="Clear", DT23&gt;=80), "Include — No Conditions",
  DU23="Clear", "Include — Monitor",
  TRUE, "Watchlist — Further Evidence Needed"
)</f>
        <v/>
      </c>
      <c r="DX23" s="3" t="n"/>
      <c r="DY23" s="3" t="n"/>
      <c r="DZ23" s="3" t="n"/>
      <c r="EA23" s="3" t="n"/>
      <c r="EB23" s="3">
        <f>IF(OR(V23=0, ISBLANK(V23)), "MISSING — No sources reviewed", "")</f>
        <v/>
      </c>
      <c r="EC23" s="3">
        <f>IF(AND(NOT(ISBLANK(DC23)), ISBLANK(DE23)), "PAGE REF MISSING", "")</f>
        <v/>
      </c>
    </row>
    <row r="24" ht="18" customHeight="1" s="60">
      <c r="A24" s="5" t="inlineStr">
        <is>
          <t>E.ON SE</t>
        </is>
      </c>
      <c r="B24" s="5" t="inlineStr">
        <is>
          <t>EOAN</t>
        </is>
      </c>
      <c r="C24" s="5" t="inlineStr">
        <is>
          <t>DE000ENAG999</t>
        </is>
      </c>
      <c r="D24" s="5" t="n"/>
      <c r="E24" s="5" t="n"/>
      <c r="F24" s="5">
        <f>IF(ISBLANK('Universe Tracker'!F20),"",'Universe Tracker'!F20)</f>
        <v/>
      </c>
      <c r="G24" s="5">
        <f>IF(ISBLANK('Universe Tracker'!G20),"",'Universe Tracker'!G20)</f>
        <v/>
      </c>
      <c r="H24" s="5" t="n"/>
      <c r="I24" s="5" t="n"/>
      <c r="J24" s="5">
        <f>IF(ISBLANK(B24),"",B24&amp;"_"&amp;C24)</f>
        <v/>
      </c>
      <c r="K24" s="5" t="n"/>
      <c r="L24" s="5" t="n"/>
      <c r="M24" s="5" t="n"/>
      <c r="N24" s="5" t="n"/>
      <c r="O24" s="5" t="inlineStr">
        <is>
          <t>Yes</t>
        </is>
      </c>
      <c r="P24" s="5" t="inlineStr">
        <is>
          <t>Yes</t>
        </is>
      </c>
      <c r="Q24" s="5" t="n"/>
      <c r="R24" s="5" t="n"/>
      <c r="S24" s="5" t="n"/>
      <c r="T24" s="5" t="n"/>
      <c r="U24" s="5" t="n"/>
      <c r="V24" s="5" t="n"/>
      <c r="W24" s="5" t="n"/>
      <c r="X24" s="5" t="n"/>
      <c r="Y24" s="5">
        <f>IF(AND(V24&gt;=2,K24="Yes",L24="Yes"),"Sufficient",IF(AND(V24&gt;=1,OR(K24="Yes",L24="Yes")),"Thin","Insufficient"))</f>
        <v/>
      </c>
      <c r="Z24" s="5" t="n"/>
      <c r="AA24" s="5" t="n"/>
      <c r="AB24" s="5" t="n"/>
      <c r="AC24" s="5" t="n"/>
      <c r="AD24" s="5" t="n"/>
      <c r="AE24" s="5" t="n"/>
      <c r="AF24" s="5" t="n"/>
      <c r="AG24" s="5" t="n"/>
      <c r="AH24" s="5" t="n"/>
      <c r="AI24" s="5" t="n"/>
      <c r="AJ24" s="5" t="inlineStr">
        <is>
          <t>Targets set (1.5°C)</t>
        </is>
      </c>
      <c r="AK24" s="5" t="inlineStr">
        <is>
          <t>2030</t>
        </is>
      </c>
      <c r="AL24" s="5" t="n"/>
      <c r="AM24" s="5" t="n"/>
      <c r="AN24" s="5" t="n"/>
      <c r="AO24" s="5" t="n"/>
      <c r="AP24" s="5" t="n"/>
      <c r="AQ24" s="5" t="n"/>
      <c r="AR24" s="40">
        <f t="array" ref="AR24">MIN(100, MAX(0,
  IFERROR(_xlfn.XLOOKUP(AJ24,'Lookup Tables'!$A$2:$A$7,'Lookup Tables'!$B$2:$B$7,0),0)
  + IF(Z24="Yes", IF(IFERROR(_xlfn.XLOOKUP(AJ24,'Lookup Tables'!$A$2:$A$7,'Lookup Tables'!$B$2:$B$7,0),0)&lt;20, 5, 0), 0)
  + _xlfn.IFS(AB24="Yes", IF(ISNUMBER(AC24)*AND(AC24&lt;=2030),15,10), AB24="Long-term Only", 5, AB24="No", 0, TRUE, 0)
  + _xlfn.IFS(AF24="Full",10, AF24="Partial",5, AF24="Scope 2 Only",3, TRUE,0)
  + _xlfn.IFS(AG24="Yes", IF(ISNUMBER(AH24)*AND(AH24&gt;=5),10,6), AG24="Partial",4, TRUE,0)
  + _xlfn.IFS(AI24="Yes",5, AI24="Partial (material categories only)",3, TRUE,0)
  + _xlfn.IFS(AL24="Yes — Detailed",10, AL24="Yes — High Level",5, TRUE,0)
  + _xlfn.IFS(AM24="Yes — Quantified",15, AM24="Yes — Directional Only",7, TRUE,0)
  + _xlfn.IFS(AP24="Formal",5, AP24="Referenced",2, TRUE,0)
  + _xlfn.IFS(AQ24="No Issues Found",5, AQ24="Concern Identified",-5, AQ24="Severe Contradiction",-15, TRUE,0)
  + _xlfn.IFS(BC24="Reasonable Assurance",5, BC24="Limited Assurance",3, TRUE,0)
  - IF(AND(Z24="Yes", AI24="No"), 10, 0)
  - IF(AND(Z24="Yes", AM24="No"), 10, 0)
))</f>
        <v/>
      </c>
      <c r="AS24" s="5" t="n"/>
      <c r="AT24" s="5" t="n"/>
      <c r="AU24" s="5" t="n"/>
      <c r="AV24" s="5" t="n"/>
      <c r="AW24" s="5" t="n"/>
      <c r="AX24" s="5" t="n"/>
      <c r="AY24" s="5" t="n"/>
      <c r="AZ24" s="5" t="n"/>
      <c r="BA24" s="5" t="n"/>
      <c r="BB24" s="5" t="n"/>
      <c r="BC24" s="5" t="n"/>
      <c r="BD24" s="5" t="n"/>
      <c r="BE24" s="39">
        <f t="array" ref="BE24">MIN(100, MAX(0,
  IFERROR(_xlfn.XLOOKUP(AT24,'Lookup Tables'!$D$2:$D$6,'Lookup Tables'!$E$2:$E$6,0),0)
  + IFERROR(_xlfn.XLOOKUP(AV24,'Lookup Tables'!$G$2:$G$5,'Lookup Tables'!$H$2:$H$5,0),0)
  + IFERROR(_xlfn.XLOOKUP(AW24,'Lookup Tables'!$J$2:$J$5,'Lookup Tables'!$K$2:$K$5,0),0)
  + _xlfn.IFS(AX24="No Issues",10, AX24="Complaint Filed",3, AX24="Confirmed Breach",-15, TRUE,0)
  + IFERROR(_xlfn.XLOOKUP(AY24,'Lookup Tables'!$M$2:$M$6,'Lookup Tables'!$N$2:$N$6,0),0)
  + IFERROR(_xlfn.XLOOKUP(AZ24,'Lookup Tables'!$P$2:$P$6,'Lookup Tables'!$Q$2:$Q$6,0),0)
  + _xlfn.IFS(BA24="Formal Board Committee",5, BA24="Board Oversight Mentioned",2, TRUE,0)
  + _xlfn.IFS(BB24="Yes — Quantified Targets",5, BB24="Yes — Discretionary Only",2, TRUE,0)
  + _xlfn.IFS(BC24="Reasonable Assurance",5, BC24="Limited Assurance",3, BC24="Management Review Only",1, TRUE,0)
))</f>
        <v/>
      </c>
      <c r="BF24" s="5" t="n"/>
      <c r="BG24" s="5" t="n"/>
      <c r="BH24" s="5" t="n"/>
      <c r="BI24" s="5" t="n"/>
      <c r="BJ24" s="5" t="n"/>
      <c r="BK24" s="5" t="n"/>
      <c r="BL24" s="5" t="n"/>
      <c r="BM24" s="5" t="n"/>
      <c r="BN24" s="5" t="n"/>
      <c r="BO24" s="5" t="n"/>
      <c r="BP24" s="5" t="n"/>
      <c r="BQ24" s="5" t="n"/>
      <c r="BR24" s="5" t="n"/>
      <c r="BS24" s="41">
        <f t="array" ref="BS24">MIN(100, MAX(0,
  IFERROR(_xlfn.XLOOKUP(BG24,'Lookup Tables'!$A$11:$A$16,'Lookup Tables'!$B$11:$B$16,0),0)
  + IFERROR(_xlfn.XLOOKUP(BR24,'Lookup Tables'!$M$11:$M$14,'Lookup Tables'!$N$11:$N$14,0),0)
  + IFERROR(_xlfn.XLOOKUP(BQ24,'Lookup Tables'!$J$11:$J$15,'Lookup Tables'!$K$11:$K$15,0),0)
  + IFERROR(_xlfn.XLOOKUP(BH24,'Lookup Tables'!$D$11:$D$15,'Lookup Tables'!$E$11:$E$15,0),0)
  + IFERROR(_xlfn.XLOOKUP(BJ24,'Lookup Tables'!$G$11:$G$16,'Lookup Tables'!$H$11:$H$16,0),0)
  + IFERROR(_xlfn.XLOOKUP(BN24,'Lookup Tables'!$P$11:$P$15,'Lookup Tables'!$Q$11:$Q$15,0),0)
  + _xlfn.IFS(BM24="No Evidence",10, BM24="Unknown",3, BM24="Likely",0, BM24="Confirmed",-10, TRUE,3)
  + IFERROR(_xlfn.XLOOKUP(BP24,'Lookup Tables'!$J$21:$J$24,'Lookup Tables'!$K$21:$K$24,0),0)
))</f>
        <v/>
      </c>
      <c r="BT24" s="5" t="n"/>
      <c r="BU24" s="5" t="n"/>
      <c r="BV24" s="5" t="n"/>
      <c r="BW24" s="5" t="n"/>
      <c r="BX24" s="5" t="n"/>
      <c r="BY24" s="5" t="n"/>
      <c r="BZ24" s="5" t="n"/>
      <c r="CA24" s="5" t="n"/>
      <c r="CB24" s="5" t="n"/>
      <c r="CC24" s="5" t="n"/>
      <c r="CD24" s="5" t="n"/>
      <c r="CE24" s="43">
        <f t="array" ref="CE24">MIN(100, MAX(0,
  IF(ISNUMBER(BV24)*AND(BV24&gt;0), 10, 0)
  + _xlfn.IFS(BY24="Independently Verified",25, BY24="Yes",15, TRUE,0)
  + IFERROR(_xlfn.XLOOKUP(BZ24,'Lookup Tables'!$A$21:$A$24,'Lookup Tables'!$B$21:$B$24,0),0)
  + IFERROR(_xlfn.XLOOKUP(CA24,'Lookup Tables'!$D$21:$D$24,'Lookup Tables'!$E$21:$E$24,0),0)
  + _xlfn.IFS(ISNUMBER(CB24)*AND(CB24&gt;=11),15, ISNUMBER(CB24)*AND(CB24&gt;=6),10, ISNUMBER(CB24)*AND(CB24&gt;=1),5, TRUE,0)
  + IFERROR(_xlfn.XLOOKUP(CC24,'Lookup Tables'!$G$21:$G$25,'Lookup Tables'!$H$21:$H$25,0),0)
  - IF(ISNUMBER(BW24)*AND(ISNUMBER(BV24))*AND(BW24&gt;BV24), 20, 0)
  - IF(AND(BY24="Yes", ISNUMBER(BW24), BW24&gt;60), 10, 0)
))</f>
        <v/>
      </c>
      <c r="CF24" s="5" t="n"/>
      <c r="CG24" s="5" t="inlineStr">
        <is>
          <t>reduce our own carbon emissions and aim to achieve climate neutrality by 2040</t>
        </is>
      </c>
      <c r="CH24" s="5" t="inlineStr">
        <is>
          <t>GB25-gesamt-EN_final.pdf</t>
        </is>
      </c>
      <c r="CI24" s="5" t="n">
        <v>6</v>
      </c>
      <c r="CJ24" s="5" t="inlineStr">
        <is>
          <t>PASS</t>
        </is>
      </c>
      <c r="CK24" s="5" t="inlineStr">
        <is>
          <t>PASS</t>
        </is>
      </c>
      <c r="CL24" s="5" t="inlineStr">
        <is>
          <t>PASS</t>
        </is>
      </c>
      <c r="CM24" s="5" t="inlineStr">
        <is>
          <t>PASS</t>
        </is>
      </c>
      <c r="CN24" s="5" t="inlineStr">
        <is>
          <t>PASS</t>
        </is>
      </c>
      <c r="CO24" s="5" t="inlineStr">
        <is>
          <t>PASS</t>
        </is>
      </c>
      <c r="CP24" s="5" t="inlineStr">
        <is>
          <t>PASS</t>
        </is>
      </c>
      <c r="CQ24" s="5" t="inlineStr">
        <is>
          <t>PASS</t>
        </is>
      </c>
      <c r="CR24" s="5">
        <f>COUNTIF(CJ24:CQ24,"FAIL")</f>
        <v/>
      </c>
      <c r="CS24" s="5">
        <f>COUNTIF(CJ24:CQ24,"PARTIAL")</f>
        <v/>
      </c>
      <c r="CT24" s="5">
        <f>COUNTIF(CJ24:CQ24,"MISSING")</f>
        <v/>
      </c>
      <c r="CU24" s="5">
        <f>MIN(100,
  CR24*15
  + CS24*6
  + CT24*3
  + IFERROR(_xlfn.XLOOKUP(CW24,'Lookup Tables'!$M$21:$M$25,'Lookup Tables'!$N$21:$N$25,0),0)
)</f>
        <v/>
      </c>
      <c r="CV24" s="5">
        <f>IFERROR(
CHOOSE(
MATCH("FAIL",CJ24:CQ24,0),
"1-Specificity","2-Metric","3-Baseline","4-Target",
"5-Time Horizon","6-Scope","7-Verification","8-Consistency"
),
IFERROR(
CHOOSE(
MATCH("PARTIAL",CJ24:CQ24,0),
"1-Specificity","2-Metric","3-Baseline","4-Target",
"5-Time Horizon","6-Scope","7-Verification","8-Consistency"
),
"No failures"
)
)</f>
        <v/>
      </c>
      <c r="CW24" s="5" t="n"/>
      <c r="CX24" s="5" t="n"/>
      <c r="CY24" s="5" t="n"/>
      <c r="CZ24" s="5" t="n"/>
      <c r="DA24" s="5">
        <f>IF(OR(CU24&gt;=50,CW24="Material",CW24="Severe",AS24="Material",AS24="Severe",BF24="Material",BF24="Severe — Exclusion Trigger",AND(ISNUMBER(BS24),BS24&lt;30)),"Yes","No")</f>
        <v/>
      </c>
      <c r="DB24" s="5">
        <f>IF(OR(CR24&gt;=6,AW24="Confirmed Violation",AX24="Confirmed Breach"),"Yes — Automatic",IF(CW24="Severe","Yes — Requires Captain Confirmation","No"))</f>
        <v/>
      </c>
      <c r="DC24" s="5" t="inlineStr">
        <is>
          <t>reduce our own carbon emissions and aim to achieve climate neutrality by 2040</t>
        </is>
      </c>
      <c r="DD24" s="5" t="inlineStr">
        <is>
          <t>GB25-gesamt-EN_final.pdf</t>
        </is>
      </c>
      <c r="DE24" s="5" t="n">
        <v>6</v>
      </c>
      <c r="DF24" s="5" t="n">
        <v>4</v>
      </c>
      <c r="DG24" s="5" t="n">
        <v>4</v>
      </c>
      <c r="DH24" s="5" t="inlineStr">
        <is>
          <t>PENDING</t>
        </is>
      </c>
      <c r="DI24" s="5" t="n"/>
      <c r="DJ24" s="5" t="n"/>
      <c r="DK24" s="5" t="n"/>
      <c r="DL24" s="5">
        <f>IF(OR(IFERROR(VALUE(LEFT(DF24,1)),99)&lt;=2,IFERROR(VALUE(LEFT(DG24,1)),99)&lt;=2),"Flagged","Clear")</f>
        <v/>
      </c>
      <c r="DM24" s="5">
        <f>IF(OR(DA24="Yes",DB24&lt;&gt;"No",DH24="Unverified",DL24="Flagged"),"Yes","No")</f>
        <v/>
      </c>
      <c r="DN24" s="5">
        <f t="array" ref="DN24">MIN(100,
  IF(ISNUMBER(V24), _xlfn.IFS(V24&gt;=3,25, V24=2,15, V24=1,5, TRUE,0), 0)
  + IFERROR(_xlfn.IFS(VALUE(LEFT(DF24,1))=5,25, VALUE(LEFT(DF24,1))=4,20, VALUE(LEFT(DF24,1))=3,15, VALUE(LEFT(DF24,1))=2,8, TRUE,0), 15)
  + IFERROR(_xlfn.IFS(VALUE(LEFT(DG24,1))=5,25, VALUE(LEFT(DG24,1))=4,20, VALUE(LEFT(DG24,1))=3,15, VALUE(LEFT(DG24,1))=2,8, TRUE,0), 15)
  + _xlfn.IFS(DH24="Fully Verified",25, DH24="Partially Verified",12, TRUE,0)
)</f>
        <v/>
      </c>
      <c r="DO24" s="5">
        <f t="array" ref="DO24">_xlfn.IFS(
  ISBLANK(AR24), "Insufficient Evidence",
  AND(AR24&gt;=65, AJ24="Approved"), "Strong",
  AR24&gt;=65, "Adequate",
  AR24&gt;=40, "Adequate",
  AR24&gt;=20, "Weak",
  TRUE, "Insufficient Evidence"
)</f>
        <v/>
      </c>
      <c r="DP24" s="5">
        <f t="array" ref="DP24">_xlfn.IFS(
  ISBLANK(BS24), "Insufficient Evidence",
  BS24&gt;=65, "Strong",
  BS24&gt;=40, "Adequate",
  BS24&gt;=20, "Weak",
  TRUE, "Insufficient Evidence"
)</f>
        <v/>
      </c>
      <c r="DQ24" s="5">
        <f t="array" ref="DQ24">_xlfn.IFS(
  ISBLANK(BE24), "Insufficient Evidence",
  OR(AW24="Confirmed Violation", AX24="Confirmed Breach"), "Severe — Hard Trigger",
  BE24&gt;=65, "Strong",
  BE24&gt;=40, "Adequate",
  BE24&gt;=20, "Weak",
  TRUE, "Insufficient Evidence"
)</f>
        <v/>
      </c>
      <c r="DR24" s="5">
        <f t="array" ref="DR24">_xlfn.IFS(
  ISBLANK(CU24), "Insufficient Evidence",
  CU24&lt;=20, "Low Risk",
  CU24&lt;=50, "Moderate Risk",
  CU24&lt;=75, "High Risk",
  TRUE, "Very High Risk"
)</f>
        <v/>
      </c>
      <c r="DS24" s="5">
        <f t="array" ref="DS24">_xlfn.IFS(
  ISBLANK(CE24), "Insufficient Evidence",
  AND(ISNUMBER(BW24),ISNUMBER(BV24),BW24&gt;BV24), "Overclaiming Risk",
  CE24&gt;=65, "Strong",
  CE24&gt;=40, "Adequate",
  TRUE, "Weak"
)</f>
        <v/>
      </c>
      <c r="DT24" s="5">
        <f>IF(DB24="Yes — Automatic",0,ROUND((IF(ISNUMBER(AR24),AR24,0)*0.3+IF(ISNUMBER(BS24),BS24,0)*0.2+IF(ISNUMBER(BE24),BE24,0)*0.2+IF(ISNUMBER(CE24),CE24,0)*0.15+(100-IF(ISNUMBER(CU24),CU24,50))*0.15)*IF(DN24&gt;=75,1,IF(DN24&gt;=50,0.9,IF(DN24&gt;=25,0.75,0.6))),1))</f>
        <v/>
      </c>
      <c r="DU24" s="5">
        <f t="array" ref="DU24">_xlfn.IFS(
  DV24="Upgraded to Clear", "Clear",
  DV24="Downgraded to Watchlist", "Watchlist",
  DV24="Downgraded to Exclusion", "Exclusion Risk",
  DB24="Yes — Automatic", "Exclusion Risk",
  OR(AW24="Confirmed Violation", AX24="Confirmed Breach"), "Exclusion Risk",
  OR(V24=0, ISBLANK(V24), DN24&lt;20), "Insufficient Evidence",
  AND(DT24&gt;=65, DA24="No", DB24="No"), "Clear",
  OR(DT24&gt;=40, DA24="Yes"), "Watchlist",
  TRUE, "Exclusion Risk"
)</f>
        <v/>
      </c>
      <c r="DV24" s="5" t="n"/>
      <c r="DW24" s="5">
        <f t="array" ref="DW24">_xlfn.IFS(
  DU24="Exclusion Risk", "Exclude — Hard Trigger",
  DU24="Insufficient Evidence", "Watchlist — Further Evidence Needed",
  DU24="Watchlist", "Watchlist — Further Evidence Needed",
  AND(DU24="Clear", DT24&gt;=80), "Include — No Conditions",
  DU24="Clear", "Include — Monitor",
  TRUE, "Watchlist — Further Evidence Needed"
)</f>
        <v/>
      </c>
      <c r="DX24" s="5" t="inlineStr">
        <is>
          <t>Main claim: "reduce our own carbon emissions and aim to achieve climate neutrality by 2040" (GB25-gesamt-EN_final.pdf, p6). SBTi: Targets set, 1.5°C near-term target (2030). 8-Test: 0 PARTIAL, 0 FAIL, 0 MISSING -&gt; PASS. Utility/grid annual report. Strong climate disclosure — SBTi-validated near-term 2030 targets, climate neutrality by 2040 on a 2019 baseline, full scope coverage, lobbying disclosed. One MED (assurance level). (E.ON's high carbon...</t>
        </is>
      </c>
      <c r="DY24" s="5" t="n"/>
      <c r="DZ24" s="5" t="n"/>
      <c r="EA24" s="5" t="n"/>
      <c r="EB24" s="5">
        <f>IF(OR(V24=0, ISBLANK(V24)), "MISSING — No sources reviewed", "")</f>
        <v/>
      </c>
      <c r="EC24" s="5">
        <f>IF(AND(NOT(ISBLANK(DC24)), ISBLANK(DE24)), "PAGE REF MISSING", "")</f>
        <v/>
      </c>
    </row>
    <row r="25" ht="18" customHeight="1" s="60">
      <c r="A25" s="3" t="inlineStr">
        <is>
          <t>NN Group NV</t>
        </is>
      </c>
      <c r="B25" s="3" t="inlineStr">
        <is>
          <t>2NN</t>
        </is>
      </c>
      <c r="C25" s="3">
        <f>IF(ISBLANK('Universe Tracker'!D21),"",'Universe Tracker'!D21)</f>
        <v/>
      </c>
      <c r="D25" s="3" t="n"/>
      <c r="E25" s="3" t="n"/>
      <c r="F25" s="3">
        <f>IF(ISBLANK('Universe Tracker'!F21),"",'Universe Tracker'!F21)</f>
        <v/>
      </c>
      <c r="G25" s="3">
        <f>IF(ISBLANK('Universe Tracker'!G21),"",'Universe Tracker'!G21)</f>
        <v/>
      </c>
      <c r="H25" s="3" t="n"/>
      <c r="I25" s="3" t="n"/>
      <c r="J25" s="3">
        <f>IF(ISBLANK(B25),"",B25&amp;"_"&amp;C25)</f>
        <v/>
      </c>
      <c r="K25" s="3" t="n"/>
      <c r="L25" s="3" t="n"/>
      <c r="M25" s="3" t="n"/>
      <c r="N25" s="3" t="n"/>
      <c r="O25" s="3" t="n"/>
      <c r="P25" s="3" t="n"/>
      <c r="Q25" s="3" t="n"/>
      <c r="R25" s="3" t="n"/>
      <c r="S25" s="3" t="n"/>
      <c r="T25" s="3" t="n"/>
      <c r="U25" s="3" t="n"/>
      <c r="V25" s="3" t="n"/>
      <c r="W25" s="3" t="n"/>
      <c r="X25" s="3" t="n"/>
      <c r="Y25" s="3">
        <f>IF(AND(V25&gt;=2,K25="Yes",L25="Yes"),"Sufficient",IF(AND(V25&gt;=1,OR(K25="Yes",L25="Yes")),"Thin","Insufficient"))</f>
        <v/>
      </c>
      <c r="Z25" s="3" t="n"/>
      <c r="AA25" s="3" t="n"/>
      <c r="AB25" s="3" t="n"/>
      <c r="AC25" s="3" t="n"/>
      <c r="AD25" s="3" t="n"/>
      <c r="AE25" s="3" t="n"/>
      <c r="AF25" s="3" t="n"/>
      <c r="AG25" s="3" t="n"/>
      <c r="AH25" s="3" t="n"/>
      <c r="AI25" s="3" t="n"/>
      <c r="AJ25" s="3" t="n"/>
      <c r="AK25" s="3" t="n"/>
      <c r="AL25" s="3" t="n"/>
      <c r="AM25" s="3" t="n"/>
      <c r="AN25" s="3" t="n"/>
      <c r="AO25" s="3" t="n"/>
      <c r="AP25" s="3" t="n"/>
      <c r="AQ25" s="3" t="n"/>
      <c r="AR25" s="40">
        <f t="array" ref="AR25">MIN(100, MAX(0,
  IFERROR(_xlfn.XLOOKUP(AJ25,'Lookup Tables'!$A$2:$A$7,'Lookup Tables'!$B$2:$B$7,0),0)
  + IF(Z25="Yes", IF(IFERROR(_xlfn.XLOOKUP(AJ25,'Lookup Tables'!$A$2:$A$7,'Lookup Tables'!$B$2:$B$7,0),0)&lt;20, 5, 0), 0)
  + _xlfn.IFS(AB25="Yes", IF(ISNUMBER(AC25)*AND(AC25&lt;=2030),15,10), AB25="Long-term Only", 5, AB25="No", 0, TRUE, 0)
  + _xlfn.IFS(AF25="Full",10, AF25="Partial",5, AF25="Scope 2 Only",3, TRUE,0)
  + _xlfn.IFS(AG25="Yes", IF(ISNUMBER(AH25)*AND(AH25&gt;=5),10,6), AG25="Partial",4, TRUE,0)
  + _xlfn.IFS(AI25="Yes",5, AI25="Partial (material categories only)",3, TRUE,0)
  + _xlfn.IFS(AL25="Yes — Detailed",10, AL25="Yes — High Level",5, TRUE,0)
  + _xlfn.IFS(AM25="Yes — Quantified",15, AM25="Yes — Directional Only",7, TRUE,0)
  + _xlfn.IFS(AP25="Formal",5, AP25="Referenced",2, TRUE,0)
  + _xlfn.IFS(AQ25="No Issues Found",5, AQ25="Concern Identified",-5, AQ25="Severe Contradiction",-15, TRUE,0)
  + _xlfn.IFS(BC25="Reasonable Assurance",5, BC25="Limited Assurance",3, TRUE,0)
  - IF(AND(Z25="Yes", AI25="No"), 10, 0)
  - IF(AND(Z25="Yes", AM25="No"), 10, 0)
))</f>
        <v/>
      </c>
      <c r="AS25" s="3" t="n"/>
      <c r="AT25" s="3" t="n"/>
      <c r="AU25" s="3" t="n"/>
      <c r="AV25" s="3" t="n"/>
      <c r="AW25" s="3" t="n"/>
      <c r="AX25" s="3" t="n"/>
      <c r="AY25" s="3" t="n"/>
      <c r="AZ25" s="3" t="n"/>
      <c r="BA25" s="3" t="n"/>
      <c r="BB25" s="3" t="n"/>
      <c r="BC25" s="3" t="n"/>
      <c r="BD25" s="3" t="n"/>
      <c r="BE25" s="40">
        <f t="array" ref="BE25">MIN(100, MAX(0,
  IFERROR(_xlfn.XLOOKUP(AT25,'Lookup Tables'!$D$2:$D$6,'Lookup Tables'!$E$2:$E$6,0),0)
  + IFERROR(_xlfn.XLOOKUP(AV25,'Lookup Tables'!$G$2:$G$5,'Lookup Tables'!$H$2:$H$5,0),0)
  + IFERROR(_xlfn.XLOOKUP(AW25,'Lookup Tables'!$J$2:$J$5,'Lookup Tables'!$K$2:$K$5,0),0)
  + _xlfn.IFS(AX25="No Issues",10, AX25="Complaint Filed",3, AX25="Confirmed Breach",-15, TRUE,0)
  + IFERROR(_xlfn.XLOOKUP(AY25,'Lookup Tables'!$M$2:$M$6,'Lookup Tables'!$N$2:$N$6,0),0)
  + IFERROR(_xlfn.XLOOKUP(AZ25,'Lookup Tables'!$P$2:$P$6,'Lookup Tables'!$Q$2:$Q$6,0),0)
  + _xlfn.IFS(BA25="Formal Board Committee",5, BA25="Board Oversight Mentioned",2, TRUE,0)
  + _xlfn.IFS(BB25="Yes — Quantified Targets",5, BB25="Yes — Discretionary Only",2, TRUE,0)
  + _xlfn.IFS(BC25="Reasonable Assurance",5, BC25="Limited Assurance",3, BC25="Management Review Only",1, TRUE,0)
))</f>
        <v/>
      </c>
      <c r="BF25" s="3" t="n"/>
      <c r="BG25" s="3" t="n"/>
      <c r="BH25" s="3" t="n"/>
      <c r="BI25" s="3" t="n"/>
      <c r="BJ25" s="3" t="n"/>
      <c r="BK25" s="3" t="n"/>
      <c r="BL25" s="3" t="n"/>
      <c r="BM25" s="3" t="n"/>
      <c r="BN25" s="3" t="n"/>
      <c r="BO25" s="3" t="n"/>
      <c r="BP25" s="3" t="n"/>
      <c r="BQ25" s="3" t="n"/>
      <c r="BR25" s="3" t="n"/>
      <c r="BS25" s="42">
        <f t="array" ref="BS25">MIN(100, MAX(0,
  IFERROR(_xlfn.XLOOKUP(BG25,'Lookup Tables'!$A$11:$A$16,'Lookup Tables'!$B$11:$B$16,0),0)
  + IFERROR(_xlfn.XLOOKUP(BR25,'Lookup Tables'!$M$11:$M$14,'Lookup Tables'!$N$11:$N$14,0),0)
  + IFERROR(_xlfn.XLOOKUP(BQ25,'Lookup Tables'!$J$11:$J$15,'Lookup Tables'!$K$11:$K$15,0),0)
  + IFERROR(_xlfn.XLOOKUP(BH25,'Lookup Tables'!$D$11:$D$15,'Lookup Tables'!$E$11:$E$15,0),0)
  + IFERROR(_xlfn.XLOOKUP(BJ25,'Lookup Tables'!$G$11:$G$16,'Lookup Tables'!$H$11:$H$16,0),0)
  + IFERROR(_xlfn.XLOOKUP(BN25,'Lookup Tables'!$P$11:$P$15,'Lookup Tables'!$Q$11:$Q$15,0),0)
  + _xlfn.IFS(BM25="No Evidence",10, BM25="Unknown",3, BM25="Likely",0, BM25="Confirmed",-10, TRUE,3)
  + IFERROR(_xlfn.XLOOKUP(BP25,'Lookup Tables'!$J$21:$J$24,'Lookup Tables'!$K$21:$K$24,0),0)
))</f>
        <v/>
      </c>
      <c r="BT25" s="3" t="n"/>
      <c r="BU25" s="3" t="n"/>
      <c r="BV25" s="3" t="n"/>
      <c r="BW25" s="3" t="n"/>
      <c r="BX25" s="3" t="n"/>
      <c r="BY25" s="3" t="n"/>
      <c r="BZ25" s="3" t="n"/>
      <c r="CA25" s="3" t="n"/>
      <c r="CB25" s="3" t="n"/>
      <c r="CC25" s="3" t="n"/>
      <c r="CD25" s="3" t="n"/>
      <c r="CE25" s="44">
        <f t="array" ref="CE25">MIN(100, MAX(0,
  IF(ISNUMBER(BV25)*AND(BV25&gt;0), 10, 0)
  + _xlfn.IFS(BY25="Independently Verified",25, BY25="Yes",15, TRUE,0)
  + IFERROR(_xlfn.XLOOKUP(BZ25,'Lookup Tables'!$A$21:$A$24,'Lookup Tables'!$B$21:$B$24,0),0)
  + IFERROR(_xlfn.XLOOKUP(CA25,'Lookup Tables'!$D$21:$D$24,'Lookup Tables'!$E$21:$E$24,0),0)
  + _xlfn.IFS(ISNUMBER(CB25)*AND(CB25&gt;=11),15, ISNUMBER(CB25)*AND(CB25&gt;=6),10, ISNUMBER(CB25)*AND(CB25&gt;=1),5, TRUE,0)
  + IFERROR(_xlfn.XLOOKUP(CC25,'Lookup Tables'!$G$21:$G$25,'Lookup Tables'!$H$21:$H$25,0),0)
  - IF(ISNUMBER(BW25)*AND(ISNUMBER(BV25))*AND(BW25&gt;BV25), 20, 0)
  - IF(AND(BY25="Yes", ISNUMBER(BW25), BW25&gt;60), 10, 0)
))</f>
        <v/>
      </c>
      <c r="CF25" s="3" t="n"/>
      <c r="CG25" s="3" t="n"/>
      <c r="CH25" s="3" t="n"/>
      <c r="CI25" s="3" t="n"/>
      <c r="CJ25" s="3" t="n"/>
      <c r="CK25" s="3" t="n"/>
      <c r="CL25" s="3" t="n"/>
      <c r="CM25" s="3" t="n"/>
      <c r="CN25" s="3" t="n"/>
      <c r="CO25" s="3" t="n"/>
      <c r="CP25" s="3" t="n"/>
      <c r="CQ25" s="3" t="n"/>
      <c r="CR25" s="3">
        <f>COUNTIF(CJ25:CQ25,"FAIL")</f>
        <v/>
      </c>
      <c r="CS25" s="3">
        <f>COUNTIF(CJ25:CQ25,"PARTIAL")</f>
        <v/>
      </c>
      <c r="CT25" s="3">
        <f>COUNTIF(CJ25:CQ25,"MISSING")</f>
        <v/>
      </c>
      <c r="CU25" s="3">
        <f>MIN(100,
  CR25*15
  + CS25*6
  + CT25*3
  + IFERROR(_xlfn.XLOOKUP(CW25,'Lookup Tables'!$M$21:$M$25,'Lookup Tables'!$N$21:$N$25,0),0)
)</f>
        <v/>
      </c>
      <c r="CV25" s="3">
        <f>IFERROR(
CHOOSE(
MATCH("FAIL",CJ25:CQ25,0),
"1-Specificity","2-Metric","3-Baseline","4-Target",
"5-Time Horizon","6-Scope","7-Verification","8-Consistency"
),
IFERROR(
CHOOSE(
MATCH("PARTIAL",CJ25:CQ25,0),
"1-Specificity","2-Metric","3-Baseline","4-Target",
"5-Time Horizon","6-Scope","7-Verification","8-Consistency"
),
"No failures"
)
)</f>
        <v/>
      </c>
      <c r="CW25" s="3" t="n"/>
      <c r="CX25" s="3" t="n"/>
      <c r="CY25" s="3" t="n"/>
      <c r="CZ25" s="3" t="n"/>
      <c r="DA25" s="3">
        <f>IF(OR(CU25&gt;=50,CW25="Material",CW25="Severe",AS25="Material",AS25="Severe",BF25="Material",BF25="Severe — Exclusion Trigger",AND(ISNUMBER(BS25),BS25&lt;30)),"Yes","No")</f>
        <v/>
      </c>
      <c r="DB25" s="3">
        <f>IF(OR(CR25&gt;=6,AW25="Confirmed Violation",AX25="Confirmed Breach"),"Yes — Automatic",IF(CW25="Severe","Yes — Requires Captain Confirmation","No"))</f>
        <v/>
      </c>
      <c r="DC25" s="3" t="n"/>
      <c r="DD25" s="3" t="n"/>
      <c r="DE25" s="3" t="n"/>
      <c r="DF25" s="3" t="n"/>
      <c r="DG25" s="3" t="n"/>
      <c r="DH25" s="3" t="n"/>
      <c r="DI25" s="3" t="n"/>
      <c r="DJ25" s="3" t="n"/>
      <c r="DK25" s="3" t="n"/>
      <c r="DL25" s="3">
        <f>IF(OR(IFERROR(VALUE(LEFT(DF25,1)),99)&lt;=2,IFERROR(VALUE(LEFT(DG25,1)),99)&lt;=2),"Flagged","Clear")</f>
        <v/>
      </c>
      <c r="DM25" s="3">
        <f>IF(OR(DA25="Yes",DB25&lt;&gt;"No",DH25="Unverified",DL25="Flagged"),"Yes","No")</f>
        <v/>
      </c>
      <c r="DN25" s="3">
        <f t="array" ref="DN25">MIN(100,
  IF(ISNUMBER(V25), _xlfn.IFS(V25&gt;=3,25, V25=2,15, V25=1,5, TRUE,0), 0)
  + IFERROR(_xlfn.IFS(VALUE(LEFT(DF25,1))=5,25, VALUE(LEFT(DF25,1))=4,20, VALUE(LEFT(DF25,1))=3,15, VALUE(LEFT(DF25,1))=2,8, TRUE,0), 15)
  + IFERROR(_xlfn.IFS(VALUE(LEFT(DG25,1))=5,25, VALUE(LEFT(DG25,1))=4,20, VALUE(LEFT(DG25,1))=3,15, VALUE(LEFT(DG25,1))=2,8, TRUE,0), 15)
  + _xlfn.IFS(DH25="Fully Verified",25, DH25="Partially Verified",12, TRUE,0)
)</f>
        <v/>
      </c>
      <c r="DO25" s="3">
        <f t="array" ref="DO25">_xlfn.IFS(
  ISBLANK(AR25), "Insufficient Evidence",
  AND(AR25&gt;=65, AJ25="Approved"), "Strong",
  AR25&gt;=65, "Adequate",
  AR25&gt;=40, "Adequate",
  AR25&gt;=20, "Weak",
  TRUE, "Insufficient Evidence"
)</f>
        <v/>
      </c>
      <c r="DP25" s="3">
        <f t="array" ref="DP25">_xlfn.IFS(
  ISBLANK(BS25), "Insufficient Evidence",
  BS25&gt;=65, "Strong",
  BS25&gt;=40, "Adequate",
  BS25&gt;=20, "Weak",
  TRUE, "Insufficient Evidence"
)</f>
        <v/>
      </c>
      <c r="DQ25" s="3">
        <f t="array" ref="DQ25">_xlfn.IFS(
  ISBLANK(BE25), "Insufficient Evidence",
  OR(AW25="Confirmed Violation", AX25="Confirmed Breach"), "Severe — Hard Trigger",
  BE25&gt;=65, "Strong",
  BE25&gt;=40, "Adequate",
  BE25&gt;=20, "Weak",
  TRUE, "Insufficient Evidence"
)</f>
        <v/>
      </c>
      <c r="DR25" s="3">
        <f t="array" ref="DR25">_xlfn.IFS(
  ISBLANK(CU25), "Insufficient Evidence",
  CU25&lt;=20, "Low Risk",
  CU25&lt;=50, "Moderate Risk",
  CU25&lt;=75, "High Risk",
  TRUE, "Very High Risk"
)</f>
        <v/>
      </c>
      <c r="DS25" s="3">
        <f t="array" ref="DS25">_xlfn.IFS(
  ISBLANK(CE25), "Insufficient Evidence",
  AND(ISNUMBER(BW25),ISNUMBER(BV25),BW25&gt;BV25), "Overclaiming Risk",
  CE25&gt;=65, "Strong",
  CE25&gt;=40, "Adequate",
  TRUE, "Weak"
)</f>
        <v/>
      </c>
      <c r="DT25" s="3">
        <f>IF(DB25="Yes — Automatic",0,ROUND((IF(ISNUMBER(AR25),AR25,0)*0.3+IF(ISNUMBER(BS25),BS25,0)*0.2+IF(ISNUMBER(BE25),BE25,0)*0.2+IF(ISNUMBER(CE25),CE25,0)*0.15+(100-IF(ISNUMBER(CU25),CU25,50))*0.15)*IF(DN25&gt;=75,1,IF(DN25&gt;=50,0.9,IF(DN25&gt;=25,0.75,0.6))),1))</f>
        <v/>
      </c>
      <c r="DU25" s="3">
        <f t="array" ref="DU25">_xlfn.IFS(
  DV25="Upgraded to Clear", "Clear",
  DV25="Downgraded to Watchlist", "Watchlist",
  DV25="Downgraded to Exclusion", "Exclusion Risk",
  DB25="Yes — Automatic", "Exclusion Risk",
  OR(AW25="Confirmed Violation", AX25="Confirmed Breach"), "Exclusion Risk",
  OR(V25=0, ISBLANK(V25), DN25&lt;20), "Insufficient Evidence",
  AND(DT25&gt;=65, DA25="No", DB25="No"), "Clear",
  OR(DT25&gt;=40, DA25="Yes"), "Watchlist",
  TRUE, "Exclusion Risk"
)</f>
        <v/>
      </c>
      <c r="DV25" s="3" t="n"/>
      <c r="DW25" s="3">
        <f t="array" ref="DW25">_xlfn.IFS(
  DU25="Exclusion Risk", "Exclude — Hard Trigger",
  DU25="Insufficient Evidence", "Watchlist — Further Evidence Needed",
  DU25="Watchlist", "Watchlist — Further Evidence Needed",
  AND(DU25="Clear", DT25&gt;=80), "Include — No Conditions",
  DU25="Clear", "Include — Monitor",
  TRUE, "Watchlist — Further Evidence Needed"
)</f>
        <v/>
      </c>
      <c r="DX25" s="3" t="n"/>
      <c r="DY25" s="3" t="n"/>
      <c r="DZ25" s="3" t="n"/>
      <c r="EA25" s="3" t="n"/>
      <c r="EB25" s="3">
        <f>IF(OR(V25=0, ISBLANK(V25)), "MISSING — No sources reviewed", "")</f>
        <v/>
      </c>
      <c r="EC25" s="3">
        <f>IF(AND(NOT(ISBLANK(DC25)), ISBLANK(DE25)), "PAGE REF MISSING", "")</f>
        <v/>
      </c>
    </row>
    <row r="26" ht="18" customHeight="1" s="60">
      <c r="A26" s="5" t="inlineStr">
        <is>
          <t>Orion Oyj</t>
        </is>
      </c>
      <c r="B26" s="5" t="inlineStr">
        <is>
          <t>OFK</t>
        </is>
      </c>
      <c r="C26" s="5" t="inlineStr">
        <is>
          <t>FI0009014377</t>
        </is>
      </c>
      <c r="D26" s="5" t="n"/>
      <c r="E26" s="5" t="n"/>
      <c r="F26" s="5">
        <f>IF(ISBLANK('Universe Tracker'!F22),"",'Universe Tracker'!F22)</f>
        <v/>
      </c>
      <c r="G26" s="5">
        <f>IF(ISBLANK('Universe Tracker'!G22),"",'Universe Tracker'!G22)</f>
        <v/>
      </c>
      <c r="H26" s="5" t="n"/>
      <c r="I26" s="5" t="n"/>
      <c r="J26" s="5">
        <f>IF(ISBLANK(B26),"",B26&amp;"_"&amp;C26)</f>
        <v/>
      </c>
      <c r="K26" s="5" t="n"/>
      <c r="L26" s="5" t="n"/>
      <c r="M26" s="5" t="n"/>
      <c r="N26" s="5" t="n"/>
      <c r="O26" s="5" t="inlineStr">
        <is>
          <t>Yes</t>
        </is>
      </c>
      <c r="P26" s="5" t="inlineStr">
        <is>
          <t>Yes</t>
        </is>
      </c>
      <c r="Q26" s="5" t="n"/>
      <c r="R26" s="5" t="n"/>
      <c r="S26" s="5" t="n"/>
      <c r="T26" s="5" t="n"/>
      <c r="U26" s="5" t="n"/>
      <c r="V26" s="5" t="n"/>
      <c r="W26" s="5" t="n"/>
      <c r="X26" s="5" t="n"/>
      <c r="Y26" s="5">
        <f>IF(AND(V26&gt;=2,K26="Yes",L26="Yes"),"Sufficient",IF(AND(V26&gt;=1,OR(K26="Yes",L26="Yes")),"Thin","Insufficient"))</f>
        <v/>
      </c>
      <c r="Z26" s="5" t="n"/>
      <c r="AA26" s="5" t="n"/>
      <c r="AB26" s="5" t="n"/>
      <c r="AC26" s="5" t="n"/>
      <c r="AD26" s="5" t="n"/>
      <c r="AE26" s="5" t="n"/>
      <c r="AF26" s="5" t="n"/>
      <c r="AG26" s="5" t="n"/>
      <c r="AH26" s="5" t="n"/>
      <c r="AI26" s="5" t="n"/>
      <c r="AJ26" s="5" t="inlineStr">
        <is>
          <t>Targets set (1.5°C)</t>
        </is>
      </c>
      <c r="AK26" s="5" t="inlineStr">
        <is>
          <t>2030</t>
        </is>
      </c>
      <c r="AL26" s="5" t="n"/>
      <c r="AM26" s="5" t="n"/>
      <c r="AN26" s="5" t="n"/>
      <c r="AO26" s="5" t="n"/>
      <c r="AP26" s="5" t="n"/>
      <c r="AQ26" s="5" t="n"/>
      <c r="AR26" s="40">
        <f t="array" ref="AR26">MIN(100, MAX(0,
  IFERROR(_xlfn.XLOOKUP(AJ26,'Lookup Tables'!$A$2:$A$7,'Lookup Tables'!$B$2:$B$7,0),0)
  + IF(Z26="Yes", IF(IFERROR(_xlfn.XLOOKUP(AJ26,'Lookup Tables'!$A$2:$A$7,'Lookup Tables'!$B$2:$B$7,0),0)&lt;20, 5, 0), 0)
  + _xlfn.IFS(AB26="Yes", IF(ISNUMBER(AC26)*AND(AC26&lt;=2030),15,10), AB26="Long-term Only", 5, AB26="No", 0, TRUE, 0)
  + _xlfn.IFS(AF26="Full",10, AF26="Partial",5, AF26="Scope 2 Only",3, TRUE,0)
  + _xlfn.IFS(AG26="Yes", IF(ISNUMBER(AH26)*AND(AH26&gt;=5),10,6), AG26="Partial",4, TRUE,0)
  + _xlfn.IFS(AI26="Yes",5, AI26="Partial (material categories only)",3, TRUE,0)
  + _xlfn.IFS(AL26="Yes — Detailed",10, AL26="Yes — High Level",5, TRUE,0)
  + _xlfn.IFS(AM26="Yes — Quantified",15, AM26="Yes — Directional Only",7, TRUE,0)
  + _xlfn.IFS(AP26="Formal",5, AP26="Referenced",2, TRUE,0)
  + _xlfn.IFS(AQ26="No Issues Found",5, AQ26="Concern Identified",-5, AQ26="Severe Contradiction",-15, TRUE,0)
  + _xlfn.IFS(BC26="Reasonable Assurance",5, BC26="Limited Assurance",3, TRUE,0)
  - IF(AND(Z26="Yes", AI26="No"), 10, 0)
  - IF(AND(Z26="Yes", AM26="No"), 10, 0)
))</f>
        <v/>
      </c>
      <c r="AS26" s="5" t="n"/>
      <c r="AT26" s="5" t="n"/>
      <c r="AU26" s="5" t="n"/>
      <c r="AV26" s="5" t="n"/>
      <c r="AW26" s="5" t="n"/>
      <c r="AX26" s="5" t="n"/>
      <c r="AY26" s="5" t="n"/>
      <c r="AZ26" s="5" t="n"/>
      <c r="BA26" s="5" t="n"/>
      <c r="BB26" s="5" t="n"/>
      <c r="BC26" s="5" t="n"/>
      <c r="BD26" s="5" t="n"/>
      <c r="BE26" s="39">
        <f t="array" ref="BE26">MIN(100, MAX(0,
  IFERROR(_xlfn.XLOOKUP(AT26,'Lookup Tables'!$D$2:$D$6,'Lookup Tables'!$E$2:$E$6,0),0)
  + IFERROR(_xlfn.XLOOKUP(AV26,'Lookup Tables'!$G$2:$G$5,'Lookup Tables'!$H$2:$H$5,0),0)
  + IFERROR(_xlfn.XLOOKUP(AW26,'Lookup Tables'!$J$2:$J$5,'Lookup Tables'!$K$2:$K$5,0),0)
  + _xlfn.IFS(AX26="No Issues",10, AX26="Complaint Filed",3, AX26="Confirmed Breach",-15, TRUE,0)
  + IFERROR(_xlfn.XLOOKUP(AY26,'Lookup Tables'!$M$2:$M$6,'Lookup Tables'!$N$2:$N$6,0),0)
  + IFERROR(_xlfn.XLOOKUP(AZ26,'Lookup Tables'!$P$2:$P$6,'Lookup Tables'!$Q$2:$Q$6,0),0)
  + _xlfn.IFS(BA26="Formal Board Committee",5, BA26="Board Oversight Mentioned",2, TRUE,0)
  + _xlfn.IFS(BB26="Yes — Quantified Targets",5, BB26="Yes — Discretionary Only",2, TRUE,0)
  + _xlfn.IFS(BC26="Reasonable Assurance",5, BC26="Limited Assurance",3, BC26="Management Review Only",1, TRUE,0)
))</f>
        <v/>
      </c>
      <c r="BF26" s="5" t="n"/>
      <c r="BG26" s="5" t="n"/>
      <c r="BH26" s="5" t="n"/>
      <c r="BI26" s="5" t="n"/>
      <c r="BJ26" s="5" t="n"/>
      <c r="BK26" s="5" t="n"/>
      <c r="BL26" s="5" t="n"/>
      <c r="BM26" s="5" t="n"/>
      <c r="BN26" s="5" t="n"/>
      <c r="BO26" s="5" t="n"/>
      <c r="BP26" s="5" t="n"/>
      <c r="BQ26" s="5" t="n"/>
      <c r="BR26" s="5" t="n"/>
      <c r="BS26" s="41">
        <f t="array" ref="BS26">MIN(100, MAX(0,
  IFERROR(_xlfn.XLOOKUP(BG26,'Lookup Tables'!$A$11:$A$16,'Lookup Tables'!$B$11:$B$16,0),0)
  + IFERROR(_xlfn.XLOOKUP(BR26,'Lookup Tables'!$M$11:$M$14,'Lookup Tables'!$N$11:$N$14,0),0)
  + IFERROR(_xlfn.XLOOKUP(BQ26,'Lookup Tables'!$J$11:$J$15,'Lookup Tables'!$K$11:$K$15,0),0)
  + IFERROR(_xlfn.XLOOKUP(BH26,'Lookup Tables'!$D$11:$D$15,'Lookup Tables'!$E$11:$E$15,0),0)
  + IFERROR(_xlfn.XLOOKUP(BJ26,'Lookup Tables'!$G$11:$G$16,'Lookup Tables'!$H$11:$H$16,0),0)
  + IFERROR(_xlfn.XLOOKUP(BN26,'Lookup Tables'!$P$11:$P$15,'Lookup Tables'!$Q$11:$Q$15,0),0)
  + _xlfn.IFS(BM26="No Evidence",10, BM26="Unknown",3, BM26="Likely",0, BM26="Confirmed",-10, TRUE,3)
  + IFERROR(_xlfn.XLOOKUP(BP26,'Lookup Tables'!$J$21:$J$24,'Lookup Tables'!$K$21:$K$24,0),0)
))</f>
        <v/>
      </c>
      <c r="BT26" s="5" t="n"/>
      <c r="BU26" s="5" t="n"/>
      <c r="BV26" s="5" t="n"/>
      <c r="BW26" s="5" t="n"/>
      <c r="BX26" s="5" t="n"/>
      <c r="BY26" s="5" t="n"/>
      <c r="BZ26" s="5" t="n"/>
      <c r="CA26" s="5" t="n"/>
      <c r="CB26" s="5" t="n"/>
      <c r="CC26" s="5" t="n"/>
      <c r="CD26" s="5" t="n"/>
      <c r="CE26" s="43">
        <f t="array" ref="CE26">MIN(100, MAX(0,
  IF(ISNUMBER(BV26)*AND(BV26&gt;0), 10, 0)
  + _xlfn.IFS(BY26="Independently Verified",25, BY26="Yes",15, TRUE,0)
  + IFERROR(_xlfn.XLOOKUP(BZ26,'Lookup Tables'!$A$21:$A$24,'Lookup Tables'!$B$21:$B$24,0),0)
  + IFERROR(_xlfn.XLOOKUP(CA26,'Lookup Tables'!$D$21:$D$24,'Lookup Tables'!$E$21:$E$24,0),0)
  + _xlfn.IFS(ISNUMBER(CB26)*AND(CB26&gt;=11),15, ISNUMBER(CB26)*AND(CB26&gt;=6),10, ISNUMBER(CB26)*AND(CB26&gt;=1),5, TRUE,0)
  + IFERROR(_xlfn.XLOOKUP(CC26,'Lookup Tables'!$G$21:$G$25,'Lookup Tables'!$H$21:$H$25,0),0)
  - IF(ISNUMBER(BW26)*AND(ISNUMBER(BV26))*AND(BW26&gt;BV26), 20, 0)
  - IF(AND(BY26="Yes", ISNUMBER(BW26), BW26&gt;60), 10, 0)
))</f>
        <v/>
      </c>
      <c r="CF26" s="5" t="n"/>
      <c r="CG26" s="5" t="inlineStr">
        <is>
          <t>Orion has committed to reach net-zero emissions by 2050</t>
        </is>
      </c>
      <c r="CH26" s="5" t="inlineStr">
        <is>
          <t>orion-financial-statement-documents-2025-2.pdf</t>
        </is>
      </c>
      <c r="CI26" s="5" t="n">
        <v>63</v>
      </c>
      <c r="CJ26" s="5" t="inlineStr">
        <is>
          <t>PASS</t>
        </is>
      </c>
      <c r="CK26" s="5" t="inlineStr">
        <is>
          <t>PASS</t>
        </is>
      </c>
      <c r="CL26" s="5" t="inlineStr">
        <is>
          <t>PASS</t>
        </is>
      </c>
      <c r="CM26" s="5" t="inlineStr">
        <is>
          <t>PASS</t>
        </is>
      </c>
      <c r="CN26" s="5" t="inlineStr">
        <is>
          <t>PASS</t>
        </is>
      </c>
      <c r="CO26" s="5" t="inlineStr">
        <is>
          <t>PASS</t>
        </is>
      </c>
      <c r="CP26" s="5" t="inlineStr">
        <is>
          <t>PASS</t>
        </is>
      </c>
      <c r="CQ26" s="5" t="inlineStr">
        <is>
          <t>PASS</t>
        </is>
      </c>
      <c r="CR26" s="5">
        <f>COUNTIF(CJ26:CQ26,"FAIL")</f>
        <v/>
      </c>
      <c r="CS26" s="5">
        <f>COUNTIF(CJ26:CQ26,"PARTIAL")</f>
        <v/>
      </c>
      <c r="CT26" s="5">
        <f>COUNTIF(CJ26:CQ26,"MISSING")</f>
        <v/>
      </c>
      <c r="CU26" s="5">
        <f>MIN(100,
  CR26*15
  + CS26*6
  + CT26*3
  + IFERROR(_xlfn.XLOOKUP(CW26,'Lookup Tables'!$M$21:$M$25,'Lookup Tables'!$N$21:$N$25,0),0)
)</f>
        <v/>
      </c>
      <c r="CV26" s="5">
        <f>IFERROR(
CHOOSE(
MATCH("FAIL",CJ26:CQ26,0),
"1-Specificity","2-Metric","3-Baseline","4-Target",
"5-Time Horizon","6-Scope","7-Verification","8-Consistency"
),
IFERROR(
CHOOSE(
MATCH("PARTIAL",CJ26:CQ26,0),
"1-Specificity","2-Metric","3-Baseline","4-Target",
"5-Time Horizon","6-Scope","7-Verification","8-Consistency"
),
"No failures"
)
)</f>
        <v/>
      </c>
      <c r="CW26" s="5" t="n"/>
      <c r="CX26" s="5" t="n"/>
      <c r="CY26" s="5" t="n"/>
      <c r="CZ26" s="5" t="n"/>
      <c r="DA26" s="5">
        <f>IF(OR(CU26&gt;=50,CW26="Material",CW26="Severe",AS26="Material",AS26="Severe",BF26="Material",BF26="Severe — Exclusion Trigger",AND(ISNUMBER(BS26),BS26&lt;30)),"Yes","No")</f>
        <v/>
      </c>
      <c r="DB26" s="5">
        <f>IF(OR(CR26&gt;=6,AW26="Confirmed Violation",AX26="Confirmed Breach"),"Yes — Automatic",IF(CW26="Severe","Yes — Requires Captain Confirmation","No"))</f>
        <v/>
      </c>
      <c r="DC26" s="5" t="inlineStr">
        <is>
          <t>Orion has committed to reach net-zero emissions by 2050</t>
        </is>
      </c>
      <c r="DD26" s="5" t="inlineStr">
        <is>
          <t>orion-financial-statement-documents-2025-2.pdf</t>
        </is>
      </c>
      <c r="DE26" s="5" t="n">
        <v>63</v>
      </c>
      <c r="DF26" s="5" t="n">
        <v>4</v>
      </c>
      <c r="DG26" s="5" t="n">
        <v>4</v>
      </c>
      <c r="DH26" s="5" t="inlineStr">
        <is>
          <t>PENDING</t>
        </is>
      </c>
      <c r="DI26" s="5" t="n"/>
      <c r="DJ26" s="5" t="n"/>
      <c r="DK26" s="5" t="n"/>
      <c r="DL26" s="5">
        <f>IF(OR(IFERROR(VALUE(LEFT(DF26,1)),99)&lt;=2,IFERROR(VALUE(LEFT(DG26,1)),99)&lt;=2),"Flagged","Clear")</f>
        <v/>
      </c>
      <c r="DM26" s="5">
        <f>IF(OR(DA26="Yes",DB26&lt;&gt;"No",DH26="Unverified",DL26="Flagged"),"Yes","No")</f>
        <v/>
      </c>
      <c r="DN26" s="5">
        <f t="array" ref="DN26">MIN(100,
  IF(ISNUMBER(V26), _xlfn.IFS(V26&gt;=3,25, V26=2,15, V26=1,5, TRUE,0), 0)
  + IFERROR(_xlfn.IFS(VALUE(LEFT(DF26,1))=5,25, VALUE(LEFT(DF26,1))=4,20, VALUE(LEFT(DF26,1))=3,15, VALUE(LEFT(DF26,1))=2,8, TRUE,0), 15)
  + IFERROR(_xlfn.IFS(VALUE(LEFT(DG26,1))=5,25, VALUE(LEFT(DG26,1))=4,20, VALUE(LEFT(DG26,1))=3,15, VALUE(LEFT(DG26,1))=2,8, TRUE,0), 15)
  + _xlfn.IFS(DH26="Fully Verified",25, DH26="Partially Verified",12, TRUE,0)
)</f>
        <v/>
      </c>
      <c r="DO26" s="5">
        <f t="array" ref="DO26">_xlfn.IFS(
  ISBLANK(AR26), "Insufficient Evidence",
  AND(AR26&gt;=65, AJ26="Approved"), "Strong",
  AR26&gt;=65, "Adequate",
  AR26&gt;=40, "Adequate",
  AR26&gt;=20, "Weak",
  TRUE, "Insufficient Evidence"
)</f>
        <v/>
      </c>
      <c r="DP26" s="5">
        <f t="array" ref="DP26">_xlfn.IFS(
  ISBLANK(BS26), "Insufficient Evidence",
  BS26&gt;=65, "Strong",
  BS26&gt;=40, "Adequate",
  BS26&gt;=20, "Weak",
  TRUE, "Insufficient Evidence"
)</f>
        <v/>
      </c>
      <c r="DQ26" s="5">
        <f t="array" ref="DQ26">_xlfn.IFS(
  ISBLANK(BE26), "Insufficient Evidence",
  OR(AW26="Confirmed Violation", AX26="Confirmed Breach"), "Severe — Hard Trigger",
  BE26&gt;=65, "Strong",
  BE26&gt;=40, "Adequate",
  BE26&gt;=20, "Weak",
  TRUE, "Insufficient Evidence"
)</f>
        <v/>
      </c>
      <c r="DR26" s="5">
        <f t="array" ref="DR26">_xlfn.IFS(
  ISBLANK(CU26), "Insufficient Evidence",
  CU26&lt;=20, "Low Risk",
  CU26&lt;=50, "Moderate Risk",
  CU26&lt;=75, "High Risk",
  TRUE, "Very High Risk"
)</f>
        <v/>
      </c>
      <c r="DS26" s="5">
        <f t="array" ref="DS26">_xlfn.IFS(
  ISBLANK(CE26), "Insufficient Evidence",
  AND(ISNUMBER(BW26),ISNUMBER(BV26),BW26&gt;BV26), "Overclaiming Risk",
  CE26&gt;=65, "Strong",
  CE26&gt;=40, "Adequate",
  TRUE, "Weak"
)</f>
        <v/>
      </c>
      <c r="DT26" s="5">
        <f>IF(DB26="Yes — Automatic",0,ROUND((IF(ISNUMBER(AR26),AR26,0)*0.3+IF(ISNUMBER(BS26),BS26,0)*0.2+IF(ISNUMBER(BE26),BE26,0)*0.2+IF(ISNUMBER(CE26),CE26,0)*0.15+(100-IF(ISNUMBER(CU26),CU26,50))*0.15)*IF(DN26&gt;=75,1,IF(DN26&gt;=50,0.9,IF(DN26&gt;=25,0.75,0.6))),1))</f>
        <v/>
      </c>
      <c r="DU26" s="5">
        <f t="array" ref="DU26">_xlfn.IFS(
  DV26="Upgraded to Clear", "Clear",
  DV26="Downgraded to Watchlist", "Watchlist",
  DV26="Downgraded to Exclusion", "Exclusion Risk",
  DB26="Yes — Automatic", "Exclusion Risk",
  OR(AW26="Confirmed Violation", AX26="Confirmed Breach"), "Exclusion Risk",
  OR(V26=0, ISBLANK(V26), DN26&lt;20), "Insufficient Evidence",
  AND(DT26&gt;=65, DA26="No", DB26="No"), "Clear",
  OR(DT26&gt;=40, DA26="Yes"), "Watchlist",
  TRUE, "Exclusion Risk"
)</f>
        <v/>
      </c>
      <c r="DV26" s="5" t="n"/>
      <c r="DW26" s="5">
        <f t="array" ref="DW26">_xlfn.IFS(
  DU26="Exclusion Risk", "Exclude — Hard Trigger",
  DU26="Insufficient Evidence", "Watchlist — Further Evidence Needed",
  DU26="Watchlist", "Watchlist — Further Evidence Needed",
  AND(DU26="Clear", DT26&gt;=80), "Include — No Conditions",
  DU26="Clear", "Include — Monitor",
  TRUE, "Watchlist — Further Evidence Needed"
)</f>
        <v/>
      </c>
      <c r="DX26" s="5" t="inlineStr">
        <is>
          <t>Main claim: "Orion has committed to reach net-zero emissions by 2050" (orion-financial-statement-documents-2025-2.pdf, p63). SBTi: Targets set, 1.5°C near-term target (2030). 8-Test: 0 PARTIAL, 0 FAIL, 0 MISSING -&gt; PASS. Source is the CSRD sustainability statement within Orion's financial-statement documents. SBTi-approved 70%-by-2030 target, explicit 2023 baseline, full scope coverage, limited assurance. One MED (assurance level).</t>
        </is>
      </c>
      <c r="DY26" s="5" t="n"/>
      <c r="DZ26" s="5" t="n"/>
      <c r="EA26" s="5" t="n"/>
      <c r="EB26" s="5">
        <f>IF(OR(V26=0, ISBLANK(V26)), "MISSING — No sources reviewed", "")</f>
        <v/>
      </c>
      <c r="EC26" s="5">
        <f>IF(AND(NOT(ISBLANK(DC26)), ISBLANK(DE26)), "PAGE REF MISSING", "")</f>
        <v/>
      </c>
    </row>
    <row r="27" ht="18" customHeight="1" s="60">
      <c r="A27" s="3" t="inlineStr">
        <is>
          <t>Balfour Beatty PLC</t>
        </is>
      </c>
      <c r="B27" s="3" t="inlineStr">
        <is>
          <t>BIH</t>
        </is>
      </c>
      <c r="C27" s="3">
        <f>IF(ISBLANK('Universe Tracker'!D23),"",'Universe Tracker'!D23)</f>
        <v/>
      </c>
      <c r="D27" s="3" t="n"/>
      <c r="E27" s="3" t="n"/>
      <c r="F27" s="3">
        <f>IF(ISBLANK('Universe Tracker'!F23),"",'Universe Tracker'!F23)</f>
        <v/>
      </c>
      <c r="G27" s="3">
        <f>IF(ISBLANK('Universe Tracker'!G23),"",'Universe Tracker'!G23)</f>
        <v/>
      </c>
      <c r="H27" s="3" t="n"/>
      <c r="I27" s="3" t="n"/>
      <c r="J27" s="3">
        <f>IF(ISBLANK(B27),"",B27&amp;"_"&amp;C27)</f>
        <v/>
      </c>
      <c r="K27" s="3" t="n"/>
      <c r="L27" s="3" t="n"/>
      <c r="M27" s="3" t="n"/>
      <c r="N27" s="3" t="n"/>
      <c r="O27" s="3" t="n"/>
      <c r="P27" s="3" t="n"/>
      <c r="Q27" s="3" t="n"/>
      <c r="R27" s="3" t="n"/>
      <c r="S27" s="3" t="n"/>
      <c r="T27" s="3" t="n"/>
      <c r="U27" s="3" t="n"/>
      <c r="V27" s="3" t="n"/>
      <c r="W27" s="3" t="n"/>
      <c r="X27" s="3" t="n"/>
      <c r="Y27" s="3">
        <f>IF(AND(V27&gt;=2,K27="Yes",L27="Yes"),"Sufficient",IF(AND(V27&gt;=1,OR(K27="Yes",L27="Yes")),"Thin","Insufficient"))</f>
        <v/>
      </c>
      <c r="Z27" s="3" t="n"/>
      <c r="AA27" s="3" t="n"/>
      <c r="AB27" s="3" t="n"/>
      <c r="AC27" s="3" t="n"/>
      <c r="AD27" s="3" t="n"/>
      <c r="AE27" s="3" t="n"/>
      <c r="AF27" s="3" t="n"/>
      <c r="AG27" s="3" t="n"/>
      <c r="AH27" s="3" t="n"/>
      <c r="AI27" s="3" t="n"/>
      <c r="AJ27" s="3" t="n"/>
      <c r="AK27" s="3" t="n"/>
      <c r="AL27" s="3" t="n"/>
      <c r="AM27" s="3" t="n"/>
      <c r="AN27" s="3" t="n"/>
      <c r="AO27" s="3" t="n"/>
      <c r="AP27" s="3" t="n"/>
      <c r="AQ27" s="3" t="n"/>
      <c r="AR27" s="40">
        <f t="array" ref="AR27">MIN(100, MAX(0,
  IFERROR(_xlfn.XLOOKUP(AJ27,'Lookup Tables'!$A$2:$A$7,'Lookup Tables'!$B$2:$B$7,0),0)
  + IF(Z27="Yes", IF(IFERROR(_xlfn.XLOOKUP(AJ27,'Lookup Tables'!$A$2:$A$7,'Lookup Tables'!$B$2:$B$7,0),0)&lt;20, 5, 0), 0)
  + _xlfn.IFS(AB27="Yes", IF(ISNUMBER(AC27)*AND(AC27&lt;=2030),15,10), AB27="Long-term Only", 5, AB27="No", 0, TRUE, 0)
  + _xlfn.IFS(AF27="Full",10, AF27="Partial",5, AF27="Scope 2 Only",3, TRUE,0)
  + _xlfn.IFS(AG27="Yes", IF(ISNUMBER(AH27)*AND(AH27&gt;=5),10,6), AG27="Partial",4, TRUE,0)
  + _xlfn.IFS(AI27="Yes",5, AI27="Partial (material categories only)",3, TRUE,0)
  + _xlfn.IFS(AL27="Yes — Detailed",10, AL27="Yes — High Level",5, TRUE,0)
  + _xlfn.IFS(AM27="Yes — Quantified",15, AM27="Yes — Directional Only",7, TRUE,0)
  + _xlfn.IFS(AP27="Formal",5, AP27="Referenced",2, TRUE,0)
  + _xlfn.IFS(AQ27="No Issues Found",5, AQ27="Concern Identified",-5, AQ27="Severe Contradiction",-15, TRUE,0)
  + _xlfn.IFS(BC27="Reasonable Assurance",5, BC27="Limited Assurance",3, TRUE,0)
  - IF(AND(Z27="Yes", AI27="No"), 10, 0)
  - IF(AND(Z27="Yes", AM27="No"), 10, 0)
))</f>
        <v/>
      </c>
      <c r="AS27" s="3" t="n"/>
      <c r="AT27" s="3" t="n"/>
      <c r="AU27" s="3" t="n"/>
      <c r="AV27" s="3" t="n"/>
      <c r="AW27" s="3" t="n"/>
      <c r="AX27" s="3" t="n"/>
      <c r="AY27" s="3" t="n"/>
      <c r="AZ27" s="3" t="n"/>
      <c r="BA27" s="3" t="n"/>
      <c r="BB27" s="3" t="n"/>
      <c r="BC27" s="3" t="n"/>
      <c r="BD27" s="3" t="n"/>
      <c r="BE27" s="40">
        <f t="array" ref="BE27">MIN(100, MAX(0,
  IFERROR(_xlfn.XLOOKUP(AT27,'Lookup Tables'!$D$2:$D$6,'Lookup Tables'!$E$2:$E$6,0),0)
  + IFERROR(_xlfn.XLOOKUP(AV27,'Lookup Tables'!$G$2:$G$5,'Lookup Tables'!$H$2:$H$5,0),0)
  + IFERROR(_xlfn.XLOOKUP(AW27,'Lookup Tables'!$J$2:$J$5,'Lookup Tables'!$K$2:$K$5,0),0)
  + _xlfn.IFS(AX27="No Issues",10, AX27="Complaint Filed",3, AX27="Confirmed Breach",-15, TRUE,0)
  + IFERROR(_xlfn.XLOOKUP(AY27,'Lookup Tables'!$M$2:$M$6,'Lookup Tables'!$N$2:$N$6,0),0)
  + IFERROR(_xlfn.XLOOKUP(AZ27,'Lookup Tables'!$P$2:$P$6,'Lookup Tables'!$Q$2:$Q$6,0),0)
  + _xlfn.IFS(BA27="Formal Board Committee",5, BA27="Board Oversight Mentioned",2, TRUE,0)
  + _xlfn.IFS(BB27="Yes — Quantified Targets",5, BB27="Yes — Discretionary Only",2, TRUE,0)
  + _xlfn.IFS(BC27="Reasonable Assurance",5, BC27="Limited Assurance",3, BC27="Management Review Only",1, TRUE,0)
))</f>
        <v/>
      </c>
      <c r="BF27" s="3" t="n"/>
      <c r="BG27" s="3" t="n"/>
      <c r="BH27" s="3" t="n"/>
      <c r="BI27" s="3" t="n"/>
      <c r="BJ27" s="3" t="n"/>
      <c r="BK27" s="3" t="n"/>
      <c r="BL27" s="3" t="n"/>
      <c r="BM27" s="3" t="n"/>
      <c r="BN27" s="3" t="n"/>
      <c r="BO27" s="3" t="n"/>
      <c r="BP27" s="3" t="n"/>
      <c r="BQ27" s="3" t="n"/>
      <c r="BR27" s="3" t="n"/>
      <c r="BS27" s="42">
        <f t="array" ref="BS27">MIN(100, MAX(0,
  IFERROR(_xlfn.XLOOKUP(BG27,'Lookup Tables'!$A$11:$A$16,'Lookup Tables'!$B$11:$B$16,0),0)
  + IFERROR(_xlfn.XLOOKUP(BR27,'Lookup Tables'!$M$11:$M$14,'Lookup Tables'!$N$11:$N$14,0),0)
  + IFERROR(_xlfn.XLOOKUP(BQ27,'Lookup Tables'!$J$11:$J$15,'Lookup Tables'!$K$11:$K$15,0),0)
  + IFERROR(_xlfn.XLOOKUP(BH27,'Lookup Tables'!$D$11:$D$15,'Lookup Tables'!$E$11:$E$15,0),0)
  + IFERROR(_xlfn.XLOOKUP(BJ27,'Lookup Tables'!$G$11:$G$16,'Lookup Tables'!$H$11:$H$16,0),0)
  + IFERROR(_xlfn.XLOOKUP(BN27,'Lookup Tables'!$P$11:$P$15,'Lookup Tables'!$Q$11:$Q$15,0),0)
  + _xlfn.IFS(BM27="No Evidence",10, BM27="Unknown",3, BM27="Likely",0, BM27="Confirmed",-10, TRUE,3)
  + IFERROR(_xlfn.XLOOKUP(BP27,'Lookup Tables'!$J$21:$J$24,'Lookup Tables'!$K$21:$K$24,0),0)
))</f>
        <v/>
      </c>
      <c r="BT27" s="3" t="n"/>
      <c r="BU27" s="3" t="n"/>
      <c r="BV27" s="3" t="n"/>
      <c r="BW27" s="3" t="n"/>
      <c r="BX27" s="3" t="n"/>
      <c r="BY27" s="3" t="n"/>
      <c r="BZ27" s="3" t="n"/>
      <c r="CA27" s="3" t="n"/>
      <c r="CB27" s="3" t="n"/>
      <c r="CC27" s="3" t="n"/>
      <c r="CD27" s="3" t="n"/>
      <c r="CE27" s="44">
        <f t="array" ref="CE27">MIN(100, MAX(0,
  IF(ISNUMBER(BV27)*AND(BV27&gt;0), 10, 0)
  + _xlfn.IFS(BY27="Independently Verified",25, BY27="Yes",15, TRUE,0)
  + IFERROR(_xlfn.XLOOKUP(BZ27,'Lookup Tables'!$A$21:$A$24,'Lookup Tables'!$B$21:$B$24,0),0)
  + IFERROR(_xlfn.XLOOKUP(CA27,'Lookup Tables'!$D$21:$D$24,'Lookup Tables'!$E$21:$E$24,0),0)
  + _xlfn.IFS(ISNUMBER(CB27)*AND(CB27&gt;=11),15, ISNUMBER(CB27)*AND(CB27&gt;=6),10, ISNUMBER(CB27)*AND(CB27&gt;=1),5, TRUE,0)
  + IFERROR(_xlfn.XLOOKUP(CC27,'Lookup Tables'!$G$21:$G$25,'Lookup Tables'!$H$21:$H$25,0),0)
  - IF(ISNUMBER(BW27)*AND(ISNUMBER(BV27))*AND(BW27&gt;BV27), 20, 0)
  - IF(AND(BY27="Yes", ISNUMBER(BW27), BW27&gt;60), 10, 0)
))</f>
        <v/>
      </c>
      <c r="CF27" s="3" t="n"/>
      <c r="CG27" s="3" t="n"/>
      <c r="CH27" s="3" t="n"/>
      <c r="CI27" s="3" t="n"/>
      <c r="CJ27" s="3" t="n"/>
      <c r="CK27" s="3" t="n"/>
      <c r="CL27" s="3" t="n"/>
      <c r="CM27" s="3" t="n"/>
      <c r="CN27" s="3" t="n"/>
      <c r="CO27" s="3" t="n"/>
      <c r="CP27" s="3" t="n"/>
      <c r="CQ27" s="3" t="n"/>
      <c r="CR27" s="3">
        <f>COUNTIF(CJ27:CQ27,"FAIL")</f>
        <v/>
      </c>
      <c r="CS27" s="3">
        <f>COUNTIF(CJ27:CQ27,"PARTIAL")</f>
        <v/>
      </c>
      <c r="CT27" s="3">
        <f>COUNTIF(CJ27:CQ27,"MISSING")</f>
        <v/>
      </c>
      <c r="CU27" s="3">
        <f>MIN(100,
  CR27*15
  + CS27*6
  + CT27*3
  + IFERROR(_xlfn.XLOOKUP(CW27,'Lookup Tables'!$M$21:$M$25,'Lookup Tables'!$N$21:$N$25,0),0)
)</f>
        <v/>
      </c>
      <c r="CV27" s="3">
        <f>IFERROR(
CHOOSE(
MATCH("FAIL",CJ27:CQ27,0),
"1-Specificity","2-Metric","3-Baseline","4-Target",
"5-Time Horizon","6-Scope","7-Verification","8-Consistency"
),
IFERROR(
CHOOSE(
MATCH("PARTIAL",CJ27:CQ27,0),
"1-Specificity","2-Metric","3-Baseline","4-Target",
"5-Time Horizon","6-Scope","7-Verification","8-Consistency"
),
"No failures"
)
)</f>
        <v/>
      </c>
      <c r="CW27" s="3" t="n"/>
      <c r="CX27" s="3" t="n"/>
      <c r="CY27" s="3" t="n"/>
      <c r="CZ27" s="3" t="n"/>
      <c r="DA27" s="3">
        <f>IF(OR(CU27&gt;=50,CW27="Material",CW27="Severe",AS27="Material",AS27="Severe",BF27="Material",BF27="Severe — Exclusion Trigger",AND(ISNUMBER(BS27),BS27&lt;30)),"Yes","No")</f>
        <v/>
      </c>
      <c r="DB27" s="3">
        <f>IF(OR(CR27&gt;=6,AW27="Confirmed Violation",AX27="Confirmed Breach"),"Yes — Automatic",IF(CW27="Severe","Yes — Requires Captain Confirmation","No"))</f>
        <v/>
      </c>
      <c r="DC27" s="3" t="n"/>
      <c r="DD27" s="3" t="n"/>
      <c r="DE27" s="3" t="n"/>
      <c r="DF27" s="3" t="n"/>
      <c r="DG27" s="3" t="n"/>
      <c r="DH27" s="3" t="n"/>
      <c r="DI27" s="3" t="n"/>
      <c r="DJ27" s="3" t="n"/>
      <c r="DK27" s="3" t="n"/>
      <c r="DL27" s="3">
        <f>IF(OR(IFERROR(VALUE(LEFT(DF27,1)),99)&lt;=2,IFERROR(VALUE(LEFT(DG27,1)),99)&lt;=2),"Flagged","Clear")</f>
        <v/>
      </c>
      <c r="DM27" s="3">
        <f>IF(OR(DA27="Yes",DB27&lt;&gt;"No",DH27="Unverified",DL27="Flagged"),"Yes","No")</f>
        <v/>
      </c>
      <c r="DN27" s="3">
        <f t="array" ref="DN27">MIN(100,
  IF(ISNUMBER(V27), _xlfn.IFS(V27&gt;=3,25, V27=2,15, V27=1,5, TRUE,0), 0)
  + IFERROR(_xlfn.IFS(VALUE(LEFT(DF27,1))=5,25, VALUE(LEFT(DF27,1))=4,20, VALUE(LEFT(DF27,1))=3,15, VALUE(LEFT(DF27,1))=2,8, TRUE,0), 15)
  + IFERROR(_xlfn.IFS(VALUE(LEFT(DG27,1))=5,25, VALUE(LEFT(DG27,1))=4,20, VALUE(LEFT(DG27,1))=3,15, VALUE(LEFT(DG27,1))=2,8, TRUE,0), 15)
  + _xlfn.IFS(DH27="Fully Verified",25, DH27="Partially Verified",12, TRUE,0)
)</f>
        <v/>
      </c>
      <c r="DO27" s="3">
        <f t="array" ref="DO27">_xlfn.IFS(
  ISBLANK(AR27), "Insufficient Evidence",
  AND(AR27&gt;=65, AJ27="Approved"), "Strong",
  AR27&gt;=65, "Adequate",
  AR27&gt;=40, "Adequate",
  AR27&gt;=20, "Weak",
  TRUE, "Insufficient Evidence"
)</f>
        <v/>
      </c>
      <c r="DP27" s="3">
        <f t="array" ref="DP27">_xlfn.IFS(
  ISBLANK(BS27), "Insufficient Evidence",
  BS27&gt;=65, "Strong",
  BS27&gt;=40, "Adequate",
  BS27&gt;=20, "Weak",
  TRUE, "Insufficient Evidence"
)</f>
        <v/>
      </c>
      <c r="DQ27" s="3">
        <f t="array" ref="DQ27">_xlfn.IFS(
  ISBLANK(BE27), "Insufficient Evidence",
  OR(AW27="Confirmed Violation", AX27="Confirmed Breach"), "Severe — Hard Trigger",
  BE27&gt;=65, "Strong",
  BE27&gt;=40, "Adequate",
  BE27&gt;=20, "Weak",
  TRUE, "Insufficient Evidence"
)</f>
        <v/>
      </c>
      <c r="DR27" s="3">
        <f t="array" ref="DR27">_xlfn.IFS(
  ISBLANK(CU27), "Insufficient Evidence",
  CU27&lt;=20, "Low Risk",
  CU27&lt;=50, "Moderate Risk",
  CU27&lt;=75, "High Risk",
  TRUE, "Very High Risk"
)</f>
        <v/>
      </c>
      <c r="DS27" s="3">
        <f t="array" ref="DS27">_xlfn.IFS(
  ISBLANK(CE27), "Insufficient Evidence",
  AND(ISNUMBER(BW27),ISNUMBER(BV27),BW27&gt;BV27), "Overclaiming Risk",
  CE27&gt;=65, "Strong",
  CE27&gt;=40, "Adequate",
  TRUE, "Weak"
)</f>
        <v/>
      </c>
      <c r="DT27" s="3">
        <f>IF(DB27="Yes — Automatic",0,ROUND((IF(ISNUMBER(AR27),AR27,0)*0.3+IF(ISNUMBER(BS27),BS27,0)*0.2+IF(ISNUMBER(BE27),BE27,0)*0.2+IF(ISNUMBER(CE27),CE27,0)*0.15+(100-IF(ISNUMBER(CU27),CU27,50))*0.15)*IF(DN27&gt;=75,1,IF(DN27&gt;=50,0.9,IF(DN27&gt;=25,0.75,0.6))),1))</f>
        <v/>
      </c>
      <c r="DU27" s="3">
        <f t="array" ref="DU27">_xlfn.IFS(
  DV27="Upgraded to Clear", "Clear",
  DV27="Downgraded to Watchlist", "Watchlist",
  DV27="Downgraded to Exclusion", "Exclusion Risk",
  DB27="Yes — Automatic", "Exclusion Risk",
  OR(AW27="Confirmed Violation", AX27="Confirmed Breach"), "Exclusion Risk",
  OR(V27=0, ISBLANK(V27), DN27&lt;20), "Insufficient Evidence",
  AND(DT27&gt;=65, DA27="No", DB27="No"), "Clear",
  OR(DT27&gt;=40, DA27="Yes"), "Watchlist",
  TRUE, "Exclusion Risk"
)</f>
        <v/>
      </c>
      <c r="DV27" s="3" t="n"/>
      <c r="DW27" s="3">
        <f t="array" ref="DW27">_xlfn.IFS(
  DU27="Exclusion Risk", "Exclude — Hard Trigger",
  DU27="Insufficient Evidence", "Watchlist — Further Evidence Needed",
  DU27="Watchlist", "Watchlist — Further Evidence Needed",
  AND(DU27="Clear", DT27&gt;=80), "Include — No Conditions",
  DU27="Clear", "Include — Monitor",
  TRUE, "Watchlist — Further Evidence Needed"
)</f>
        <v/>
      </c>
      <c r="DX27" s="3" t="n"/>
      <c r="DY27" s="3" t="n"/>
      <c r="DZ27" s="3" t="n"/>
      <c r="EA27" s="3" t="n"/>
      <c r="EB27" s="3">
        <f>IF(OR(V27=0, ISBLANK(V27)), "MISSING — No sources reviewed", "")</f>
        <v/>
      </c>
      <c r="EC27" s="3">
        <f>IF(AND(NOT(ISBLANK(DC27)), ISBLANK(DE27)), "PAGE REF MISSING", "")</f>
        <v/>
      </c>
    </row>
    <row r="28" ht="18" customHeight="1" s="60">
      <c r="A28" s="5" t="inlineStr">
        <is>
          <t>UCB SA</t>
        </is>
      </c>
      <c r="B28" s="5" t="inlineStr">
        <is>
          <t>UNC</t>
        </is>
      </c>
      <c r="C28" s="5" t="inlineStr">
        <is>
          <t>BE0003739530</t>
        </is>
      </c>
      <c r="D28" s="5" t="n"/>
      <c r="E28" s="5" t="n"/>
      <c r="F28" s="5">
        <f>IF(ISBLANK('Universe Tracker'!F24),"",'Universe Tracker'!F24)</f>
        <v/>
      </c>
      <c r="G28" s="5">
        <f>IF(ISBLANK('Universe Tracker'!G24),"",'Universe Tracker'!G24)</f>
        <v/>
      </c>
      <c r="H28" s="5" t="n"/>
      <c r="I28" s="5" t="n"/>
      <c r="J28" s="5">
        <f>IF(ISBLANK(B28),"",B28&amp;"_"&amp;C28)</f>
        <v/>
      </c>
      <c r="K28" s="5" t="n"/>
      <c r="L28" s="5" t="n"/>
      <c r="M28" s="5" t="n"/>
      <c r="N28" s="5" t="n"/>
      <c r="O28" s="5" t="inlineStr">
        <is>
          <t>Yes</t>
        </is>
      </c>
      <c r="P28" s="5" t="inlineStr">
        <is>
          <t>Yes</t>
        </is>
      </c>
      <c r="Q28" s="5" t="n"/>
      <c r="R28" s="5" t="n"/>
      <c r="S28" s="5" t="n"/>
      <c r="T28" s="5" t="n"/>
      <c r="U28" s="5" t="n"/>
      <c r="V28" s="5" t="n"/>
      <c r="W28" s="5" t="n"/>
      <c r="X28" s="5" t="n"/>
      <c r="Y28" s="5">
        <f>IF(AND(V28&gt;=2,K28="Yes",L28="Yes"),"Sufficient",IF(AND(V28&gt;=1,OR(K28="Yes",L28="Yes")),"Thin","Insufficient"))</f>
        <v/>
      </c>
      <c r="Z28" s="5" t="n"/>
      <c r="AA28" s="5" t="n"/>
      <c r="AB28" s="5" t="n"/>
      <c r="AC28" s="5" t="n"/>
      <c r="AD28" s="5" t="n"/>
      <c r="AE28" s="5" t="n"/>
      <c r="AF28" s="5" t="n"/>
      <c r="AG28" s="5" t="n"/>
      <c r="AH28" s="5" t="n"/>
      <c r="AI28" s="5" t="n"/>
      <c r="AJ28" s="5" t="inlineStr">
        <is>
          <t>Targets set (1.5°C)</t>
        </is>
      </c>
      <c r="AK28" s="5" t="inlineStr">
        <is>
          <t>2030</t>
        </is>
      </c>
      <c r="AL28" s="5" t="n"/>
      <c r="AM28" s="5" t="n"/>
      <c r="AN28" s="5" t="n"/>
      <c r="AO28" s="5" t="n"/>
      <c r="AP28" s="5" t="n"/>
      <c r="AQ28" s="5" t="n"/>
      <c r="AR28" s="40">
        <f t="array" ref="AR28">MIN(100, MAX(0,
  IFERROR(_xlfn.XLOOKUP(AJ28,'Lookup Tables'!$A$2:$A$7,'Lookup Tables'!$B$2:$B$7,0),0)
  + IF(Z28="Yes", IF(IFERROR(_xlfn.XLOOKUP(AJ28,'Lookup Tables'!$A$2:$A$7,'Lookup Tables'!$B$2:$B$7,0),0)&lt;20, 5, 0), 0)
  + _xlfn.IFS(AB28="Yes", IF(ISNUMBER(AC28)*AND(AC28&lt;=2030),15,10), AB28="Long-term Only", 5, AB28="No", 0, TRUE, 0)
  + _xlfn.IFS(AF28="Full",10, AF28="Partial",5, AF28="Scope 2 Only",3, TRUE,0)
  + _xlfn.IFS(AG28="Yes", IF(ISNUMBER(AH28)*AND(AH28&gt;=5),10,6), AG28="Partial",4, TRUE,0)
  + _xlfn.IFS(AI28="Yes",5, AI28="Partial (material categories only)",3, TRUE,0)
  + _xlfn.IFS(AL28="Yes — Detailed",10, AL28="Yes — High Level",5, TRUE,0)
  + _xlfn.IFS(AM28="Yes — Quantified",15, AM28="Yes — Directional Only",7, TRUE,0)
  + _xlfn.IFS(AP28="Formal",5, AP28="Referenced",2, TRUE,0)
  + _xlfn.IFS(AQ28="No Issues Found",5, AQ28="Concern Identified",-5, AQ28="Severe Contradiction",-15, TRUE,0)
  + _xlfn.IFS(BC28="Reasonable Assurance",5, BC28="Limited Assurance",3, TRUE,0)
  - IF(AND(Z28="Yes", AI28="No"), 10, 0)
  - IF(AND(Z28="Yes", AM28="No"), 10, 0)
))</f>
        <v/>
      </c>
      <c r="AS28" s="5" t="n"/>
      <c r="AT28" s="5" t="n"/>
      <c r="AU28" s="5" t="n"/>
      <c r="AV28" s="5" t="n"/>
      <c r="AW28" s="5" t="n"/>
      <c r="AX28" s="5" t="n"/>
      <c r="AY28" s="5" t="n"/>
      <c r="AZ28" s="5" t="n"/>
      <c r="BA28" s="5" t="n"/>
      <c r="BB28" s="5" t="n"/>
      <c r="BC28" s="5" t="n"/>
      <c r="BD28" s="5" t="n"/>
      <c r="BE28" s="39">
        <f t="array" ref="BE28">MIN(100, MAX(0,
  IFERROR(_xlfn.XLOOKUP(AT28,'Lookup Tables'!$D$2:$D$6,'Lookup Tables'!$E$2:$E$6,0),0)
  + IFERROR(_xlfn.XLOOKUP(AV28,'Lookup Tables'!$G$2:$G$5,'Lookup Tables'!$H$2:$H$5,0),0)
  + IFERROR(_xlfn.XLOOKUP(AW28,'Lookup Tables'!$J$2:$J$5,'Lookup Tables'!$K$2:$K$5,0),0)
  + _xlfn.IFS(AX28="No Issues",10, AX28="Complaint Filed",3, AX28="Confirmed Breach",-15, TRUE,0)
  + IFERROR(_xlfn.XLOOKUP(AY28,'Lookup Tables'!$M$2:$M$6,'Lookup Tables'!$N$2:$N$6,0),0)
  + IFERROR(_xlfn.XLOOKUP(AZ28,'Lookup Tables'!$P$2:$P$6,'Lookup Tables'!$Q$2:$Q$6,0),0)
  + _xlfn.IFS(BA28="Formal Board Committee",5, BA28="Board Oversight Mentioned",2, TRUE,0)
  + _xlfn.IFS(BB28="Yes — Quantified Targets",5, BB28="Yes — Discretionary Only",2, TRUE,0)
  + _xlfn.IFS(BC28="Reasonable Assurance",5, BC28="Limited Assurance",3, BC28="Management Review Only",1, TRUE,0)
))</f>
        <v/>
      </c>
      <c r="BF28" s="5" t="n"/>
      <c r="BG28" s="5" t="n"/>
      <c r="BH28" s="5" t="n"/>
      <c r="BI28" s="5" t="n"/>
      <c r="BJ28" s="5" t="n"/>
      <c r="BK28" s="5" t="n"/>
      <c r="BL28" s="5" t="n"/>
      <c r="BM28" s="5" t="n"/>
      <c r="BN28" s="5" t="n"/>
      <c r="BO28" s="5" t="n"/>
      <c r="BP28" s="5" t="n"/>
      <c r="BQ28" s="5" t="n"/>
      <c r="BR28" s="5" t="n"/>
      <c r="BS28" s="41">
        <f t="array" ref="BS28">MIN(100, MAX(0,
  IFERROR(_xlfn.XLOOKUP(BG28,'Lookup Tables'!$A$11:$A$16,'Lookup Tables'!$B$11:$B$16,0),0)
  + IFERROR(_xlfn.XLOOKUP(BR28,'Lookup Tables'!$M$11:$M$14,'Lookup Tables'!$N$11:$N$14,0),0)
  + IFERROR(_xlfn.XLOOKUP(BQ28,'Lookup Tables'!$J$11:$J$15,'Lookup Tables'!$K$11:$K$15,0),0)
  + IFERROR(_xlfn.XLOOKUP(BH28,'Lookup Tables'!$D$11:$D$15,'Lookup Tables'!$E$11:$E$15,0),0)
  + IFERROR(_xlfn.XLOOKUP(BJ28,'Lookup Tables'!$G$11:$G$16,'Lookup Tables'!$H$11:$H$16,0),0)
  + IFERROR(_xlfn.XLOOKUP(BN28,'Lookup Tables'!$P$11:$P$15,'Lookup Tables'!$Q$11:$Q$15,0),0)
  + _xlfn.IFS(BM28="No Evidence",10, BM28="Unknown",3, BM28="Likely",0, BM28="Confirmed",-10, TRUE,3)
  + IFERROR(_xlfn.XLOOKUP(BP28,'Lookup Tables'!$J$21:$J$24,'Lookup Tables'!$K$21:$K$24,0),0)
))</f>
        <v/>
      </c>
      <c r="BT28" s="5" t="n"/>
      <c r="BU28" s="5" t="n"/>
      <c r="BV28" s="5" t="n"/>
      <c r="BW28" s="5" t="n"/>
      <c r="BX28" s="5" t="n"/>
      <c r="BY28" s="5" t="n"/>
      <c r="BZ28" s="5" t="n"/>
      <c r="CA28" s="5" t="n"/>
      <c r="CB28" s="5" t="n"/>
      <c r="CC28" s="5" t="n"/>
      <c r="CD28" s="5" t="n"/>
      <c r="CE28" s="43">
        <f t="array" ref="CE28">MIN(100, MAX(0,
  IF(ISNUMBER(BV28)*AND(BV28&gt;0), 10, 0)
  + _xlfn.IFS(BY28="Independently Verified",25, BY28="Yes",15, TRUE,0)
  + IFERROR(_xlfn.XLOOKUP(BZ28,'Lookup Tables'!$A$21:$A$24,'Lookup Tables'!$B$21:$B$24,0),0)
  + IFERROR(_xlfn.XLOOKUP(CA28,'Lookup Tables'!$D$21:$D$24,'Lookup Tables'!$E$21:$E$24,0),0)
  + _xlfn.IFS(ISNUMBER(CB28)*AND(CB28&gt;=11),15, ISNUMBER(CB28)*AND(CB28&gt;=6),10, ISNUMBER(CB28)*AND(CB28&gt;=1),5, TRUE,0)
  + IFERROR(_xlfn.XLOOKUP(CC28,'Lookup Tables'!$G$21:$G$25,'Lookup Tables'!$H$21:$H$25,0),0)
  - IF(ISNUMBER(BW28)*AND(ISNUMBER(BV28))*AND(BW28&gt;BV28), 20, 0)
  - IF(AND(BY28="Yes", ISNUMBER(BW28), BW28&gt;60), 10, 0)
))</f>
        <v/>
      </c>
      <c r="CF28" s="5" t="n"/>
      <c r="CG28" s="5" t="inlineStr">
        <is>
          <t>UCB is committed to net zero ... SBTi Net-Zero standard</t>
        </is>
      </c>
      <c r="CH28" s="5" t="inlineStr">
        <is>
          <t>iar_2025-web.pdf</t>
        </is>
      </c>
      <c r="CI28" s="5" t="n">
        <v>28</v>
      </c>
      <c r="CJ28" s="5" t="inlineStr">
        <is>
          <t>PASS</t>
        </is>
      </c>
      <c r="CK28" s="5" t="inlineStr">
        <is>
          <t>PASS</t>
        </is>
      </c>
      <c r="CL28" s="5" t="inlineStr">
        <is>
          <t>PASS</t>
        </is>
      </c>
      <c r="CM28" s="5" t="inlineStr">
        <is>
          <t>PASS</t>
        </is>
      </c>
      <c r="CN28" s="5" t="inlineStr">
        <is>
          <t>PASS</t>
        </is>
      </c>
      <c r="CO28" s="5" t="inlineStr">
        <is>
          <t>PASS</t>
        </is>
      </c>
      <c r="CP28" s="5" t="inlineStr">
        <is>
          <t>PASS</t>
        </is>
      </c>
      <c r="CQ28" s="5" t="inlineStr">
        <is>
          <t>PASS</t>
        </is>
      </c>
      <c r="CR28" s="5">
        <f>COUNTIF(CJ28:CQ28,"FAIL")</f>
        <v/>
      </c>
      <c r="CS28" s="5">
        <f>COUNTIF(CJ28:CQ28,"PARTIAL")</f>
        <v/>
      </c>
      <c r="CT28" s="5">
        <f>COUNTIF(CJ28:CQ28,"MISSING")</f>
        <v/>
      </c>
      <c r="CU28" s="5">
        <f>MIN(100,
  CR28*15
  + CS28*6
  + CT28*3
  + IFERROR(_xlfn.XLOOKUP(CW28,'Lookup Tables'!$M$21:$M$25,'Lookup Tables'!$N$21:$N$25,0),0)
)</f>
        <v/>
      </c>
      <c r="CV28" s="5">
        <f>IFERROR(
CHOOSE(
MATCH("FAIL",CJ28:CQ28,0),
"1-Specificity","2-Metric","3-Baseline","4-Target",
"5-Time Horizon","6-Scope","7-Verification","8-Consistency"
),
IFERROR(
CHOOSE(
MATCH("PARTIAL",CJ28:CQ28,0),
"1-Specificity","2-Metric","3-Baseline","4-Target",
"5-Time Horizon","6-Scope","7-Verification","8-Consistency"
),
"No failures"
)
)</f>
        <v/>
      </c>
      <c r="CW28" s="5" t="n"/>
      <c r="CX28" s="5" t="n"/>
      <c r="CY28" s="5" t="n"/>
      <c r="CZ28" s="5" t="n"/>
      <c r="DA28" s="5">
        <f>IF(OR(CU28&gt;=50,CW28="Material",CW28="Severe",AS28="Material",AS28="Severe",BF28="Material",BF28="Severe — Exclusion Trigger",AND(ISNUMBER(BS28),BS28&lt;30)),"Yes","No")</f>
        <v/>
      </c>
      <c r="DB28" s="5">
        <f>IF(OR(CR28&gt;=6,AW28="Confirmed Violation",AX28="Confirmed Breach"),"Yes — Automatic",IF(CW28="Severe","Yes — Requires Captain Confirmation","No"))</f>
        <v/>
      </c>
      <c r="DC28" s="5" t="inlineStr">
        <is>
          <t>UCB is committed to net zero ... SBTi Net-Zero standard</t>
        </is>
      </c>
      <c r="DD28" s="5" t="inlineStr">
        <is>
          <t>iar_2025-web.pdf</t>
        </is>
      </c>
      <c r="DE28" s="5" t="n">
        <v>28</v>
      </c>
      <c r="DF28" s="5" t="n">
        <v>4</v>
      </c>
      <c r="DG28" s="5" t="n">
        <v>4</v>
      </c>
      <c r="DH28" s="5" t="inlineStr">
        <is>
          <t>PENDING</t>
        </is>
      </c>
      <c r="DI28" s="5" t="n"/>
      <c r="DJ28" s="5" t="n"/>
      <c r="DK28" s="5" t="n"/>
      <c r="DL28" s="5">
        <f>IF(OR(IFERROR(VALUE(LEFT(DF28,1)),99)&lt;=2,IFERROR(VALUE(LEFT(DG28,1)),99)&lt;=2),"Flagged","Clear")</f>
        <v/>
      </c>
      <c r="DM28" s="5">
        <f>IF(OR(DA28="Yes",DB28&lt;&gt;"No",DH28="Unverified",DL28="Flagged"),"Yes","No")</f>
        <v/>
      </c>
      <c r="DN28" s="5">
        <f t="array" ref="DN28">MIN(100,
  IF(ISNUMBER(V28), _xlfn.IFS(V28&gt;=3,25, V28=2,15, V28=1,5, TRUE,0), 0)
  + IFERROR(_xlfn.IFS(VALUE(LEFT(DF28,1))=5,25, VALUE(LEFT(DF28,1))=4,20, VALUE(LEFT(DF28,1))=3,15, VALUE(LEFT(DF28,1))=2,8, TRUE,0), 15)
  + IFERROR(_xlfn.IFS(VALUE(LEFT(DG28,1))=5,25, VALUE(LEFT(DG28,1))=4,20, VALUE(LEFT(DG28,1))=3,15, VALUE(LEFT(DG28,1))=2,8, TRUE,0), 15)
  + _xlfn.IFS(DH28="Fully Verified",25, DH28="Partially Verified",12, TRUE,0)
)</f>
        <v/>
      </c>
      <c r="DO28" s="5">
        <f t="array" ref="DO28">_xlfn.IFS(
  ISBLANK(AR28), "Insufficient Evidence",
  AND(AR28&gt;=65, AJ28="Approved"), "Strong",
  AR28&gt;=65, "Adequate",
  AR28&gt;=40, "Adequate",
  AR28&gt;=20, "Weak",
  TRUE, "Insufficient Evidence"
)</f>
        <v/>
      </c>
      <c r="DP28" s="5">
        <f t="array" ref="DP28">_xlfn.IFS(
  ISBLANK(BS28), "Insufficient Evidence",
  BS28&gt;=65, "Strong",
  BS28&gt;=40, "Adequate",
  BS28&gt;=20, "Weak",
  TRUE, "Insufficient Evidence"
)</f>
        <v/>
      </c>
      <c r="DQ28" s="5">
        <f t="array" ref="DQ28">_xlfn.IFS(
  ISBLANK(BE28), "Insufficient Evidence",
  OR(AW28="Confirmed Violation", AX28="Confirmed Breach"), "Severe — Hard Trigger",
  BE28&gt;=65, "Strong",
  BE28&gt;=40, "Adequate",
  BE28&gt;=20, "Weak",
  TRUE, "Insufficient Evidence"
)</f>
        <v/>
      </c>
      <c r="DR28" s="5">
        <f t="array" ref="DR28">_xlfn.IFS(
  ISBLANK(CU28), "Insufficient Evidence",
  CU28&lt;=20, "Low Risk",
  CU28&lt;=50, "Moderate Risk",
  CU28&lt;=75, "High Risk",
  TRUE, "Very High Risk"
)</f>
        <v/>
      </c>
      <c r="DS28" s="5">
        <f t="array" ref="DS28">_xlfn.IFS(
  ISBLANK(CE28), "Insufficient Evidence",
  AND(ISNUMBER(BW28),ISNUMBER(BV28),BW28&gt;BV28), "Overclaiming Risk",
  CE28&gt;=65, "Strong",
  CE28&gt;=40, "Adequate",
  TRUE, "Weak"
)</f>
        <v/>
      </c>
      <c r="DT28" s="5">
        <f>IF(DB28="Yes — Automatic",0,ROUND((IF(ISNUMBER(AR28),AR28,0)*0.3+IF(ISNUMBER(BS28),BS28,0)*0.2+IF(ISNUMBER(BE28),BE28,0)*0.2+IF(ISNUMBER(CE28),CE28,0)*0.15+(100-IF(ISNUMBER(CU28),CU28,50))*0.15)*IF(DN28&gt;=75,1,IF(DN28&gt;=50,0.9,IF(DN28&gt;=25,0.75,0.6))),1))</f>
        <v/>
      </c>
      <c r="DU28" s="5">
        <f t="array" ref="DU28">_xlfn.IFS(
  DV28="Upgraded to Clear", "Clear",
  DV28="Downgraded to Watchlist", "Watchlist",
  DV28="Downgraded to Exclusion", "Exclusion Risk",
  DB28="Yes — Automatic", "Exclusion Risk",
  OR(AW28="Confirmed Violation", AX28="Confirmed Breach"), "Exclusion Risk",
  OR(V28=0, ISBLANK(V28), DN28&lt;20), "Insufficient Evidence",
  AND(DT28&gt;=65, DA28="No", DB28="No"), "Clear",
  OR(DT28&gt;=40, DA28="Yes"), "Watchlist",
  TRUE, "Exclusion Risk"
)</f>
        <v/>
      </c>
      <c r="DV28" s="5" t="n"/>
      <c r="DW28" s="5">
        <f t="array" ref="DW28">_xlfn.IFS(
  DU28="Exclusion Risk", "Exclude — Hard Trigger",
  DU28="Insufficient Evidence", "Watchlist — Further Evidence Needed",
  DU28="Watchlist", "Watchlist — Further Evidence Needed",
  AND(DU28="Clear", DT28&gt;=80), "Include — No Conditions",
  DU28="Clear", "Include — Monitor",
  TRUE, "Watchlist — Further Evidence Needed"
)</f>
        <v/>
      </c>
      <c r="DX28" s="5" t="inlineStr">
        <is>
          <t>Main claim: "UCB is committed to net zero ... SBTi Net-Zero standard" (iar_2025-web.pdf, p28). SBTi: Targets set, 1.5°C near-term target (2030). 8-Test: 0 PARTIAL, 0 FAIL, 0 MISSING -&gt; PASS. Pharma integrated annual report. Strong climate disclosure — SBTi-Net-Zero-standard-aligned targets, 90% absolute reduction vs an explicit 2019 base year, transition plan fully embedded in capital allocation, externally assured. One MED...</t>
        </is>
      </c>
      <c r="DY28" s="5" t="n"/>
      <c r="DZ28" s="5" t="n"/>
      <c r="EA28" s="5" t="n"/>
      <c r="EB28" s="5">
        <f>IF(OR(V28=0, ISBLANK(V28)), "MISSING — No sources reviewed", "")</f>
        <v/>
      </c>
      <c r="EC28" s="5">
        <f>IF(AND(NOT(ISBLANK(DC28)), ISBLANK(DE28)), "PAGE REF MISSING", "")</f>
        <v/>
      </c>
    </row>
    <row r="29" ht="18" customHeight="1" s="60">
      <c r="A29" s="3" t="inlineStr">
        <is>
          <t>AstraZeneca PLC</t>
        </is>
      </c>
      <c r="B29" s="3" t="inlineStr">
        <is>
          <t>ZEG</t>
        </is>
      </c>
      <c r="C29" s="3" t="inlineStr">
        <is>
          <t>GB0009895292</t>
        </is>
      </c>
      <c r="D29" s="3" t="n"/>
      <c r="E29" s="3" t="n"/>
      <c r="F29" s="3">
        <f>IF(ISBLANK('Universe Tracker'!F25),"",'Universe Tracker'!F25)</f>
        <v/>
      </c>
      <c r="G29" s="3">
        <f>IF(ISBLANK('Universe Tracker'!G25),"",'Universe Tracker'!G25)</f>
        <v/>
      </c>
      <c r="H29" s="3" t="n"/>
      <c r="I29" s="3" t="n"/>
      <c r="J29" s="3">
        <f>IF(ISBLANK(B29),"",B29&amp;"_"&amp;C29)</f>
        <v/>
      </c>
      <c r="K29" s="3" t="n"/>
      <c r="L29" s="3" t="n"/>
      <c r="M29" s="3" t="n"/>
      <c r="N29" s="3" t="n"/>
      <c r="O29" s="3" t="inlineStr">
        <is>
          <t>Yes</t>
        </is>
      </c>
      <c r="P29" s="3" t="inlineStr">
        <is>
          <t>Yes</t>
        </is>
      </c>
      <c r="Q29" s="3" t="n"/>
      <c r="R29" s="3" t="n"/>
      <c r="S29" s="3" t="n"/>
      <c r="T29" s="3" t="n"/>
      <c r="U29" s="3" t="n"/>
      <c r="V29" s="3" t="n"/>
      <c r="W29" s="3" t="n"/>
      <c r="X29" s="3" t="n"/>
      <c r="Y29" s="3">
        <f>IF(AND(V29&gt;=2,K29="Yes",L29="Yes"),"Sufficient",IF(AND(V29&gt;=1,OR(K29="Yes",L29="Yes")),"Thin","Insufficient"))</f>
        <v/>
      </c>
      <c r="Z29" s="3" t="n"/>
      <c r="AA29" s="3" t="n"/>
      <c r="AB29" s="3" t="n"/>
      <c r="AC29" s="3" t="n"/>
      <c r="AD29" s="3" t="n"/>
      <c r="AE29" s="3" t="n"/>
      <c r="AF29" s="3" t="n"/>
      <c r="AG29" s="3" t="n"/>
      <c r="AH29" s="3" t="n"/>
      <c r="AI29" s="3" t="n"/>
      <c r="AJ29" s="3" t="inlineStr">
        <is>
          <t>Targets set (1.5°C)</t>
        </is>
      </c>
      <c r="AK29" s="3" t="inlineStr">
        <is>
          <t>FY2030</t>
        </is>
      </c>
      <c r="AL29" s="3" t="n"/>
      <c r="AM29" s="3" t="n"/>
      <c r="AN29" s="3" t="n"/>
      <c r="AO29" s="3" t="n"/>
      <c r="AP29" s="3" t="n"/>
      <c r="AQ29" s="3" t="n"/>
      <c r="AR29" s="40">
        <f t="array" ref="AR29">MIN(100, MAX(0,
  IFERROR(_xlfn.XLOOKUP(AJ29,'Lookup Tables'!$A$2:$A$7,'Lookup Tables'!$B$2:$B$7,0),0)
  + IF(Z29="Yes", IF(IFERROR(_xlfn.XLOOKUP(AJ29,'Lookup Tables'!$A$2:$A$7,'Lookup Tables'!$B$2:$B$7,0),0)&lt;20, 5, 0), 0)
  + _xlfn.IFS(AB29="Yes", IF(ISNUMBER(AC29)*AND(AC29&lt;=2030),15,10), AB29="Long-term Only", 5, AB29="No", 0, TRUE, 0)
  + _xlfn.IFS(AF29="Full",10, AF29="Partial",5, AF29="Scope 2 Only",3, TRUE,0)
  + _xlfn.IFS(AG29="Yes", IF(ISNUMBER(AH29)*AND(AH29&gt;=5),10,6), AG29="Partial",4, TRUE,0)
  + _xlfn.IFS(AI29="Yes",5, AI29="Partial (material categories only)",3, TRUE,0)
  + _xlfn.IFS(AL29="Yes — Detailed",10, AL29="Yes — High Level",5, TRUE,0)
  + _xlfn.IFS(AM29="Yes — Quantified",15, AM29="Yes — Directional Only",7, TRUE,0)
  + _xlfn.IFS(AP29="Formal",5, AP29="Referenced",2, TRUE,0)
  + _xlfn.IFS(AQ29="No Issues Found",5, AQ29="Concern Identified",-5, AQ29="Severe Contradiction",-15, TRUE,0)
  + _xlfn.IFS(BC29="Reasonable Assurance",5, BC29="Limited Assurance",3, TRUE,0)
  - IF(AND(Z29="Yes", AI29="No"), 10, 0)
  - IF(AND(Z29="Yes", AM29="No"), 10, 0)
))</f>
        <v/>
      </c>
      <c r="AS29" s="3" t="n"/>
      <c r="AT29" s="3" t="n"/>
      <c r="AU29" s="3" t="n"/>
      <c r="AV29" s="3" t="n"/>
      <c r="AW29" s="3" t="n"/>
      <c r="AX29" s="3" t="n"/>
      <c r="AY29" s="3" t="n"/>
      <c r="AZ29" s="3" t="n"/>
      <c r="BA29" s="3" t="n"/>
      <c r="BB29" s="3" t="n"/>
      <c r="BC29" s="3" t="n"/>
      <c r="BD29" s="3" t="n"/>
      <c r="BE29" s="40">
        <f t="array" ref="BE29">MIN(100, MAX(0,
  IFERROR(_xlfn.XLOOKUP(AT29,'Lookup Tables'!$D$2:$D$6,'Lookup Tables'!$E$2:$E$6,0),0)
  + IFERROR(_xlfn.XLOOKUP(AV29,'Lookup Tables'!$G$2:$G$5,'Lookup Tables'!$H$2:$H$5,0),0)
  + IFERROR(_xlfn.XLOOKUP(AW29,'Lookup Tables'!$J$2:$J$5,'Lookup Tables'!$K$2:$K$5,0),0)
  + _xlfn.IFS(AX29="No Issues",10, AX29="Complaint Filed",3, AX29="Confirmed Breach",-15, TRUE,0)
  + IFERROR(_xlfn.XLOOKUP(AY29,'Lookup Tables'!$M$2:$M$6,'Lookup Tables'!$N$2:$N$6,0),0)
  + IFERROR(_xlfn.XLOOKUP(AZ29,'Lookup Tables'!$P$2:$P$6,'Lookup Tables'!$Q$2:$Q$6,0),0)
  + _xlfn.IFS(BA29="Formal Board Committee",5, BA29="Board Oversight Mentioned",2, TRUE,0)
  + _xlfn.IFS(BB29="Yes — Quantified Targets",5, BB29="Yes — Discretionary Only",2, TRUE,0)
  + _xlfn.IFS(BC29="Reasonable Assurance",5, BC29="Limited Assurance",3, BC29="Management Review Only",1, TRUE,0)
))</f>
        <v/>
      </c>
      <c r="BF29" s="3" t="n"/>
      <c r="BG29" s="3" t="n"/>
      <c r="BH29" s="3" t="n"/>
      <c r="BI29" s="3" t="n"/>
      <c r="BJ29" s="3" t="n"/>
      <c r="BK29" s="3" t="n"/>
      <c r="BL29" s="3" t="n"/>
      <c r="BM29" s="3" t="n"/>
      <c r="BN29" s="3" t="n"/>
      <c r="BO29" s="3" t="n"/>
      <c r="BP29" s="3" t="n"/>
      <c r="BQ29" s="3" t="n"/>
      <c r="BR29" s="3" t="n"/>
      <c r="BS29" s="42">
        <f t="array" ref="BS29">MIN(100, MAX(0,
  IFERROR(_xlfn.XLOOKUP(BG29,'Lookup Tables'!$A$11:$A$16,'Lookup Tables'!$B$11:$B$16,0),0)
  + IFERROR(_xlfn.XLOOKUP(BR29,'Lookup Tables'!$M$11:$M$14,'Lookup Tables'!$N$11:$N$14,0),0)
  + IFERROR(_xlfn.XLOOKUP(BQ29,'Lookup Tables'!$J$11:$J$15,'Lookup Tables'!$K$11:$K$15,0),0)
  + IFERROR(_xlfn.XLOOKUP(BH29,'Lookup Tables'!$D$11:$D$15,'Lookup Tables'!$E$11:$E$15,0),0)
  + IFERROR(_xlfn.XLOOKUP(BJ29,'Lookup Tables'!$G$11:$G$16,'Lookup Tables'!$H$11:$H$16,0),0)
  + IFERROR(_xlfn.XLOOKUP(BN29,'Lookup Tables'!$P$11:$P$15,'Lookup Tables'!$Q$11:$Q$15,0),0)
  + _xlfn.IFS(BM29="No Evidence",10, BM29="Unknown",3, BM29="Likely",0, BM29="Confirmed",-10, TRUE,3)
  + IFERROR(_xlfn.XLOOKUP(BP29,'Lookup Tables'!$J$21:$J$24,'Lookup Tables'!$K$21:$K$24,0),0)
))</f>
        <v/>
      </c>
      <c r="BT29" s="3" t="n"/>
      <c r="BU29" s="3" t="n"/>
      <c r="BV29" s="3" t="n"/>
      <c r="BW29" s="3" t="n"/>
      <c r="BX29" s="3" t="n"/>
      <c r="BY29" s="3" t="n"/>
      <c r="BZ29" s="3" t="n"/>
      <c r="CA29" s="3" t="n"/>
      <c r="CB29" s="3" t="n"/>
      <c r="CC29" s="3" t="n"/>
      <c r="CD29" s="3" t="n"/>
      <c r="CE29" s="44">
        <f t="array" ref="CE29">MIN(100, MAX(0,
  IF(ISNUMBER(BV29)*AND(BV29&gt;0), 10, 0)
  + _xlfn.IFS(BY29="Independently Verified",25, BY29="Yes",15, TRUE,0)
  + IFERROR(_xlfn.XLOOKUP(BZ29,'Lookup Tables'!$A$21:$A$24,'Lookup Tables'!$B$21:$B$24,0),0)
  + IFERROR(_xlfn.XLOOKUP(CA29,'Lookup Tables'!$D$21:$D$24,'Lookup Tables'!$E$21:$E$24,0),0)
  + _xlfn.IFS(ISNUMBER(CB29)*AND(CB29&gt;=11),15, ISNUMBER(CB29)*AND(CB29&gt;=6),10, ISNUMBER(CB29)*AND(CB29&gt;=1),5, TRUE,0)
  + IFERROR(_xlfn.XLOOKUP(CC29,'Lookup Tables'!$G$21:$G$25,'Lookup Tables'!$H$21:$H$25,0),0)
  - IF(ISNUMBER(BW29)*AND(ISNUMBER(BV29))*AND(BW29&gt;BV29), 20, 0)
  - IF(AND(BY29="Yes", ISNUMBER(BW29), BW29&gt;60), 10, 0)
))</f>
        <v/>
      </c>
      <c r="CF29" s="3" t="n"/>
      <c r="CG29" s="3" t="inlineStr">
        <is>
          <t>the aim of achieving science-based net zero ... to achieve net zero by 2045</t>
        </is>
      </c>
      <c r="CH29" s="3" t="inlineStr">
        <is>
          <t>AstraZeneca_AR_2025.pdf</t>
        </is>
      </c>
      <c r="CI29" s="3" t="n">
        <v>9</v>
      </c>
      <c r="CJ29" s="3" t="inlineStr">
        <is>
          <t>PASS</t>
        </is>
      </c>
      <c r="CK29" s="3" t="inlineStr">
        <is>
          <t>PASS</t>
        </is>
      </c>
      <c r="CL29" s="3" t="inlineStr">
        <is>
          <t>PASS</t>
        </is>
      </c>
      <c r="CM29" s="3" t="inlineStr">
        <is>
          <t>PASS</t>
        </is>
      </c>
      <c r="CN29" s="3" t="inlineStr">
        <is>
          <t>PASS</t>
        </is>
      </c>
      <c r="CO29" s="3" t="inlineStr">
        <is>
          <t>PASS</t>
        </is>
      </c>
      <c r="CP29" s="3" t="inlineStr">
        <is>
          <t>PASS</t>
        </is>
      </c>
      <c r="CQ29" s="3" t="inlineStr">
        <is>
          <t>PASS</t>
        </is>
      </c>
      <c r="CR29" s="3">
        <f>COUNTIF(CJ29:CQ29,"FAIL")</f>
        <v/>
      </c>
      <c r="CS29" s="3">
        <f>COUNTIF(CJ29:CQ29,"PARTIAL")</f>
        <v/>
      </c>
      <c r="CT29" s="3">
        <f>COUNTIF(CJ29:CQ29,"MISSING")</f>
        <v/>
      </c>
      <c r="CU29" s="3">
        <f>MIN(100,
  CR29*15
  + CS29*6
  + CT29*3
  + IFERROR(_xlfn.XLOOKUP(CW29,'Lookup Tables'!$M$21:$M$25,'Lookup Tables'!$N$21:$N$25,0),0)
)</f>
        <v/>
      </c>
      <c r="CV29" s="3">
        <f>IFERROR(
CHOOSE(
MATCH("FAIL",CJ29:CQ29,0),
"1-Specificity","2-Metric","3-Baseline","4-Target",
"5-Time Horizon","6-Scope","7-Verification","8-Consistency"
),
IFERROR(
CHOOSE(
MATCH("PARTIAL",CJ29:CQ29,0),
"1-Specificity","2-Metric","3-Baseline","4-Target",
"5-Time Horizon","6-Scope","7-Verification","8-Consistency"
),
"No failures"
)
)</f>
        <v/>
      </c>
      <c r="CW29" s="3" t="n"/>
      <c r="CX29" s="3" t="n"/>
      <c r="CY29" s="3" t="n"/>
      <c r="CZ29" s="3" t="n"/>
      <c r="DA29" s="3">
        <f>IF(OR(CU29&gt;=50,CW29="Material",CW29="Severe",AS29="Material",AS29="Severe",BF29="Material",BF29="Severe — Exclusion Trigger",AND(ISNUMBER(BS29),BS29&lt;30)),"Yes","No")</f>
        <v/>
      </c>
      <c r="DB29" s="3">
        <f>IF(OR(CR29&gt;=6,AW29="Confirmed Violation",AX29="Confirmed Breach"),"Yes — Automatic",IF(CW29="Severe","Yes — Requires Captain Confirmation","No"))</f>
        <v/>
      </c>
      <c r="DC29" s="3" t="inlineStr">
        <is>
          <t>the aim of achieving science-based net zero ... to achieve net zero by 2045</t>
        </is>
      </c>
      <c r="DD29" s="3" t="inlineStr">
        <is>
          <t>AstraZeneca_AR_2025.pdf</t>
        </is>
      </c>
      <c r="DE29" s="3" t="n">
        <v>9</v>
      </c>
      <c r="DF29" s="3" t="n">
        <v>4</v>
      </c>
      <c r="DG29" s="3" t="n">
        <v>4</v>
      </c>
      <c r="DH29" s="3" t="inlineStr">
        <is>
          <t>PENDING</t>
        </is>
      </c>
      <c r="DI29" s="3" t="n"/>
      <c r="DJ29" s="3" t="n"/>
      <c r="DK29" s="3" t="n"/>
      <c r="DL29" s="3">
        <f>IF(OR(IFERROR(VALUE(LEFT(DF29,1)),99)&lt;=2,IFERROR(VALUE(LEFT(DG29,1)),99)&lt;=2),"Flagged","Clear")</f>
        <v/>
      </c>
      <c r="DM29" s="3">
        <f>IF(OR(DA29="Yes",DB29&lt;&gt;"No",DH29="Unverified",DL29="Flagged"),"Yes","No")</f>
        <v/>
      </c>
      <c r="DN29" s="3">
        <f t="array" ref="DN29">MIN(100,
  IF(ISNUMBER(V29), _xlfn.IFS(V29&gt;=3,25, V29=2,15, V29=1,5, TRUE,0), 0)
  + IFERROR(_xlfn.IFS(VALUE(LEFT(DF29,1))=5,25, VALUE(LEFT(DF29,1))=4,20, VALUE(LEFT(DF29,1))=3,15, VALUE(LEFT(DF29,1))=2,8, TRUE,0), 15)
  + IFERROR(_xlfn.IFS(VALUE(LEFT(DG29,1))=5,25, VALUE(LEFT(DG29,1))=4,20, VALUE(LEFT(DG29,1))=3,15, VALUE(LEFT(DG29,1))=2,8, TRUE,0), 15)
  + _xlfn.IFS(DH29="Fully Verified",25, DH29="Partially Verified",12, TRUE,0)
)</f>
        <v/>
      </c>
      <c r="DO29" s="3">
        <f t="array" ref="DO29">_xlfn.IFS(
  ISBLANK(AR29), "Insufficient Evidence",
  AND(AR29&gt;=65, AJ29="Approved"), "Strong",
  AR29&gt;=65, "Adequate",
  AR29&gt;=40, "Adequate",
  AR29&gt;=20, "Weak",
  TRUE, "Insufficient Evidence"
)</f>
        <v/>
      </c>
      <c r="DP29" s="3">
        <f t="array" ref="DP29">_xlfn.IFS(
  ISBLANK(BS29), "Insufficient Evidence",
  BS29&gt;=65, "Strong",
  BS29&gt;=40, "Adequate",
  BS29&gt;=20, "Weak",
  TRUE, "Insufficient Evidence"
)</f>
        <v/>
      </c>
      <c r="DQ29" s="3">
        <f t="array" ref="DQ29">_xlfn.IFS(
  ISBLANK(BE29), "Insufficient Evidence",
  OR(AW29="Confirmed Violation", AX29="Confirmed Breach"), "Severe — Hard Trigger",
  BE29&gt;=65, "Strong",
  BE29&gt;=40, "Adequate",
  BE29&gt;=20, "Weak",
  TRUE, "Insufficient Evidence"
)</f>
        <v/>
      </c>
      <c r="DR29" s="3">
        <f t="array" ref="DR29">_xlfn.IFS(
  ISBLANK(CU29), "Insufficient Evidence",
  CU29&lt;=20, "Low Risk",
  CU29&lt;=50, "Moderate Risk",
  CU29&lt;=75, "High Risk",
  TRUE, "Very High Risk"
)</f>
        <v/>
      </c>
      <c r="DS29" s="3">
        <f t="array" ref="DS29">_xlfn.IFS(
  ISBLANK(CE29), "Insufficient Evidence",
  AND(ISNUMBER(BW29),ISNUMBER(BV29),BW29&gt;BV29), "Overclaiming Risk",
  CE29&gt;=65, "Strong",
  CE29&gt;=40, "Adequate",
  TRUE, "Weak"
)</f>
        <v/>
      </c>
      <c r="DT29" s="3">
        <f>IF(DB29="Yes — Automatic",0,ROUND((IF(ISNUMBER(AR29),AR29,0)*0.3+IF(ISNUMBER(BS29),BS29,0)*0.2+IF(ISNUMBER(BE29),BE29,0)*0.2+IF(ISNUMBER(CE29),CE29,0)*0.15+(100-IF(ISNUMBER(CU29),CU29,50))*0.15)*IF(DN29&gt;=75,1,IF(DN29&gt;=50,0.9,IF(DN29&gt;=25,0.75,0.6))),1))</f>
        <v/>
      </c>
      <c r="DU29" s="3">
        <f t="array" ref="DU29">_xlfn.IFS(
  DV29="Upgraded to Clear", "Clear",
  DV29="Downgraded to Watchlist", "Watchlist",
  DV29="Downgraded to Exclusion", "Exclusion Risk",
  DB29="Yes — Automatic", "Exclusion Risk",
  OR(AW29="Confirmed Violation", AX29="Confirmed Breach"), "Exclusion Risk",
  OR(V29=0, ISBLANK(V29), DN29&lt;20), "Insufficient Evidence",
  AND(DT29&gt;=65, DA29="No", DB29="No"), "Clear",
  OR(DT29&gt;=40, DA29="Yes"), "Watchlist",
  TRUE, "Exclusion Risk"
)</f>
        <v/>
      </c>
      <c r="DV29" s="3" t="n"/>
      <c r="DW29" s="3">
        <f t="array" ref="DW29">_xlfn.IFS(
  DU29="Exclusion Risk", "Exclude — Hard Trigger",
  DU29="Insufficient Evidence", "Watchlist — Further Evidence Needed",
  DU29="Watchlist", "Watchlist — Further Evidence Needed",
  AND(DU29="Clear", DT29&gt;=80), "Include — No Conditions",
  DU29="Clear", "Include — Monitor",
  TRUE, "Watchlist — Further Evidence Needed"
)</f>
        <v/>
      </c>
      <c r="DX29" s="3" t="inlineStr">
        <is>
          <t>Main claim: "the aim of achieving science-based net zero ... to achieve net zero by 2045" (AstraZeneca_AR_2025.pdf, p9). SBTi: Targets set, 1.5°C near-term target (FY2030). 8-Test: 0 PARTIAL, 0 FAIL, 0 MISSING -&gt; PASS. Pharma annual report. Strong climate disclosure — SBTi-verified Net-Zero-Standard targets, 98% near-term absolute target on a 2015 baseline, independent sustainability assurance. One MED (assurance level). NOTE: a 2025 China legal...</t>
        </is>
      </c>
      <c r="DY29" s="3" t="n"/>
      <c r="DZ29" s="3" t="n"/>
      <c r="EA29" s="3" t="n"/>
      <c r="EB29" s="3">
        <f>IF(OR(V29=0, ISBLANK(V29)), "MISSING — No sources reviewed", "")</f>
        <v/>
      </c>
      <c r="EC29" s="3">
        <f>IF(AND(NOT(ISBLANK(DC29)), ISBLANK(DE29)), "PAGE REF MISSING", "")</f>
        <v/>
      </c>
    </row>
    <row r="30" ht="18" customHeight="1" s="60">
      <c r="A30" s="5" t="inlineStr">
        <is>
          <t>Gaztransport Et Technigaz SA</t>
        </is>
      </c>
      <c r="B30" s="5" t="inlineStr">
        <is>
          <t>9TG</t>
        </is>
      </c>
      <c r="C30" s="5">
        <f>IF(ISBLANK('Universe Tracker'!D26),"",'Universe Tracker'!D26)</f>
        <v/>
      </c>
      <c r="D30" s="5" t="n"/>
      <c r="E30" s="5" t="n"/>
      <c r="F30" s="5">
        <f>IF(ISBLANK('Universe Tracker'!F26),"",'Universe Tracker'!F26)</f>
        <v/>
      </c>
      <c r="G30" s="5">
        <f>IF(ISBLANK('Universe Tracker'!G26),"",'Universe Tracker'!G26)</f>
        <v/>
      </c>
      <c r="H30" s="5" t="n"/>
      <c r="I30" s="5" t="n"/>
      <c r="J30" s="5">
        <f>IF(ISBLANK(B30),"",B30&amp;"_"&amp;C30)</f>
        <v/>
      </c>
      <c r="K30" s="5" t="n"/>
      <c r="L30" s="5" t="n"/>
      <c r="M30" s="5" t="n"/>
      <c r="N30" s="5" t="n"/>
      <c r="O30" s="5" t="n"/>
      <c r="P30" s="5" t="n"/>
      <c r="Q30" s="5" t="n"/>
      <c r="R30" s="5" t="n"/>
      <c r="S30" s="5" t="n"/>
      <c r="T30" s="5" t="n"/>
      <c r="U30" s="5" t="n"/>
      <c r="V30" s="5" t="n"/>
      <c r="W30" s="5" t="n"/>
      <c r="X30" s="5" t="n"/>
      <c r="Y30" s="5">
        <f>IF(AND(V30&gt;=2,K30="Yes",L30="Yes"),"Sufficient",IF(AND(V30&gt;=1,OR(K30="Yes",L30="Yes")),"Thin","Insufficient"))</f>
        <v/>
      </c>
      <c r="Z30" s="5" t="n"/>
      <c r="AA30" s="5" t="n"/>
      <c r="AB30" s="5" t="n"/>
      <c r="AC30" s="5" t="n"/>
      <c r="AD30" s="5" t="n"/>
      <c r="AE30" s="5" t="n"/>
      <c r="AF30" s="5" t="n"/>
      <c r="AG30" s="5" t="n"/>
      <c r="AH30" s="5" t="n"/>
      <c r="AI30" s="5" t="n"/>
      <c r="AJ30" s="5" t="n"/>
      <c r="AK30" s="5" t="n"/>
      <c r="AL30" s="5" t="n"/>
      <c r="AM30" s="5" t="n"/>
      <c r="AN30" s="5" t="n"/>
      <c r="AO30" s="5" t="n"/>
      <c r="AP30" s="5" t="n"/>
      <c r="AQ30" s="5" t="n"/>
      <c r="AR30" s="40">
        <f t="array" ref="AR30">MIN(100, MAX(0,
  IFERROR(_xlfn.XLOOKUP(AJ30,'Lookup Tables'!$A$2:$A$7,'Lookup Tables'!$B$2:$B$7,0),0)
  + IF(Z30="Yes", IF(IFERROR(_xlfn.XLOOKUP(AJ30,'Lookup Tables'!$A$2:$A$7,'Lookup Tables'!$B$2:$B$7,0),0)&lt;20, 5, 0), 0)
  + _xlfn.IFS(AB30="Yes", IF(ISNUMBER(AC30)*AND(AC30&lt;=2030),15,10), AB30="Long-term Only", 5, AB30="No", 0, TRUE, 0)
  + _xlfn.IFS(AF30="Full",10, AF30="Partial",5, AF30="Scope 2 Only",3, TRUE,0)
  + _xlfn.IFS(AG30="Yes", IF(ISNUMBER(AH30)*AND(AH30&gt;=5),10,6), AG30="Partial",4, TRUE,0)
  + _xlfn.IFS(AI30="Yes",5, AI30="Partial (material categories only)",3, TRUE,0)
  + _xlfn.IFS(AL30="Yes — Detailed",10, AL30="Yes — High Level",5, TRUE,0)
  + _xlfn.IFS(AM30="Yes — Quantified",15, AM30="Yes — Directional Only",7, TRUE,0)
  + _xlfn.IFS(AP30="Formal",5, AP30="Referenced",2, TRUE,0)
  + _xlfn.IFS(AQ30="No Issues Found",5, AQ30="Concern Identified",-5, AQ30="Severe Contradiction",-15, TRUE,0)
  + _xlfn.IFS(BC30="Reasonable Assurance",5, BC30="Limited Assurance",3, TRUE,0)
  - IF(AND(Z30="Yes", AI30="No"), 10, 0)
  - IF(AND(Z30="Yes", AM30="No"), 10, 0)
))</f>
        <v/>
      </c>
      <c r="AS30" s="5" t="n"/>
      <c r="AT30" s="5" t="n"/>
      <c r="AU30" s="5" t="n"/>
      <c r="AV30" s="5" t="n"/>
      <c r="AW30" s="5" t="n"/>
      <c r="AX30" s="5" t="n"/>
      <c r="AY30" s="5" t="n"/>
      <c r="AZ30" s="5" t="n"/>
      <c r="BA30" s="5" t="n"/>
      <c r="BB30" s="5" t="n"/>
      <c r="BC30" s="5" t="n"/>
      <c r="BD30" s="5" t="n"/>
      <c r="BE30" s="39">
        <f t="array" ref="BE30">MIN(100, MAX(0,
  IFERROR(_xlfn.XLOOKUP(AT30,'Lookup Tables'!$D$2:$D$6,'Lookup Tables'!$E$2:$E$6,0),0)
  + IFERROR(_xlfn.XLOOKUP(AV30,'Lookup Tables'!$G$2:$G$5,'Lookup Tables'!$H$2:$H$5,0),0)
  + IFERROR(_xlfn.XLOOKUP(AW30,'Lookup Tables'!$J$2:$J$5,'Lookup Tables'!$K$2:$K$5,0),0)
  + _xlfn.IFS(AX30="No Issues",10, AX30="Complaint Filed",3, AX30="Confirmed Breach",-15, TRUE,0)
  + IFERROR(_xlfn.XLOOKUP(AY30,'Lookup Tables'!$M$2:$M$6,'Lookup Tables'!$N$2:$N$6,0),0)
  + IFERROR(_xlfn.XLOOKUP(AZ30,'Lookup Tables'!$P$2:$P$6,'Lookup Tables'!$Q$2:$Q$6,0),0)
  + _xlfn.IFS(BA30="Formal Board Committee",5, BA30="Board Oversight Mentioned",2, TRUE,0)
  + _xlfn.IFS(BB30="Yes — Quantified Targets",5, BB30="Yes — Discretionary Only",2, TRUE,0)
  + _xlfn.IFS(BC30="Reasonable Assurance",5, BC30="Limited Assurance",3, BC30="Management Review Only",1, TRUE,0)
))</f>
        <v/>
      </c>
      <c r="BF30" s="5" t="n"/>
      <c r="BG30" s="5" t="n"/>
      <c r="BH30" s="5" t="n"/>
      <c r="BI30" s="5" t="n"/>
      <c r="BJ30" s="5" t="n"/>
      <c r="BK30" s="5" t="n"/>
      <c r="BL30" s="5" t="n"/>
      <c r="BM30" s="5" t="n"/>
      <c r="BN30" s="5" t="n"/>
      <c r="BO30" s="5" t="n"/>
      <c r="BP30" s="5" t="n"/>
      <c r="BQ30" s="5" t="n"/>
      <c r="BR30" s="5" t="n"/>
      <c r="BS30" s="41">
        <f t="array" ref="BS30">MIN(100, MAX(0,
  IFERROR(_xlfn.XLOOKUP(BG30,'Lookup Tables'!$A$11:$A$16,'Lookup Tables'!$B$11:$B$16,0),0)
  + IFERROR(_xlfn.XLOOKUP(BR30,'Lookup Tables'!$M$11:$M$14,'Lookup Tables'!$N$11:$N$14,0),0)
  + IFERROR(_xlfn.XLOOKUP(BQ30,'Lookup Tables'!$J$11:$J$15,'Lookup Tables'!$K$11:$K$15,0),0)
  + IFERROR(_xlfn.XLOOKUP(BH30,'Lookup Tables'!$D$11:$D$15,'Lookup Tables'!$E$11:$E$15,0),0)
  + IFERROR(_xlfn.XLOOKUP(BJ30,'Lookup Tables'!$G$11:$G$16,'Lookup Tables'!$H$11:$H$16,0),0)
  + IFERROR(_xlfn.XLOOKUP(BN30,'Lookup Tables'!$P$11:$P$15,'Lookup Tables'!$Q$11:$Q$15,0),0)
  + _xlfn.IFS(BM30="No Evidence",10, BM30="Unknown",3, BM30="Likely",0, BM30="Confirmed",-10, TRUE,3)
  + IFERROR(_xlfn.XLOOKUP(BP30,'Lookup Tables'!$J$21:$J$24,'Lookup Tables'!$K$21:$K$24,0),0)
))</f>
        <v/>
      </c>
      <c r="BT30" s="5" t="n"/>
      <c r="BU30" s="5" t="n"/>
      <c r="BV30" s="5" t="n"/>
      <c r="BW30" s="5" t="n"/>
      <c r="BX30" s="5" t="n"/>
      <c r="BY30" s="5" t="n"/>
      <c r="BZ30" s="5" t="n"/>
      <c r="CA30" s="5" t="n"/>
      <c r="CB30" s="5" t="n"/>
      <c r="CC30" s="5" t="n"/>
      <c r="CD30" s="5" t="n"/>
      <c r="CE30" s="43">
        <f t="array" ref="CE30">MIN(100, MAX(0,
  IF(ISNUMBER(BV30)*AND(BV30&gt;0), 10, 0)
  + _xlfn.IFS(BY30="Independently Verified",25, BY30="Yes",15, TRUE,0)
  + IFERROR(_xlfn.XLOOKUP(BZ30,'Lookup Tables'!$A$21:$A$24,'Lookup Tables'!$B$21:$B$24,0),0)
  + IFERROR(_xlfn.XLOOKUP(CA30,'Lookup Tables'!$D$21:$D$24,'Lookup Tables'!$E$21:$E$24,0),0)
  + _xlfn.IFS(ISNUMBER(CB30)*AND(CB30&gt;=11),15, ISNUMBER(CB30)*AND(CB30&gt;=6),10, ISNUMBER(CB30)*AND(CB30&gt;=1),5, TRUE,0)
  + IFERROR(_xlfn.XLOOKUP(CC30,'Lookup Tables'!$G$21:$G$25,'Lookup Tables'!$H$21:$H$25,0),0)
  - IF(ISNUMBER(BW30)*AND(ISNUMBER(BV30))*AND(BW30&gt;BV30), 20, 0)
  - IF(AND(BY30="Yes", ISNUMBER(BW30), BW30&gt;60), 10, 0)
))</f>
        <v/>
      </c>
      <c r="CF30" s="5" t="n"/>
      <c r="CG30" s="5" t="n"/>
      <c r="CH30" s="5" t="n"/>
      <c r="CI30" s="5" t="n"/>
      <c r="CJ30" s="5" t="n"/>
      <c r="CK30" s="5" t="n"/>
      <c r="CL30" s="5" t="n"/>
      <c r="CM30" s="5" t="n"/>
      <c r="CN30" s="5" t="n"/>
      <c r="CO30" s="5" t="n"/>
      <c r="CP30" s="5" t="n"/>
      <c r="CQ30" s="5" t="n"/>
      <c r="CR30" s="5">
        <f>COUNTIF(CJ30:CQ30,"FAIL")</f>
        <v/>
      </c>
      <c r="CS30" s="5">
        <f>COUNTIF(CJ30:CQ30,"PARTIAL")</f>
        <v/>
      </c>
      <c r="CT30" s="5">
        <f>COUNTIF(CJ30:CQ30,"MISSING")</f>
        <v/>
      </c>
      <c r="CU30" s="5">
        <f>MIN(100,
  CR30*15
  + CS30*6
  + CT30*3
  + IFERROR(_xlfn.XLOOKUP(CW30,'Lookup Tables'!$M$21:$M$25,'Lookup Tables'!$N$21:$N$25,0),0)
)</f>
        <v/>
      </c>
      <c r="CV30" s="5">
        <f>IFERROR(
CHOOSE(
MATCH("FAIL",CJ30:CQ30,0),
"1-Specificity","2-Metric","3-Baseline","4-Target",
"5-Time Horizon","6-Scope","7-Verification","8-Consistency"
),
IFERROR(
CHOOSE(
MATCH("PARTIAL",CJ30:CQ30,0),
"1-Specificity","2-Metric","3-Baseline","4-Target",
"5-Time Horizon","6-Scope","7-Verification","8-Consistency"
),
"No failures"
)
)</f>
        <v/>
      </c>
      <c r="CW30" s="5" t="n"/>
      <c r="CX30" s="5" t="n"/>
      <c r="CY30" s="5" t="n"/>
      <c r="CZ30" s="5" t="n"/>
      <c r="DA30" s="5">
        <f>IF(OR(CU30&gt;=50,CW30="Material",CW30="Severe",AS30="Material",AS30="Severe",BF30="Material",BF30="Severe — Exclusion Trigger",AND(ISNUMBER(BS30),BS30&lt;30)),"Yes","No")</f>
        <v/>
      </c>
      <c r="DB30" s="5">
        <f>IF(OR(CR30&gt;=6,AW30="Confirmed Violation",AX30="Confirmed Breach"),"Yes — Automatic",IF(CW30="Severe","Yes — Requires Captain Confirmation","No"))</f>
        <v/>
      </c>
      <c r="DC30" s="5" t="n"/>
      <c r="DD30" s="5" t="n"/>
      <c r="DE30" s="5" t="n"/>
      <c r="DF30" s="5" t="n"/>
      <c r="DG30" s="5" t="n"/>
      <c r="DH30" s="5" t="n"/>
      <c r="DI30" s="5" t="n"/>
      <c r="DJ30" s="5" t="n"/>
      <c r="DK30" s="5" t="n"/>
      <c r="DL30" s="5">
        <f>IF(OR(IFERROR(VALUE(LEFT(DF30,1)),99)&lt;=2,IFERROR(VALUE(LEFT(DG30,1)),99)&lt;=2),"Flagged","Clear")</f>
        <v/>
      </c>
      <c r="DM30" s="5">
        <f>IF(OR(DA30="Yes",DB30&lt;&gt;"No",DH30="Unverified",DL30="Flagged"),"Yes","No")</f>
        <v/>
      </c>
      <c r="DN30" s="5">
        <f t="array" ref="DN30">MIN(100,
  IF(ISNUMBER(V30), _xlfn.IFS(V30&gt;=3,25, V30=2,15, V30=1,5, TRUE,0), 0)
  + IFERROR(_xlfn.IFS(VALUE(LEFT(DF30,1))=5,25, VALUE(LEFT(DF30,1))=4,20, VALUE(LEFT(DF30,1))=3,15, VALUE(LEFT(DF30,1))=2,8, TRUE,0), 15)
  + IFERROR(_xlfn.IFS(VALUE(LEFT(DG30,1))=5,25, VALUE(LEFT(DG30,1))=4,20, VALUE(LEFT(DG30,1))=3,15, VALUE(LEFT(DG30,1))=2,8, TRUE,0), 15)
  + _xlfn.IFS(DH30="Fully Verified",25, DH30="Partially Verified",12, TRUE,0)
)</f>
        <v/>
      </c>
      <c r="DO30" s="5">
        <f t="array" ref="DO30">_xlfn.IFS(
  ISBLANK(AR30), "Insufficient Evidence",
  AND(AR30&gt;=65, AJ30="Approved"), "Strong",
  AR30&gt;=65, "Adequate",
  AR30&gt;=40, "Adequate",
  AR30&gt;=20, "Weak",
  TRUE, "Insufficient Evidence"
)</f>
        <v/>
      </c>
      <c r="DP30" s="5">
        <f t="array" ref="DP30">_xlfn.IFS(
  ISBLANK(BS30), "Insufficient Evidence",
  BS30&gt;=65, "Strong",
  BS30&gt;=40, "Adequate",
  BS30&gt;=20, "Weak",
  TRUE, "Insufficient Evidence"
)</f>
        <v/>
      </c>
      <c r="DQ30" s="5">
        <f t="array" ref="DQ30">_xlfn.IFS(
  ISBLANK(BE30), "Insufficient Evidence",
  OR(AW30="Confirmed Violation", AX30="Confirmed Breach"), "Severe — Hard Trigger",
  BE30&gt;=65, "Strong",
  BE30&gt;=40, "Adequate",
  BE30&gt;=20, "Weak",
  TRUE, "Insufficient Evidence"
)</f>
        <v/>
      </c>
      <c r="DR30" s="5">
        <f t="array" ref="DR30">_xlfn.IFS(
  ISBLANK(CU30), "Insufficient Evidence",
  CU30&lt;=20, "Low Risk",
  CU30&lt;=50, "Moderate Risk",
  CU30&lt;=75, "High Risk",
  TRUE, "Very High Risk"
)</f>
        <v/>
      </c>
      <c r="DS30" s="5">
        <f t="array" ref="DS30">_xlfn.IFS(
  ISBLANK(CE30), "Insufficient Evidence",
  AND(ISNUMBER(BW30),ISNUMBER(BV30),BW30&gt;BV30), "Overclaiming Risk",
  CE30&gt;=65, "Strong",
  CE30&gt;=40, "Adequate",
  TRUE, "Weak"
)</f>
        <v/>
      </c>
      <c r="DT30" s="5">
        <f>IF(DB30="Yes — Automatic",0,ROUND((IF(ISNUMBER(AR30),AR30,0)*0.3+IF(ISNUMBER(BS30),BS30,0)*0.2+IF(ISNUMBER(BE30),BE30,0)*0.2+IF(ISNUMBER(CE30),CE30,0)*0.15+(100-IF(ISNUMBER(CU30),CU30,50))*0.15)*IF(DN30&gt;=75,1,IF(DN30&gt;=50,0.9,IF(DN30&gt;=25,0.75,0.6))),1))</f>
        <v/>
      </c>
      <c r="DU30" s="5">
        <f t="array" ref="DU30">_xlfn.IFS(
  DV30="Upgraded to Clear", "Clear",
  DV30="Downgraded to Watchlist", "Watchlist",
  DV30="Downgraded to Exclusion", "Exclusion Risk",
  DB30="Yes — Automatic", "Exclusion Risk",
  OR(AW30="Confirmed Violation", AX30="Confirmed Breach"), "Exclusion Risk",
  OR(V30=0, ISBLANK(V30), DN30&lt;20), "Insufficient Evidence",
  AND(DT30&gt;=65, DA30="No", DB30="No"), "Clear",
  OR(DT30&gt;=40, DA30="Yes"), "Watchlist",
  TRUE, "Exclusion Risk"
)</f>
        <v/>
      </c>
      <c r="DV30" s="5" t="n"/>
      <c r="DW30" s="5">
        <f t="array" ref="DW30">_xlfn.IFS(
  DU30="Exclusion Risk", "Exclude — Hard Trigger",
  DU30="Insufficient Evidence", "Watchlist — Further Evidence Needed",
  DU30="Watchlist", "Watchlist — Further Evidence Needed",
  AND(DU30="Clear", DT30&gt;=80), "Include — No Conditions",
  DU30="Clear", "Include — Monitor",
  TRUE, "Watchlist — Further Evidence Needed"
)</f>
        <v/>
      </c>
      <c r="DX30" s="5" t="n"/>
      <c r="DY30" s="5" t="n"/>
      <c r="DZ30" s="5" t="n"/>
      <c r="EA30" s="5" t="n"/>
      <c r="EB30" s="5">
        <f>IF(OR(V30=0, ISBLANK(V30)), "MISSING — No sources reviewed", "")</f>
        <v/>
      </c>
      <c r="EC30" s="5">
        <f>IF(AND(NOT(ISBLANK(DC30)), ISBLANK(DE30)), "PAGE REF MISSING", "")</f>
        <v/>
      </c>
    </row>
    <row r="31" ht="18" customHeight="1" s="60">
      <c r="A31" s="3" t="inlineStr">
        <is>
          <t>Norsk Hydro ASA</t>
        </is>
      </c>
      <c r="B31" s="3" t="inlineStr">
        <is>
          <t>NOH1</t>
        </is>
      </c>
      <c r="C31" s="3" t="inlineStr">
        <is>
          <t>NO0005052605</t>
        </is>
      </c>
      <c r="D31" s="3" t="n"/>
      <c r="E31" s="3" t="n"/>
      <c r="F31" s="3">
        <f>IF(ISBLANK('Universe Tracker'!F27),"",'Universe Tracker'!F27)</f>
        <v/>
      </c>
      <c r="G31" s="3">
        <f>IF(ISBLANK('Universe Tracker'!G27),"",'Universe Tracker'!G27)</f>
        <v/>
      </c>
      <c r="H31" s="3" t="n"/>
      <c r="I31" s="3" t="n"/>
      <c r="J31" s="3">
        <f>IF(ISBLANK(B31),"",B31&amp;"_"&amp;C31)</f>
        <v/>
      </c>
      <c r="K31" s="3" t="n"/>
      <c r="L31" s="3" t="n"/>
      <c r="M31" s="3" t="n"/>
      <c r="N31" s="3" t="n"/>
      <c r="O31" s="3" t="inlineStr">
        <is>
          <t>Yes</t>
        </is>
      </c>
      <c r="P31" s="3" t="inlineStr">
        <is>
          <t>Yes</t>
        </is>
      </c>
      <c r="Q31" s="3" t="n"/>
      <c r="R31" s="3" t="n"/>
      <c r="S31" s="3" t="n"/>
      <c r="T31" s="3" t="n"/>
      <c r="U31" s="3" t="n"/>
      <c r="V31" s="3" t="n"/>
      <c r="W31" s="3" t="n"/>
      <c r="X31" s="3" t="n"/>
      <c r="Y31" s="3">
        <f>IF(AND(V31&gt;=2,K31="Yes",L31="Yes"),"Sufficient",IF(AND(V31&gt;=1,OR(K31="Yes",L31="Yes")),"Thin","Insufficient"))</f>
        <v/>
      </c>
      <c r="Z31" s="3" t="n"/>
      <c r="AA31" s="3" t="n"/>
      <c r="AB31" s="3" t="n"/>
      <c r="AC31" s="3" t="n"/>
      <c r="AD31" s="3" t="n"/>
      <c r="AE31" s="3" t="n"/>
      <c r="AF31" s="3" t="n"/>
      <c r="AG31" s="3" t="n"/>
      <c r="AH31" s="3" t="n"/>
      <c r="AI31" s="3" t="n"/>
      <c r="AJ31" s="3" t="inlineStr">
        <is>
          <t>Not in SBTi database (checked 2026-05-21)</t>
        </is>
      </c>
      <c r="AK31" s="3" t="inlineStr"/>
      <c r="AL31" s="3" t="n"/>
      <c r="AM31" s="3" t="n"/>
      <c r="AN31" s="3" t="n"/>
      <c r="AO31" s="3" t="n"/>
      <c r="AP31" s="3" t="n"/>
      <c r="AQ31" s="3" t="n"/>
      <c r="AR31" s="40">
        <f t="array" ref="AR31">MIN(100, MAX(0,
  IFERROR(_xlfn.XLOOKUP(AJ31,'Lookup Tables'!$A$2:$A$7,'Lookup Tables'!$B$2:$B$7,0),0)
  + IF(Z31="Yes", IF(IFERROR(_xlfn.XLOOKUP(AJ31,'Lookup Tables'!$A$2:$A$7,'Lookup Tables'!$B$2:$B$7,0),0)&lt;20, 5, 0), 0)
  + _xlfn.IFS(AB31="Yes", IF(ISNUMBER(AC31)*AND(AC31&lt;=2030),15,10), AB31="Long-term Only", 5, AB31="No", 0, TRUE, 0)
  + _xlfn.IFS(AF31="Full",10, AF31="Partial",5, AF31="Scope 2 Only",3, TRUE,0)
  + _xlfn.IFS(AG31="Yes", IF(ISNUMBER(AH31)*AND(AH31&gt;=5),10,6), AG31="Partial",4, TRUE,0)
  + _xlfn.IFS(AI31="Yes",5, AI31="Partial (material categories only)",3, TRUE,0)
  + _xlfn.IFS(AL31="Yes — Detailed",10, AL31="Yes — High Level",5, TRUE,0)
  + _xlfn.IFS(AM31="Yes — Quantified",15, AM31="Yes — Directional Only",7, TRUE,0)
  + _xlfn.IFS(AP31="Formal",5, AP31="Referenced",2, TRUE,0)
  + _xlfn.IFS(AQ31="No Issues Found",5, AQ31="Concern Identified",-5, AQ31="Severe Contradiction",-15, TRUE,0)
  + _xlfn.IFS(BC31="Reasonable Assurance",5, BC31="Limited Assurance",3, TRUE,0)
  - IF(AND(Z31="Yes", AI31="No"), 10, 0)
  - IF(AND(Z31="Yes", AM31="No"), 10, 0)
))</f>
        <v/>
      </c>
      <c r="AS31" s="3" t="n"/>
      <c r="AT31" s="3" t="n"/>
      <c r="AU31" s="3" t="n"/>
      <c r="AV31" s="3" t="n"/>
      <c r="AW31" s="3" t="n"/>
      <c r="AX31" s="3" t="n"/>
      <c r="AY31" s="3" t="n"/>
      <c r="AZ31" s="3" t="n"/>
      <c r="BA31" s="3" t="n"/>
      <c r="BB31" s="3" t="n"/>
      <c r="BC31" s="3" t="n"/>
      <c r="BD31" s="3" t="n"/>
      <c r="BE31" s="40">
        <f t="array" ref="BE31">MIN(100, MAX(0,
  IFERROR(_xlfn.XLOOKUP(AT31,'Lookup Tables'!$D$2:$D$6,'Lookup Tables'!$E$2:$E$6,0),0)
  + IFERROR(_xlfn.XLOOKUP(AV31,'Lookup Tables'!$G$2:$G$5,'Lookup Tables'!$H$2:$H$5,0),0)
  + IFERROR(_xlfn.XLOOKUP(AW31,'Lookup Tables'!$J$2:$J$5,'Lookup Tables'!$K$2:$K$5,0),0)
  + _xlfn.IFS(AX31="No Issues",10, AX31="Complaint Filed",3, AX31="Confirmed Breach",-15, TRUE,0)
  + IFERROR(_xlfn.XLOOKUP(AY31,'Lookup Tables'!$M$2:$M$6,'Lookup Tables'!$N$2:$N$6,0),0)
  + IFERROR(_xlfn.XLOOKUP(AZ31,'Lookup Tables'!$P$2:$P$6,'Lookup Tables'!$Q$2:$Q$6,0),0)
  + _xlfn.IFS(BA31="Formal Board Committee",5, BA31="Board Oversight Mentioned",2, TRUE,0)
  + _xlfn.IFS(BB31="Yes — Quantified Targets",5, BB31="Yes — Discretionary Only",2, TRUE,0)
  + _xlfn.IFS(BC31="Reasonable Assurance",5, BC31="Limited Assurance",3, BC31="Management Review Only",1, TRUE,0)
))</f>
        <v/>
      </c>
      <c r="BF31" s="3" t="n"/>
      <c r="BG31" s="3" t="n"/>
      <c r="BH31" s="3" t="n"/>
      <c r="BI31" s="3" t="n"/>
      <c r="BJ31" s="3" t="n"/>
      <c r="BK31" s="3" t="n"/>
      <c r="BL31" s="3" t="n"/>
      <c r="BM31" s="3" t="n"/>
      <c r="BN31" s="3" t="n"/>
      <c r="BO31" s="3" t="n"/>
      <c r="BP31" s="3" t="n"/>
      <c r="BQ31" s="3" t="n"/>
      <c r="BR31" s="3" t="n"/>
      <c r="BS31" s="42">
        <f t="array" ref="BS31">MIN(100, MAX(0,
  IFERROR(_xlfn.XLOOKUP(BG31,'Lookup Tables'!$A$11:$A$16,'Lookup Tables'!$B$11:$B$16,0),0)
  + IFERROR(_xlfn.XLOOKUP(BR31,'Lookup Tables'!$M$11:$M$14,'Lookup Tables'!$N$11:$N$14,0),0)
  + IFERROR(_xlfn.XLOOKUP(BQ31,'Lookup Tables'!$J$11:$J$15,'Lookup Tables'!$K$11:$K$15,0),0)
  + IFERROR(_xlfn.XLOOKUP(BH31,'Lookup Tables'!$D$11:$D$15,'Lookup Tables'!$E$11:$E$15,0),0)
  + IFERROR(_xlfn.XLOOKUP(BJ31,'Lookup Tables'!$G$11:$G$16,'Lookup Tables'!$H$11:$H$16,0),0)
  + IFERROR(_xlfn.XLOOKUP(BN31,'Lookup Tables'!$P$11:$P$15,'Lookup Tables'!$Q$11:$Q$15,0),0)
  + _xlfn.IFS(BM31="No Evidence",10, BM31="Unknown",3, BM31="Likely",0, BM31="Confirmed",-10, TRUE,3)
  + IFERROR(_xlfn.XLOOKUP(BP31,'Lookup Tables'!$J$21:$J$24,'Lookup Tables'!$K$21:$K$24,0),0)
))</f>
        <v/>
      </c>
      <c r="BT31" s="3" t="n"/>
      <c r="BU31" s="3" t="n"/>
      <c r="BV31" s="3" t="n"/>
      <c r="BW31" s="3" t="n"/>
      <c r="BX31" s="3" t="n"/>
      <c r="BY31" s="3" t="n"/>
      <c r="BZ31" s="3" t="n"/>
      <c r="CA31" s="3" t="n"/>
      <c r="CB31" s="3" t="n"/>
      <c r="CC31" s="3" t="n"/>
      <c r="CD31" s="3" t="n"/>
      <c r="CE31" s="44">
        <f t="array" ref="CE31">MIN(100, MAX(0,
  IF(ISNUMBER(BV31)*AND(BV31&gt;0), 10, 0)
  + _xlfn.IFS(BY31="Independently Verified",25, BY31="Yes",15, TRUE,0)
  + IFERROR(_xlfn.XLOOKUP(BZ31,'Lookup Tables'!$A$21:$A$24,'Lookup Tables'!$B$21:$B$24,0),0)
  + IFERROR(_xlfn.XLOOKUP(CA31,'Lookup Tables'!$D$21:$D$24,'Lookup Tables'!$E$21:$E$24,0),0)
  + _xlfn.IFS(ISNUMBER(CB31)*AND(CB31&gt;=11),15, ISNUMBER(CB31)*AND(CB31&gt;=6),10, ISNUMBER(CB31)*AND(CB31&gt;=1),5, TRUE,0)
  + IFERROR(_xlfn.XLOOKUP(CC31,'Lookup Tables'!$G$21:$G$25,'Lookup Tables'!$H$21:$H$25,0),0)
  - IF(ISNUMBER(BW31)*AND(ISNUMBER(BV31))*AND(BW31&gt;BV31), 20, 0)
  - IF(AND(BY31="Yes", ISNUMBER(BW31), BW31&gt;60), 10, 0)
))</f>
        <v/>
      </c>
      <c r="CF31" s="3" t="n"/>
      <c r="CG31" s="3" t="inlineStr">
        <is>
          <t>Hydro's target is to be a net-zero company by 2050 or [earlier]</t>
        </is>
      </c>
      <c r="CH31" s="3" t="inlineStr">
        <is>
          <t>integrated-annual-report-2025.pdf</t>
        </is>
      </c>
      <c r="CI31" s="3" t="n">
        <v>22</v>
      </c>
      <c r="CJ31" s="3" t="inlineStr">
        <is>
          <t>PASS</t>
        </is>
      </c>
      <c r="CK31" s="3" t="inlineStr">
        <is>
          <t>PASS</t>
        </is>
      </c>
      <c r="CL31" s="3" t="inlineStr">
        <is>
          <t>PASS</t>
        </is>
      </c>
      <c r="CM31" s="3" t="inlineStr">
        <is>
          <t>PASS</t>
        </is>
      </c>
      <c r="CN31" s="3" t="inlineStr">
        <is>
          <t>PASS</t>
        </is>
      </c>
      <c r="CO31" s="3" t="inlineStr">
        <is>
          <t>PASS</t>
        </is>
      </c>
      <c r="CP31" s="3" t="inlineStr">
        <is>
          <t>PASS</t>
        </is>
      </c>
      <c r="CQ31" s="3" t="inlineStr">
        <is>
          <t>PASS</t>
        </is>
      </c>
      <c r="CR31" s="3">
        <f>COUNTIF(CJ31:CQ31,"FAIL")</f>
        <v/>
      </c>
      <c r="CS31" s="3">
        <f>COUNTIF(CJ31:CQ31,"PARTIAL")</f>
        <v/>
      </c>
      <c r="CT31" s="3">
        <f>COUNTIF(CJ31:CQ31,"MISSING")</f>
        <v/>
      </c>
      <c r="CU31" s="3">
        <f>MIN(100,
  CR31*15
  + CS31*6
  + CT31*3
  + IFERROR(_xlfn.XLOOKUP(CW31,'Lookup Tables'!$M$21:$M$25,'Lookup Tables'!$N$21:$N$25,0),0)
)</f>
        <v/>
      </c>
      <c r="CV31" s="3">
        <f>IFERROR(
CHOOSE(
MATCH("FAIL",CJ31:CQ31,0),
"1-Specificity","2-Metric","3-Baseline","4-Target",
"5-Time Horizon","6-Scope","7-Verification","8-Consistency"
),
IFERROR(
CHOOSE(
MATCH("PARTIAL",CJ31:CQ31,0),
"1-Specificity","2-Metric","3-Baseline","4-Target",
"5-Time Horizon","6-Scope","7-Verification","8-Consistency"
),
"No failures"
)
)</f>
        <v/>
      </c>
      <c r="CW31" s="3" t="n"/>
      <c r="CX31" s="3" t="n"/>
      <c r="CY31" s="3" t="n"/>
      <c r="CZ31" s="3" t="n"/>
      <c r="DA31" s="3">
        <f>IF(OR(CU31&gt;=50,CW31="Material",CW31="Severe",AS31="Material",AS31="Severe",BF31="Material",BF31="Severe — Exclusion Trigger",AND(ISNUMBER(BS31),BS31&lt;30)),"Yes","No")</f>
        <v/>
      </c>
      <c r="DB31" s="3">
        <f>IF(OR(CR31&gt;=6,AW31="Confirmed Violation",AX31="Confirmed Breach"),"Yes — Automatic",IF(CW31="Severe","Yes — Requires Captain Confirmation","No"))</f>
        <v/>
      </c>
      <c r="DC31" s="3" t="inlineStr">
        <is>
          <t>Hydro's target is to be a net-zero company by 2050 or [earlier]</t>
        </is>
      </c>
      <c r="DD31" s="3" t="inlineStr">
        <is>
          <t>integrated-annual-report-2025.pdf</t>
        </is>
      </c>
      <c r="DE31" s="3" t="n">
        <v>22</v>
      </c>
      <c r="DF31" s="3" t="n">
        <v>4</v>
      </c>
      <c r="DG31" s="3" t="n">
        <v>4</v>
      </c>
      <c r="DH31" s="3" t="inlineStr">
        <is>
          <t>PENDING</t>
        </is>
      </c>
      <c r="DI31" s="3" t="n"/>
      <c r="DJ31" s="3" t="n"/>
      <c r="DK31" s="3" t="n"/>
      <c r="DL31" s="3">
        <f>IF(OR(IFERROR(VALUE(LEFT(DF31,1)),99)&lt;=2,IFERROR(VALUE(LEFT(DG31,1)),99)&lt;=2),"Flagged","Clear")</f>
        <v/>
      </c>
      <c r="DM31" s="3">
        <f>IF(OR(DA31="Yes",DB31&lt;&gt;"No",DH31="Unverified",DL31="Flagged"),"Yes","No")</f>
        <v/>
      </c>
      <c r="DN31" s="3">
        <f t="array" ref="DN31">MIN(100,
  IF(ISNUMBER(V31), _xlfn.IFS(V31&gt;=3,25, V31=2,15, V31=1,5, TRUE,0), 0)
  + IFERROR(_xlfn.IFS(VALUE(LEFT(DF31,1))=5,25, VALUE(LEFT(DF31,1))=4,20, VALUE(LEFT(DF31,1))=3,15, VALUE(LEFT(DF31,1))=2,8, TRUE,0), 15)
  + IFERROR(_xlfn.IFS(VALUE(LEFT(DG31,1))=5,25, VALUE(LEFT(DG31,1))=4,20, VALUE(LEFT(DG31,1))=3,15, VALUE(LEFT(DG31,1))=2,8, TRUE,0), 15)
  + _xlfn.IFS(DH31="Fully Verified",25, DH31="Partially Verified",12, TRUE,0)
)</f>
        <v/>
      </c>
      <c r="DO31" s="3">
        <f t="array" ref="DO31">_xlfn.IFS(
  ISBLANK(AR31), "Insufficient Evidence",
  AND(AR31&gt;=65, AJ31="Approved"), "Strong",
  AR31&gt;=65, "Adequate",
  AR31&gt;=40, "Adequate",
  AR31&gt;=20, "Weak",
  TRUE, "Insufficient Evidence"
)</f>
        <v/>
      </c>
      <c r="DP31" s="3">
        <f t="array" ref="DP31">_xlfn.IFS(
  ISBLANK(BS31), "Insufficient Evidence",
  BS31&gt;=65, "Strong",
  BS31&gt;=40, "Adequate",
  BS31&gt;=20, "Weak",
  TRUE, "Insufficient Evidence"
)</f>
        <v/>
      </c>
      <c r="DQ31" s="3">
        <f t="array" ref="DQ31">_xlfn.IFS(
  ISBLANK(BE31), "Insufficient Evidence",
  OR(AW31="Confirmed Violation", AX31="Confirmed Breach"), "Severe — Hard Trigger",
  BE31&gt;=65, "Strong",
  BE31&gt;=40, "Adequate",
  BE31&gt;=20, "Weak",
  TRUE, "Insufficient Evidence"
)</f>
        <v/>
      </c>
      <c r="DR31" s="3">
        <f t="array" ref="DR31">_xlfn.IFS(
  ISBLANK(CU31), "Insufficient Evidence",
  CU31&lt;=20, "Low Risk",
  CU31&lt;=50, "Moderate Risk",
  CU31&lt;=75, "High Risk",
  TRUE, "Very High Risk"
)</f>
        <v/>
      </c>
      <c r="DS31" s="3">
        <f t="array" ref="DS31">_xlfn.IFS(
  ISBLANK(CE31), "Insufficient Evidence",
  AND(ISNUMBER(BW31),ISNUMBER(BV31),BW31&gt;BV31), "Overclaiming Risk",
  CE31&gt;=65, "Strong",
  CE31&gt;=40, "Adequate",
  TRUE, "Weak"
)</f>
        <v/>
      </c>
      <c r="DT31" s="3">
        <f>IF(DB31="Yes — Automatic",0,ROUND((IF(ISNUMBER(AR31),AR31,0)*0.3+IF(ISNUMBER(BS31),BS31,0)*0.2+IF(ISNUMBER(BE31),BE31,0)*0.2+IF(ISNUMBER(CE31),CE31,0)*0.15+(100-IF(ISNUMBER(CU31),CU31,50))*0.15)*IF(DN31&gt;=75,1,IF(DN31&gt;=50,0.9,IF(DN31&gt;=25,0.75,0.6))),1))</f>
        <v/>
      </c>
      <c r="DU31" s="3">
        <f t="array" ref="DU31">_xlfn.IFS(
  DV31="Upgraded to Clear", "Clear",
  DV31="Downgraded to Watchlist", "Watchlist",
  DV31="Downgraded to Exclusion", "Exclusion Risk",
  DB31="Yes — Automatic", "Exclusion Risk",
  OR(AW31="Confirmed Violation", AX31="Confirmed Breach"), "Exclusion Risk",
  OR(V31=0, ISBLANK(V31), DN31&lt;20), "Insufficient Evidence",
  AND(DT31&gt;=65, DA31="No", DB31="No"), "Clear",
  OR(DT31&gt;=40, DA31="Yes"), "Watchlist",
  TRUE, "Exclusion Risk"
)</f>
        <v/>
      </c>
      <c r="DV31" s="3" t="n"/>
      <c r="DW31" s="3">
        <f t="array" ref="DW31">_xlfn.IFS(
  DU31="Exclusion Risk", "Exclude — Hard Trigger",
  DU31="Insufficient Evidence", "Watchlist — Further Evidence Needed",
  DU31="Watchlist", "Watchlist — Further Evidence Needed",
  AND(DU31="Clear", DT31&gt;=80), "Include — No Conditions",
  DU31="Clear", "Include — Monitor",
  TRUE, "Watchlist — Further Evidence Needed"
)</f>
        <v/>
      </c>
      <c r="DX31" s="3" t="inlineStr">
        <is>
          <t>Main claim: "Hydro's target is to be a net-zero company by 2050 or [earlier]" (integrated-annual-report-2025.pdf, p22). SBTi: no validated target in the SBTi database. TPI Carbon Performance: 1.5 Degrees-aligned. 8-Test: 0 PARTIAL, 0 FAIL, 0 MISSING -&gt; PASS. High disclosure quality — quantified near-term targets, explicit 2018 baseline, full scope coverage. Two MED flags: the trajectory is not shown as SBTi-validated, and external assurance of the emissions data is not evidenced in this report.</t>
        </is>
      </c>
      <c r="DY31" s="3" t="n"/>
      <c r="DZ31" s="3" t="n"/>
      <c r="EA31" s="3" t="n"/>
      <c r="EB31" s="3">
        <f>IF(OR(V31=0, ISBLANK(V31)), "MISSING — No sources reviewed", "")</f>
        <v/>
      </c>
      <c r="EC31" s="3">
        <f>IF(AND(NOT(ISBLANK(DC31)), ISBLANK(DE31)), "PAGE REF MISSING", "")</f>
        <v/>
      </c>
    </row>
    <row r="32" ht="18" customHeight="1" s="60">
      <c r="A32" s="5" t="inlineStr">
        <is>
          <t>Polski Koncern Naftowy ORLEN SA</t>
        </is>
      </c>
      <c r="B32" s="5" t="inlineStr">
        <is>
          <t>PKY1</t>
        </is>
      </c>
      <c r="C32" s="5">
        <f>IF(ISBLANK('Universe Tracker'!D28),"",'Universe Tracker'!D28)</f>
        <v/>
      </c>
      <c r="D32" s="5" t="n"/>
      <c r="E32" s="5" t="n"/>
      <c r="F32" s="5">
        <f>IF(ISBLANK('Universe Tracker'!F28),"",'Universe Tracker'!F28)</f>
        <v/>
      </c>
      <c r="G32" s="5">
        <f>IF(ISBLANK('Universe Tracker'!G28),"",'Universe Tracker'!G28)</f>
        <v/>
      </c>
      <c r="H32" s="5" t="n"/>
      <c r="I32" s="5" t="n"/>
      <c r="J32" s="5">
        <f>IF(ISBLANK(B32),"",B32&amp;"_"&amp;C32)</f>
        <v/>
      </c>
      <c r="K32" s="5" t="n"/>
      <c r="L32" s="5" t="n"/>
      <c r="M32" s="5" t="n"/>
      <c r="N32" s="5" t="n"/>
      <c r="O32" s="5" t="n"/>
      <c r="P32" s="5" t="n"/>
      <c r="Q32" s="5" t="n"/>
      <c r="R32" s="5" t="n"/>
      <c r="S32" s="5" t="n"/>
      <c r="T32" s="5" t="n"/>
      <c r="U32" s="5" t="n"/>
      <c r="V32" s="5" t="n"/>
      <c r="W32" s="5" t="n"/>
      <c r="X32" s="5" t="n"/>
      <c r="Y32" s="5">
        <f>IF(AND(V32&gt;=2,K32="Yes",L32="Yes"),"Sufficient",IF(AND(V32&gt;=1,OR(K32="Yes",L32="Yes")),"Thin","Insufficient"))</f>
        <v/>
      </c>
      <c r="Z32" s="5" t="n"/>
      <c r="AA32" s="5" t="n"/>
      <c r="AB32" s="5" t="n"/>
      <c r="AC32" s="5" t="n"/>
      <c r="AD32" s="5" t="n"/>
      <c r="AE32" s="5" t="n"/>
      <c r="AF32" s="5" t="n"/>
      <c r="AG32" s="5" t="n"/>
      <c r="AH32" s="5" t="n"/>
      <c r="AI32" s="5" t="n"/>
      <c r="AJ32" s="5" t="n"/>
      <c r="AK32" s="5" t="n"/>
      <c r="AL32" s="5" t="n"/>
      <c r="AM32" s="5" t="n"/>
      <c r="AN32" s="5" t="n"/>
      <c r="AO32" s="5" t="n"/>
      <c r="AP32" s="5" t="n"/>
      <c r="AQ32" s="5" t="n"/>
      <c r="AR32" s="40">
        <f t="array" ref="AR32">MIN(100, MAX(0,
  IFERROR(_xlfn.XLOOKUP(AJ32,'Lookup Tables'!$A$2:$A$7,'Lookup Tables'!$B$2:$B$7,0),0)
  + IF(Z32="Yes", IF(IFERROR(_xlfn.XLOOKUP(AJ32,'Lookup Tables'!$A$2:$A$7,'Lookup Tables'!$B$2:$B$7,0),0)&lt;20, 5, 0), 0)
  + _xlfn.IFS(AB32="Yes", IF(ISNUMBER(AC32)*AND(AC32&lt;=2030),15,10), AB32="Long-term Only", 5, AB32="No", 0, TRUE, 0)
  + _xlfn.IFS(AF32="Full",10, AF32="Partial",5, AF32="Scope 2 Only",3, TRUE,0)
  + _xlfn.IFS(AG32="Yes", IF(ISNUMBER(AH32)*AND(AH32&gt;=5),10,6), AG32="Partial",4, TRUE,0)
  + _xlfn.IFS(AI32="Yes",5, AI32="Partial (material categories only)",3, TRUE,0)
  + _xlfn.IFS(AL32="Yes — Detailed",10, AL32="Yes — High Level",5, TRUE,0)
  + _xlfn.IFS(AM32="Yes — Quantified",15, AM32="Yes — Directional Only",7, TRUE,0)
  + _xlfn.IFS(AP32="Formal",5, AP32="Referenced",2, TRUE,0)
  + _xlfn.IFS(AQ32="No Issues Found",5, AQ32="Concern Identified",-5, AQ32="Severe Contradiction",-15, TRUE,0)
  + _xlfn.IFS(BC32="Reasonable Assurance",5, BC32="Limited Assurance",3, TRUE,0)
  - IF(AND(Z32="Yes", AI32="No"), 10, 0)
  - IF(AND(Z32="Yes", AM32="No"), 10, 0)
))</f>
        <v/>
      </c>
      <c r="AS32" s="5" t="n"/>
      <c r="AT32" s="5" t="n"/>
      <c r="AU32" s="5" t="n"/>
      <c r="AV32" s="5" t="n"/>
      <c r="AW32" s="5" t="n"/>
      <c r="AX32" s="5" t="n"/>
      <c r="AY32" s="5" t="n"/>
      <c r="AZ32" s="5" t="n"/>
      <c r="BA32" s="5" t="n"/>
      <c r="BB32" s="5" t="n"/>
      <c r="BC32" s="5" t="n"/>
      <c r="BD32" s="5" t="n"/>
      <c r="BE32" s="39">
        <f t="array" ref="BE32">MIN(100, MAX(0,
  IFERROR(_xlfn.XLOOKUP(AT32,'Lookup Tables'!$D$2:$D$6,'Lookup Tables'!$E$2:$E$6,0),0)
  + IFERROR(_xlfn.XLOOKUP(AV32,'Lookup Tables'!$G$2:$G$5,'Lookup Tables'!$H$2:$H$5,0),0)
  + IFERROR(_xlfn.XLOOKUP(AW32,'Lookup Tables'!$J$2:$J$5,'Lookup Tables'!$K$2:$K$5,0),0)
  + _xlfn.IFS(AX32="No Issues",10, AX32="Complaint Filed",3, AX32="Confirmed Breach",-15, TRUE,0)
  + IFERROR(_xlfn.XLOOKUP(AY32,'Lookup Tables'!$M$2:$M$6,'Lookup Tables'!$N$2:$N$6,0),0)
  + IFERROR(_xlfn.XLOOKUP(AZ32,'Lookup Tables'!$P$2:$P$6,'Lookup Tables'!$Q$2:$Q$6,0),0)
  + _xlfn.IFS(BA32="Formal Board Committee",5, BA32="Board Oversight Mentioned",2, TRUE,0)
  + _xlfn.IFS(BB32="Yes — Quantified Targets",5, BB32="Yes — Discretionary Only",2, TRUE,0)
  + _xlfn.IFS(BC32="Reasonable Assurance",5, BC32="Limited Assurance",3, BC32="Management Review Only",1, TRUE,0)
))</f>
        <v/>
      </c>
      <c r="BF32" s="5" t="n"/>
      <c r="BG32" s="5" t="n"/>
      <c r="BH32" s="5" t="n"/>
      <c r="BI32" s="5" t="n"/>
      <c r="BJ32" s="5" t="n"/>
      <c r="BK32" s="5" t="n"/>
      <c r="BL32" s="5" t="n"/>
      <c r="BM32" s="5" t="n"/>
      <c r="BN32" s="5" t="n"/>
      <c r="BO32" s="5" t="n"/>
      <c r="BP32" s="5" t="n"/>
      <c r="BQ32" s="5" t="n"/>
      <c r="BR32" s="5" t="n"/>
      <c r="BS32" s="41">
        <f t="array" ref="BS32">MIN(100, MAX(0,
  IFERROR(_xlfn.XLOOKUP(BG32,'Lookup Tables'!$A$11:$A$16,'Lookup Tables'!$B$11:$B$16,0),0)
  + IFERROR(_xlfn.XLOOKUP(BR32,'Lookup Tables'!$M$11:$M$14,'Lookup Tables'!$N$11:$N$14,0),0)
  + IFERROR(_xlfn.XLOOKUP(BQ32,'Lookup Tables'!$J$11:$J$15,'Lookup Tables'!$K$11:$K$15,0),0)
  + IFERROR(_xlfn.XLOOKUP(BH32,'Lookup Tables'!$D$11:$D$15,'Lookup Tables'!$E$11:$E$15,0),0)
  + IFERROR(_xlfn.XLOOKUP(BJ32,'Lookup Tables'!$G$11:$G$16,'Lookup Tables'!$H$11:$H$16,0),0)
  + IFERROR(_xlfn.XLOOKUP(BN32,'Lookup Tables'!$P$11:$P$15,'Lookup Tables'!$Q$11:$Q$15,0),0)
  + _xlfn.IFS(BM32="No Evidence",10, BM32="Unknown",3, BM32="Likely",0, BM32="Confirmed",-10, TRUE,3)
  + IFERROR(_xlfn.XLOOKUP(BP32,'Lookup Tables'!$J$21:$J$24,'Lookup Tables'!$K$21:$K$24,0),0)
))</f>
        <v/>
      </c>
      <c r="BT32" s="5" t="n"/>
      <c r="BU32" s="5" t="n"/>
      <c r="BV32" s="5" t="n"/>
      <c r="BW32" s="5" t="n"/>
      <c r="BX32" s="5" t="n"/>
      <c r="BY32" s="5" t="n"/>
      <c r="BZ32" s="5" t="n"/>
      <c r="CA32" s="5" t="n"/>
      <c r="CB32" s="5" t="n"/>
      <c r="CC32" s="5" t="n"/>
      <c r="CD32" s="5" t="n"/>
      <c r="CE32" s="43">
        <f t="array" ref="CE32">MIN(100, MAX(0,
  IF(ISNUMBER(BV32)*AND(BV32&gt;0), 10, 0)
  + _xlfn.IFS(BY32="Independently Verified",25, BY32="Yes",15, TRUE,0)
  + IFERROR(_xlfn.XLOOKUP(BZ32,'Lookup Tables'!$A$21:$A$24,'Lookup Tables'!$B$21:$B$24,0),0)
  + IFERROR(_xlfn.XLOOKUP(CA32,'Lookup Tables'!$D$21:$D$24,'Lookup Tables'!$E$21:$E$24,0),0)
  + _xlfn.IFS(ISNUMBER(CB32)*AND(CB32&gt;=11),15, ISNUMBER(CB32)*AND(CB32&gt;=6),10, ISNUMBER(CB32)*AND(CB32&gt;=1),5, TRUE,0)
  + IFERROR(_xlfn.XLOOKUP(CC32,'Lookup Tables'!$G$21:$G$25,'Lookup Tables'!$H$21:$H$25,0),0)
  - IF(ISNUMBER(BW32)*AND(ISNUMBER(BV32))*AND(BW32&gt;BV32), 20, 0)
  - IF(AND(BY32="Yes", ISNUMBER(BW32), BW32&gt;60), 10, 0)
))</f>
        <v/>
      </c>
      <c r="CF32" s="5" t="n"/>
      <c r="CG32" s="5" t="n"/>
      <c r="CH32" s="5" t="n"/>
      <c r="CI32" s="5" t="n"/>
      <c r="CJ32" s="5" t="n"/>
      <c r="CK32" s="5" t="n"/>
      <c r="CL32" s="5" t="n"/>
      <c r="CM32" s="5" t="n"/>
      <c r="CN32" s="5" t="n"/>
      <c r="CO32" s="5" t="n"/>
      <c r="CP32" s="5" t="n"/>
      <c r="CQ32" s="5" t="n"/>
      <c r="CR32" s="5">
        <f>COUNTIF(CJ32:CQ32,"FAIL")</f>
        <v/>
      </c>
      <c r="CS32" s="5">
        <f>COUNTIF(CJ32:CQ32,"PARTIAL")</f>
        <v/>
      </c>
      <c r="CT32" s="5">
        <f>COUNTIF(CJ32:CQ32,"MISSING")</f>
        <v/>
      </c>
      <c r="CU32" s="5">
        <f>MIN(100,
  CR32*15
  + CS32*6
  + CT32*3
  + IFERROR(_xlfn.XLOOKUP(CW32,'Lookup Tables'!$M$21:$M$25,'Lookup Tables'!$N$21:$N$25,0),0)
)</f>
        <v/>
      </c>
      <c r="CV32" s="5">
        <f>IFERROR(
CHOOSE(
MATCH("FAIL",CJ32:CQ32,0),
"1-Specificity","2-Metric","3-Baseline","4-Target",
"5-Time Horizon","6-Scope","7-Verification","8-Consistency"
),
IFERROR(
CHOOSE(
MATCH("PARTIAL",CJ32:CQ32,0),
"1-Specificity","2-Metric","3-Baseline","4-Target",
"5-Time Horizon","6-Scope","7-Verification","8-Consistency"
),
"No failures"
)
)</f>
        <v/>
      </c>
      <c r="CW32" s="5" t="n"/>
      <c r="CX32" s="5" t="n"/>
      <c r="CY32" s="5" t="n"/>
      <c r="CZ32" s="5" t="n"/>
      <c r="DA32" s="5">
        <f>IF(OR(CU32&gt;=50,CW32="Material",CW32="Severe",AS32="Material",AS32="Severe",BF32="Material",BF32="Severe — Exclusion Trigger",AND(ISNUMBER(BS32),BS32&lt;30)),"Yes","No")</f>
        <v/>
      </c>
      <c r="DB32" s="5">
        <f>IF(OR(CR32&gt;=6,AW32="Confirmed Violation",AX32="Confirmed Breach"),"Yes — Automatic",IF(CW32="Severe","Yes — Requires Captain Confirmation","No"))</f>
        <v/>
      </c>
      <c r="DC32" s="5" t="n"/>
      <c r="DD32" s="5" t="n"/>
      <c r="DE32" s="5" t="n"/>
      <c r="DF32" s="5" t="n"/>
      <c r="DG32" s="5" t="n"/>
      <c r="DH32" s="5" t="n"/>
      <c r="DI32" s="5" t="n"/>
      <c r="DJ32" s="5" t="n"/>
      <c r="DK32" s="5" t="n"/>
      <c r="DL32" s="5">
        <f>IF(OR(IFERROR(VALUE(LEFT(DF32,1)),99)&lt;=2,IFERROR(VALUE(LEFT(DG32,1)),99)&lt;=2),"Flagged","Clear")</f>
        <v/>
      </c>
      <c r="DM32" s="5">
        <f>IF(OR(DA32="Yes",DB32&lt;&gt;"No",DH32="Unverified",DL32="Flagged"),"Yes","No")</f>
        <v/>
      </c>
      <c r="DN32" s="5">
        <f t="array" ref="DN32">MIN(100,
  IF(ISNUMBER(V32), _xlfn.IFS(V32&gt;=3,25, V32=2,15, V32=1,5, TRUE,0), 0)
  + IFERROR(_xlfn.IFS(VALUE(LEFT(DF32,1))=5,25, VALUE(LEFT(DF32,1))=4,20, VALUE(LEFT(DF32,1))=3,15, VALUE(LEFT(DF32,1))=2,8, TRUE,0), 15)
  + IFERROR(_xlfn.IFS(VALUE(LEFT(DG32,1))=5,25, VALUE(LEFT(DG32,1))=4,20, VALUE(LEFT(DG32,1))=3,15, VALUE(LEFT(DG32,1))=2,8, TRUE,0), 15)
  + _xlfn.IFS(DH32="Fully Verified",25, DH32="Partially Verified",12, TRUE,0)
)</f>
        <v/>
      </c>
      <c r="DO32" s="5">
        <f t="array" ref="DO32">_xlfn.IFS(
  ISBLANK(AR32), "Insufficient Evidence",
  AND(AR32&gt;=65, AJ32="Approved"), "Strong",
  AR32&gt;=65, "Adequate",
  AR32&gt;=40, "Adequate",
  AR32&gt;=20, "Weak",
  TRUE, "Insufficient Evidence"
)</f>
        <v/>
      </c>
      <c r="DP32" s="5">
        <f t="array" ref="DP32">_xlfn.IFS(
  ISBLANK(BS32), "Insufficient Evidence",
  BS32&gt;=65, "Strong",
  BS32&gt;=40, "Adequate",
  BS32&gt;=20, "Weak",
  TRUE, "Insufficient Evidence"
)</f>
        <v/>
      </c>
      <c r="DQ32" s="5">
        <f t="array" ref="DQ32">_xlfn.IFS(
  ISBLANK(BE32), "Insufficient Evidence",
  OR(AW32="Confirmed Violation", AX32="Confirmed Breach"), "Severe — Hard Trigger",
  BE32&gt;=65, "Strong",
  BE32&gt;=40, "Adequate",
  BE32&gt;=20, "Weak",
  TRUE, "Insufficient Evidence"
)</f>
        <v/>
      </c>
      <c r="DR32" s="5">
        <f t="array" ref="DR32">_xlfn.IFS(
  ISBLANK(CU32), "Insufficient Evidence",
  CU32&lt;=20, "Low Risk",
  CU32&lt;=50, "Moderate Risk",
  CU32&lt;=75, "High Risk",
  TRUE, "Very High Risk"
)</f>
        <v/>
      </c>
      <c r="DS32" s="5">
        <f t="array" ref="DS32">_xlfn.IFS(
  ISBLANK(CE32), "Insufficient Evidence",
  AND(ISNUMBER(BW32),ISNUMBER(BV32),BW32&gt;BV32), "Overclaiming Risk",
  CE32&gt;=65, "Strong",
  CE32&gt;=40, "Adequate",
  TRUE, "Weak"
)</f>
        <v/>
      </c>
      <c r="DT32" s="5">
        <f>IF(DB32="Yes — Automatic",0,ROUND((IF(ISNUMBER(AR32),AR32,0)*0.3+IF(ISNUMBER(BS32),BS32,0)*0.2+IF(ISNUMBER(BE32),BE32,0)*0.2+IF(ISNUMBER(CE32),CE32,0)*0.15+(100-IF(ISNUMBER(CU32),CU32,50))*0.15)*IF(DN32&gt;=75,1,IF(DN32&gt;=50,0.9,IF(DN32&gt;=25,0.75,0.6))),1))</f>
        <v/>
      </c>
      <c r="DU32" s="5">
        <f t="array" ref="DU32">_xlfn.IFS(
  DV32="Upgraded to Clear", "Clear",
  DV32="Downgraded to Watchlist", "Watchlist",
  DV32="Downgraded to Exclusion", "Exclusion Risk",
  DB32="Yes — Automatic", "Exclusion Risk",
  OR(AW32="Confirmed Violation", AX32="Confirmed Breach"), "Exclusion Risk",
  OR(V32=0, ISBLANK(V32), DN32&lt;20), "Insufficient Evidence",
  AND(DT32&gt;=65, DA32="No", DB32="No"), "Clear",
  OR(DT32&gt;=40, DA32="Yes"), "Watchlist",
  TRUE, "Exclusion Risk"
)</f>
        <v/>
      </c>
      <c r="DV32" s="5" t="n"/>
      <c r="DW32" s="5">
        <f t="array" ref="DW32">_xlfn.IFS(
  DU32="Exclusion Risk", "Exclude — Hard Trigger",
  DU32="Insufficient Evidence", "Watchlist — Further Evidence Needed",
  DU32="Watchlist", "Watchlist — Further Evidence Needed",
  AND(DU32="Clear", DT32&gt;=80), "Include — No Conditions",
  DU32="Clear", "Include — Monitor",
  TRUE, "Watchlist — Further Evidence Needed"
)</f>
        <v/>
      </c>
      <c r="DX32" s="5" t="n"/>
      <c r="DY32" s="5" t="n"/>
      <c r="DZ32" s="5" t="n"/>
      <c r="EA32" s="5" t="n"/>
      <c r="EB32" s="5">
        <f>IF(OR(V32=0, ISBLANK(V32)), "MISSING — No sources reviewed", "")</f>
        <v/>
      </c>
      <c r="EC32" s="5">
        <f>IF(AND(NOT(ISBLANK(DC32)), ISBLANK(DE32)), "PAGE REF MISSING", "")</f>
        <v/>
      </c>
    </row>
    <row r="33" ht="18" customHeight="1" s="60">
      <c r="A33" s="3" t="inlineStr">
        <is>
          <t>InterContinental Hotels Group PLC</t>
        </is>
      </c>
      <c r="B33" s="3" t="inlineStr">
        <is>
          <t>IC1H</t>
        </is>
      </c>
      <c r="C33" s="3">
        <f>IF(ISBLANK('Universe Tracker'!D29),"",'Universe Tracker'!D29)</f>
        <v/>
      </c>
      <c r="D33" s="3" t="n"/>
      <c r="E33" s="3" t="n"/>
      <c r="F33" s="3">
        <f>IF(ISBLANK('Universe Tracker'!F29),"",'Universe Tracker'!F29)</f>
        <v/>
      </c>
      <c r="G33" s="3">
        <f>IF(ISBLANK('Universe Tracker'!G29),"",'Universe Tracker'!G29)</f>
        <v/>
      </c>
      <c r="H33" s="3" t="n"/>
      <c r="I33" s="3" t="n"/>
      <c r="J33" s="3">
        <f>IF(ISBLANK(B33),"",B33&amp;"_"&amp;C33)</f>
        <v/>
      </c>
      <c r="K33" s="3" t="n"/>
      <c r="L33" s="3" t="n"/>
      <c r="M33" s="3" t="n"/>
      <c r="N33" s="3" t="n"/>
      <c r="O33" s="3" t="n"/>
      <c r="P33" s="3" t="n"/>
      <c r="Q33" s="3" t="n"/>
      <c r="R33" s="3" t="n"/>
      <c r="S33" s="3" t="n"/>
      <c r="T33" s="3" t="n"/>
      <c r="U33" s="3" t="n"/>
      <c r="V33" s="3" t="n"/>
      <c r="W33" s="3" t="n"/>
      <c r="X33" s="3" t="n"/>
      <c r="Y33" s="3">
        <f>IF(AND(V33&gt;=2,K33="Yes",L33="Yes"),"Sufficient",IF(AND(V33&gt;=1,OR(K33="Yes",L33="Yes")),"Thin","Insufficient"))</f>
        <v/>
      </c>
      <c r="Z33" s="3" t="n"/>
      <c r="AA33" s="3" t="n"/>
      <c r="AB33" s="3" t="n"/>
      <c r="AC33" s="3" t="n"/>
      <c r="AD33" s="3" t="n"/>
      <c r="AE33" s="3" t="n"/>
      <c r="AF33" s="3" t="n"/>
      <c r="AG33" s="3" t="n"/>
      <c r="AH33" s="3" t="n"/>
      <c r="AI33" s="3" t="n"/>
      <c r="AJ33" s="3" t="n"/>
      <c r="AK33" s="3" t="n"/>
      <c r="AL33" s="3" t="n"/>
      <c r="AM33" s="3" t="n"/>
      <c r="AN33" s="3" t="n"/>
      <c r="AO33" s="3" t="n"/>
      <c r="AP33" s="3" t="n"/>
      <c r="AQ33" s="3" t="n"/>
      <c r="AR33" s="40">
        <f t="array" ref="AR33">MIN(100, MAX(0,
  IFERROR(_xlfn.XLOOKUP(AJ33,'Lookup Tables'!$A$2:$A$7,'Lookup Tables'!$B$2:$B$7,0),0)
  + IF(Z33="Yes", IF(IFERROR(_xlfn.XLOOKUP(AJ33,'Lookup Tables'!$A$2:$A$7,'Lookup Tables'!$B$2:$B$7,0),0)&lt;20, 5, 0), 0)
  + _xlfn.IFS(AB33="Yes", IF(ISNUMBER(AC33)*AND(AC33&lt;=2030),15,10), AB33="Long-term Only", 5, AB33="No", 0, TRUE, 0)
  + _xlfn.IFS(AF33="Full",10, AF33="Partial",5, AF33="Scope 2 Only",3, TRUE,0)
  + _xlfn.IFS(AG33="Yes", IF(ISNUMBER(AH33)*AND(AH33&gt;=5),10,6), AG33="Partial",4, TRUE,0)
  + _xlfn.IFS(AI33="Yes",5, AI33="Partial (material categories only)",3, TRUE,0)
  + _xlfn.IFS(AL33="Yes — Detailed",10, AL33="Yes — High Level",5, TRUE,0)
  + _xlfn.IFS(AM33="Yes — Quantified",15, AM33="Yes — Directional Only",7, TRUE,0)
  + _xlfn.IFS(AP33="Formal",5, AP33="Referenced",2, TRUE,0)
  + _xlfn.IFS(AQ33="No Issues Found",5, AQ33="Concern Identified",-5, AQ33="Severe Contradiction",-15, TRUE,0)
  + _xlfn.IFS(BC33="Reasonable Assurance",5, BC33="Limited Assurance",3, TRUE,0)
  - IF(AND(Z33="Yes", AI33="No"), 10, 0)
  - IF(AND(Z33="Yes", AM33="No"), 10, 0)
))</f>
        <v/>
      </c>
      <c r="AS33" s="3" t="n"/>
      <c r="AT33" s="3" t="n"/>
      <c r="AU33" s="3" t="n"/>
      <c r="AV33" s="3" t="n"/>
      <c r="AW33" s="3" t="n"/>
      <c r="AX33" s="3" t="n"/>
      <c r="AY33" s="3" t="n"/>
      <c r="AZ33" s="3" t="n"/>
      <c r="BA33" s="3" t="n"/>
      <c r="BB33" s="3" t="n"/>
      <c r="BC33" s="3" t="n"/>
      <c r="BD33" s="3" t="n"/>
      <c r="BE33" s="40">
        <f t="array" ref="BE33">MIN(100, MAX(0,
  IFERROR(_xlfn.XLOOKUP(AT33,'Lookup Tables'!$D$2:$D$6,'Lookup Tables'!$E$2:$E$6,0),0)
  + IFERROR(_xlfn.XLOOKUP(AV33,'Lookup Tables'!$G$2:$G$5,'Lookup Tables'!$H$2:$H$5,0),0)
  + IFERROR(_xlfn.XLOOKUP(AW33,'Lookup Tables'!$J$2:$J$5,'Lookup Tables'!$K$2:$K$5,0),0)
  + _xlfn.IFS(AX33="No Issues",10, AX33="Complaint Filed",3, AX33="Confirmed Breach",-15, TRUE,0)
  + IFERROR(_xlfn.XLOOKUP(AY33,'Lookup Tables'!$M$2:$M$6,'Lookup Tables'!$N$2:$N$6,0),0)
  + IFERROR(_xlfn.XLOOKUP(AZ33,'Lookup Tables'!$P$2:$P$6,'Lookup Tables'!$Q$2:$Q$6,0),0)
  + _xlfn.IFS(BA33="Formal Board Committee",5, BA33="Board Oversight Mentioned",2, TRUE,0)
  + _xlfn.IFS(BB33="Yes — Quantified Targets",5, BB33="Yes — Discretionary Only",2, TRUE,0)
  + _xlfn.IFS(BC33="Reasonable Assurance",5, BC33="Limited Assurance",3, BC33="Management Review Only",1, TRUE,0)
))</f>
        <v/>
      </c>
      <c r="BF33" s="3" t="n"/>
      <c r="BG33" s="3" t="n"/>
      <c r="BH33" s="3" t="n"/>
      <c r="BI33" s="3" t="n"/>
      <c r="BJ33" s="3" t="n"/>
      <c r="BK33" s="3" t="n"/>
      <c r="BL33" s="3" t="n"/>
      <c r="BM33" s="3" t="n"/>
      <c r="BN33" s="3" t="n"/>
      <c r="BO33" s="3" t="n"/>
      <c r="BP33" s="3" t="n"/>
      <c r="BQ33" s="3" t="n"/>
      <c r="BR33" s="3" t="n"/>
      <c r="BS33" s="42">
        <f t="array" ref="BS33">MIN(100, MAX(0,
  IFERROR(_xlfn.XLOOKUP(BG33,'Lookup Tables'!$A$11:$A$16,'Lookup Tables'!$B$11:$B$16,0),0)
  + IFERROR(_xlfn.XLOOKUP(BR33,'Lookup Tables'!$M$11:$M$14,'Lookup Tables'!$N$11:$N$14,0),0)
  + IFERROR(_xlfn.XLOOKUP(BQ33,'Lookup Tables'!$J$11:$J$15,'Lookup Tables'!$K$11:$K$15,0),0)
  + IFERROR(_xlfn.XLOOKUP(BH33,'Lookup Tables'!$D$11:$D$15,'Lookup Tables'!$E$11:$E$15,0),0)
  + IFERROR(_xlfn.XLOOKUP(BJ33,'Lookup Tables'!$G$11:$G$16,'Lookup Tables'!$H$11:$H$16,0),0)
  + IFERROR(_xlfn.XLOOKUP(BN33,'Lookup Tables'!$P$11:$P$15,'Lookup Tables'!$Q$11:$Q$15,0),0)
  + _xlfn.IFS(BM33="No Evidence",10, BM33="Unknown",3, BM33="Likely",0, BM33="Confirmed",-10, TRUE,3)
  + IFERROR(_xlfn.XLOOKUP(BP33,'Lookup Tables'!$J$21:$J$24,'Lookup Tables'!$K$21:$K$24,0),0)
))</f>
        <v/>
      </c>
      <c r="BT33" s="3" t="n"/>
      <c r="BU33" s="3" t="n"/>
      <c r="BV33" s="3" t="n"/>
      <c r="BW33" s="3" t="n"/>
      <c r="BX33" s="3" t="n"/>
      <c r="BY33" s="3" t="n"/>
      <c r="BZ33" s="3" t="n"/>
      <c r="CA33" s="3" t="n"/>
      <c r="CB33" s="3" t="n"/>
      <c r="CC33" s="3" t="n"/>
      <c r="CD33" s="3" t="n"/>
      <c r="CE33" s="44">
        <f t="array" ref="CE33">MIN(100, MAX(0,
  IF(ISNUMBER(BV33)*AND(BV33&gt;0), 10, 0)
  + _xlfn.IFS(BY33="Independently Verified",25, BY33="Yes",15, TRUE,0)
  + IFERROR(_xlfn.XLOOKUP(BZ33,'Lookup Tables'!$A$21:$A$24,'Lookup Tables'!$B$21:$B$24,0),0)
  + IFERROR(_xlfn.XLOOKUP(CA33,'Lookup Tables'!$D$21:$D$24,'Lookup Tables'!$E$21:$E$24,0),0)
  + _xlfn.IFS(ISNUMBER(CB33)*AND(CB33&gt;=11),15, ISNUMBER(CB33)*AND(CB33&gt;=6),10, ISNUMBER(CB33)*AND(CB33&gt;=1),5, TRUE,0)
  + IFERROR(_xlfn.XLOOKUP(CC33,'Lookup Tables'!$G$21:$G$25,'Lookup Tables'!$H$21:$H$25,0),0)
  - IF(ISNUMBER(BW33)*AND(ISNUMBER(BV33))*AND(BW33&gt;BV33), 20, 0)
  - IF(AND(BY33="Yes", ISNUMBER(BW33), BW33&gt;60), 10, 0)
))</f>
        <v/>
      </c>
      <c r="CF33" s="3" t="n"/>
      <c r="CG33" s="3" t="n"/>
      <c r="CH33" s="3" t="n"/>
      <c r="CI33" s="3" t="n"/>
      <c r="CJ33" s="3" t="n"/>
      <c r="CK33" s="3" t="n"/>
      <c r="CL33" s="3" t="n"/>
      <c r="CM33" s="3" t="n"/>
      <c r="CN33" s="3" t="n"/>
      <c r="CO33" s="3" t="n"/>
      <c r="CP33" s="3" t="n"/>
      <c r="CQ33" s="3" t="n"/>
      <c r="CR33" s="3">
        <f>COUNTIF(CJ33:CQ33,"FAIL")</f>
        <v/>
      </c>
      <c r="CS33" s="3">
        <f>COUNTIF(CJ33:CQ33,"PARTIAL")</f>
        <v/>
      </c>
      <c r="CT33" s="3">
        <f>COUNTIF(CJ33:CQ33,"MISSING")</f>
        <v/>
      </c>
      <c r="CU33" s="3">
        <f>MIN(100,
  CR33*15
  + CS33*6
  + CT33*3
  + IFERROR(_xlfn.XLOOKUP(CW33,'Lookup Tables'!$M$21:$M$25,'Lookup Tables'!$N$21:$N$25,0),0)
)</f>
        <v/>
      </c>
      <c r="CV33" s="3">
        <f>IFERROR(
CHOOSE(
MATCH("FAIL",CJ33:CQ33,0),
"1-Specificity","2-Metric","3-Baseline","4-Target",
"5-Time Horizon","6-Scope","7-Verification","8-Consistency"
),
IFERROR(
CHOOSE(
MATCH("PARTIAL",CJ33:CQ33,0),
"1-Specificity","2-Metric","3-Baseline","4-Target",
"5-Time Horizon","6-Scope","7-Verification","8-Consistency"
),
"No failures"
)
)</f>
        <v/>
      </c>
      <c r="CW33" s="3" t="n"/>
      <c r="CX33" s="3" t="n"/>
      <c r="CY33" s="3" t="n"/>
      <c r="CZ33" s="3" t="n"/>
      <c r="DA33" s="3">
        <f>IF(OR(CU33&gt;=50,CW33="Material",CW33="Severe",AS33="Material",AS33="Severe",BF33="Material",BF33="Severe — Exclusion Trigger",AND(ISNUMBER(BS33),BS33&lt;30)),"Yes","No")</f>
        <v/>
      </c>
      <c r="DB33" s="3">
        <f>IF(OR(CR33&gt;=6,AW33="Confirmed Violation",AX33="Confirmed Breach"),"Yes — Automatic",IF(CW33="Severe","Yes — Requires Captain Confirmation","No"))</f>
        <v/>
      </c>
      <c r="DC33" s="3" t="n"/>
      <c r="DD33" s="3" t="n"/>
      <c r="DE33" s="3" t="n"/>
      <c r="DF33" s="3" t="n"/>
      <c r="DG33" s="3" t="n"/>
      <c r="DH33" s="3" t="n"/>
      <c r="DI33" s="3" t="n"/>
      <c r="DJ33" s="3" t="n"/>
      <c r="DK33" s="3" t="n"/>
      <c r="DL33" s="3">
        <f>IF(OR(IFERROR(VALUE(LEFT(DF33,1)),99)&lt;=2,IFERROR(VALUE(LEFT(DG33,1)),99)&lt;=2),"Flagged","Clear")</f>
        <v/>
      </c>
      <c r="DM33" s="3">
        <f>IF(OR(DA33="Yes",DB33&lt;&gt;"No",DH33="Unverified",DL33="Flagged"),"Yes","No")</f>
        <v/>
      </c>
      <c r="DN33" s="3">
        <f t="array" ref="DN33">MIN(100,
  IF(ISNUMBER(V33), _xlfn.IFS(V33&gt;=3,25, V33=2,15, V33=1,5, TRUE,0), 0)
  + IFERROR(_xlfn.IFS(VALUE(LEFT(DF33,1))=5,25, VALUE(LEFT(DF33,1))=4,20, VALUE(LEFT(DF33,1))=3,15, VALUE(LEFT(DF33,1))=2,8, TRUE,0), 15)
  + IFERROR(_xlfn.IFS(VALUE(LEFT(DG33,1))=5,25, VALUE(LEFT(DG33,1))=4,20, VALUE(LEFT(DG33,1))=3,15, VALUE(LEFT(DG33,1))=2,8, TRUE,0), 15)
  + _xlfn.IFS(DH33="Fully Verified",25, DH33="Partially Verified",12, TRUE,0)
)</f>
        <v/>
      </c>
      <c r="DO33" s="3">
        <f t="array" ref="DO33">_xlfn.IFS(
  ISBLANK(AR33), "Insufficient Evidence",
  AND(AR33&gt;=65, AJ33="Approved"), "Strong",
  AR33&gt;=65, "Adequate",
  AR33&gt;=40, "Adequate",
  AR33&gt;=20, "Weak",
  TRUE, "Insufficient Evidence"
)</f>
        <v/>
      </c>
      <c r="DP33" s="3">
        <f t="array" ref="DP33">_xlfn.IFS(
  ISBLANK(BS33), "Insufficient Evidence",
  BS33&gt;=65, "Strong",
  BS33&gt;=40, "Adequate",
  BS33&gt;=20, "Weak",
  TRUE, "Insufficient Evidence"
)</f>
        <v/>
      </c>
      <c r="DQ33" s="3">
        <f t="array" ref="DQ33">_xlfn.IFS(
  ISBLANK(BE33), "Insufficient Evidence",
  OR(AW33="Confirmed Violation", AX33="Confirmed Breach"), "Severe — Hard Trigger",
  BE33&gt;=65, "Strong",
  BE33&gt;=40, "Adequate",
  BE33&gt;=20, "Weak",
  TRUE, "Insufficient Evidence"
)</f>
        <v/>
      </c>
      <c r="DR33" s="3">
        <f t="array" ref="DR33">_xlfn.IFS(
  ISBLANK(CU33), "Insufficient Evidence",
  CU33&lt;=20, "Low Risk",
  CU33&lt;=50, "Moderate Risk",
  CU33&lt;=75, "High Risk",
  TRUE, "Very High Risk"
)</f>
        <v/>
      </c>
      <c r="DS33" s="3">
        <f t="array" ref="DS33">_xlfn.IFS(
  ISBLANK(CE33), "Insufficient Evidence",
  AND(ISNUMBER(BW33),ISNUMBER(BV33),BW33&gt;BV33), "Overclaiming Risk",
  CE33&gt;=65, "Strong",
  CE33&gt;=40, "Adequate",
  TRUE, "Weak"
)</f>
        <v/>
      </c>
      <c r="DT33" s="3">
        <f>IF(DB33="Yes — Automatic",0,ROUND((IF(ISNUMBER(AR33),AR33,0)*0.3+IF(ISNUMBER(BS33),BS33,0)*0.2+IF(ISNUMBER(BE33),BE33,0)*0.2+IF(ISNUMBER(CE33),CE33,0)*0.15+(100-IF(ISNUMBER(CU33),CU33,50))*0.15)*IF(DN33&gt;=75,1,IF(DN33&gt;=50,0.9,IF(DN33&gt;=25,0.75,0.6))),1))</f>
        <v/>
      </c>
      <c r="DU33" s="3">
        <f t="array" ref="DU33">_xlfn.IFS(
  DV33="Upgraded to Clear", "Clear",
  DV33="Downgraded to Watchlist", "Watchlist",
  DV33="Downgraded to Exclusion", "Exclusion Risk",
  DB33="Yes — Automatic", "Exclusion Risk",
  OR(AW33="Confirmed Violation", AX33="Confirmed Breach"), "Exclusion Risk",
  OR(V33=0, ISBLANK(V33), DN33&lt;20), "Insufficient Evidence",
  AND(DT33&gt;=65, DA33="No", DB33="No"), "Clear",
  OR(DT33&gt;=40, DA33="Yes"), "Watchlist",
  TRUE, "Exclusion Risk"
)</f>
        <v/>
      </c>
      <c r="DV33" s="3" t="n"/>
      <c r="DW33" s="3">
        <f t="array" ref="DW33">_xlfn.IFS(
  DU33="Exclusion Risk", "Exclude — Hard Trigger",
  DU33="Insufficient Evidence", "Watchlist — Further Evidence Needed",
  DU33="Watchlist", "Watchlist — Further Evidence Needed",
  AND(DU33="Clear", DT33&gt;=80), "Include — No Conditions",
  DU33="Clear", "Include — Monitor",
  TRUE, "Watchlist — Further Evidence Needed"
)</f>
        <v/>
      </c>
      <c r="DX33" s="3" t="n"/>
      <c r="DY33" s="3" t="n"/>
      <c r="DZ33" s="3" t="n"/>
      <c r="EA33" s="3" t="n"/>
      <c r="EB33" s="3">
        <f>IF(OR(V33=0, ISBLANK(V33)), "MISSING — No sources reviewed", "")</f>
        <v/>
      </c>
      <c r="EC33" s="3">
        <f>IF(AND(NOT(ISBLANK(DC33)), ISBLANK(DE33)), "PAGE REF MISSING", "")</f>
        <v/>
      </c>
    </row>
    <row r="34" ht="18" customHeight="1" s="60">
      <c r="A34" s="5" t="inlineStr">
        <is>
          <t>Sydbank AS</t>
        </is>
      </c>
      <c r="B34" s="5" t="inlineStr">
        <is>
          <t>TM2</t>
        </is>
      </c>
      <c r="C34" s="5">
        <f>IF(ISBLANK('Universe Tracker'!D30),"",'Universe Tracker'!D30)</f>
        <v/>
      </c>
      <c r="D34" s="5" t="n"/>
      <c r="E34" s="5" t="n"/>
      <c r="F34" s="5">
        <f>IF(ISBLANK('Universe Tracker'!F30),"",'Universe Tracker'!F30)</f>
        <v/>
      </c>
      <c r="G34" s="5">
        <f>IF(ISBLANK('Universe Tracker'!G30),"",'Universe Tracker'!G30)</f>
        <v/>
      </c>
      <c r="H34" s="5" t="n"/>
      <c r="I34" s="5" t="n"/>
      <c r="J34" s="5">
        <f>IF(ISBLANK(B34),"",B34&amp;"_"&amp;C34)</f>
        <v/>
      </c>
      <c r="K34" s="5" t="n"/>
      <c r="L34" s="5" t="n"/>
      <c r="M34" s="5" t="n"/>
      <c r="N34" s="5" t="n"/>
      <c r="O34" s="5" t="n"/>
      <c r="P34" s="5" t="n"/>
      <c r="Q34" s="5" t="n"/>
      <c r="R34" s="5" t="n"/>
      <c r="S34" s="5" t="n"/>
      <c r="T34" s="5" t="n"/>
      <c r="U34" s="5" t="n"/>
      <c r="V34" s="5" t="n"/>
      <c r="W34" s="5" t="n"/>
      <c r="X34" s="5" t="n"/>
      <c r="Y34" s="5">
        <f>IF(AND(V34&gt;=2,K34="Yes",L34="Yes"),"Sufficient",IF(AND(V34&gt;=1,OR(K34="Yes",L34="Yes")),"Thin","Insufficient"))</f>
        <v/>
      </c>
      <c r="Z34" s="5" t="n"/>
      <c r="AA34" s="5" t="n"/>
      <c r="AB34" s="5" t="n"/>
      <c r="AC34" s="5" t="n"/>
      <c r="AD34" s="5" t="n"/>
      <c r="AE34" s="5" t="n"/>
      <c r="AF34" s="5" t="n"/>
      <c r="AG34" s="5" t="n"/>
      <c r="AH34" s="5" t="n"/>
      <c r="AI34" s="5" t="n"/>
      <c r="AJ34" s="5" t="n"/>
      <c r="AK34" s="5" t="n"/>
      <c r="AL34" s="5" t="n"/>
      <c r="AM34" s="5" t="n"/>
      <c r="AN34" s="5" t="n"/>
      <c r="AO34" s="5" t="n"/>
      <c r="AP34" s="5" t="n"/>
      <c r="AQ34" s="5" t="n"/>
      <c r="AR34" s="40">
        <f t="array" ref="AR34">MIN(100, MAX(0,
  IFERROR(_xlfn.XLOOKUP(AJ34,'Lookup Tables'!$A$2:$A$7,'Lookup Tables'!$B$2:$B$7,0),0)
  + IF(Z34="Yes", IF(IFERROR(_xlfn.XLOOKUP(AJ34,'Lookup Tables'!$A$2:$A$7,'Lookup Tables'!$B$2:$B$7,0),0)&lt;20, 5, 0), 0)
  + _xlfn.IFS(AB34="Yes", IF(ISNUMBER(AC34)*AND(AC34&lt;=2030),15,10), AB34="Long-term Only", 5, AB34="No", 0, TRUE, 0)
  + _xlfn.IFS(AF34="Full",10, AF34="Partial",5, AF34="Scope 2 Only",3, TRUE,0)
  + _xlfn.IFS(AG34="Yes", IF(ISNUMBER(AH34)*AND(AH34&gt;=5),10,6), AG34="Partial",4, TRUE,0)
  + _xlfn.IFS(AI34="Yes",5, AI34="Partial (material categories only)",3, TRUE,0)
  + _xlfn.IFS(AL34="Yes — Detailed",10, AL34="Yes — High Level",5, TRUE,0)
  + _xlfn.IFS(AM34="Yes — Quantified",15, AM34="Yes — Directional Only",7, TRUE,0)
  + _xlfn.IFS(AP34="Formal",5, AP34="Referenced",2, TRUE,0)
  + _xlfn.IFS(AQ34="No Issues Found",5, AQ34="Concern Identified",-5, AQ34="Severe Contradiction",-15, TRUE,0)
  + _xlfn.IFS(BC34="Reasonable Assurance",5, BC34="Limited Assurance",3, TRUE,0)
  - IF(AND(Z34="Yes", AI34="No"), 10, 0)
  - IF(AND(Z34="Yes", AM34="No"), 10, 0)
))</f>
        <v/>
      </c>
      <c r="AS34" s="5" t="n"/>
      <c r="AT34" s="5" t="n"/>
      <c r="AU34" s="5" t="n"/>
      <c r="AV34" s="5" t="n"/>
      <c r="AW34" s="5" t="n"/>
      <c r="AX34" s="5" t="n"/>
      <c r="AY34" s="5" t="n"/>
      <c r="AZ34" s="5" t="n"/>
      <c r="BA34" s="5" t="n"/>
      <c r="BB34" s="5" t="n"/>
      <c r="BC34" s="5" t="n"/>
      <c r="BD34" s="5" t="n"/>
      <c r="BE34" s="39">
        <f t="array" ref="BE34">MIN(100, MAX(0,
  IFERROR(_xlfn.XLOOKUP(AT34,'Lookup Tables'!$D$2:$D$6,'Lookup Tables'!$E$2:$E$6,0),0)
  + IFERROR(_xlfn.XLOOKUP(AV34,'Lookup Tables'!$G$2:$G$5,'Lookup Tables'!$H$2:$H$5,0),0)
  + IFERROR(_xlfn.XLOOKUP(AW34,'Lookup Tables'!$J$2:$J$5,'Lookup Tables'!$K$2:$K$5,0),0)
  + _xlfn.IFS(AX34="No Issues",10, AX34="Complaint Filed",3, AX34="Confirmed Breach",-15, TRUE,0)
  + IFERROR(_xlfn.XLOOKUP(AY34,'Lookup Tables'!$M$2:$M$6,'Lookup Tables'!$N$2:$N$6,0),0)
  + IFERROR(_xlfn.XLOOKUP(AZ34,'Lookup Tables'!$P$2:$P$6,'Lookup Tables'!$Q$2:$Q$6,0),0)
  + _xlfn.IFS(BA34="Formal Board Committee",5, BA34="Board Oversight Mentioned",2, TRUE,0)
  + _xlfn.IFS(BB34="Yes — Quantified Targets",5, BB34="Yes — Discretionary Only",2, TRUE,0)
  + _xlfn.IFS(BC34="Reasonable Assurance",5, BC34="Limited Assurance",3, BC34="Management Review Only",1, TRUE,0)
))</f>
        <v/>
      </c>
      <c r="BF34" s="5" t="n"/>
      <c r="BG34" s="5" t="n"/>
      <c r="BH34" s="5" t="n"/>
      <c r="BI34" s="5" t="n"/>
      <c r="BJ34" s="5" t="n"/>
      <c r="BK34" s="5" t="n"/>
      <c r="BL34" s="5" t="n"/>
      <c r="BM34" s="5" t="n"/>
      <c r="BN34" s="5" t="n"/>
      <c r="BO34" s="5" t="n"/>
      <c r="BP34" s="5" t="n"/>
      <c r="BQ34" s="5" t="n"/>
      <c r="BR34" s="5" t="n"/>
      <c r="BS34" s="41">
        <f t="array" ref="BS34">MIN(100, MAX(0,
  IFERROR(_xlfn.XLOOKUP(BG34,'Lookup Tables'!$A$11:$A$16,'Lookup Tables'!$B$11:$B$16,0),0)
  + IFERROR(_xlfn.XLOOKUP(BR34,'Lookup Tables'!$M$11:$M$14,'Lookup Tables'!$N$11:$N$14,0),0)
  + IFERROR(_xlfn.XLOOKUP(BQ34,'Lookup Tables'!$J$11:$J$15,'Lookup Tables'!$K$11:$K$15,0),0)
  + IFERROR(_xlfn.XLOOKUP(BH34,'Lookup Tables'!$D$11:$D$15,'Lookup Tables'!$E$11:$E$15,0),0)
  + IFERROR(_xlfn.XLOOKUP(BJ34,'Lookup Tables'!$G$11:$G$16,'Lookup Tables'!$H$11:$H$16,0),0)
  + IFERROR(_xlfn.XLOOKUP(BN34,'Lookup Tables'!$P$11:$P$15,'Lookup Tables'!$Q$11:$Q$15,0),0)
  + _xlfn.IFS(BM34="No Evidence",10, BM34="Unknown",3, BM34="Likely",0, BM34="Confirmed",-10, TRUE,3)
  + IFERROR(_xlfn.XLOOKUP(BP34,'Lookup Tables'!$J$21:$J$24,'Lookup Tables'!$K$21:$K$24,0),0)
))</f>
        <v/>
      </c>
      <c r="BT34" s="5" t="n"/>
      <c r="BU34" s="5" t="n"/>
      <c r="BV34" s="5" t="n"/>
      <c r="BW34" s="5" t="n"/>
      <c r="BX34" s="5" t="n"/>
      <c r="BY34" s="5" t="n"/>
      <c r="BZ34" s="5" t="n"/>
      <c r="CA34" s="5" t="n"/>
      <c r="CB34" s="5" t="n"/>
      <c r="CC34" s="5" t="n"/>
      <c r="CD34" s="5" t="n"/>
      <c r="CE34" s="43">
        <f t="array" ref="CE34">MIN(100, MAX(0,
  IF(ISNUMBER(BV34)*AND(BV34&gt;0), 10, 0)
  + _xlfn.IFS(BY34="Independently Verified",25, BY34="Yes",15, TRUE,0)
  + IFERROR(_xlfn.XLOOKUP(BZ34,'Lookup Tables'!$A$21:$A$24,'Lookup Tables'!$B$21:$B$24,0),0)
  + IFERROR(_xlfn.XLOOKUP(CA34,'Lookup Tables'!$D$21:$D$24,'Lookup Tables'!$E$21:$E$24,0),0)
  + _xlfn.IFS(ISNUMBER(CB34)*AND(CB34&gt;=11),15, ISNUMBER(CB34)*AND(CB34&gt;=6),10, ISNUMBER(CB34)*AND(CB34&gt;=1),5, TRUE,0)
  + IFERROR(_xlfn.XLOOKUP(CC34,'Lookup Tables'!$G$21:$G$25,'Lookup Tables'!$H$21:$H$25,0),0)
  - IF(ISNUMBER(BW34)*AND(ISNUMBER(BV34))*AND(BW34&gt;BV34), 20, 0)
  - IF(AND(BY34="Yes", ISNUMBER(BW34), BW34&gt;60), 10, 0)
))</f>
        <v/>
      </c>
      <c r="CF34" s="5" t="n"/>
      <c r="CG34" s="5" t="n"/>
      <c r="CH34" s="5" t="n"/>
      <c r="CI34" s="5" t="n"/>
      <c r="CJ34" s="5" t="n"/>
      <c r="CK34" s="5" t="n"/>
      <c r="CL34" s="5" t="n"/>
      <c r="CM34" s="5" t="n"/>
      <c r="CN34" s="5" t="n"/>
      <c r="CO34" s="5" t="n"/>
      <c r="CP34" s="5" t="n"/>
      <c r="CQ34" s="5" t="n"/>
      <c r="CR34" s="5">
        <f>COUNTIF(CJ34:CQ34,"FAIL")</f>
        <v/>
      </c>
      <c r="CS34" s="5">
        <f>COUNTIF(CJ34:CQ34,"PARTIAL")</f>
        <v/>
      </c>
      <c r="CT34" s="5">
        <f>COUNTIF(CJ34:CQ34,"MISSING")</f>
        <v/>
      </c>
      <c r="CU34" s="5">
        <f>MIN(100,
  CR34*15
  + CS34*6
  + CT34*3
  + IFERROR(_xlfn.XLOOKUP(CW34,'Lookup Tables'!$M$21:$M$25,'Lookup Tables'!$N$21:$N$25,0),0)
)</f>
        <v/>
      </c>
      <c r="CV34" s="5">
        <f>IFERROR(
CHOOSE(
MATCH("FAIL",CJ34:CQ34,0),
"1-Specificity","2-Metric","3-Baseline","4-Target",
"5-Time Horizon","6-Scope","7-Verification","8-Consistency"
),
IFERROR(
CHOOSE(
MATCH("PARTIAL",CJ34:CQ34,0),
"1-Specificity","2-Metric","3-Baseline","4-Target",
"5-Time Horizon","6-Scope","7-Verification","8-Consistency"
),
"No failures"
)
)</f>
        <v/>
      </c>
      <c r="CW34" s="5" t="n"/>
      <c r="CX34" s="5" t="n"/>
      <c r="CY34" s="5" t="n"/>
      <c r="CZ34" s="5" t="n"/>
      <c r="DA34" s="5">
        <f>IF(OR(CU34&gt;=50,CW34="Material",CW34="Severe",AS34="Material",AS34="Severe",BF34="Material",BF34="Severe — Exclusion Trigger",AND(ISNUMBER(BS34),BS34&lt;30)),"Yes","No")</f>
        <v/>
      </c>
      <c r="DB34" s="5">
        <f>IF(OR(CR34&gt;=6,AW34="Confirmed Violation",AX34="Confirmed Breach"),"Yes — Automatic",IF(CW34="Severe","Yes — Requires Captain Confirmation","No"))</f>
        <v/>
      </c>
      <c r="DC34" s="5" t="n"/>
      <c r="DD34" s="5" t="n"/>
      <c r="DE34" s="5" t="n"/>
      <c r="DF34" s="5" t="n"/>
      <c r="DG34" s="5" t="n"/>
      <c r="DH34" s="5" t="n"/>
      <c r="DI34" s="5" t="n"/>
      <c r="DJ34" s="5" t="n"/>
      <c r="DK34" s="5" t="n"/>
      <c r="DL34" s="5">
        <f>IF(OR(IFERROR(VALUE(LEFT(DF34,1)),99)&lt;=2,IFERROR(VALUE(LEFT(DG34,1)),99)&lt;=2),"Flagged","Clear")</f>
        <v/>
      </c>
      <c r="DM34" s="5">
        <f>IF(OR(DA34="Yes",DB34&lt;&gt;"No",DH34="Unverified",DL34="Flagged"),"Yes","No")</f>
        <v/>
      </c>
      <c r="DN34" s="5">
        <f t="array" ref="DN34">MIN(100,
  IF(ISNUMBER(V34), _xlfn.IFS(V34&gt;=3,25, V34=2,15, V34=1,5, TRUE,0), 0)
  + IFERROR(_xlfn.IFS(VALUE(LEFT(DF34,1))=5,25, VALUE(LEFT(DF34,1))=4,20, VALUE(LEFT(DF34,1))=3,15, VALUE(LEFT(DF34,1))=2,8, TRUE,0), 15)
  + IFERROR(_xlfn.IFS(VALUE(LEFT(DG34,1))=5,25, VALUE(LEFT(DG34,1))=4,20, VALUE(LEFT(DG34,1))=3,15, VALUE(LEFT(DG34,1))=2,8, TRUE,0), 15)
  + _xlfn.IFS(DH34="Fully Verified",25, DH34="Partially Verified",12, TRUE,0)
)</f>
        <v/>
      </c>
      <c r="DO34" s="5">
        <f t="array" ref="DO34">_xlfn.IFS(
  ISBLANK(AR34), "Insufficient Evidence",
  AND(AR34&gt;=65, AJ34="Approved"), "Strong",
  AR34&gt;=65, "Adequate",
  AR34&gt;=40, "Adequate",
  AR34&gt;=20, "Weak",
  TRUE, "Insufficient Evidence"
)</f>
        <v/>
      </c>
      <c r="DP34" s="5">
        <f t="array" ref="DP34">_xlfn.IFS(
  ISBLANK(BS34), "Insufficient Evidence",
  BS34&gt;=65, "Strong",
  BS34&gt;=40, "Adequate",
  BS34&gt;=20, "Weak",
  TRUE, "Insufficient Evidence"
)</f>
        <v/>
      </c>
      <c r="DQ34" s="5">
        <f t="array" ref="DQ34">_xlfn.IFS(
  ISBLANK(BE34), "Insufficient Evidence",
  OR(AW34="Confirmed Violation", AX34="Confirmed Breach"), "Severe — Hard Trigger",
  BE34&gt;=65, "Strong",
  BE34&gt;=40, "Adequate",
  BE34&gt;=20, "Weak",
  TRUE, "Insufficient Evidence"
)</f>
        <v/>
      </c>
      <c r="DR34" s="5">
        <f t="array" ref="DR34">_xlfn.IFS(
  ISBLANK(CU34), "Insufficient Evidence",
  CU34&lt;=20, "Low Risk",
  CU34&lt;=50, "Moderate Risk",
  CU34&lt;=75, "High Risk",
  TRUE, "Very High Risk"
)</f>
        <v/>
      </c>
      <c r="DS34" s="5">
        <f t="array" ref="DS34">_xlfn.IFS(
  ISBLANK(CE34), "Insufficient Evidence",
  AND(ISNUMBER(BW34),ISNUMBER(BV34),BW34&gt;BV34), "Overclaiming Risk",
  CE34&gt;=65, "Strong",
  CE34&gt;=40, "Adequate",
  TRUE, "Weak"
)</f>
        <v/>
      </c>
      <c r="DT34" s="5">
        <f>IF(DB34="Yes — Automatic",0,ROUND((IF(ISNUMBER(AR34),AR34,0)*0.3+IF(ISNUMBER(BS34),BS34,0)*0.2+IF(ISNUMBER(BE34),BE34,0)*0.2+IF(ISNUMBER(CE34),CE34,0)*0.15+(100-IF(ISNUMBER(CU34),CU34,50))*0.15)*IF(DN34&gt;=75,1,IF(DN34&gt;=50,0.9,IF(DN34&gt;=25,0.75,0.6))),1))</f>
        <v/>
      </c>
      <c r="DU34" s="5">
        <f t="array" ref="DU34">_xlfn.IFS(
  DV34="Upgraded to Clear", "Clear",
  DV34="Downgraded to Watchlist", "Watchlist",
  DV34="Downgraded to Exclusion", "Exclusion Risk",
  DB34="Yes — Automatic", "Exclusion Risk",
  OR(AW34="Confirmed Violation", AX34="Confirmed Breach"), "Exclusion Risk",
  OR(V34=0, ISBLANK(V34), DN34&lt;20), "Insufficient Evidence",
  AND(DT34&gt;=65, DA34="No", DB34="No"), "Clear",
  OR(DT34&gt;=40, DA34="Yes"), "Watchlist",
  TRUE, "Exclusion Risk"
)</f>
        <v/>
      </c>
      <c r="DV34" s="5" t="n"/>
      <c r="DW34" s="5">
        <f t="array" ref="DW34">_xlfn.IFS(
  DU34="Exclusion Risk", "Exclude — Hard Trigger",
  DU34="Insufficient Evidence", "Watchlist — Further Evidence Needed",
  DU34="Watchlist", "Watchlist — Further Evidence Needed",
  AND(DU34="Clear", DT34&gt;=80), "Include — No Conditions",
  DU34="Clear", "Include — Monitor",
  TRUE, "Watchlist — Further Evidence Needed"
)</f>
        <v/>
      </c>
      <c r="DX34" s="5" t="n"/>
      <c r="DY34" s="5" t="n"/>
      <c r="DZ34" s="5" t="n"/>
      <c r="EA34" s="5" t="n"/>
      <c r="EB34" s="5">
        <f>IF(OR(V34=0, ISBLANK(V34)), "MISSING — No sources reviewed", "")</f>
        <v/>
      </c>
      <c r="EC34" s="5">
        <f>IF(AND(NOT(ISBLANK(DC34)), ISBLANK(DE34)), "PAGE REF MISSING", "")</f>
        <v/>
      </c>
    </row>
    <row r="35" ht="18" customHeight="1" s="60">
      <c r="A35" s="3" t="inlineStr">
        <is>
          <t>Julius Baer Group Ltd</t>
        </is>
      </c>
      <c r="B35" s="3" t="inlineStr">
        <is>
          <t>JGE</t>
        </is>
      </c>
      <c r="C35" s="3">
        <f>IF(ISBLANK('Universe Tracker'!D31),"",'Universe Tracker'!D31)</f>
        <v/>
      </c>
      <c r="D35" s="3" t="n"/>
      <c r="E35" s="3" t="n"/>
      <c r="F35" s="3">
        <f>IF(ISBLANK('Universe Tracker'!F31),"",'Universe Tracker'!F31)</f>
        <v/>
      </c>
      <c r="G35" s="3">
        <f>IF(ISBLANK('Universe Tracker'!G31),"",'Universe Tracker'!G31)</f>
        <v/>
      </c>
      <c r="H35" s="3" t="n"/>
      <c r="I35" s="3" t="n"/>
      <c r="J35" s="3">
        <f>IF(ISBLANK(B35),"",B35&amp;"_"&amp;C35)</f>
        <v/>
      </c>
      <c r="K35" s="3" t="n"/>
      <c r="L35" s="3" t="n"/>
      <c r="M35" s="3" t="n"/>
      <c r="N35" s="3" t="n"/>
      <c r="O35" s="3" t="n"/>
      <c r="P35" s="3" t="n"/>
      <c r="Q35" s="3" t="n"/>
      <c r="R35" s="3" t="n"/>
      <c r="S35" s="3" t="n"/>
      <c r="T35" s="3" t="n"/>
      <c r="U35" s="3" t="n"/>
      <c r="V35" s="3" t="n"/>
      <c r="W35" s="3" t="n"/>
      <c r="X35" s="3" t="n"/>
      <c r="Y35" s="3">
        <f>IF(AND(V35&gt;=2,K35="Yes",L35="Yes"),"Sufficient",IF(AND(V35&gt;=1,OR(K35="Yes",L35="Yes")),"Thin","Insufficient"))</f>
        <v/>
      </c>
      <c r="Z35" s="3" t="n"/>
      <c r="AA35" s="3" t="n"/>
      <c r="AB35" s="3" t="n"/>
      <c r="AC35" s="3" t="n"/>
      <c r="AD35" s="3" t="n"/>
      <c r="AE35" s="3" t="n"/>
      <c r="AF35" s="3" t="n"/>
      <c r="AG35" s="3" t="n"/>
      <c r="AH35" s="3" t="n"/>
      <c r="AI35" s="3" t="n"/>
      <c r="AJ35" s="3" t="n"/>
      <c r="AK35" s="3" t="n"/>
      <c r="AL35" s="3" t="n"/>
      <c r="AM35" s="3" t="n"/>
      <c r="AN35" s="3" t="n"/>
      <c r="AO35" s="3" t="n"/>
      <c r="AP35" s="3" t="n"/>
      <c r="AQ35" s="3" t="n"/>
      <c r="AR35" s="40">
        <f t="array" ref="AR35">MIN(100, MAX(0,
  IFERROR(_xlfn.XLOOKUP(AJ35,'Lookup Tables'!$A$2:$A$7,'Lookup Tables'!$B$2:$B$7,0),0)
  + IF(Z35="Yes", IF(IFERROR(_xlfn.XLOOKUP(AJ35,'Lookup Tables'!$A$2:$A$7,'Lookup Tables'!$B$2:$B$7,0),0)&lt;20, 5, 0), 0)
  + _xlfn.IFS(AB35="Yes", IF(ISNUMBER(AC35)*AND(AC35&lt;=2030),15,10), AB35="Long-term Only", 5, AB35="No", 0, TRUE, 0)
  + _xlfn.IFS(AF35="Full",10, AF35="Partial",5, AF35="Scope 2 Only",3, TRUE,0)
  + _xlfn.IFS(AG35="Yes", IF(ISNUMBER(AH35)*AND(AH35&gt;=5),10,6), AG35="Partial",4, TRUE,0)
  + _xlfn.IFS(AI35="Yes",5, AI35="Partial (material categories only)",3, TRUE,0)
  + _xlfn.IFS(AL35="Yes — Detailed",10, AL35="Yes — High Level",5, TRUE,0)
  + _xlfn.IFS(AM35="Yes — Quantified",15, AM35="Yes — Directional Only",7, TRUE,0)
  + _xlfn.IFS(AP35="Formal",5, AP35="Referenced",2, TRUE,0)
  + _xlfn.IFS(AQ35="No Issues Found",5, AQ35="Concern Identified",-5, AQ35="Severe Contradiction",-15, TRUE,0)
  + _xlfn.IFS(BC35="Reasonable Assurance",5, BC35="Limited Assurance",3, TRUE,0)
  - IF(AND(Z35="Yes", AI35="No"), 10, 0)
  - IF(AND(Z35="Yes", AM35="No"), 10, 0)
))</f>
        <v/>
      </c>
      <c r="AS35" s="3" t="n"/>
      <c r="AT35" s="3" t="n"/>
      <c r="AU35" s="3" t="n"/>
      <c r="AV35" s="3" t="n"/>
      <c r="AW35" s="3" t="n"/>
      <c r="AX35" s="3" t="n"/>
      <c r="AY35" s="3" t="n"/>
      <c r="AZ35" s="3" t="n"/>
      <c r="BA35" s="3" t="n"/>
      <c r="BB35" s="3" t="n"/>
      <c r="BC35" s="3" t="n"/>
      <c r="BD35" s="3" t="n"/>
      <c r="BE35" s="40">
        <f t="array" ref="BE35">MIN(100, MAX(0,
  IFERROR(_xlfn.XLOOKUP(AT35,'Lookup Tables'!$D$2:$D$6,'Lookup Tables'!$E$2:$E$6,0),0)
  + IFERROR(_xlfn.XLOOKUP(AV35,'Lookup Tables'!$G$2:$G$5,'Lookup Tables'!$H$2:$H$5,0),0)
  + IFERROR(_xlfn.XLOOKUP(AW35,'Lookup Tables'!$J$2:$J$5,'Lookup Tables'!$K$2:$K$5,0),0)
  + _xlfn.IFS(AX35="No Issues",10, AX35="Complaint Filed",3, AX35="Confirmed Breach",-15, TRUE,0)
  + IFERROR(_xlfn.XLOOKUP(AY35,'Lookup Tables'!$M$2:$M$6,'Lookup Tables'!$N$2:$N$6,0),0)
  + IFERROR(_xlfn.XLOOKUP(AZ35,'Lookup Tables'!$P$2:$P$6,'Lookup Tables'!$Q$2:$Q$6,0),0)
  + _xlfn.IFS(BA35="Formal Board Committee",5, BA35="Board Oversight Mentioned",2, TRUE,0)
  + _xlfn.IFS(BB35="Yes — Quantified Targets",5, BB35="Yes — Discretionary Only",2, TRUE,0)
  + _xlfn.IFS(BC35="Reasonable Assurance",5, BC35="Limited Assurance",3, BC35="Management Review Only",1, TRUE,0)
))</f>
        <v/>
      </c>
      <c r="BF35" s="3" t="n"/>
      <c r="BG35" s="3" t="n"/>
      <c r="BH35" s="3" t="n"/>
      <c r="BI35" s="3" t="n"/>
      <c r="BJ35" s="3" t="n"/>
      <c r="BK35" s="3" t="n"/>
      <c r="BL35" s="3" t="n"/>
      <c r="BM35" s="3" t="n"/>
      <c r="BN35" s="3" t="n"/>
      <c r="BO35" s="3" t="n"/>
      <c r="BP35" s="3" t="n"/>
      <c r="BQ35" s="3" t="n"/>
      <c r="BR35" s="3" t="n"/>
      <c r="BS35" s="42">
        <f t="array" ref="BS35">MIN(100, MAX(0,
  IFERROR(_xlfn.XLOOKUP(BG35,'Lookup Tables'!$A$11:$A$16,'Lookup Tables'!$B$11:$B$16,0),0)
  + IFERROR(_xlfn.XLOOKUP(BR35,'Lookup Tables'!$M$11:$M$14,'Lookup Tables'!$N$11:$N$14,0),0)
  + IFERROR(_xlfn.XLOOKUP(BQ35,'Lookup Tables'!$J$11:$J$15,'Lookup Tables'!$K$11:$K$15,0),0)
  + IFERROR(_xlfn.XLOOKUP(BH35,'Lookup Tables'!$D$11:$D$15,'Lookup Tables'!$E$11:$E$15,0),0)
  + IFERROR(_xlfn.XLOOKUP(BJ35,'Lookup Tables'!$G$11:$G$16,'Lookup Tables'!$H$11:$H$16,0),0)
  + IFERROR(_xlfn.XLOOKUP(BN35,'Lookup Tables'!$P$11:$P$15,'Lookup Tables'!$Q$11:$Q$15,0),0)
  + _xlfn.IFS(BM35="No Evidence",10, BM35="Unknown",3, BM35="Likely",0, BM35="Confirmed",-10, TRUE,3)
  + IFERROR(_xlfn.XLOOKUP(BP35,'Lookup Tables'!$J$21:$J$24,'Lookup Tables'!$K$21:$K$24,0),0)
))</f>
        <v/>
      </c>
      <c r="BT35" s="3" t="n"/>
      <c r="BU35" s="3" t="n"/>
      <c r="BV35" s="3" t="n"/>
      <c r="BW35" s="3" t="n"/>
      <c r="BX35" s="3" t="n"/>
      <c r="BY35" s="3" t="n"/>
      <c r="BZ35" s="3" t="n"/>
      <c r="CA35" s="3" t="n"/>
      <c r="CB35" s="3" t="n"/>
      <c r="CC35" s="3" t="n"/>
      <c r="CD35" s="3" t="n"/>
      <c r="CE35" s="44">
        <f t="array" ref="CE35">MIN(100, MAX(0,
  IF(ISNUMBER(BV35)*AND(BV35&gt;0), 10, 0)
  + _xlfn.IFS(BY35="Independently Verified",25, BY35="Yes",15, TRUE,0)
  + IFERROR(_xlfn.XLOOKUP(BZ35,'Lookup Tables'!$A$21:$A$24,'Lookup Tables'!$B$21:$B$24,0),0)
  + IFERROR(_xlfn.XLOOKUP(CA35,'Lookup Tables'!$D$21:$D$24,'Lookup Tables'!$E$21:$E$24,0),0)
  + _xlfn.IFS(ISNUMBER(CB35)*AND(CB35&gt;=11),15, ISNUMBER(CB35)*AND(CB35&gt;=6),10, ISNUMBER(CB35)*AND(CB35&gt;=1),5, TRUE,0)
  + IFERROR(_xlfn.XLOOKUP(CC35,'Lookup Tables'!$G$21:$G$25,'Lookup Tables'!$H$21:$H$25,0),0)
  - IF(ISNUMBER(BW35)*AND(ISNUMBER(BV35))*AND(BW35&gt;BV35), 20, 0)
  - IF(AND(BY35="Yes", ISNUMBER(BW35), BW35&gt;60), 10, 0)
))</f>
        <v/>
      </c>
      <c r="CF35" s="3" t="n"/>
      <c r="CG35" s="3" t="n"/>
      <c r="CH35" s="3" t="n"/>
      <c r="CI35" s="3" t="n"/>
      <c r="CJ35" s="3" t="n"/>
      <c r="CK35" s="3" t="n"/>
      <c r="CL35" s="3" t="n"/>
      <c r="CM35" s="3" t="n"/>
      <c r="CN35" s="3" t="n"/>
      <c r="CO35" s="3" t="n"/>
      <c r="CP35" s="3" t="n"/>
      <c r="CQ35" s="3" t="n"/>
      <c r="CR35" s="3">
        <f>COUNTIF(CJ35:CQ35,"FAIL")</f>
        <v/>
      </c>
      <c r="CS35" s="3">
        <f>COUNTIF(CJ35:CQ35,"PARTIAL")</f>
        <v/>
      </c>
      <c r="CT35" s="3">
        <f>COUNTIF(CJ35:CQ35,"MISSING")</f>
        <v/>
      </c>
      <c r="CU35" s="3">
        <f>MIN(100,
  CR35*15
  + CS35*6
  + CT35*3
  + IFERROR(_xlfn.XLOOKUP(CW35,'Lookup Tables'!$M$21:$M$25,'Lookup Tables'!$N$21:$N$25,0),0)
)</f>
        <v/>
      </c>
      <c r="CV35" s="3">
        <f>IFERROR(
CHOOSE(
MATCH("FAIL",CJ35:CQ35,0),
"1-Specificity","2-Metric","3-Baseline","4-Target",
"5-Time Horizon","6-Scope","7-Verification","8-Consistency"
),
IFERROR(
CHOOSE(
MATCH("PARTIAL",CJ35:CQ35,0),
"1-Specificity","2-Metric","3-Baseline","4-Target",
"5-Time Horizon","6-Scope","7-Verification","8-Consistency"
),
"No failures"
)
)</f>
        <v/>
      </c>
      <c r="CW35" s="3" t="n"/>
      <c r="CX35" s="3" t="n"/>
      <c r="CY35" s="3" t="n"/>
      <c r="CZ35" s="3" t="n"/>
      <c r="DA35" s="3">
        <f>IF(OR(CU35&gt;=50,CW35="Material",CW35="Severe",AS35="Material",AS35="Severe",BF35="Material",BF35="Severe — Exclusion Trigger",AND(ISNUMBER(BS35),BS35&lt;30)),"Yes","No")</f>
        <v/>
      </c>
      <c r="DB35" s="3">
        <f>IF(OR(CR35&gt;=6,AW35="Confirmed Violation",AX35="Confirmed Breach"),"Yes — Automatic",IF(CW35="Severe","Yes — Requires Captain Confirmation","No"))</f>
        <v/>
      </c>
      <c r="DC35" s="3" t="n"/>
      <c r="DD35" s="3" t="n"/>
      <c r="DE35" s="3" t="n"/>
      <c r="DF35" s="3" t="n"/>
      <c r="DG35" s="3" t="n"/>
      <c r="DH35" s="3" t="n"/>
      <c r="DI35" s="3" t="n"/>
      <c r="DJ35" s="3" t="n"/>
      <c r="DK35" s="3" t="n"/>
      <c r="DL35" s="3">
        <f>IF(OR(IFERROR(VALUE(LEFT(DF35,1)),99)&lt;=2,IFERROR(VALUE(LEFT(DG35,1)),99)&lt;=2),"Flagged","Clear")</f>
        <v/>
      </c>
      <c r="DM35" s="3">
        <f>IF(OR(DA35="Yes",DB35&lt;&gt;"No",DH35="Unverified",DL35="Flagged"),"Yes","No")</f>
        <v/>
      </c>
      <c r="DN35" s="3">
        <f t="array" ref="DN35">MIN(100,
  IF(ISNUMBER(V35), _xlfn.IFS(V35&gt;=3,25, V35=2,15, V35=1,5, TRUE,0), 0)
  + IFERROR(_xlfn.IFS(VALUE(LEFT(DF35,1))=5,25, VALUE(LEFT(DF35,1))=4,20, VALUE(LEFT(DF35,1))=3,15, VALUE(LEFT(DF35,1))=2,8, TRUE,0), 15)
  + IFERROR(_xlfn.IFS(VALUE(LEFT(DG35,1))=5,25, VALUE(LEFT(DG35,1))=4,20, VALUE(LEFT(DG35,1))=3,15, VALUE(LEFT(DG35,1))=2,8, TRUE,0), 15)
  + _xlfn.IFS(DH35="Fully Verified",25, DH35="Partially Verified",12, TRUE,0)
)</f>
        <v/>
      </c>
      <c r="DO35" s="3">
        <f t="array" ref="DO35">_xlfn.IFS(
  ISBLANK(AR35), "Insufficient Evidence",
  AND(AR35&gt;=65, AJ35="Approved"), "Strong",
  AR35&gt;=65, "Adequate",
  AR35&gt;=40, "Adequate",
  AR35&gt;=20, "Weak",
  TRUE, "Insufficient Evidence"
)</f>
        <v/>
      </c>
      <c r="DP35" s="3">
        <f t="array" ref="DP35">_xlfn.IFS(
  ISBLANK(BS35), "Insufficient Evidence",
  BS35&gt;=65, "Strong",
  BS35&gt;=40, "Adequate",
  BS35&gt;=20, "Weak",
  TRUE, "Insufficient Evidence"
)</f>
        <v/>
      </c>
      <c r="DQ35" s="3">
        <f t="array" ref="DQ35">_xlfn.IFS(
  ISBLANK(BE35), "Insufficient Evidence",
  OR(AW35="Confirmed Violation", AX35="Confirmed Breach"), "Severe — Hard Trigger",
  BE35&gt;=65, "Strong",
  BE35&gt;=40, "Adequate",
  BE35&gt;=20, "Weak",
  TRUE, "Insufficient Evidence"
)</f>
        <v/>
      </c>
      <c r="DR35" s="3">
        <f t="array" ref="DR35">_xlfn.IFS(
  ISBLANK(CU35), "Insufficient Evidence",
  CU35&lt;=20, "Low Risk",
  CU35&lt;=50, "Moderate Risk",
  CU35&lt;=75, "High Risk",
  TRUE, "Very High Risk"
)</f>
        <v/>
      </c>
      <c r="DS35" s="3">
        <f t="array" ref="DS35">_xlfn.IFS(
  ISBLANK(CE35), "Insufficient Evidence",
  AND(ISNUMBER(BW35),ISNUMBER(BV35),BW35&gt;BV35), "Overclaiming Risk",
  CE35&gt;=65, "Strong",
  CE35&gt;=40, "Adequate",
  TRUE, "Weak"
)</f>
        <v/>
      </c>
      <c r="DT35" s="3">
        <f>IF(DB35="Yes — Automatic",0,ROUND((IF(ISNUMBER(AR35),AR35,0)*0.3+IF(ISNUMBER(BS35),BS35,0)*0.2+IF(ISNUMBER(BE35),BE35,0)*0.2+IF(ISNUMBER(CE35),CE35,0)*0.15+(100-IF(ISNUMBER(CU35),CU35,50))*0.15)*IF(DN35&gt;=75,1,IF(DN35&gt;=50,0.9,IF(DN35&gt;=25,0.75,0.6))),1))</f>
        <v/>
      </c>
      <c r="DU35" s="3">
        <f t="array" ref="DU35">_xlfn.IFS(
  DV35="Upgraded to Clear", "Clear",
  DV35="Downgraded to Watchlist", "Watchlist",
  DV35="Downgraded to Exclusion", "Exclusion Risk",
  DB35="Yes — Automatic", "Exclusion Risk",
  OR(AW35="Confirmed Violation", AX35="Confirmed Breach"), "Exclusion Risk",
  OR(V35=0, ISBLANK(V35), DN35&lt;20), "Insufficient Evidence",
  AND(DT35&gt;=65, DA35="No", DB35="No"), "Clear",
  OR(DT35&gt;=40, DA35="Yes"), "Watchlist",
  TRUE, "Exclusion Risk"
)</f>
        <v/>
      </c>
      <c r="DV35" s="3" t="n"/>
      <c r="DW35" s="3">
        <f t="array" ref="DW35">_xlfn.IFS(
  DU35="Exclusion Risk", "Exclude — Hard Trigger",
  DU35="Insufficient Evidence", "Watchlist — Further Evidence Needed",
  DU35="Watchlist", "Watchlist — Further Evidence Needed",
  AND(DU35="Clear", DT35&gt;=80), "Include — No Conditions",
  DU35="Clear", "Include — Monitor",
  TRUE, "Watchlist — Further Evidence Needed"
)</f>
        <v/>
      </c>
      <c r="DX35" s="3" t="n"/>
      <c r="DY35" s="3" t="n"/>
      <c r="DZ35" s="3" t="n"/>
      <c r="EA35" s="3" t="n"/>
      <c r="EB35" s="3">
        <f>IF(OR(V35=0, ISBLANK(V35)), "MISSING — No sources reviewed", "")</f>
        <v/>
      </c>
      <c r="EC35" s="3">
        <f>IF(AND(NOT(ISBLANK(DC35)), ISBLANK(DE35)), "PAGE REF MISSING", "")</f>
        <v/>
      </c>
    </row>
    <row r="36" ht="18" customHeight="1" s="60">
      <c r="A36" s="5" t="inlineStr">
        <is>
          <t>UnipolSai Assicurazioni SpA</t>
        </is>
      </c>
      <c r="B36" s="5" t="inlineStr">
        <is>
          <t>SOAN</t>
        </is>
      </c>
      <c r="C36" s="5">
        <f>IF(ISBLANK('Universe Tracker'!D32),"",'Universe Tracker'!D32)</f>
        <v/>
      </c>
      <c r="D36" s="5" t="n"/>
      <c r="E36" s="5" t="n"/>
      <c r="F36" s="5">
        <f>IF(ISBLANK('Universe Tracker'!F32),"",'Universe Tracker'!F32)</f>
        <v/>
      </c>
      <c r="G36" s="5">
        <f>IF(ISBLANK('Universe Tracker'!G32),"",'Universe Tracker'!G32)</f>
        <v/>
      </c>
      <c r="H36" s="5" t="n"/>
      <c r="I36" s="5" t="n"/>
      <c r="J36" s="5">
        <f>IF(ISBLANK(B36),"",B36&amp;"_"&amp;C36)</f>
        <v/>
      </c>
      <c r="K36" s="5" t="n"/>
      <c r="L36" s="5" t="n"/>
      <c r="M36" s="5" t="n"/>
      <c r="N36" s="5" t="n"/>
      <c r="O36" s="5" t="n"/>
      <c r="P36" s="5" t="n"/>
      <c r="Q36" s="5" t="n"/>
      <c r="R36" s="5" t="n"/>
      <c r="S36" s="5" t="n"/>
      <c r="T36" s="5" t="n"/>
      <c r="U36" s="5" t="n"/>
      <c r="V36" s="5" t="n"/>
      <c r="W36" s="5" t="n"/>
      <c r="X36" s="5" t="n"/>
      <c r="Y36" s="5">
        <f>IF(AND(V36&gt;=2,K36="Yes",L36="Yes"),"Sufficient",IF(AND(V36&gt;=1,OR(K36="Yes",L36="Yes")),"Thin","Insufficient"))</f>
        <v/>
      </c>
      <c r="Z36" s="5" t="n"/>
      <c r="AA36" s="5" t="n"/>
      <c r="AB36" s="5" t="n"/>
      <c r="AC36" s="5" t="n"/>
      <c r="AD36" s="5" t="n"/>
      <c r="AE36" s="5" t="n"/>
      <c r="AF36" s="5" t="n"/>
      <c r="AG36" s="5" t="n"/>
      <c r="AH36" s="5" t="n"/>
      <c r="AI36" s="5" t="n"/>
      <c r="AJ36" s="5" t="n"/>
      <c r="AK36" s="5" t="n"/>
      <c r="AL36" s="5" t="n"/>
      <c r="AM36" s="5" t="n"/>
      <c r="AN36" s="5" t="n"/>
      <c r="AO36" s="5" t="n"/>
      <c r="AP36" s="5" t="n"/>
      <c r="AQ36" s="5" t="n"/>
      <c r="AR36" s="40">
        <f t="array" ref="AR36">MIN(100, MAX(0,
  IFERROR(_xlfn.XLOOKUP(AJ36,'Lookup Tables'!$A$2:$A$7,'Lookup Tables'!$B$2:$B$7,0),0)
  + IF(Z36="Yes", IF(IFERROR(_xlfn.XLOOKUP(AJ36,'Lookup Tables'!$A$2:$A$7,'Lookup Tables'!$B$2:$B$7,0),0)&lt;20, 5, 0), 0)
  + _xlfn.IFS(AB36="Yes", IF(ISNUMBER(AC36)*AND(AC36&lt;=2030),15,10), AB36="Long-term Only", 5, AB36="No", 0, TRUE, 0)
  + _xlfn.IFS(AF36="Full",10, AF36="Partial",5, AF36="Scope 2 Only",3, TRUE,0)
  + _xlfn.IFS(AG36="Yes", IF(ISNUMBER(AH36)*AND(AH36&gt;=5),10,6), AG36="Partial",4, TRUE,0)
  + _xlfn.IFS(AI36="Yes",5, AI36="Partial (material categories only)",3, TRUE,0)
  + _xlfn.IFS(AL36="Yes — Detailed",10, AL36="Yes — High Level",5, TRUE,0)
  + _xlfn.IFS(AM36="Yes — Quantified",15, AM36="Yes — Directional Only",7, TRUE,0)
  + _xlfn.IFS(AP36="Formal",5, AP36="Referenced",2, TRUE,0)
  + _xlfn.IFS(AQ36="No Issues Found",5, AQ36="Concern Identified",-5, AQ36="Severe Contradiction",-15, TRUE,0)
  + _xlfn.IFS(BC36="Reasonable Assurance",5, BC36="Limited Assurance",3, TRUE,0)
  - IF(AND(Z36="Yes", AI36="No"), 10, 0)
  - IF(AND(Z36="Yes", AM36="No"), 10, 0)
))</f>
        <v/>
      </c>
      <c r="AS36" s="5" t="n"/>
      <c r="AT36" s="5" t="n"/>
      <c r="AU36" s="5" t="n"/>
      <c r="AV36" s="5" t="n"/>
      <c r="AW36" s="5" t="n"/>
      <c r="AX36" s="5" t="n"/>
      <c r="AY36" s="5" t="n"/>
      <c r="AZ36" s="5" t="n"/>
      <c r="BA36" s="5" t="n"/>
      <c r="BB36" s="5" t="n"/>
      <c r="BC36" s="5" t="n"/>
      <c r="BD36" s="5" t="n"/>
      <c r="BE36" s="39">
        <f t="array" ref="BE36">MIN(100, MAX(0,
  IFERROR(_xlfn.XLOOKUP(AT36,'Lookup Tables'!$D$2:$D$6,'Lookup Tables'!$E$2:$E$6,0),0)
  + IFERROR(_xlfn.XLOOKUP(AV36,'Lookup Tables'!$G$2:$G$5,'Lookup Tables'!$H$2:$H$5,0),0)
  + IFERROR(_xlfn.XLOOKUP(AW36,'Lookup Tables'!$J$2:$J$5,'Lookup Tables'!$K$2:$K$5,0),0)
  + _xlfn.IFS(AX36="No Issues",10, AX36="Complaint Filed",3, AX36="Confirmed Breach",-15, TRUE,0)
  + IFERROR(_xlfn.XLOOKUP(AY36,'Lookup Tables'!$M$2:$M$6,'Lookup Tables'!$N$2:$N$6,0),0)
  + IFERROR(_xlfn.XLOOKUP(AZ36,'Lookup Tables'!$P$2:$P$6,'Lookup Tables'!$Q$2:$Q$6,0),0)
  + _xlfn.IFS(BA36="Formal Board Committee",5, BA36="Board Oversight Mentioned",2, TRUE,0)
  + _xlfn.IFS(BB36="Yes — Quantified Targets",5, BB36="Yes — Discretionary Only",2, TRUE,0)
  + _xlfn.IFS(BC36="Reasonable Assurance",5, BC36="Limited Assurance",3, BC36="Management Review Only",1, TRUE,0)
))</f>
        <v/>
      </c>
      <c r="BF36" s="5" t="n"/>
      <c r="BG36" s="5" t="n"/>
      <c r="BH36" s="5" t="n"/>
      <c r="BI36" s="5" t="n"/>
      <c r="BJ36" s="5" t="n"/>
      <c r="BK36" s="5" t="n"/>
      <c r="BL36" s="5" t="n"/>
      <c r="BM36" s="5" t="n"/>
      <c r="BN36" s="5" t="n"/>
      <c r="BO36" s="5" t="n"/>
      <c r="BP36" s="5" t="n"/>
      <c r="BQ36" s="5" t="n"/>
      <c r="BR36" s="5" t="n"/>
      <c r="BS36" s="41">
        <f t="array" ref="BS36">MIN(100, MAX(0,
  IFERROR(_xlfn.XLOOKUP(BG36,'Lookup Tables'!$A$11:$A$16,'Lookup Tables'!$B$11:$B$16,0),0)
  + IFERROR(_xlfn.XLOOKUP(BR36,'Lookup Tables'!$M$11:$M$14,'Lookup Tables'!$N$11:$N$14,0),0)
  + IFERROR(_xlfn.XLOOKUP(BQ36,'Lookup Tables'!$J$11:$J$15,'Lookup Tables'!$K$11:$K$15,0),0)
  + IFERROR(_xlfn.XLOOKUP(BH36,'Lookup Tables'!$D$11:$D$15,'Lookup Tables'!$E$11:$E$15,0),0)
  + IFERROR(_xlfn.XLOOKUP(BJ36,'Lookup Tables'!$G$11:$G$16,'Lookup Tables'!$H$11:$H$16,0),0)
  + IFERROR(_xlfn.XLOOKUP(BN36,'Lookup Tables'!$P$11:$P$15,'Lookup Tables'!$Q$11:$Q$15,0),0)
  + _xlfn.IFS(BM36="No Evidence",10, BM36="Unknown",3, BM36="Likely",0, BM36="Confirmed",-10, TRUE,3)
  + IFERROR(_xlfn.XLOOKUP(BP36,'Lookup Tables'!$J$21:$J$24,'Lookup Tables'!$K$21:$K$24,0),0)
))</f>
        <v/>
      </c>
      <c r="BT36" s="5" t="n"/>
      <c r="BU36" s="5" t="n"/>
      <c r="BV36" s="5" t="n"/>
      <c r="BW36" s="5" t="n"/>
      <c r="BX36" s="5" t="n"/>
      <c r="BY36" s="5" t="n"/>
      <c r="BZ36" s="5" t="n"/>
      <c r="CA36" s="5" t="n"/>
      <c r="CB36" s="5" t="n"/>
      <c r="CC36" s="5" t="n"/>
      <c r="CD36" s="5" t="n"/>
      <c r="CE36" s="43">
        <f t="array" ref="CE36">MIN(100, MAX(0,
  IF(ISNUMBER(BV36)*AND(BV36&gt;0), 10, 0)
  + _xlfn.IFS(BY36="Independently Verified",25, BY36="Yes",15, TRUE,0)
  + IFERROR(_xlfn.XLOOKUP(BZ36,'Lookup Tables'!$A$21:$A$24,'Lookup Tables'!$B$21:$B$24,0),0)
  + IFERROR(_xlfn.XLOOKUP(CA36,'Lookup Tables'!$D$21:$D$24,'Lookup Tables'!$E$21:$E$24,0),0)
  + _xlfn.IFS(ISNUMBER(CB36)*AND(CB36&gt;=11),15, ISNUMBER(CB36)*AND(CB36&gt;=6),10, ISNUMBER(CB36)*AND(CB36&gt;=1),5, TRUE,0)
  + IFERROR(_xlfn.XLOOKUP(CC36,'Lookup Tables'!$G$21:$G$25,'Lookup Tables'!$H$21:$H$25,0),0)
  - IF(ISNUMBER(BW36)*AND(ISNUMBER(BV36))*AND(BW36&gt;BV36), 20, 0)
  - IF(AND(BY36="Yes", ISNUMBER(BW36), BW36&gt;60), 10, 0)
))</f>
        <v/>
      </c>
      <c r="CF36" s="5" t="n"/>
      <c r="CG36" s="5" t="n"/>
      <c r="CH36" s="5" t="n"/>
      <c r="CI36" s="5" t="n"/>
      <c r="CJ36" s="5" t="n"/>
      <c r="CK36" s="5" t="n"/>
      <c r="CL36" s="5" t="n"/>
      <c r="CM36" s="5" t="n"/>
      <c r="CN36" s="5" t="n"/>
      <c r="CO36" s="5" t="n"/>
      <c r="CP36" s="5" t="n"/>
      <c r="CQ36" s="5" t="n"/>
      <c r="CR36" s="5">
        <f>COUNTIF(CJ36:CQ36,"FAIL")</f>
        <v/>
      </c>
      <c r="CS36" s="5">
        <f>COUNTIF(CJ36:CQ36,"PARTIAL")</f>
        <v/>
      </c>
      <c r="CT36" s="5">
        <f>COUNTIF(CJ36:CQ36,"MISSING")</f>
        <v/>
      </c>
      <c r="CU36" s="5">
        <f>MIN(100,
  CR36*15
  + CS36*6
  + CT36*3
  + IFERROR(_xlfn.XLOOKUP(CW36,'Lookup Tables'!$M$21:$M$25,'Lookup Tables'!$N$21:$N$25,0),0)
)</f>
        <v/>
      </c>
      <c r="CV36" s="5">
        <f>IFERROR(
CHOOSE(
MATCH("FAIL",CJ36:CQ36,0),
"1-Specificity","2-Metric","3-Baseline","4-Target",
"5-Time Horizon","6-Scope","7-Verification","8-Consistency"
),
IFERROR(
CHOOSE(
MATCH("PARTIAL",CJ36:CQ36,0),
"1-Specificity","2-Metric","3-Baseline","4-Target",
"5-Time Horizon","6-Scope","7-Verification","8-Consistency"
),
"No failures"
)
)</f>
        <v/>
      </c>
      <c r="CW36" s="5" t="n"/>
      <c r="CX36" s="5" t="n"/>
      <c r="CY36" s="5" t="n"/>
      <c r="CZ36" s="5" t="n"/>
      <c r="DA36" s="5">
        <f>IF(OR(CU36&gt;=50,CW36="Material",CW36="Severe",AS36="Material",AS36="Severe",BF36="Material",BF36="Severe — Exclusion Trigger",AND(ISNUMBER(BS36),BS36&lt;30)),"Yes","No")</f>
        <v/>
      </c>
      <c r="DB36" s="5">
        <f>IF(OR(CR36&gt;=6,AW36="Confirmed Violation",AX36="Confirmed Breach"),"Yes — Automatic",IF(CW36="Severe","Yes — Requires Captain Confirmation","No"))</f>
        <v/>
      </c>
      <c r="DC36" s="5" t="n"/>
      <c r="DD36" s="5" t="n"/>
      <c r="DE36" s="5" t="n"/>
      <c r="DF36" s="5" t="n"/>
      <c r="DG36" s="5" t="n"/>
      <c r="DH36" s="5" t="n"/>
      <c r="DI36" s="5" t="n"/>
      <c r="DJ36" s="5" t="n"/>
      <c r="DK36" s="5" t="n"/>
      <c r="DL36" s="5">
        <f>IF(OR(IFERROR(VALUE(LEFT(DF36,1)),99)&lt;=2,IFERROR(VALUE(LEFT(DG36,1)),99)&lt;=2),"Flagged","Clear")</f>
        <v/>
      </c>
      <c r="DM36" s="5">
        <f>IF(OR(DA36="Yes",DB36&lt;&gt;"No",DH36="Unverified",DL36="Flagged"),"Yes","No")</f>
        <v/>
      </c>
      <c r="DN36" s="5">
        <f t="array" ref="DN36">MIN(100,
  IF(ISNUMBER(V36), _xlfn.IFS(V36&gt;=3,25, V36=2,15, V36=1,5, TRUE,0), 0)
  + IFERROR(_xlfn.IFS(VALUE(LEFT(DF36,1))=5,25, VALUE(LEFT(DF36,1))=4,20, VALUE(LEFT(DF36,1))=3,15, VALUE(LEFT(DF36,1))=2,8, TRUE,0), 15)
  + IFERROR(_xlfn.IFS(VALUE(LEFT(DG36,1))=5,25, VALUE(LEFT(DG36,1))=4,20, VALUE(LEFT(DG36,1))=3,15, VALUE(LEFT(DG36,1))=2,8, TRUE,0), 15)
  + _xlfn.IFS(DH36="Fully Verified",25, DH36="Partially Verified",12, TRUE,0)
)</f>
        <v/>
      </c>
      <c r="DO36" s="5">
        <f t="array" ref="DO36">_xlfn.IFS(
  ISBLANK(AR36), "Insufficient Evidence",
  AND(AR36&gt;=65, AJ36="Approved"), "Strong",
  AR36&gt;=65, "Adequate",
  AR36&gt;=40, "Adequate",
  AR36&gt;=20, "Weak",
  TRUE, "Insufficient Evidence"
)</f>
        <v/>
      </c>
      <c r="DP36" s="5">
        <f t="array" ref="DP36">_xlfn.IFS(
  ISBLANK(BS36), "Insufficient Evidence",
  BS36&gt;=65, "Strong",
  BS36&gt;=40, "Adequate",
  BS36&gt;=20, "Weak",
  TRUE, "Insufficient Evidence"
)</f>
        <v/>
      </c>
      <c r="DQ36" s="5">
        <f t="array" ref="DQ36">_xlfn.IFS(
  ISBLANK(BE36), "Insufficient Evidence",
  OR(AW36="Confirmed Violation", AX36="Confirmed Breach"), "Severe — Hard Trigger",
  BE36&gt;=65, "Strong",
  BE36&gt;=40, "Adequate",
  BE36&gt;=20, "Weak",
  TRUE, "Insufficient Evidence"
)</f>
        <v/>
      </c>
      <c r="DR36" s="5">
        <f t="array" ref="DR36">_xlfn.IFS(
  ISBLANK(CU36), "Insufficient Evidence",
  CU36&lt;=20, "Low Risk",
  CU36&lt;=50, "Moderate Risk",
  CU36&lt;=75, "High Risk",
  TRUE, "Very High Risk"
)</f>
        <v/>
      </c>
      <c r="DS36" s="5">
        <f t="array" ref="DS36">_xlfn.IFS(
  ISBLANK(CE36), "Insufficient Evidence",
  AND(ISNUMBER(BW36),ISNUMBER(BV36),BW36&gt;BV36), "Overclaiming Risk",
  CE36&gt;=65, "Strong",
  CE36&gt;=40, "Adequate",
  TRUE, "Weak"
)</f>
        <v/>
      </c>
      <c r="DT36" s="5">
        <f>IF(DB36="Yes — Automatic",0,ROUND((IF(ISNUMBER(AR36),AR36,0)*0.3+IF(ISNUMBER(BS36),BS36,0)*0.2+IF(ISNUMBER(BE36),BE36,0)*0.2+IF(ISNUMBER(CE36),CE36,0)*0.15+(100-IF(ISNUMBER(CU36),CU36,50))*0.15)*IF(DN36&gt;=75,1,IF(DN36&gt;=50,0.9,IF(DN36&gt;=25,0.75,0.6))),1))</f>
        <v/>
      </c>
      <c r="DU36" s="5">
        <f t="array" ref="DU36">_xlfn.IFS(
  DV36="Upgraded to Clear", "Clear",
  DV36="Downgraded to Watchlist", "Watchlist",
  DV36="Downgraded to Exclusion", "Exclusion Risk",
  DB36="Yes — Automatic", "Exclusion Risk",
  OR(AW36="Confirmed Violation", AX36="Confirmed Breach"), "Exclusion Risk",
  OR(V36=0, ISBLANK(V36), DN36&lt;20), "Insufficient Evidence",
  AND(DT36&gt;=65, DA36="No", DB36="No"), "Clear",
  OR(DT36&gt;=40, DA36="Yes"), "Watchlist",
  TRUE, "Exclusion Risk"
)</f>
        <v/>
      </c>
      <c r="DV36" s="5" t="n"/>
      <c r="DW36" s="5">
        <f t="array" ref="DW36">_xlfn.IFS(
  DU36="Exclusion Risk", "Exclude — Hard Trigger",
  DU36="Insufficient Evidence", "Watchlist — Further Evidence Needed",
  DU36="Watchlist", "Watchlist — Further Evidence Needed",
  AND(DU36="Clear", DT36&gt;=80), "Include — No Conditions",
  DU36="Clear", "Include — Monitor",
  TRUE, "Watchlist — Further Evidence Needed"
)</f>
        <v/>
      </c>
      <c r="DX36" s="5" t="n"/>
      <c r="DY36" s="5" t="n"/>
      <c r="DZ36" s="5" t="n"/>
      <c r="EA36" s="5" t="n"/>
      <c r="EB36" s="5">
        <f>IF(OR(V36=0, ISBLANK(V36)), "MISSING — No sources reviewed", "")</f>
        <v/>
      </c>
      <c r="EC36" s="5">
        <f>IF(AND(NOT(ISBLANK(DC36)), ISBLANK(DE36)), "PAGE REF MISSING", "")</f>
        <v/>
      </c>
    </row>
    <row r="37" ht="18" customHeight="1" s="60">
      <c r="A37" s="3" t="inlineStr">
        <is>
          <t>Repsol SA</t>
        </is>
      </c>
      <c r="B37" s="3" t="inlineStr">
        <is>
          <t>REP</t>
        </is>
      </c>
      <c r="C37" s="3">
        <f>IF(ISBLANK('Universe Tracker'!D33),"",'Universe Tracker'!D33)</f>
        <v/>
      </c>
      <c r="D37" s="3" t="n"/>
      <c r="E37" s="3" t="n"/>
      <c r="F37" s="3">
        <f>IF(ISBLANK('Universe Tracker'!F33),"",'Universe Tracker'!F33)</f>
        <v/>
      </c>
      <c r="G37" s="3">
        <f>IF(ISBLANK('Universe Tracker'!G33),"",'Universe Tracker'!G33)</f>
        <v/>
      </c>
      <c r="H37" s="3" t="n"/>
      <c r="I37" s="3" t="n"/>
      <c r="J37" s="3">
        <f>IF(ISBLANK(B37),"",B37&amp;"_"&amp;C37)</f>
        <v/>
      </c>
      <c r="K37" s="3" t="n"/>
      <c r="L37" s="3" t="n"/>
      <c r="M37" s="3" t="n"/>
      <c r="N37" s="3" t="n"/>
      <c r="O37" s="3" t="n"/>
      <c r="P37" s="3" t="n"/>
      <c r="Q37" s="3" t="n"/>
      <c r="R37" s="3" t="n"/>
      <c r="S37" s="3" t="n"/>
      <c r="T37" s="3" t="n"/>
      <c r="U37" s="3" t="n"/>
      <c r="V37" s="3" t="n"/>
      <c r="W37" s="3" t="n"/>
      <c r="X37" s="3" t="n"/>
      <c r="Y37" s="3">
        <f>IF(AND(V37&gt;=2,K37="Yes",L37="Yes"),"Sufficient",IF(AND(V37&gt;=1,OR(K37="Yes",L37="Yes")),"Thin","Insufficient"))</f>
        <v/>
      </c>
      <c r="Z37" s="3" t="n"/>
      <c r="AA37" s="3" t="n"/>
      <c r="AB37" s="3" t="n"/>
      <c r="AC37" s="3" t="n"/>
      <c r="AD37" s="3" t="n"/>
      <c r="AE37" s="3" t="n"/>
      <c r="AF37" s="3" t="n"/>
      <c r="AG37" s="3" t="n"/>
      <c r="AH37" s="3" t="n"/>
      <c r="AI37" s="3" t="n"/>
      <c r="AJ37" s="3" t="n"/>
      <c r="AK37" s="3" t="n"/>
      <c r="AL37" s="3" t="n"/>
      <c r="AM37" s="3" t="n"/>
      <c r="AN37" s="3" t="n"/>
      <c r="AO37" s="3" t="n"/>
      <c r="AP37" s="3" t="n"/>
      <c r="AQ37" s="3" t="n"/>
      <c r="AR37" s="40">
        <f t="array" ref="AR37">MIN(100, MAX(0,
  IFERROR(_xlfn.XLOOKUP(AJ37,'Lookup Tables'!$A$2:$A$7,'Lookup Tables'!$B$2:$B$7,0),0)
  + IF(Z37="Yes", IF(IFERROR(_xlfn.XLOOKUP(AJ37,'Lookup Tables'!$A$2:$A$7,'Lookup Tables'!$B$2:$B$7,0),0)&lt;20, 5, 0), 0)
  + _xlfn.IFS(AB37="Yes", IF(ISNUMBER(AC37)*AND(AC37&lt;=2030),15,10), AB37="Long-term Only", 5, AB37="No", 0, TRUE, 0)
  + _xlfn.IFS(AF37="Full",10, AF37="Partial",5, AF37="Scope 2 Only",3, TRUE,0)
  + _xlfn.IFS(AG37="Yes", IF(ISNUMBER(AH37)*AND(AH37&gt;=5),10,6), AG37="Partial",4, TRUE,0)
  + _xlfn.IFS(AI37="Yes",5, AI37="Partial (material categories only)",3, TRUE,0)
  + _xlfn.IFS(AL37="Yes — Detailed",10, AL37="Yes — High Level",5, TRUE,0)
  + _xlfn.IFS(AM37="Yes — Quantified",15, AM37="Yes — Directional Only",7, TRUE,0)
  + _xlfn.IFS(AP37="Formal",5, AP37="Referenced",2, TRUE,0)
  + _xlfn.IFS(AQ37="No Issues Found",5, AQ37="Concern Identified",-5, AQ37="Severe Contradiction",-15, TRUE,0)
  + _xlfn.IFS(BC37="Reasonable Assurance",5, BC37="Limited Assurance",3, TRUE,0)
  - IF(AND(Z37="Yes", AI37="No"), 10, 0)
  - IF(AND(Z37="Yes", AM37="No"), 10, 0)
))</f>
        <v/>
      </c>
      <c r="AS37" s="3" t="n"/>
      <c r="AT37" s="3" t="n"/>
      <c r="AU37" s="3" t="n"/>
      <c r="AV37" s="3" t="n"/>
      <c r="AW37" s="3" t="n"/>
      <c r="AX37" s="3" t="n"/>
      <c r="AY37" s="3" t="n"/>
      <c r="AZ37" s="3" t="n"/>
      <c r="BA37" s="3" t="n"/>
      <c r="BB37" s="3" t="n"/>
      <c r="BC37" s="3" t="n"/>
      <c r="BD37" s="3" t="n"/>
      <c r="BE37" s="40">
        <f t="array" ref="BE37">MIN(100, MAX(0,
  IFERROR(_xlfn.XLOOKUP(AT37,'Lookup Tables'!$D$2:$D$6,'Lookup Tables'!$E$2:$E$6,0),0)
  + IFERROR(_xlfn.XLOOKUP(AV37,'Lookup Tables'!$G$2:$G$5,'Lookup Tables'!$H$2:$H$5,0),0)
  + IFERROR(_xlfn.XLOOKUP(AW37,'Lookup Tables'!$J$2:$J$5,'Lookup Tables'!$K$2:$K$5,0),0)
  + _xlfn.IFS(AX37="No Issues",10, AX37="Complaint Filed",3, AX37="Confirmed Breach",-15, TRUE,0)
  + IFERROR(_xlfn.XLOOKUP(AY37,'Lookup Tables'!$M$2:$M$6,'Lookup Tables'!$N$2:$N$6,0),0)
  + IFERROR(_xlfn.XLOOKUP(AZ37,'Lookup Tables'!$P$2:$P$6,'Lookup Tables'!$Q$2:$Q$6,0),0)
  + _xlfn.IFS(BA37="Formal Board Committee",5, BA37="Board Oversight Mentioned",2, TRUE,0)
  + _xlfn.IFS(BB37="Yes — Quantified Targets",5, BB37="Yes — Discretionary Only",2, TRUE,0)
  + _xlfn.IFS(BC37="Reasonable Assurance",5, BC37="Limited Assurance",3, BC37="Management Review Only",1, TRUE,0)
))</f>
        <v/>
      </c>
      <c r="BF37" s="3" t="n"/>
      <c r="BG37" s="3" t="n"/>
      <c r="BH37" s="3" t="n"/>
      <c r="BI37" s="3" t="n"/>
      <c r="BJ37" s="3" t="n"/>
      <c r="BK37" s="3" t="n"/>
      <c r="BL37" s="3" t="n"/>
      <c r="BM37" s="3" t="n"/>
      <c r="BN37" s="3" t="n"/>
      <c r="BO37" s="3" t="n"/>
      <c r="BP37" s="3" t="n"/>
      <c r="BQ37" s="3" t="n"/>
      <c r="BR37" s="3" t="n"/>
      <c r="BS37" s="42">
        <f t="array" ref="BS37">MIN(100, MAX(0,
  IFERROR(_xlfn.XLOOKUP(BG37,'Lookup Tables'!$A$11:$A$16,'Lookup Tables'!$B$11:$B$16,0),0)
  + IFERROR(_xlfn.XLOOKUP(BR37,'Lookup Tables'!$M$11:$M$14,'Lookup Tables'!$N$11:$N$14,0),0)
  + IFERROR(_xlfn.XLOOKUP(BQ37,'Lookup Tables'!$J$11:$J$15,'Lookup Tables'!$K$11:$K$15,0),0)
  + IFERROR(_xlfn.XLOOKUP(BH37,'Lookup Tables'!$D$11:$D$15,'Lookup Tables'!$E$11:$E$15,0),0)
  + IFERROR(_xlfn.XLOOKUP(BJ37,'Lookup Tables'!$G$11:$G$16,'Lookup Tables'!$H$11:$H$16,0),0)
  + IFERROR(_xlfn.XLOOKUP(BN37,'Lookup Tables'!$P$11:$P$15,'Lookup Tables'!$Q$11:$Q$15,0),0)
  + _xlfn.IFS(BM37="No Evidence",10, BM37="Unknown",3, BM37="Likely",0, BM37="Confirmed",-10, TRUE,3)
  + IFERROR(_xlfn.XLOOKUP(BP37,'Lookup Tables'!$J$21:$J$24,'Lookup Tables'!$K$21:$K$24,0),0)
))</f>
        <v/>
      </c>
      <c r="BT37" s="3" t="n"/>
      <c r="BU37" s="3" t="n"/>
      <c r="BV37" s="3" t="n"/>
      <c r="BW37" s="3" t="n"/>
      <c r="BX37" s="3" t="n"/>
      <c r="BY37" s="3" t="n"/>
      <c r="BZ37" s="3" t="n"/>
      <c r="CA37" s="3" t="n"/>
      <c r="CB37" s="3" t="n"/>
      <c r="CC37" s="3" t="n"/>
      <c r="CD37" s="3" t="n"/>
      <c r="CE37" s="44">
        <f t="array" ref="CE37">MIN(100, MAX(0,
  IF(ISNUMBER(BV37)*AND(BV37&gt;0), 10, 0)
  + _xlfn.IFS(BY37="Independently Verified",25, BY37="Yes",15, TRUE,0)
  + IFERROR(_xlfn.XLOOKUP(BZ37,'Lookup Tables'!$A$21:$A$24,'Lookup Tables'!$B$21:$B$24,0),0)
  + IFERROR(_xlfn.XLOOKUP(CA37,'Lookup Tables'!$D$21:$D$24,'Lookup Tables'!$E$21:$E$24,0),0)
  + _xlfn.IFS(ISNUMBER(CB37)*AND(CB37&gt;=11),15, ISNUMBER(CB37)*AND(CB37&gt;=6),10, ISNUMBER(CB37)*AND(CB37&gt;=1),5, TRUE,0)
  + IFERROR(_xlfn.XLOOKUP(CC37,'Lookup Tables'!$G$21:$G$25,'Lookup Tables'!$H$21:$H$25,0),0)
  - IF(ISNUMBER(BW37)*AND(ISNUMBER(BV37))*AND(BW37&gt;BV37), 20, 0)
  - IF(AND(BY37="Yes", ISNUMBER(BW37), BW37&gt;60), 10, 0)
))</f>
        <v/>
      </c>
      <c r="CF37" s="3" t="n"/>
      <c r="CG37" s="3" t="n"/>
      <c r="CH37" s="3" t="n"/>
      <c r="CI37" s="3" t="n"/>
      <c r="CJ37" s="3" t="n"/>
      <c r="CK37" s="3" t="n"/>
      <c r="CL37" s="3" t="n"/>
      <c r="CM37" s="3" t="n"/>
      <c r="CN37" s="3" t="n"/>
      <c r="CO37" s="3" t="n"/>
      <c r="CP37" s="3" t="n"/>
      <c r="CQ37" s="3" t="n"/>
      <c r="CR37" s="3">
        <f>COUNTIF(CJ37:CQ37,"FAIL")</f>
        <v/>
      </c>
      <c r="CS37" s="3">
        <f>COUNTIF(CJ37:CQ37,"PARTIAL")</f>
        <v/>
      </c>
      <c r="CT37" s="3">
        <f>COUNTIF(CJ37:CQ37,"MISSING")</f>
        <v/>
      </c>
      <c r="CU37" s="3">
        <f>MIN(100,
  CR37*15
  + CS37*6
  + CT37*3
  + IFERROR(_xlfn.XLOOKUP(CW37,'Lookup Tables'!$M$21:$M$25,'Lookup Tables'!$N$21:$N$25,0),0)
)</f>
        <v/>
      </c>
      <c r="CV37" s="3">
        <f>IFERROR(
CHOOSE(
MATCH("FAIL",CJ37:CQ37,0),
"1-Specificity","2-Metric","3-Baseline","4-Target",
"5-Time Horizon","6-Scope","7-Verification","8-Consistency"
),
IFERROR(
CHOOSE(
MATCH("PARTIAL",CJ37:CQ37,0),
"1-Specificity","2-Metric","3-Baseline","4-Target",
"5-Time Horizon","6-Scope","7-Verification","8-Consistency"
),
"No failures"
)
)</f>
        <v/>
      </c>
      <c r="CW37" s="3" t="n"/>
      <c r="CX37" s="3" t="n"/>
      <c r="CY37" s="3" t="n"/>
      <c r="CZ37" s="3" t="n"/>
      <c r="DA37" s="3">
        <f>IF(OR(CU37&gt;=50,CW37="Material",CW37="Severe",AS37="Material",AS37="Severe",BF37="Material",BF37="Severe — Exclusion Trigger",AND(ISNUMBER(BS37),BS37&lt;30)),"Yes","No")</f>
        <v/>
      </c>
      <c r="DB37" s="3">
        <f>IF(OR(CR37&gt;=6,AW37="Confirmed Violation",AX37="Confirmed Breach"),"Yes — Automatic",IF(CW37="Severe","Yes — Requires Captain Confirmation","No"))</f>
        <v/>
      </c>
      <c r="DC37" s="3" t="n"/>
      <c r="DD37" s="3" t="n"/>
      <c r="DE37" s="3" t="n"/>
      <c r="DF37" s="3" t="n"/>
      <c r="DG37" s="3" t="n"/>
      <c r="DH37" s="3" t="n"/>
      <c r="DI37" s="3" t="n"/>
      <c r="DJ37" s="3" t="n"/>
      <c r="DK37" s="3" t="n"/>
      <c r="DL37" s="3">
        <f>IF(OR(IFERROR(VALUE(LEFT(DF37,1)),99)&lt;=2,IFERROR(VALUE(LEFT(DG37,1)),99)&lt;=2),"Flagged","Clear")</f>
        <v/>
      </c>
      <c r="DM37" s="3">
        <f>IF(OR(DA37="Yes",DB37&lt;&gt;"No",DH37="Unverified",DL37="Flagged"),"Yes","No")</f>
        <v/>
      </c>
      <c r="DN37" s="3">
        <f t="array" ref="DN37">MIN(100,
  IF(ISNUMBER(V37), _xlfn.IFS(V37&gt;=3,25, V37=2,15, V37=1,5, TRUE,0), 0)
  + IFERROR(_xlfn.IFS(VALUE(LEFT(DF37,1))=5,25, VALUE(LEFT(DF37,1))=4,20, VALUE(LEFT(DF37,1))=3,15, VALUE(LEFT(DF37,1))=2,8, TRUE,0), 15)
  + IFERROR(_xlfn.IFS(VALUE(LEFT(DG37,1))=5,25, VALUE(LEFT(DG37,1))=4,20, VALUE(LEFT(DG37,1))=3,15, VALUE(LEFT(DG37,1))=2,8, TRUE,0), 15)
  + _xlfn.IFS(DH37="Fully Verified",25, DH37="Partially Verified",12, TRUE,0)
)</f>
        <v/>
      </c>
      <c r="DO37" s="3">
        <f t="array" ref="DO37">_xlfn.IFS(
  ISBLANK(AR37), "Insufficient Evidence",
  AND(AR37&gt;=65, AJ37="Approved"), "Strong",
  AR37&gt;=65, "Adequate",
  AR37&gt;=40, "Adequate",
  AR37&gt;=20, "Weak",
  TRUE, "Insufficient Evidence"
)</f>
        <v/>
      </c>
      <c r="DP37" s="3">
        <f t="array" ref="DP37">_xlfn.IFS(
  ISBLANK(BS37), "Insufficient Evidence",
  BS37&gt;=65, "Strong",
  BS37&gt;=40, "Adequate",
  BS37&gt;=20, "Weak",
  TRUE, "Insufficient Evidence"
)</f>
        <v/>
      </c>
      <c r="DQ37" s="3">
        <f t="array" ref="DQ37">_xlfn.IFS(
  ISBLANK(BE37), "Insufficient Evidence",
  OR(AW37="Confirmed Violation", AX37="Confirmed Breach"), "Severe — Hard Trigger",
  BE37&gt;=65, "Strong",
  BE37&gt;=40, "Adequate",
  BE37&gt;=20, "Weak",
  TRUE, "Insufficient Evidence"
)</f>
        <v/>
      </c>
      <c r="DR37" s="3">
        <f t="array" ref="DR37">_xlfn.IFS(
  ISBLANK(CU37), "Insufficient Evidence",
  CU37&lt;=20, "Low Risk",
  CU37&lt;=50, "Moderate Risk",
  CU37&lt;=75, "High Risk",
  TRUE, "Very High Risk"
)</f>
        <v/>
      </c>
      <c r="DS37" s="3">
        <f t="array" ref="DS37">_xlfn.IFS(
  ISBLANK(CE37), "Insufficient Evidence",
  AND(ISNUMBER(BW37),ISNUMBER(BV37),BW37&gt;BV37), "Overclaiming Risk",
  CE37&gt;=65, "Strong",
  CE37&gt;=40, "Adequate",
  TRUE, "Weak"
)</f>
        <v/>
      </c>
      <c r="DT37" s="3">
        <f>IF(DB37="Yes — Automatic",0,ROUND((IF(ISNUMBER(AR37),AR37,0)*0.3+IF(ISNUMBER(BS37),BS37,0)*0.2+IF(ISNUMBER(BE37),BE37,0)*0.2+IF(ISNUMBER(CE37),CE37,0)*0.15+(100-IF(ISNUMBER(CU37),CU37,50))*0.15)*IF(DN37&gt;=75,1,IF(DN37&gt;=50,0.9,IF(DN37&gt;=25,0.75,0.6))),1))</f>
        <v/>
      </c>
      <c r="DU37" s="3">
        <f t="array" ref="DU37">_xlfn.IFS(
  DV37="Upgraded to Clear", "Clear",
  DV37="Downgraded to Watchlist", "Watchlist",
  DV37="Downgraded to Exclusion", "Exclusion Risk",
  DB37="Yes — Automatic", "Exclusion Risk",
  OR(AW37="Confirmed Violation", AX37="Confirmed Breach"), "Exclusion Risk",
  OR(V37=0, ISBLANK(V37), DN37&lt;20), "Insufficient Evidence",
  AND(DT37&gt;=65, DA37="No", DB37="No"), "Clear",
  OR(DT37&gt;=40, DA37="Yes"), "Watchlist",
  TRUE, "Exclusion Risk"
)</f>
        <v/>
      </c>
      <c r="DV37" s="3" t="n"/>
      <c r="DW37" s="3">
        <f t="array" ref="DW37">_xlfn.IFS(
  DU37="Exclusion Risk", "Exclude — Hard Trigger",
  DU37="Insufficient Evidence", "Watchlist — Further Evidence Needed",
  DU37="Watchlist", "Watchlist — Further Evidence Needed",
  AND(DU37="Clear", DT37&gt;=80), "Include — No Conditions",
  DU37="Clear", "Include — Monitor",
  TRUE, "Watchlist — Further Evidence Needed"
)</f>
        <v/>
      </c>
      <c r="DX37" s="3" t="n"/>
      <c r="DY37" s="3" t="n"/>
      <c r="DZ37" s="3" t="n"/>
      <c r="EA37" s="3" t="n"/>
      <c r="EB37" s="3">
        <f>IF(OR(V37=0, ISBLANK(V37)), "MISSING — No sources reviewed", "")</f>
        <v/>
      </c>
      <c r="EC37" s="3">
        <f>IF(AND(NOT(ISBLANK(DC37)), ISBLANK(DE37)), "PAGE REF MISSING", "")</f>
        <v/>
      </c>
    </row>
    <row r="38" ht="18" customHeight="1" s="60">
      <c r="A38" s="5" t="inlineStr">
        <is>
          <t>ING Groep NV</t>
        </is>
      </c>
      <c r="B38" s="5" t="inlineStr">
        <is>
          <t>INN1</t>
        </is>
      </c>
      <c r="C38" s="5">
        <f>IF(ISBLANK('Universe Tracker'!D34),"",'Universe Tracker'!D34)</f>
        <v/>
      </c>
      <c r="D38" s="5" t="n"/>
      <c r="E38" s="5" t="n"/>
      <c r="F38" s="5">
        <f>IF(ISBLANK('Universe Tracker'!F34),"",'Universe Tracker'!F34)</f>
        <v/>
      </c>
      <c r="G38" s="5">
        <f>IF(ISBLANK('Universe Tracker'!G34),"",'Universe Tracker'!G34)</f>
        <v/>
      </c>
      <c r="H38" s="5" t="n"/>
      <c r="I38" s="5" t="n"/>
      <c r="J38" s="5">
        <f>IF(ISBLANK(B38),"",B38&amp;"_"&amp;C38)</f>
        <v/>
      </c>
      <c r="K38" s="5" t="n"/>
      <c r="L38" s="5" t="n"/>
      <c r="M38" s="5" t="n"/>
      <c r="N38" s="5" t="n"/>
      <c r="O38" s="5" t="n"/>
      <c r="P38" s="5" t="n"/>
      <c r="Q38" s="5" t="n"/>
      <c r="R38" s="5" t="n"/>
      <c r="S38" s="5" t="n"/>
      <c r="T38" s="5" t="n"/>
      <c r="U38" s="5" t="n"/>
      <c r="V38" s="5" t="n"/>
      <c r="W38" s="5" t="n"/>
      <c r="X38" s="5" t="n"/>
      <c r="Y38" s="5">
        <f>IF(AND(V38&gt;=2,K38="Yes",L38="Yes"),"Sufficient",IF(AND(V38&gt;=1,OR(K38="Yes",L38="Yes")),"Thin","Insufficient"))</f>
        <v/>
      </c>
      <c r="Z38" s="5" t="n"/>
      <c r="AA38" s="5" t="n"/>
      <c r="AB38" s="5" t="n"/>
      <c r="AC38" s="5" t="n"/>
      <c r="AD38" s="5" t="n"/>
      <c r="AE38" s="5" t="n"/>
      <c r="AF38" s="5" t="n"/>
      <c r="AG38" s="5" t="n"/>
      <c r="AH38" s="5" t="n"/>
      <c r="AI38" s="5" t="n"/>
      <c r="AJ38" s="5" t="n"/>
      <c r="AK38" s="5" t="n"/>
      <c r="AL38" s="5" t="n"/>
      <c r="AM38" s="5" t="n"/>
      <c r="AN38" s="5" t="n"/>
      <c r="AO38" s="5" t="n"/>
      <c r="AP38" s="5" t="n"/>
      <c r="AQ38" s="5" t="n"/>
      <c r="AR38" s="40">
        <f t="array" ref="AR38">MIN(100, MAX(0,
  IFERROR(_xlfn.XLOOKUP(AJ38,'Lookup Tables'!$A$2:$A$7,'Lookup Tables'!$B$2:$B$7,0),0)
  + IF(Z38="Yes", IF(IFERROR(_xlfn.XLOOKUP(AJ38,'Lookup Tables'!$A$2:$A$7,'Lookup Tables'!$B$2:$B$7,0),0)&lt;20, 5, 0), 0)
  + _xlfn.IFS(AB38="Yes", IF(ISNUMBER(AC38)*AND(AC38&lt;=2030),15,10), AB38="Long-term Only", 5, AB38="No", 0, TRUE, 0)
  + _xlfn.IFS(AF38="Full",10, AF38="Partial",5, AF38="Scope 2 Only",3, TRUE,0)
  + _xlfn.IFS(AG38="Yes", IF(ISNUMBER(AH38)*AND(AH38&gt;=5),10,6), AG38="Partial",4, TRUE,0)
  + _xlfn.IFS(AI38="Yes",5, AI38="Partial (material categories only)",3, TRUE,0)
  + _xlfn.IFS(AL38="Yes — Detailed",10, AL38="Yes — High Level",5, TRUE,0)
  + _xlfn.IFS(AM38="Yes — Quantified",15, AM38="Yes — Directional Only",7, TRUE,0)
  + _xlfn.IFS(AP38="Formal",5, AP38="Referenced",2, TRUE,0)
  + _xlfn.IFS(AQ38="No Issues Found",5, AQ38="Concern Identified",-5, AQ38="Severe Contradiction",-15, TRUE,0)
  + _xlfn.IFS(BC38="Reasonable Assurance",5, BC38="Limited Assurance",3, TRUE,0)
  - IF(AND(Z38="Yes", AI38="No"), 10, 0)
  - IF(AND(Z38="Yes", AM38="No"), 10, 0)
))</f>
        <v/>
      </c>
      <c r="AS38" s="5" t="n"/>
      <c r="AT38" s="5" t="n"/>
      <c r="AU38" s="5" t="n"/>
      <c r="AV38" s="5" t="n"/>
      <c r="AW38" s="5" t="n"/>
      <c r="AX38" s="5" t="n"/>
      <c r="AY38" s="5" t="n"/>
      <c r="AZ38" s="5" t="n"/>
      <c r="BA38" s="5" t="n"/>
      <c r="BB38" s="5" t="n"/>
      <c r="BC38" s="5" t="n"/>
      <c r="BD38" s="5" t="n"/>
      <c r="BE38" s="39">
        <f t="array" ref="BE38">MIN(100, MAX(0,
  IFERROR(_xlfn.XLOOKUP(AT38,'Lookup Tables'!$D$2:$D$6,'Lookup Tables'!$E$2:$E$6,0),0)
  + IFERROR(_xlfn.XLOOKUP(AV38,'Lookup Tables'!$G$2:$G$5,'Lookup Tables'!$H$2:$H$5,0),0)
  + IFERROR(_xlfn.XLOOKUP(AW38,'Lookup Tables'!$J$2:$J$5,'Lookup Tables'!$K$2:$K$5,0),0)
  + _xlfn.IFS(AX38="No Issues",10, AX38="Complaint Filed",3, AX38="Confirmed Breach",-15, TRUE,0)
  + IFERROR(_xlfn.XLOOKUP(AY38,'Lookup Tables'!$M$2:$M$6,'Lookup Tables'!$N$2:$N$6,0),0)
  + IFERROR(_xlfn.XLOOKUP(AZ38,'Lookup Tables'!$P$2:$P$6,'Lookup Tables'!$Q$2:$Q$6,0),0)
  + _xlfn.IFS(BA38="Formal Board Committee",5, BA38="Board Oversight Mentioned",2, TRUE,0)
  + _xlfn.IFS(BB38="Yes — Quantified Targets",5, BB38="Yes — Discretionary Only",2, TRUE,0)
  + _xlfn.IFS(BC38="Reasonable Assurance",5, BC38="Limited Assurance",3, BC38="Management Review Only",1, TRUE,0)
))</f>
        <v/>
      </c>
      <c r="BF38" s="5" t="n"/>
      <c r="BG38" s="5" t="n"/>
      <c r="BH38" s="5" t="n"/>
      <c r="BI38" s="5" t="n"/>
      <c r="BJ38" s="5" t="n"/>
      <c r="BK38" s="5" t="n"/>
      <c r="BL38" s="5" t="n"/>
      <c r="BM38" s="5" t="n"/>
      <c r="BN38" s="5" t="n"/>
      <c r="BO38" s="5" t="n"/>
      <c r="BP38" s="5" t="n"/>
      <c r="BQ38" s="5" t="n"/>
      <c r="BR38" s="5" t="n"/>
      <c r="BS38" s="41">
        <f t="array" ref="BS38">MIN(100, MAX(0,
  IFERROR(_xlfn.XLOOKUP(BG38,'Lookup Tables'!$A$11:$A$16,'Lookup Tables'!$B$11:$B$16,0),0)
  + IFERROR(_xlfn.XLOOKUP(BR38,'Lookup Tables'!$M$11:$M$14,'Lookup Tables'!$N$11:$N$14,0),0)
  + IFERROR(_xlfn.XLOOKUP(BQ38,'Lookup Tables'!$J$11:$J$15,'Lookup Tables'!$K$11:$K$15,0),0)
  + IFERROR(_xlfn.XLOOKUP(BH38,'Lookup Tables'!$D$11:$D$15,'Lookup Tables'!$E$11:$E$15,0),0)
  + IFERROR(_xlfn.XLOOKUP(BJ38,'Lookup Tables'!$G$11:$G$16,'Lookup Tables'!$H$11:$H$16,0),0)
  + IFERROR(_xlfn.XLOOKUP(BN38,'Lookup Tables'!$P$11:$P$15,'Lookup Tables'!$Q$11:$Q$15,0),0)
  + _xlfn.IFS(BM38="No Evidence",10, BM38="Unknown",3, BM38="Likely",0, BM38="Confirmed",-10, TRUE,3)
  + IFERROR(_xlfn.XLOOKUP(BP38,'Lookup Tables'!$J$21:$J$24,'Lookup Tables'!$K$21:$K$24,0),0)
))</f>
        <v/>
      </c>
      <c r="BT38" s="5" t="n"/>
      <c r="BU38" s="5" t="n"/>
      <c r="BV38" s="5" t="n"/>
      <c r="BW38" s="5" t="n"/>
      <c r="BX38" s="5" t="n"/>
      <c r="BY38" s="5" t="n"/>
      <c r="BZ38" s="5" t="n"/>
      <c r="CA38" s="5" t="n"/>
      <c r="CB38" s="5" t="n"/>
      <c r="CC38" s="5" t="n"/>
      <c r="CD38" s="5" t="n"/>
      <c r="CE38" s="43">
        <f t="array" ref="CE38">MIN(100, MAX(0,
  IF(ISNUMBER(BV38)*AND(BV38&gt;0), 10, 0)
  + _xlfn.IFS(BY38="Independently Verified",25, BY38="Yes",15, TRUE,0)
  + IFERROR(_xlfn.XLOOKUP(BZ38,'Lookup Tables'!$A$21:$A$24,'Lookup Tables'!$B$21:$B$24,0),0)
  + IFERROR(_xlfn.XLOOKUP(CA38,'Lookup Tables'!$D$21:$D$24,'Lookup Tables'!$E$21:$E$24,0),0)
  + _xlfn.IFS(ISNUMBER(CB38)*AND(CB38&gt;=11),15, ISNUMBER(CB38)*AND(CB38&gt;=6),10, ISNUMBER(CB38)*AND(CB38&gt;=1),5, TRUE,0)
  + IFERROR(_xlfn.XLOOKUP(CC38,'Lookup Tables'!$G$21:$G$25,'Lookup Tables'!$H$21:$H$25,0),0)
  - IF(ISNUMBER(BW38)*AND(ISNUMBER(BV38))*AND(BW38&gt;BV38), 20, 0)
  - IF(AND(BY38="Yes", ISNUMBER(BW38), BW38&gt;60), 10, 0)
))</f>
        <v/>
      </c>
      <c r="CF38" s="5" t="n"/>
      <c r="CG38" s="5" t="n"/>
      <c r="CH38" s="5" t="n"/>
      <c r="CI38" s="5" t="n"/>
      <c r="CJ38" s="5" t="n"/>
      <c r="CK38" s="5" t="n"/>
      <c r="CL38" s="5" t="n"/>
      <c r="CM38" s="5" t="n"/>
      <c r="CN38" s="5" t="n"/>
      <c r="CO38" s="5" t="n"/>
      <c r="CP38" s="5" t="n"/>
      <c r="CQ38" s="5" t="n"/>
      <c r="CR38" s="5">
        <f>COUNTIF(CJ38:CQ38,"FAIL")</f>
        <v/>
      </c>
      <c r="CS38" s="5">
        <f>COUNTIF(CJ38:CQ38,"PARTIAL")</f>
        <v/>
      </c>
      <c r="CT38" s="5">
        <f>COUNTIF(CJ38:CQ38,"MISSING")</f>
        <v/>
      </c>
      <c r="CU38" s="5">
        <f>MIN(100,
  CR38*15
  + CS38*6
  + CT38*3
  + IFERROR(_xlfn.XLOOKUP(CW38,'Lookup Tables'!$M$21:$M$25,'Lookup Tables'!$N$21:$N$25,0),0)
)</f>
        <v/>
      </c>
      <c r="CV38" s="5">
        <f>IFERROR(
CHOOSE(
MATCH("FAIL",CJ38:CQ38,0),
"1-Specificity","2-Metric","3-Baseline","4-Target",
"5-Time Horizon","6-Scope","7-Verification","8-Consistency"
),
IFERROR(
CHOOSE(
MATCH("PARTIAL",CJ38:CQ38,0),
"1-Specificity","2-Metric","3-Baseline","4-Target",
"5-Time Horizon","6-Scope","7-Verification","8-Consistency"
),
"No failures"
)
)</f>
        <v/>
      </c>
      <c r="CW38" s="5" t="n"/>
      <c r="CX38" s="5" t="n"/>
      <c r="CY38" s="5" t="n"/>
      <c r="CZ38" s="5" t="n"/>
      <c r="DA38" s="5">
        <f>IF(OR(CU38&gt;=50,CW38="Material",CW38="Severe",AS38="Material",AS38="Severe",BF38="Material",BF38="Severe — Exclusion Trigger",AND(ISNUMBER(BS38),BS38&lt;30)),"Yes","No")</f>
        <v/>
      </c>
      <c r="DB38" s="5">
        <f>IF(OR(CR38&gt;=6,AW38="Confirmed Violation",AX38="Confirmed Breach"),"Yes — Automatic",IF(CW38="Severe","Yes — Requires Captain Confirmation","No"))</f>
        <v/>
      </c>
      <c r="DC38" s="5" t="n"/>
      <c r="DD38" s="5" t="n"/>
      <c r="DE38" s="5" t="n"/>
      <c r="DF38" s="5" t="n"/>
      <c r="DG38" s="5" t="n"/>
      <c r="DH38" s="5" t="n"/>
      <c r="DI38" s="5" t="n"/>
      <c r="DJ38" s="5" t="n"/>
      <c r="DK38" s="5" t="n"/>
      <c r="DL38" s="5">
        <f>IF(OR(IFERROR(VALUE(LEFT(DF38,1)),99)&lt;=2,IFERROR(VALUE(LEFT(DG38,1)),99)&lt;=2),"Flagged","Clear")</f>
        <v/>
      </c>
      <c r="DM38" s="5">
        <f>IF(OR(DA38="Yes",DB38&lt;&gt;"No",DH38="Unverified",DL38="Flagged"),"Yes","No")</f>
        <v/>
      </c>
      <c r="DN38" s="5">
        <f t="array" ref="DN38">MIN(100,
  IF(ISNUMBER(V38), _xlfn.IFS(V38&gt;=3,25, V38=2,15, V38=1,5, TRUE,0), 0)
  + IFERROR(_xlfn.IFS(VALUE(LEFT(DF38,1))=5,25, VALUE(LEFT(DF38,1))=4,20, VALUE(LEFT(DF38,1))=3,15, VALUE(LEFT(DF38,1))=2,8, TRUE,0), 15)
  + IFERROR(_xlfn.IFS(VALUE(LEFT(DG38,1))=5,25, VALUE(LEFT(DG38,1))=4,20, VALUE(LEFT(DG38,1))=3,15, VALUE(LEFT(DG38,1))=2,8, TRUE,0), 15)
  + _xlfn.IFS(DH38="Fully Verified",25, DH38="Partially Verified",12, TRUE,0)
)</f>
        <v/>
      </c>
      <c r="DO38" s="5">
        <f t="array" ref="DO38">_xlfn.IFS(
  ISBLANK(AR38), "Insufficient Evidence",
  AND(AR38&gt;=65, AJ38="Approved"), "Strong",
  AR38&gt;=65, "Adequate",
  AR38&gt;=40, "Adequate",
  AR38&gt;=20, "Weak",
  TRUE, "Insufficient Evidence"
)</f>
        <v/>
      </c>
      <c r="DP38" s="5">
        <f t="array" ref="DP38">_xlfn.IFS(
  ISBLANK(BS38), "Insufficient Evidence",
  BS38&gt;=65, "Strong",
  BS38&gt;=40, "Adequate",
  BS38&gt;=20, "Weak",
  TRUE, "Insufficient Evidence"
)</f>
        <v/>
      </c>
      <c r="DQ38" s="5">
        <f t="array" ref="DQ38">_xlfn.IFS(
  ISBLANK(BE38), "Insufficient Evidence",
  OR(AW38="Confirmed Violation", AX38="Confirmed Breach"), "Severe — Hard Trigger",
  BE38&gt;=65, "Strong",
  BE38&gt;=40, "Adequate",
  BE38&gt;=20, "Weak",
  TRUE, "Insufficient Evidence"
)</f>
        <v/>
      </c>
      <c r="DR38" s="5">
        <f t="array" ref="DR38">_xlfn.IFS(
  ISBLANK(CU38), "Insufficient Evidence",
  CU38&lt;=20, "Low Risk",
  CU38&lt;=50, "Moderate Risk",
  CU38&lt;=75, "High Risk",
  TRUE, "Very High Risk"
)</f>
        <v/>
      </c>
      <c r="DS38" s="5">
        <f t="array" ref="DS38">_xlfn.IFS(
  ISBLANK(CE38), "Insufficient Evidence",
  AND(ISNUMBER(BW38),ISNUMBER(BV38),BW38&gt;BV38), "Overclaiming Risk",
  CE38&gt;=65, "Strong",
  CE38&gt;=40, "Adequate",
  TRUE, "Weak"
)</f>
        <v/>
      </c>
      <c r="DT38" s="5">
        <f>IF(DB38="Yes — Automatic",0,ROUND((IF(ISNUMBER(AR38),AR38,0)*0.3+IF(ISNUMBER(BS38),BS38,0)*0.2+IF(ISNUMBER(BE38),BE38,0)*0.2+IF(ISNUMBER(CE38),CE38,0)*0.15+(100-IF(ISNUMBER(CU38),CU38,50))*0.15)*IF(DN38&gt;=75,1,IF(DN38&gt;=50,0.9,IF(DN38&gt;=25,0.75,0.6))),1))</f>
        <v/>
      </c>
      <c r="DU38" s="5">
        <f t="array" ref="DU38">_xlfn.IFS(
  DV38="Upgraded to Clear", "Clear",
  DV38="Downgraded to Watchlist", "Watchlist",
  DV38="Downgraded to Exclusion", "Exclusion Risk",
  DB38="Yes — Automatic", "Exclusion Risk",
  OR(AW38="Confirmed Violation", AX38="Confirmed Breach"), "Exclusion Risk",
  OR(V38=0, ISBLANK(V38), DN38&lt;20), "Insufficient Evidence",
  AND(DT38&gt;=65, DA38="No", DB38="No"), "Clear",
  OR(DT38&gt;=40, DA38="Yes"), "Watchlist",
  TRUE, "Exclusion Risk"
)</f>
        <v/>
      </c>
      <c r="DV38" s="5" t="n"/>
      <c r="DW38" s="5">
        <f t="array" ref="DW38">_xlfn.IFS(
  DU38="Exclusion Risk", "Exclude — Hard Trigger",
  DU38="Insufficient Evidence", "Watchlist — Further Evidence Needed",
  DU38="Watchlist", "Watchlist — Further Evidence Needed",
  AND(DU38="Clear", DT38&gt;=80), "Include — No Conditions",
  DU38="Clear", "Include — Monitor",
  TRUE, "Watchlist — Further Evidence Needed"
)</f>
        <v/>
      </c>
      <c r="DX38" s="5" t="n"/>
      <c r="DY38" s="5" t="n"/>
      <c r="DZ38" s="5" t="n"/>
      <c r="EA38" s="5" t="n"/>
      <c r="EB38" s="5">
        <f>IF(OR(V38=0, ISBLANK(V38)), "MISSING — No sources reviewed", "")</f>
        <v/>
      </c>
      <c r="EC38" s="5">
        <f>IF(AND(NOT(ISBLANK(DC38)), ISBLANK(DE38)), "PAGE REF MISSING", "")</f>
        <v/>
      </c>
    </row>
    <row r="39" ht="18" customHeight="1" s="60">
      <c r="A39" s="3" t="inlineStr">
        <is>
          <t>Diploma PLC</t>
        </is>
      </c>
      <c r="B39" s="3" t="inlineStr">
        <is>
          <t>DP9</t>
        </is>
      </c>
      <c r="C39" s="3">
        <f>IF(ISBLANK('Universe Tracker'!D35),"",'Universe Tracker'!D35)</f>
        <v/>
      </c>
      <c r="D39" s="3" t="n"/>
      <c r="E39" s="3" t="n"/>
      <c r="F39" s="3">
        <f>IF(ISBLANK('Universe Tracker'!F35),"",'Universe Tracker'!F35)</f>
        <v/>
      </c>
      <c r="G39" s="3">
        <f>IF(ISBLANK('Universe Tracker'!G35),"",'Universe Tracker'!G35)</f>
        <v/>
      </c>
      <c r="H39" s="3" t="n"/>
      <c r="I39" s="3" t="n"/>
      <c r="J39" s="3">
        <f>IF(ISBLANK(B39),"",B39&amp;"_"&amp;C39)</f>
        <v/>
      </c>
      <c r="K39" s="3" t="n"/>
      <c r="L39" s="3" t="n"/>
      <c r="M39" s="3" t="n"/>
      <c r="N39" s="3" t="n"/>
      <c r="O39" s="3" t="n"/>
      <c r="P39" s="3" t="n"/>
      <c r="Q39" s="3" t="n"/>
      <c r="R39" s="3" t="n"/>
      <c r="S39" s="3" t="n"/>
      <c r="T39" s="3" t="n"/>
      <c r="U39" s="3" t="n"/>
      <c r="V39" s="3" t="n"/>
      <c r="W39" s="3" t="n"/>
      <c r="X39" s="3" t="n"/>
      <c r="Y39" s="3">
        <f>IF(AND(V39&gt;=2,K39="Yes",L39="Yes"),"Sufficient",IF(AND(V39&gt;=1,OR(K39="Yes",L39="Yes")),"Thin","Insufficient"))</f>
        <v/>
      </c>
      <c r="Z39" s="3" t="n"/>
      <c r="AA39" s="3" t="n"/>
      <c r="AB39" s="3" t="n"/>
      <c r="AC39" s="3" t="n"/>
      <c r="AD39" s="3" t="n"/>
      <c r="AE39" s="3" t="n"/>
      <c r="AF39" s="3" t="n"/>
      <c r="AG39" s="3" t="n"/>
      <c r="AH39" s="3" t="n"/>
      <c r="AI39" s="3" t="n"/>
      <c r="AJ39" s="3" t="n"/>
      <c r="AK39" s="3" t="n"/>
      <c r="AL39" s="3" t="n"/>
      <c r="AM39" s="3" t="n"/>
      <c r="AN39" s="3" t="n"/>
      <c r="AO39" s="3" t="n"/>
      <c r="AP39" s="3" t="n"/>
      <c r="AQ39" s="3" t="n"/>
      <c r="AR39" s="40">
        <f t="array" ref="AR39">MIN(100, MAX(0,
  IFERROR(_xlfn.XLOOKUP(AJ39,'Lookup Tables'!$A$2:$A$7,'Lookup Tables'!$B$2:$B$7,0),0)
  + IF(Z39="Yes", IF(IFERROR(_xlfn.XLOOKUP(AJ39,'Lookup Tables'!$A$2:$A$7,'Lookup Tables'!$B$2:$B$7,0),0)&lt;20, 5, 0), 0)
  + _xlfn.IFS(AB39="Yes", IF(ISNUMBER(AC39)*AND(AC39&lt;=2030),15,10), AB39="Long-term Only", 5, AB39="No", 0, TRUE, 0)
  + _xlfn.IFS(AF39="Full",10, AF39="Partial",5, AF39="Scope 2 Only",3, TRUE,0)
  + _xlfn.IFS(AG39="Yes", IF(ISNUMBER(AH39)*AND(AH39&gt;=5),10,6), AG39="Partial",4, TRUE,0)
  + _xlfn.IFS(AI39="Yes",5, AI39="Partial (material categories only)",3, TRUE,0)
  + _xlfn.IFS(AL39="Yes — Detailed",10, AL39="Yes — High Level",5, TRUE,0)
  + _xlfn.IFS(AM39="Yes — Quantified",15, AM39="Yes — Directional Only",7, TRUE,0)
  + _xlfn.IFS(AP39="Formal",5, AP39="Referenced",2, TRUE,0)
  + _xlfn.IFS(AQ39="No Issues Found",5, AQ39="Concern Identified",-5, AQ39="Severe Contradiction",-15, TRUE,0)
  + _xlfn.IFS(BC39="Reasonable Assurance",5, BC39="Limited Assurance",3, TRUE,0)
  - IF(AND(Z39="Yes", AI39="No"), 10, 0)
  - IF(AND(Z39="Yes", AM39="No"), 10, 0)
))</f>
        <v/>
      </c>
      <c r="AS39" s="3" t="n"/>
      <c r="AT39" s="3" t="n"/>
      <c r="AU39" s="3" t="n"/>
      <c r="AV39" s="3" t="n"/>
      <c r="AW39" s="3" t="n"/>
      <c r="AX39" s="3" t="n"/>
      <c r="AY39" s="3" t="n"/>
      <c r="AZ39" s="3" t="n"/>
      <c r="BA39" s="3" t="n"/>
      <c r="BB39" s="3" t="n"/>
      <c r="BC39" s="3" t="n"/>
      <c r="BD39" s="3" t="n"/>
      <c r="BE39" s="40">
        <f t="array" ref="BE39">MIN(100, MAX(0,
  IFERROR(_xlfn.XLOOKUP(AT39,'Lookup Tables'!$D$2:$D$6,'Lookup Tables'!$E$2:$E$6,0),0)
  + IFERROR(_xlfn.XLOOKUP(AV39,'Lookup Tables'!$G$2:$G$5,'Lookup Tables'!$H$2:$H$5,0),0)
  + IFERROR(_xlfn.XLOOKUP(AW39,'Lookup Tables'!$J$2:$J$5,'Lookup Tables'!$K$2:$K$5,0),0)
  + _xlfn.IFS(AX39="No Issues",10, AX39="Complaint Filed",3, AX39="Confirmed Breach",-15, TRUE,0)
  + IFERROR(_xlfn.XLOOKUP(AY39,'Lookup Tables'!$M$2:$M$6,'Lookup Tables'!$N$2:$N$6,0),0)
  + IFERROR(_xlfn.XLOOKUP(AZ39,'Lookup Tables'!$P$2:$P$6,'Lookup Tables'!$Q$2:$Q$6,0),0)
  + _xlfn.IFS(BA39="Formal Board Committee",5, BA39="Board Oversight Mentioned",2, TRUE,0)
  + _xlfn.IFS(BB39="Yes — Quantified Targets",5, BB39="Yes — Discretionary Only",2, TRUE,0)
  + _xlfn.IFS(BC39="Reasonable Assurance",5, BC39="Limited Assurance",3, BC39="Management Review Only",1, TRUE,0)
))</f>
        <v/>
      </c>
      <c r="BF39" s="3" t="n"/>
      <c r="BG39" s="3" t="n"/>
      <c r="BH39" s="3" t="n"/>
      <c r="BI39" s="3" t="n"/>
      <c r="BJ39" s="3" t="n"/>
      <c r="BK39" s="3" t="n"/>
      <c r="BL39" s="3" t="n"/>
      <c r="BM39" s="3" t="n"/>
      <c r="BN39" s="3" t="n"/>
      <c r="BO39" s="3" t="n"/>
      <c r="BP39" s="3" t="n"/>
      <c r="BQ39" s="3" t="n"/>
      <c r="BR39" s="3" t="n"/>
      <c r="BS39" s="42">
        <f t="array" ref="BS39">MIN(100, MAX(0,
  IFERROR(_xlfn.XLOOKUP(BG39,'Lookup Tables'!$A$11:$A$16,'Lookup Tables'!$B$11:$B$16,0),0)
  + IFERROR(_xlfn.XLOOKUP(BR39,'Lookup Tables'!$M$11:$M$14,'Lookup Tables'!$N$11:$N$14,0),0)
  + IFERROR(_xlfn.XLOOKUP(BQ39,'Lookup Tables'!$J$11:$J$15,'Lookup Tables'!$K$11:$K$15,0),0)
  + IFERROR(_xlfn.XLOOKUP(BH39,'Lookup Tables'!$D$11:$D$15,'Lookup Tables'!$E$11:$E$15,0),0)
  + IFERROR(_xlfn.XLOOKUP(BJ39,'Lookup Tables'!$G$11:$G$16,'Lookup Tables'!$H$11:$H$16,0),0)
  + IFERROR(_xlfn.XLOOKUP(BN39,'Lookup Tables'!$P$11:$P$15,'Lookup Tables'!$Q$11:$Q$15,0),0)
  + _xlfn.IFS(BM39="No Evidence",10, BM39="Unknown",3, BM39="Likely",0, BM39="Confirmed",-10, TRUE,3)
  + IFERROR(_xlfn.XLOOKUP(BP39,'Lookup Tables'!$J$21:$J$24,'Lookup Tables'!$K$21:$K$24,0),0)
))</f>
        <v/>
      </c>
      <c r="BT39" s="3" t="n"/>
      <c r="BU39" s="3" t="n"/>
      <c r="BV39" s="3" t="n"/>
      <c r="BW39" s="3" t="n"/>
      <c r="BX39" s="3" t="n"/>
      <c r="BY39" s="3" t="n"/>
      <c r="BZ39" s="3" t="n"/>
      <c r="CA39" s="3" t="n"/>
      <c r="CB39" s="3" t="n"/>
      <c r="CC39" s="3" t="n"/>
      <c r="CD39" s="3" t="n"/>
      <c r="CE39" s="44">
        <f t="array" ref="CE39">MIN(100, MAX(0,
  IF(ISNUMBER(BV39)*AND(BV39&gt;0), 10, 0)
  + _xlfn.IFS(BY39="Independently Verified",25, BY39="Yes",15, TRUE,0)
  + IFERROR(_xlfn.XLOOKUP(BZ39,'Lookup Tables'!$A$21:$A$24,'Lookup Tables'!$B$21:$B$24,0),0)
  + IFERROR(_xlfn.XLOOKUP(CA39,'Lookup Tables'!$D$21:$D$24,'Lookup Tables'!$E$21:$E$24,0),0)
  + _xlfn.IFS(ISNUMBER(CB39)*AND(CB39&gt;=11),15, ISNUMBER(CB39)*AND(CB39&gt;=6),10, ISNUMBER(CB39)*AND(CB39&gt;=1),5, TRUE,0)
  + IFERROR(_xlfn.XLOOKUP(CC39,'Lookup Tables'!$G$21:$G$25,'Lookup Tables'!$H$21:$H$25,0),0)
  - IF(ISNUMBER(BW39)*AND(ISNUMBER(BV39))*AND(BW39&gt;BV39), 20, 0)
  - IF(AND(BY39="Yes", ISNUMBER(BW39), BW39&gt;60), 10, 0)
))</f>
        <v/>
      </c>
      <c r="CF39" s="3" t="n"/>
      <c r="CG39" s="3" t="n"/>
      <c r="CH39" s="3" t="n"/>
      <c r="CI39" s="3" t="n"/>
      <c r="CJ39" s="3" t="n"/>
      <c r="CK39" s="3" t="n"/>
      <c r="CL39" s="3" t="n"/>
      <c r="CM39" s="3" t="n"/>
      <c r="CN39" s="3" t="n"/>
      <c r="CO39" s="3" t="n"/>
      <c r="CP39" s="3" t="n"/>
      <c r="CQ39" s="3" t="n"/>
      <c r="CR39" s="3">
        <f>COUNTIF(CJ39:CQ39,"FAIL")</f>
        <v/>
      </c>
      <c r="CS39" s="3">
        <f>COUNTIF(CJ39:CQ39,"PARTIAL")</f>
        <v/>
      </c>
      <c r="CT39" s="3">
        <f>COUNTIF(CJ39:CQ39,"MISSING")</f>
        <v/>
      </c>
      <c r="CU39" s="3">
        <f>MIN(100,
  CR39*15
  + CS39*6
  + CT39*3
  + IFERROR(_xlfn.XLOOKUP(CW39,'Lookup Tables'!$M$21:$M$25,'Lookup Tables'!$N$21:$N$25,0),0)
)</f>
        <v/>
      </c>
      <c r="CV39" s="3">
        <f>IFERROR(
CHOOSE(
MATCH("FAIL",CJ39:CQ39,0),
"1-Specificity","2-Metric","3-Baseline","4-Target",
"5-Time Horizon","6-Scope","7-Verification","8-Consistency"
),
IFERROR(
CHOOSE(
MATCH("PARTIAL",CJ39:CQ39,0),
"1-Specificity","2-Metric","3-Baseline","4-Target",
"5-Time Horizon","6-Scope","7-Verification","8-Consistency"
),
"No failures"
)
)</f>
        <v/>
      </c>
      <c r="CW39" s="3" t="n"/>
      <c r="CX39" s="3" t="n"/>
      <c r="CY39" s="3" t="n"/>
      <c r="CZ39" s="3" t="n"/>
      <c r="DA39" s="3">
        <f>IF(OR(CU39&gt;=50,CW39="Material",CW39="Severe",AS39="Material",AS39="Severe",BF39="Material",BF39="Severe — Exclusion Trigger",AND(ISNUMBER(BS39),BS39&lt;30)),"Yes","No")</f>
        <v/>
      </c>
      <c r="DB39" s="3">
        <f>IF(OR(CR39&gt;=6,AW39="Confirmed Violation",AX39="Confirmed Breach"),"Yes — Automatic",IF(CW39="Severe","Yes — Requires Captain Confirmation","No"))</f>
        <v/>
      </c>
      <c r="DC39" s="3" t="n"/>
      <c r="DD39" s="3" t="n"/>
      <c r="DE39" s="3" t="n"/>
      <c r="DF39" s="3" t="n"/>
      <c r="DG39" s="3" t="n"/>
      <c r="DH39" s="3" t="n"/>
      <c r="DI39" s="3" t="n"/>
      <c r="DJ39" s="3" t="n"/>
      <c r="DK39" s="3" t="n"/>
      <c r="DL39" s="3">
        <f>IF(OR(IFERROR(VALUE(LEFT(DF39,1)),99)&lt;=2,IFERROR(VALUE(LEFT(DG39,1)),99)&lt;=2),"Flagged","Clear")</f>
        <v/>
      </c>
      <c r="DM39" s="3">
        <f>IF(OR(DA39="Yes",DB39&lt;&gt;"No",DH39="Unverified",DL39="Flagged"),"Yes","No")</f>
        <v/>
      </c>
      <c r="DN39" s="3">
        <f t="array" ref="DN39">MIN(100,
  IF(ISNUMBER(V39), _xlfn.IFS(V39&gt;=3,25, V39=2,15, V39=1,5, TRUE,0), 0)
  + IFERROR(_xlfn.IFS(VALUE(LEFT(DF39,1))=5,25, VALUE(LEFT(DF39,1))=4,20, VALUE(LEFT(DF39,1))=3,15, VALUE(LEFT(DF39,1))=2,8, TRUE,0), 15)
  + IFERROR(_xlfn.IFS(VALUE(LEFT(DG39,1))=5,25, VALUE(LEFT(DG39,1))=4,20, VALUE(LEFT(DG39,1))=3,15, VALUE(LEFT(DG39,1))=2,8, TRUE,0), 15)
  + _xlfn.IFS(DH39="Fully Verified",25, DH39="Partially Verified",12, TRUE,0)
)</f>
        <v/>
      </c>
      <c r="DO39" s="3">
        <f t="array" ref="DO39">_xlfn.IFS(
  ISBLANK(AR39), "Insufficient Evidence",
  AND(AR39&gt;=65, AJ39="Approved"), "Strong",
  AR39&gt;=65, "Adequate",
  AR39&gt;=40, "Adequate",
  AR39&gt;=20, "Weak",
  TRUE, "Insufficient Evidence"
)</f>
        <v/>
      </c>
      <c r="DP39" s="3">
        <f t="array" ref="DP39">_xlfn.IFS(
  ISBLANK(BS39), "Insufficient Evidence",
  BS39&gt;=65, "Strong",
  BS39&gt;=40, "Adequate",
  BS39&gt;=20, "Weak",
  TRUE, "Insufficient Evidence"
)</f>
        <v/>
      </c>
      <c r="DQ39" s="3">
        <f t="array" ref="DQ39">_xlfn.IFS(
  ISBLANK(BE39), "Insufficient Evidence",
  OR(AW39="Confirmed Violation", AX39="Confirmed Breach"), "Severe — Hard Trigger",
  BE39&gt;=65, "Strong",
  BE39&gt;=40, "Adequate",
  BE39&gt;=20, "Weak",
  TRUE, "Insufficient Evidence"
)</f>
        <v/>
      </c>
      <c r="DR39" s="3">
        <f t="array" ref="DR39">_xlfn.IFS(
  ISBLANK(CU39), "Insufficient Evidence",
  CU39&lt;=20, "Low Risk",
  CU39&lt;=50, "Moderate Risk",
  CU39&lt;=75, "High Risk",
  TRUE, "Very High Risk"
)</f>
        <v/>
      </c>
      <c r="DS39" s="3">
        <f t="array" ref="DS39">_xlfn.IFS(
  ISBLANK(CE39), "Insufficient Evidence",
  AND(ISNUMBER(BW39),ISNUMBER(BV39),BW39&gt;BV39), "Overclaiming Risk",
  CE39&gt;=65, "Strong",
  CE39&gt;=40, "Adequate",
  TRUE, "Weak"
)</f>
        <v/>
      </c>
      <c r="DT39" s="3">
        <f>IF(DB39="Yes — Automatic",0,ROUND((IF(ISNUMBER(AR39),AR39,0)*0.3+IF(ISNUMBER(BS39),BS39,0)*0.2+IF(ISNUMBER(BE39),BE39,0)*0.2+IF(ISNUMBER(CE39),CE39,0)*0.15+(100-IF(ISNUMBER(CU39),CU39,50))*0.15)*IF(DN39&gt;=75,1,IF(DN39&gt;=50,0.9,IF(DN39&gt;=25,0.75,0.6))),1))</f>
        <v/>
      </c>
      <c r="DU39" s="3">
        <f t="array" ref="DU39">_xlfn.IFS(
  DV39="Upgraded to Clear", "Clear",
  DV39="Downgraded to Watchlist", "Watchlist",
  DV39="Downgraded to Exclusion", "Exclusion Risk",
  DB39="Yes — Automatic", "Exclusion Risk",
  OR(AW39="Confirmed Violation", AX39="Confirmed Breach"), "Exclusion Risk",
  OR(V39=0, ISBLANK(V39), DN39&lt;20), "Insufficient Evidence",
  AND(DT39&gt;=65, DA39="No", DB39="No"), "Clear",
  OR(DT39&gt;=40, DA39="Yes"), "Watchlist",
  TRUE, "Exclusion Risk"
)</f>
        <v/>
      </c>
      <c r="DV39" s="3" t="n"/>
      <c r="DW39" s="3">
        <f t="array" ref="DW39">_xlfn.IFS(
  DU39="Exclusion Risk", "Exclude — Hard Trigger",
  DU39="Insufficient Evidence", "Watchlist — Further Evidence Needed",
  DU39="Watchlist", "Watchlist — Further Evidence Needed",
  AND(DU39="Clear", DT39&gt;=80), "Include — No Conditions",
  DU39="Clear", "Include — Monitor",
  TRUE, "Watchlist — Further Evidence Needed"
)</f>
        <v/>
      </c>
      <c r="DX39" s="3" t="n"/>
      <c r="DY39" s="3" t="n"/>
      <c r="DZ39" s="3" t="n"/>
      <c r="EA39" s="3" t="n"/>
      <c r="EB39" s="3">
        <f>IF(OR(V39=0, ISBLANK(V39)), "MISSING — No sources reviewed", "")</f>
        <v/>
      </c>
      <c r="EC39" s="3">
        <f>IF(AND(NOT(ISBLANK(DC39)), ISBLANK(DE39)), "PAGE REF MISSING", "")</f>
        <v/>
      </c>
    </row>
    <row r="40" ht="18" customHeight="1" s="60">
      <c r="A40" s="5" t="inlineStr">
        <is>
          <t>Barclays PLC</t>
        </is>
      </c>
      <c r="B40" s="5" t="inlineStr">
        <is>
          <t>BCY</t>
        </is>
      </c>
      <c r="C40" s="5">
        <f>IF(ISBLANK('Universe Tracker'!D36),"",'Universe Tracker'!D36)</f>
        <v/>
      </c>
      <c r="D40" s="5" t="n"/>
      <c r="E40" s="5" t="n"/>
      <c r="F40" s="5">
        <f>IF(ISBLANK('Universe Tracker'!F36),"",'Universe Tracker'!F36)</f>
        <v/>
      </c>
      <c r="G40" s="5">
        <f>IF(ISBLANK('Universe Tracker'!G36),"",'Universe Tracker'!G36)</f>
        <v/>
      </c>
      <c r="H40" s="5" t="n"/>
      <c r="I40" s="5" t="n"/>
      <c r="J40" s="5">
        <f>IF(ISBLANK(B40),"",B40&amp;"_"&amp;C40)</f>
        <v/>
      </c>
      <c r="K40" s="5" t="n"/>
      <c r="L40" s="5" t="n"/>
      <c r="M40" s="5" t="n"/>
      <c r="N40" s="5" t="n"/>
      <c r="O40" s="5" t="n"/>
      <c r="P40" s="5" t="n"/>
      <c r="Q40" s="5" t="n"/>
      <c r="R40" s="5" t="n"/>
      <c r="S40" s="5" t="n"/>
      <c r="T40" s="5" t="n"/>
      <c r="U40" s="5" t="n"/>
      <c r="V40" s="5" t="n"/>
      <c r="W40" s="5" t="n"/>
      <c r="X40" s="5" t="n"/>
      <c r="Y40" s="5">
        <f>IF(AND(V40&gt;=2,K40="Yes",L40="Yes"),"Sufficient",IF(AND(V40&gt;=1,OR(K40="Yes",L40="Yes")),"Thin","Insufficient"))</f>
        <v/>
      </c>
      <c r="Z40" s="5" t="n"/>
      <c r="AA40" s="5" t="n"/>
      <c r="AB40" s="5" t="n"/>
      <c r="AC40" s="5" t="n"/>
      <c r="AD40" s="5" t="n"/>
      <c r="AE40" s="5" t="n"/>
      <c r="AF40" s="5" t="n"/>
      <c r="AG40" s="5" t="n"/>
      <c r="AH40" s="5" t="n"/>
      <c r="AI40" s="5" t="n"/>
      <c r="AJ40" s="5" t="n"/>
      <c r="AK40" s="5" t="n"/>
      <c r="AL40" s="5" t="n"/>
      <c r="AM40" s="5" t="n"/>
      <c r="AN40" s="5" t="n"/>
      <c r="AO40" s="5" t="n"/>
      <c r="AP40" s="5" t="n"/>
      <c r="AQ40" s="5" t="n"/>
      <c r="AR40" s="40">
        <f t="array" ref="AR40">MIN(100, MAX(0,
  IFERROR(_xlfn.XLOOKUP(AJ40,'Lookup Tables'!$A$2:$A$7,'Lookup Tables'!$B$2:$B$7,0),0)
  + IF(Z40="Yes", IF(IFERROR(_xlfn.XLOOKUP(AJ40,'Lookup Tables'!$A$2:$A$7,'Lookup Tables'!$B$2:$B$7,0),0)&lt;20, 5, 0), 0)
  + _xlfn.IFS(AB40="Yes", IF(ISNUMBER(AC40)*AND(AC40&lt;=2030),15,10), AB40="Long-term Only", 5, AB40="No", 0, TRUE, 0)
  + _xlfn.IFS(AF40="Full",10, AF40="Partial",5, AF40="Scope 2 Only",3, TRUE,0)
  + _xlfn.IFS(AG40="Yes", IF(ISNUMBER(AH40)*AND(AH40&gt;=5),10,6), AG40="Partial",4, TRUE,0)
  + _xlfn.IFS(AI40="Yes",5, AI40="Partial (material categories only)",3, TRUE,0)
  + _xlfn.IFS(AL40="Yes — Detailed",10, AL40="Yes — High Level",5, TRUE,0)
  + _xlfn.IFS(AM40="Yes — Quantified",15, AM40="Yes — Directional Only",7, TRUE,0)
  + _xlfn.IFS(AP40="Formal",5, AP40="Referenced",2, TRUE,0)
  + _xlfn.IFS(AQ40="No Issues Found",5, AQ40="Concern Identified",-5, AQ40="Severe Contradiction",-15, TRUE,0)
  + _xlfn.IFS(BC40="Reasonable Assurance",5, BC40="Limited Assurance",3, TRUE,0)
  - IF(AND(Z40="Yes", AI40="No"), 10, 0)
  - IF(AND(Z40="Yes", AM40="No"), 10, 0)
))</f>
        <v/>
      </c>
      <c r="AS40" s="5" t="n"/>
      <c r="AT40" s="5" t="n"/>
      <c r="AU40" s="5" t="n"/>
      <c r="AV40" s="5" t="n"/>
      <c r="AW40" s="5" t="n"/>
      <c r="AX40" s="5" t="n"/>
      <c r="AY40" s="5" t="n"/>
      <c r="AZ40" s="5" t="n"/>
      <c r="BA40" s="5" t="n"/>
      <c r="BB40" s="5" t="n"/>
      <c r="BC40" s="5" t="n"/>
      <c r="BD40" s="5" t="n"/>
      <c r="BE40" s="39">
        <f t="array" ref="BE40">MIN(100, MAX(0,
  IFERROR(_xlfn.XLOOKUP(AT40,'Lookup Tables'!$D$2:$D$6,'Lookup Tables'!$E$2:$E$6,0),0)
  + IFERROR(_xlfn.XLOOKUP(AV40,'Lookup Tables'!$G$2:$G$5,'Lookup Tables'!$H$2:$H$5,0),0)
  + IFERROR(_xlfn.XLOOKUP(AW40,'Lookup Tables'!$J$2:$J$5,'Lookup Tables'!$K$2:$K$5,0),0)
  + _xlfn.IFS(AX40="No Issues",10, AX40="Complaint Filed",3, AX40="Confirmed Breach",-15, TRUE,0)
  + IFERROR(_xlfn.XLOOKUP(AY40,'Lookup Tables'!$M$2:$M$6,'Lookup Tables'!$N$2:$N$6,0),0)
  + IFERROR(_xlfn.XLOOKUP(AZ40,'Lookup Tables'!$P$2:$P$6,'Lookup Tables'!$Q$2:$Q$6,0),0)
  + _xlfn.IFS(BA40="Formal Board Committee",5, BA40="Board Oversight Mentioned",2, TRUE,0)
  + _xlfn.IFS(BB40="Yes — Quantified Targets",5, BB40="Yes — Discretionary Only",2, TRUE,0)
  + _xlfn.IFS(BC40="Reasonable Assurance",5, BC40="Limited Assurance",3, BC40="Management Review Only",1, TRUE,0)
))</f>
        <v/>
      </c>
      <c r="BF40" s="5" t="n"/>
      <c r="BG40" s="5" t="n"/>
      <c r="BH40" s="5" t="n"/>
      <c r="BI40" s="5" t="n"/>
      <c r="BJ40" s="5" t="n"/>
      <c r="BK40" s="5" t="n"/>
      <c r="BL40" s="5" t="n"/>
      <c r="BM40" s="5" t="n"/>
      <c r="BN40" s="5" t="n"/>
      <c r="BO40" s="5" t="n"/>
      <c r="BP40" s="5" t="n"/>
      <c r="BQ40" s="5" t="n"/>
      <c r="BR40" s="5" t="n"/>
      <c r="BS40" s="41">
        <f t="array" ref="BS40">MIN(100, MAX(0,
  IFERROR(_xlfn.XLOOKUP(BG40,'Lookup Tables'!$A$11:$A$16,'Lookup Tables'!$B$11:$B$16,0),0)
  + IFERROR(_xlfn.XLOOKUP(BR40,'Lookup Tables'!$M$11:$M$14,'Lookup Tables'!$N$11:$N$14,0),0)
  + IFERROR(_xlfn.XLOOKUP(BQ40,'Lookup Tables'!$J$11:$J$15,'Lookup Tables'!$K$11:$K$15,0),0)
  + IFERROR(_xlfn.XLOOKUP(BH40,'Lookup Tables'!$D$11:$D$15,'Lookup Tables'!$E$11:$E$15,0),0)
  + IFERROR(_xlfn.XLOOKUP(BJ40,'Lookup Tables'!$G$11:$G$16,'Lookup Tables'!$H$11:$H$16,0),0)
  + IFERROR(_xlfn.XLOOKUP(BN40,'Lookup Tables'!$P$11:$P$15,'Lookup Tables'!$Q$11:$Q$15,0),0)
  + _xlfn.IFS(BM40="No Evidence",10, BM40="Unknown",3, BM40="Likely",0, BM40="Confirmed",-10, TRUE,3)
  + IFERROR(_xlfn.XLOOKUP(BP40,'Lookup Tables'!$J$21:$J$24,'Lookup Tables'!$K$21:$K$24,0),0)
))</f>
        <v/>
      </c>
      <c r="BT40" s="5" t="n"/>
      <c r="BU40" s="5" t="n"/>
      <c r="BV40" s="5" t="n"/>
      <c r="BW40" s="5" t="n"/>
      <c r="BX40" s="5" t="n"/>
      <c r="BY40" s="5" t="n"/>
      <c r="BZ40" s="5" t="n"/>
      <c r="CA40" s="5" t="n"/>
      <c r="CB40" s="5" t="n"/>
      <c r="CC40" s="5" t="n"/>
      <c r="CD40" s="5" t="n"/>
      <c r="CE40" s="43">
        <f t="array" ref="CE40">MIN(100, MAX(0,
  IF(ISNUMBER(BV40)*AND(BV40&gt;0), 10, 0)
  + _xlfn.IFS(BY40="Independently Verified",25, BY40="Yes",15, TRUE,0)
  + IFERROR(_xlfn.XLOOKUP(BZ40,'Lookup Tables'!$A$21:$A$24,'Lookup Tables'!$B$21:$B$24,0),0)
  + IFERROR(_xlfn.XLOOKUP(CA40,'Lookup Tables'!$D$21:$D$24,'Lookup Tables'!$E$21:$E$24,0),0)
  + _xlfn.IFS(ISNUMBER(CB40)*AND(CB40&gt;=11),15, ISNUMBER(CB40)*AND(CB40&gt;=6),10, ISNUMBER(CB40)*AND(CB40&gt;=1),5, TRUE,0)
  + IFERROR(_xlfn.XLOOKUP(CC40,'Lookup Tables'!$G$21:$G$25,'Lookup Tables'!$H$21:$H$25,0),0)
  - IF(ISNUMBER(BW40)*AND(ISNUMBER(BV40))*AND(BW40&gt;BV40), 20, 0)
  - IF(AND(BY40="Yes", ISNUMBER(BW40), BW40&gt;60), 10, 0)
))</f>
        <v/>
      </c>
      <c r="CF40" s="5" t="n"/>
      <c r="CG40" s="5" t="n"/>
      <c r="CH40" s="5" t="n"/>
      <c r="CI40" s="5" t="n"/>
      <c r="CJ40" s="5" t="n"/>
      <c r="CK40" s="5" t="n"/>
      <c r="CL40" s="5" t="n"/>
      <c r="CM40" s="5" t="n"/>
      <c r="CN40" s="5" t="n"/>
      <c r="CO40" s="5" t="n"/>
      <c r="CP40" s="5" t="n"/>
      <c r="CQ40" s="5" t="n"/>
      <c r="CR40" s="5">
        <f>COUNTIF(CJ40:CQ40,"FAIL")</f>
        <v/>
      </c>
      <c r="CS40" s="5">
        <f>COUNTIF(CJ40:CQ40,"PARTIAL")</f>
        <v/>
      </c>
      <c r="CT40" s="5">
        <f>COUNTIF(CJ40:CQ40,"MISSING")</f>
        <v/>
      </c>
      <c r="CU40" s="5">
        <f>MIN(100,
  CR40*15
  + CS40*6
  + CT40*3
  + IFERROR(_xlfn.XLOOKUP(CW40,'Lookup Tables'!$M$21:$M$25,'Lookup Tables'!$N$21:$N$25,0),0)
)</f>
        <v/>
      </c>
      <c r="CV40" s="5">
        <f>IFERROR(
CHOOSE(
MATCH("FAIL",CJ40:CQ40,0),
"1-Specificity","2-Metric","3-Baseline","4-Target",
"5-Time Horizon","6-Scope","7-Verification","8-Consistency"
),
IFERROR(
CHOOSE(
MATCH("PARTIAL",CJ40:CQ40,0),
"1-Specificity","2-Metric","3-Baseline","4-Target",
"5-Time Horizon","6-Scope","7-Verification","8-Consistency"
),
"No failures"
)
)</f>
        <v/>
      </c>
      <c r="CW40" s="5" t="n"/>
      <c r="CX40" s="5" t="n"/>
      <c r="CY40" s="5" t="n"/>
      <c r="CZ40" s="5" t="n"/>
      <c r="DA40" s="5">
        <f>IF(OR(CU40&gt;=50,CW40="Material",CW40="Severe",AS40="Material",AS40="Severe",BF40="Material",BF40="Severe — Exclusion Trigger",AND(ISNUMBER(BS40),BS40&lt;30)),"Yes","No")</f>
        <v/>
      </c>
      <c r="DB40" s="5">
        <f>IF(OR(CR40&gt;=6,AW40="Confirmed Violation",AX40="Confirmed Breach"),"Yes — Automatic",IF(CW40="Severe","Yes — Requires Captain Confirmation","No"))</f>
        <v/>
      </c>
      <c r="DC40" s="5" t="n"/>
      <c r="DD40" s="5" t="n"/>
      <c r="DE40" s="5" t="n"/>
      <c r="DF40" s="5" t="n"/>
      <c r="DG40" s="5" t="n"/>
      <c r="DH40" s="5" t="n"/>
      <c r="DI40" s="5" t="n"/>
      <c r="DJ40" s="5" t="n"/>
      <c r="DK40" s="5" t="n"/>
      <c r="DL40" s="5">
        <f>IF(OR(IFERROR(VALUE(LEFT(DF40,1)),99)&lt;=2,IFERROR(VALUE(LEFT(DG40,1)),99)&lt;=2),"Flagged","Clear")</f>
        <v/>
      </c>
      <c r="DM40" s="5">
        <f>IF(OR(DA40="Yes",DB40&lt;&gt;"No",DH40="Unverified",DL40="Flagged"),"Yes","No")</f>
        <v/>
      </c>
      <c r="DN40" s="5">
        <f t="array" ref="DN40">MIN(100,
  IF(ISNUMBER(V40), _xlfn.IFS(V40&gt;=3,25, V40=2,15, V40=1,5, TRUE,0), 0)
  + IFERROR(_xlfn.IFS(VALUE(LEFT(DF40,1))=5,25, VALUE(LEFT(DF40,1))=4,20, VALUE(LEFT(DF40,1))=3,15, VALUE(LEFT(DF40,1))=2,8, TRUE,0), 15)
  + IFERROR(_xlfn.IFS(VALUE(LEFT(DG40,1))=5,25, VALUE(LEFT(DG40,1))=4,20, VALUE(LEFT(DG40,1))=3,15, VALUE(LEFT(DG40,1))=2,8, TRUE,0), 15)
  + _xlfn.IFS(DH40="Fully Verified",25, DH40="Partially Verified",12, TRUE,0)
)</f>
        <v/>
      </c>
      <c r="DO40" s="5">
        <f t="array" ref="DO40">_xlfn.IFS(
  ISBLANK(AR40), "Insufficient Evidence",
  AND(AR40&gt;=65, AJ40="Approved"), "Strong",
  AR40&gt;=65, "Adequate",
  AR40&gt;=40, "Adequate",
  AR40&gt;=20, "Weak",
  TRUE, "Insufficient Evidence"
)</f>
        <v/>
      </c>
      <c r="DP40" s="5">
        <f t="array" ref="DP40">_xlfn.IFS(
  ISBLANK(BS40), "Insufficient Evidence",
  BS40&gt;=65, "Strong",
  BS40&gt;=40, "Adequate",
  BS40&gt;=20, "Weak",
  TRUE, "Insufficient Evidence"
)</f>
        <v/>
      </c>
      <c r="DQ40" s="5">
        <f t="array" ref="DQ40">_xlfn.IFS(
  ISBLANK(BE40), "Insufficient Evidence",
  OR(AW40="Confirmed Violation", AX40="Confirmed Breach"), "Severe — Hard Trigger",
  BE40&gt;=65, "Strong",
  BE40&gt;=40, "Adequate",
  BE40&gt;=20, "Weak",
  TRUE, "Insufficient Evidence"
)</f>
        <v/>
      </c>
      <c r="DR40" s="5">
        <f t="array" ref="DR40">_xlfn.IFS(
  ISBLANK(CU40), "Insufficient Evidence",
  CU40&lt;=20, "Low Risk",
  CU40&lt;=50, "Moderate Risk",
  CU40&lt;=75, "High Risk",
  TRUE, "Very High Risk"
)</f>
        <v/>
      </c>
      <c r="DS40" s="5">
        <f t="array" ref="DS40">_xlfn.IFS(
  ISBLANK(CE40), "Insufficient Evidence",
  AND(ISNUMBER(BW40),ISNUMBER(BV40),BW40&gt;BV40), "Overclaiming Risk",
  CE40&gt;=65, "Strong",
  CE40&gt;=40, "Adequate",
  TRUE, "Weak"
)</f>
        <v/>
      </c>
      <c r="DT40" s="5">
        <f>IF(DB40="Yes — Automatic",0,ROUND((IF(ISNUMBER(AR40),AR40,0)*0.3+IF(ISNUMBER(BS40),BS40,0)*0.2+IF(ISNUMBER(BE40),BE40,0)*0.2+IF(ISNUMBER(CE40),CE40,0)*0.15+(100-IF(ISNUMBER(CU40),CU40,50))*0.15)*IF(DN40&gt;=75,1,IF(DN40&gt;=50,0.9,IF(DN40&gt;=25,0.75,0.6))),1))</f>
        <v/>
      </c>
      <c r="DU40" s="5">
        <f t="array" ref="DU40">_xlfn.IFS(
  DV40="Upgraded to Clear", "Clear",
  DV40="Downgraded to Watchlist", "Watchlist",
  DV40="Downgraded to Exclusion", "Exclusion Risk",
  DB40="Yes — Automatic", "Exclusion Risk",
  OR(AW40="Confirmed Violation", AX40="Confirmed Breach"), "Exclusion Risk",
  OR(V40=0, ISBLANK(V40), DN40&lt;20), "Insufficient Evidence",
  AND(DT40&gt;=65, DA40="No", DB40="No"), "Clear",
  OR(DT40&gt;=40, DA40="Yes"), "Watchlist",
  TRUE, "Exclusion Risk"
)</f>
        <v/>
      </c>
      <c r="DV40" s="5" t="n"/>
      <c r="DW40" s="5">
        <f t="array" ref="DW40">_xlfn.IFS(
  DU40="Exclusion Risk", "Exclude — Hard Trigger",
  DU40="Insufficient Evidence", "Watchlist — Further Evidence Needed",
  DU40="Watchlist", "Watchlist — Further Evidence Needed",
  AND(DU40="Clear", DT40&gt;=80), "Include — No Conditions",
  DU40="Clear", "Include — Monitor",
  TRUE, "Watchlist — Further Evidence Needed"
)</f>
        <v/>
      </c>
      <c r="DX40" s="5" t="n"/>
      <c r="DY40" s="5" t="n"/>
      <c r="DZ40" s="5" t="n"/>
      <c r="EA40" s="5" t="n"/>
      <c r="EB40" s="5">
        <f>IF(OR(V40=0, ISBLANK(V40)), "MISSING — No sources reviewed", "")</f>
        <v/>
      </c>
      <c r="EC40" s="5">
        <f>IF(AND(NOT(ISBLANK(DC40)), ISBLANK(DE40)), "PAGE REF MISSING", "")</f>
        <v/>
      </c>
    </row>
    <row r="41" ht="18" customHeight="1" s="60">
      <c r="A41" s="3" t="inlineStr">
        <is>
          <t>Ringkjoebing Landbobank A/S</t>
        </is>
      </c>
      <c r="B41" s="3" t="inlineStr">
        <is>
          <t>CJ2</t>
        </is>
      </c>
      <c r="C41" s="3">
        <f>IF(ISBLANK('Universe Tracker'!D37),"",'Universe Tracker'!D37)</f>
        <v/>
      </c>
      <c r="D41" s="3" t="n"/>
      <c r="E41" s="3" t="n"/>
      <c r="F41" s="3">
        <f>IF(ISBLANK('Universe Tracker'!F37),"",'Universe Tracker'!F37)</f>
        <v/>
      </c>
      <c r="G41" s="3">
        <f>IF(ISBLANK('Universe Tracker'!G37),"",'Universe Tracker'!G37)</f>
        <v/>
      </c>
      <c r="H41" s="3" t="n"/>
      <c r="I41" s="3" t="n"/>
      <c r="J41" s="3">
        <f>IF(ISBLANK(B41),"",B41&amp;"_"&amp;C41)</f>
        <v/>
      </c>
      <c r="K41" s="3" t="n"/>
      <c r="L41" s="3" t="n"/>
      <c r="M41" s="3" t="n"/>
      <c r="N41" s="3" t="n"/>
      <c r="O41" s="3" t="n"/>
      <c r="P41" s="3" t="n"/>
      <c r="Q41" s="3" t="n"/>
      <c r="R41" s="3" t="n"/>
      <c r="S41" s="3" t="n"/>
      <c r="T41" s="3" t="n"/>
      <c r="U41" s="3" t="n"/>
      <c r="V41" s="3" t="n"/>
      <c r="W41" s="3" t="n"/>
      <c r="X41" s="3" t="n"/>
      <c r="Y41" s="3">
        <f>IF(AND(V41&gt;=2,K41="Yes",L41="Yes"),"Sufficient",IF(AND(V41&gt;=1,OR(K41="Yes",L41="Yes")),"Thin","Insufficient"))</f>
        <v/>
      </c>
      <c r="Z41" s="3" t="n"/>
      <c r="AA41" s="3" t="n"/>
      <c r="AB41" s="3" t="n"/>
      <c r="AC41" s="3" t="n"/>
      <c r="AD41" s="3" t="n"/>
      <c r="AE41" s="3" t="n"/>
      <c r="AF41" s="3" t="n"/>
      <c r="AG41" s="3" t="n"/>
      <c r="AH41" s="3" t="n"/>
      <c r="AI41" s="3" t="n"/>
      <c r="AJ41" s="3" t="n"/>
      <c r="AK41" s="3" t="n"/>
      <c r="AL41" s="3" t="n"/>
      <c r="AM41" s="3" t="n"/>
      <c r="AN41" s="3" t="n"/>
      <c r="AO41" s="3" t="n"/>
      <c r="AP41" s="3" t="n"/>
      <c r="AQ41" s="3" t="n"/>
      <c r="AR41" s="40">
        <f t="array" ref="AR41">MIN(100, MAX(0,
  IFERROR(_xlfn.XLOOKUP(AJ41,'Lookup Tables'!$A$2:$A$7,'Lookup Tables'!$B$2:$B$7,0),0)
  + IF(Z41="Yes", IF(IFERROR(_xlfn.XLOOKUP(AJ41,'Lookup Tables'!$A$2:$A$7,'Lookup Tables'!$B$2:$B$7,0),0)&lt;20, 5, 0), 0)
  + _xlfn.IFS(AB41="Yes", IF(ISNUMBER(AC41)*AND(AC41&lt;=2030),15,10), AB41="Long-term Only", 5, AB41="No", 0, TRUE, 0)
  + _xlfn.IFS(AF41="Full",10, AF41="Partial",5, AF41="Scope 2 Only",3, TRUE,0)
  + _xlfn.IFS(AG41="Yes", IF(ISNUMBER(AH41)*AND(AH41&gt;=5),10,6), AG41="Partial",4, TRUE,0)
  + _xlfn.IFS(AI41="Yes",5, AI41="Partial (material categories only)",3, TRUE,0)
  + _xlfn.IFS(AL41="Yes — Detailed",10, AL41="Yes — High Level",5, TRUE,0)
  + _xlfn.IFS(AM41="Yes — Quantified",15, AM41="Yes — Directional Only",7, TRUE,0)
  + _xlfn.IFS(AP41="Formal",5, AP41="Referenced",2, TRUE,0)
  + _xlfn.IFS(AQ41="No Issues Found",5, AQ41="Concern Identified",-5, AQ41="Severe Contradiction",-15, TRUE,0)
  + _xlfn.IFS(BC41="Reasonable Assurance",5, BC41="Limited Assurance",3, TRUE,0)
  - IF(AND(Z41="Yes", AI41="No"), 10, 0)
  - IF(AND(Z41="Yes", AM41="No"), 10, 0)
))</f>
        <v/>
      </c>
      <c r="AS41" s="3" t="n"/>
      <c r="AT41" s="3" t="n"/>
      <c r="AU41" s="3" t="n"/>
      <c r="AV41" s="3" t="n"/>
      <c r="AW41" s="3" t="n"/>
      <c r="AX41" s="3" t="n"/>
      <c r="AY41" s="3" t="n"/>
      <c r="AZ41" s="3" t="n"/>
      <c r="BA41" s="3" t="n"/>
      <c r="BB41" s="3" t="n"/>
      <c r="BC41" s="3" t="n"/>
      <c r="BD41" s="3" t="n"/>
      <c r="BE41" s="40">
        <f t="array" ref="BE41">MIN(100, MAX(0,
  IFERROR(_xlfn.XLOOKUP(AT41,'Lookup Tables'!$D$2:$D$6,'Lookup Tables'!$E$2:$E$6,0),0)
  + IFERROR(_xlfn.XLOOKUP(AV41,'Lookup Tables'!$G$2:$G$5,'Lookup Tables'!$H$2:$H$5,0),0)
  + IFERROR(_xlfn.XLOOKUP(AW41,'Lookup Tables'!$J$2:$J$5,'Lookup Tables'!$K$2:$K$5,0),0)
  + _xlfn.IFS(AX41="No Issues",10, AX41="Complaint Filed",3, AX41="Confirmed Breach",-15, TRUE,0)
  + IFERROR(_xlfn.XLOOKUP(AY41,'Lookup Tables'!$M$2:$M$6,'Lookup Tables'!$N$2:$N$6,0),0)
  + IFERROR(_xlfn.XLOOKUP(AZ41,'Lookup Tables'!$P$2:$P$6,'Lookup Tables'!$Q$2:$Q$6,0),0)
  + _xlfn.IFS(BA41="Formal Board Committee",5, BA41="Board Oversight Mentioned",2, TRUE,0)
  + _xlfn.IFS(BB41="Yes — Quantified Targets",5, BB41="Yes — Discretionary Only",2, TRUE,0)
  + _xlfn.IFS(BC41="Reasonable Assurance",5, BC41="Limited Assurance",3, BC41="Management Review Only",1, TRUE,0)
))</f>
        <v/>
      </c>
      <c r="BF41" s="3" t="n"/>
      <c r="BG41" s="3" t="n"/>
      <c r="BH41" s="3" t="n"/>
      <c r="BI41" s="3" t="n"/>
      <c r="BJ41" s="3" t="n"/>
      <c r="BK41" s="3" t="n"/>
      <c r="BL41" s="3" t="n"/>
      <c r="BM41" s="3" t="n"/>
      <c r="BN41" s="3" t="n"/>
      <c r="BO41" s="3" t="n"/>
      <c r="BP41" s="3" t="n"/>
      <c r="BQ41" s="3" t="n"/>
      <c r="BR41" s="3" t="n"/>
      <c r="BS41" s="42">
        <f t="array" ref="BS41">MIN(100, MAX(0,
  IFERROR(_xlfn.XLOOKUP(BG41,'Lookup Tables'!$A$11:$A$16,'Lookup Tables'!$B$11:$B$16,0),0)
  + IFERROR(_xlfn.XLOOKUP(BR41,'Lookup Tables'!$M$11:$M$14,'Lookup Tables'!$N$11:$N$14,0),0)
  + IFERROR(_xlfn.XLOOKUP(BQ41,'Lookup Tables'!$J$11:$J$15,'Lookup Tables'!$K$11:$K$15,0),0)
  + IFERROR(_xlfn.XLOOKUP(BH41,'Lookup Tables'!$D$11:$D$15,'Lookup Tables'!$E$11:$E$15,0),0)
  + IFERROR(_xlfn.XLOOKUP(BJ41,'Lookup Tables'!$G$11:$G$16,'Lookup Tables'!$H$11:$H$16,0),0)
  + IFERROR(_xlfn.XLOOKUP(BN41,'Lookup Tables'!$P$11:$P$15,'Lookup Tables'!$Q$11:$Q$15,0),0)
  + _xlfn.IFS(BM41="No Evidence",10, BM41="Unknown",3, BM41="Likely",0, BM41="Confirmed",-10, TRUE,3)
  + IFERROR(_xlfn.XLOOKUP(BP41,'Lookup Tables'!$J$21:$J$24,'Lookup Tables'!$K$21:$K$24,0),0)
))</f>
        <v/>
      </c>
      <c r="BT41" s="3" t="n"/>
      <c r="BU41" s="3" t="n"/>
      <c r="BV41" s="3" t="n"/>
      <c r="BW41" s="3" t="n"/>
      <c r="BX41" s="3" t="n"/>
      <c r="BY41" s="3" t="n"/>
      <c r="BZ41" s="3" t="n"/>
      <c r="CA41" s="3" t="n"/>
      <c r="CB41" s="3" t="n"/>
      <c r="CC41" s="3" t="n"/>
      <c r="CD41" s="3" t="n"/>
      <c r="CE41" s="44">
        <f t="array" ref="CE41">MIN(100, MAX(0,
  IF(ISNUMBER(BV41)*AND(BV41&gt;0), 10, 0)
  + _xlfn.IFS(BY41="Independently Verified",25, BY41="Yes",15, TRUE,0)
  + IFERROR(_xlfn.XLOOKUP(BZ41,'Lookup Tables'!$A$21:$A$24,'Lookup Tables'!$B$21:$B$24,0),0)
  + IFERROR(_xlfn.XLOOKUP(CA41,'Lookup Tables'!$D$21:$D$24,'Lookup Tables'!$E$21:$E$24,0),0)
  + _xlfn.IFS(ISNUMBER(CB41)*AND(CB41&gt;=11),15, ISNUMBER(CB41)*AND(CB41&gt;=6),10, ISNUMBER(CB41)*AND(CB41&gt;=1),5, TRUE,0)
  + IFERROR(_xlfn.XLOOKUP(CC41,'Lookup Tables'!$G$21:$G$25,'Lookup Tables'!$H$21:$H$25,0),0)
  - IF(ISNUMBER(BW41)*AND(ISNUMBER(BV41))*AND(BW41&gt;BV41), 20, 0)
  - IF(AND(BY41="Yes", ISNUMBER(BW41), BW41&gt;60), 10, 0)
))</f>
        <v/>
      </c>
      <c r="CF41" s="3" t="n"/>
      <c r="CG41" s="3" t="n"/>
      <c r="CH41" s="3" t="n"/>
      <c r="CI41" s="3" t="n"/>
      <c r="CJ41" s="3" t="n"/>
      <c r="CK41" s="3" t="n"/>
      <c r="CL41" s="3" t="n"/>
      <c r="CM41" s="3" t="n"/>
      <c r="CN41" s="3" t="n"/>
      <c r="CO41" s="3" t="n"/>
      <c r="CP41" s="3" t="n"/>
      <c r="CQ41" s="3" t="n"/>
      <c r="CR41" s="3">
        <f>COUNTIF(CJ41:CQ41,"FAIL")</f>
        <v/>
      </c>
      <c r="CS41" s="3">
        <f>COUNTIF(CJ41:CQ41,"PARTIAL")</f>
        <v/>
      </c>
      <c r="CT41" s="3">
        <f>COUNTIF(CJ41:CQ41,"MISSING")</f>
        <v/>
      </c>
      <c r="CU41" s="3">
        <f>MIN(100,
  CR41*15
  + CS41*6
  + CT41*3
  + IFERROR(_xlfn.XLOOKUP(CW41,'Lookup Tables'!$M$21:$M$25,'Lookup Tables'!$N$21:$N$25,0),0)
)</f>
        <v/>
      </c>
      <c r="CV41" s="3">
        <f>IFERROR(
CHOOSE(
MATCH("FAIL",CJ41:CQ41,0),
"1-Specificity","2-Metric","3-Baseline","4-Target",
"5-Time Horizon","6-Scope","7-Verification","8-Consistency"
),
IFERROR(
CHOOSE(
MATCH("PARTIAL",CJ41:CQ41,0),
"1-Specificity","2-Metric","3-Baseline","4-Target",
"5-Time Horizon","6-Scope","7-Verification","8-Consistency"
),
"No failures"
)
)</f>
        <v/>
      </c>
      <c r="CW41" s="3" t="n"/>
      <c r="CX41" s="3" t="n"/>
      <c r="CY41" s="3" t="n"/>
      <c r="CZ41" s="3" t="n"/>
      <c r="DA41" s="3">
        <f>IF(OR(CU41&gt;=50,CW41="Material",CW41="Severe",AS41="Material",AS41="Severe",BF41="Material",BF41="Severe — Exclusion Trigger",AND(ISNUMBER(BS41),BS41&lt;30)),"Yes","No")</f>
        <v/>
      </c>
      <c r="DB41" s="3">
        <f>IF(OR(CR41&gt;=6,AW41="Confirmed Violation",AX41="Confirmed Breach"),"Yes — Automatic",IF(CW41="Severe","Yes — Requires Captain Confirmation","No"))</f>
        <v/>
      </c>
      <c r="DC41" s="3" t="n"/>
      <c r="DD41" s="3" t="n"/>
      <c r="DE41" s="3" t="n"/>
      <c r="DF41" s="3" t="n"/>
      <c r="DG41" s="3" t="n"/>
      <c r="DH41" s="3" t="n"/>
      <c r="DI41" s="3" t="n"/>
      <c r="DJ41" s="3" t="n"/>
      <c r="DK41" s="3" t="n"/>
      <c r="DL41" s="3">
        <f>IF(OR(IFERROR(VALUE(LEFT(DF41,1)),99)&lt;=2,IFERROR(VALUE(LEFT(DG41,1)),99)&lt;=2),"Flagged","Clear")</f>
        <v/>
      </c>
      <c r="DM41" s="3">
        <f>IF(OR(DA41="Yes",DB41&lt;&gt;"No",DH41="Unverified",DL41="Flagged"),"Yes","No")</f>
        <v/>
      </c>
      <c r="DN41" s="3">
        <f t="array" ref="DN41">MIN(100,
  IF(ISNUMBER(V41), _xlfn.IFS(V41&gt;=3,25, V41=2,15, V41=1,5, TRUE,0), 0)
  + IFERROR(_xlfn.IFS(VALUE(LEFT(DF41,1))=5,25, VALUE(LEFT(DF41,1))=4,20, VALUE(LEFT(DF41,1))=3,15, VALUE(LEFT(DF41,1))=2,8, TRUE,0), 15)
  + IFERROR(_xlfn.IFS(VALUE(LEFT(DG41,1))=5,25, VALUE(LEFT(DG41,1))=4,20, VALUE(LEFT(DG41,1))=3,15, VALUE(LEFT(DG41,1))=2,8, TRUE,0), 15)
  + _xlfn.IFS(DH41="Fully Verified",25, DH41="Partially Verified",12, TRUE,0)
)</f>
        <v/>
      </c>
      <c r="DO41" s="3">
        <f t="array" ref="DO41">_xlfn.IFS(
  ISBLANK(AR41), "Insufficient Evidence",
  AND(AR41&gt;=65, AJ41="Approved"), "Strong",
  AR41&gt;=65, "Adequate",
  AR41&gt;=40, "Adequate",
  AR41&gt;=20, "Weak",
  TRUE, "Insufficient Evidence"
)</f>
        <v/>
      </c>
      <c r="DP41" s="3">
        <f t="array" ref="DP41">_xlfn.IFS(
  ISBLANK(BS41), "Insufficient Evidence",
  BS41&gt;=65, "Strong",
  BS41&gt;=40, "Adequate",
  BS41&gt;=20, "Weak",
  TRUE, "Insufficient Evidence"
)</f>
        <v/>
      </c>
      <c r="DQ41" s="3">
        <f t="array" ref="DQ41">_xlfn.IFS(
  ISBLANK(BE41), "Insufficient Evidence",
  OR(AW41="Confirmed Violation", AX41="Confirmed Breach"), "Severe — Hard Trigger",
  BE41&gt;=65, "Strong",
  BE41&gt;=40, "Adequate",
  BE41&gt;=20, "Weak",
  TRUE, "Insufficient Evidence"
)</f>
        <v/>
      </c>
      <c r="DR41" s="3">
        <f t="array" ref="DR41">_xlfn.IFS(
  ISBLANK(CU41), "Insufficient Evidence",
  CU41&lt;=20, "Low Risk",
  CU41&lt;=50, "Moderate Risk",
  CU41&lt;=75, "High Risk",
  TRUE, "Very High Risk"
)</f>
        <v/>
      </c>
      <c r="DS41" s="3">
        <f t="array" ref="DS41">_xlfn.IFS(
  ISBLANK(CE41), "Insufficient Evidence",
  AND(ISNUMBER(BW41),ISNUMBER(BV41),BW41&gt;BV41), "Overclaiming Risk",
  CE41&gt;=65, "Strong",
  CE41&gt;=40, "Adequate",
  TRUE, "Weak"
)</f>
        <v/>
      </c>
      <c r="DT41" s="3">
        <f>IF(DB41="Yes — Automatic",0,ROUND((IF(ISNUMBER(AR41),AR41,0)*0.3+IF(ISNUMBER(BS41),BS41,0)*0.2+IF(ISNUMBER(BE41),BE41,0)*0.2+IF(ISNUMBER(CE41),CE41,0)*0.15+(100-IF(ISNUMBER(CU41),CU41,50))*0.15)*IF(DN41&gt;=75,1,IF(DN41&gt;=50,0.9,IF(DN41&gt;=25,0.75,0.6))),1))</f>
        <v/>
      </c>
      <c r="DU41" s="3">
        <f t="array" ref="DU41">_xlfn.IFS(
  DV41="Upgraded to Clear", "Clear",
  DV41="Downgraded to Watchlist", "Watchlist",
  DV41="Downgraded to Exclusion", "Exclusion Risk",
  DB41="Yes — Automatic", "Exclusion Risk",
  OR(AW41="Confirmed Violation", AX41="Confirmed Breach"), "Exclusion Risk",
  OR(V41=0, ISBLANK(V41), DN41&lt;20), "Insufficient Evidence",
  AND(DT41&gt;=65, DA41="No", DB41="No"), "Clear",
  OR(DT41&gt;=40, DA41="Yes"), "Watchlist",
  TRUE, "Exclusion Risk"
)</f>
        <v/>
      </c>
      <c r="DV41" s="3" t="n"/>
      <c r="DW41" s="3">
        <f t="array" ref="DW41">_xlfn.IFS(
  DU41="Exclusion Risk", "Exclude — Hard Trigger",
  DU41="Insufficient Evidence", "Watchlist — Further Evidence Needed",
  DU41="Watchlist", "Watchlist — Further Evidence Needed",
  AND(DU41="Clear", DT41&gt;=80), "Include — No Conditions",
  DU41="Clear", "Include — Monitor",
  TRUE, "Watchlist — Further Evidence Needed"
)</f>
        <v/>
      </c>
      <c r="DX41" s="3" t="n"/>
      <c r="DY41" s="3" t="n"/>
      <c r="DZ41" s="3" t="n"/>
      <c r="EA41" s="3" t="n"/>
      <c r="EB41" s="3">
        <f>IF(OR(V41=0, ISBLANK(V41)), "MISSING — No sources reviewed", "")</f>
        <v/>
      </c>
      <c r="EC41" s="3">
        <f>IF(AND(NOT(ISBLANK(DC41)), ISBLANK(DE41)), "PAGE REF MISSING", "")</f>
        <v/>
      </c>
    </row>
    <row r="42" ht="18" customHeight="1" s="60">
      <c r="A42" s="5" t="inlineStr">
        <is>
          <t>Banca Generali SpA</t>
        </is>
      </c>
      <c r="B42" s="5" t="inlineStr">
        <is>
          <t>B7A</t>
        </is>
      </c>
      <c r="C42" s="5">
        <f>IF(ISBLANK('Universe Tracker'!D38),"",'Universe Tracker'!D38)</f>
        <v/>
      </c>
      <c r="D42" s="5" t="n"/>
      <c r="E42" s="5" t="n"/>
      <c r="F42" s="5">
        <f>IF(ISBLANK('Universe Tracker'!F38),"",'Universe Tracker'!F38)</f>
        <v/>
      </c>
      <c r="G42" s="5">
        <f>IF(ISBLANK('Universe Tracker'!G38),"",'Universe Tracker'!G38)</f>
        <v/>
      </c>
      <c r="H42" s="5" t="n"/>
      <c r="I42" s="5" t="n"/>
      <c r="J42" s="5">
        <f>IF(ISBLANK(B42),"",B42&amp;"_"&amp;C42)</f>
        <v/>
      </c>
      <c r="K42" s="5" t="n"/>
      <c r="L42" s="5" t="n"/>
      <c r="M42" s="5" t="n"/>
      <c r="N42" s="5" t="n"/>
      <c r="O42" s="5" t="n"/>
      <c r="P42" s="5" t="n"/>
      <c r="Q42" s="5" t="n"/>
      <c r="R42" s="5" t="n"/>
      <c r="S42" s="5" t="n"/>
      <c r="T42" s="5" t="n"/>
      <c r="U42" s="5" t="n"/>
      <c r="V42" s="5" t="n"/>
      <c r="W42" s="5" t="n"/>
      <c r="X42" s="5" t="n"/>
      <c r="Y42" s="5">
        <f>IF(AND(V42&gt;=2,K42="Yes",L42="Yes"),"Sufficient",IF(AND(V42&gt;=1,OR(K42="Yes",L42="Yes")),"Thin","Insufficient"))</f>
        <v/>
      </c>
      <c r="Z42" s="5" t="n"/>
      <c r="AA42" s="5" t="n"/>
      <c r="AB42" s="5" t="n"/>
      <c r="AC42" s="5" t="n"/>
      <c r="AD42" s="5" t="n"/>
      <c r="AE42" s="5" t="n"/>
      <c r="AF42" s="5" t="n"/>
      <c r="AG42" s="5" t="n"/>
      <c r="AH42" s="5" t="n"/>
      <c r="AI42" s="5" t="n"/>
      <c r="AJ42" s="5" t="n"/>
      <c r="AK42" s="5" t="n"/>
      <c r="AL42" s="5" t="n"/>
      <c r="AM42" s="5" t="n"/>
      <c r="AN42" s="5" t="n"/>
      <c r="AO42" s="5" t="n"/>
      <c r="AP42" s="5" t="n"/>
      <c r="AQ42" s="5" t="n"/>
      <c r="AR42" s="40">
        <f t="array" ref="AR42">MIN(100, MAX(0,
  IFERROR(_xlfn.XLOOKUP(AJ42,'Lookup Tables'!$A$2:$A$7,'Lookup Tables'!$B$2:$B$7,0),0)
  + IF(Z42="Yes", IF(IFERROR(_xlfn.XLOOKUP(AJ42,'Lookup Tables'!$A$2:$A$7,'Lookup Tables'!$B$2:$B$7,0),0)&lt;20, 5, 0), 0)
  + _xlfn.IFS(AB42="Yes", IF(ISNUMBER(AC42)*AND(AC42&lt;=2030),15,10), AB42="Long-term Only", 5, AB42="No", 0, TRUE, 0)
  + _xlfn.IFS(AF42="Full",10, AF42="Partial",5, AF42="Scope 2 Only",3, TRUE,0)
  + _xlfn.IFS(AG42="Yes", IF(ISNUMBER(AH42)*AND(AH42&gt;=5),10,6), AG42="Partial",4, TRUE,0)
  + _xlfn.IFS(AI42="Yes",5, AI42="Partial (material categories only)",3, TRUE,0)
  + _xlfn.IFS(AL42="Yes — Detailed",10, AL42="Yes — High Level",5, TRUE,0)
  + _xlfn.IFS(AM42="Yes — Quantified",15, AM42="Yes — Directional Only",7, TRUE,0)
  + _xlfn.IFS(AP42="Formal",5, AP42="Referenced",2, TRUE,0)
  + _xlfn.IFS(AQ42="No Issues Found",5, AQ42="Concern Identified",-5, AQ42="Severe Contradiction",-15, TRUE,0)
  + _xlfn.IFS(BC42="Reasonable Assurance",5, BC42="Limited Assurance",3, TRUE,0)
  - IF(AND(Z42="Yes", AI42="No"), 10, 0)
  - IF(AND(Z42="Yes", AM42="No"), 10, 0)
))</f>
        <v/>
      </c>
      <c r="AS42" s="5" t="n"/>
      <c r="AT42" s="5" t="n"/>
      <c r="AU42" s="5" t="n"/>
      <c r="AV42" s="5" t="n"/>
      <c r="AW42" s="5" t="n"/>
      <c r="AX42" s="5" t="n"/>
      <c r="AY42" s="5" t="n"/>
      <c r="AZ42" s="5" t="n"/>
      <c r="BA42" s="5" t="n"/>
      <c r="BB42" s="5" t="n"/>
      <c r="BC42" s="5" t="n"/>
      <c r="BD42" s="5" t="n"/>
      <c r="BE42" s="39">
        <f t="array" ref="BE42">MIN(100, MAX(0,
  IFERROR(_xlfn.XLOOKUP(AT42,'Lookup Tables'!$D$2:$D$6,'Lookup Tables'!$E$2:$E$6,0),0)
  + IFERROR(_xlfn.XLOOKUP(AV42,'Lookup Tables'!$G$2:$G$5,'Lookup Tables'!$H$2:$H$5,0),0)
  + IFERROR(_xlfn.XLOOKUP(AW42,'Lookup Tables'!$J$2:$J$5,'Lookup Tables'!$K$2:$K$5,0),0)
  + _xlfn.IFS(AX42="No Issues",10, AX42="Complaint Filed",3, AX42="Confirmed Breach",-15, TRUE,0)
  + IFERROR(_xlfn.XLOOKUP(AY42,'Lookup Tables'!$M$2:$M$6,'Lookup Tables'!$N$2:$N$6,0),0)
  + IFERROR(_xlfn.XLOOKUP(AZ42,'Lookup Tables'!$P$2:$P$6,'Lookup Tables'!$Q$2:$Q$6,0),0)
  + _xlfn.IFS(BA42="Formal Board Committee",5, BA42="Board Oversight Mentioned",2, TRUE,0)
  + _xlfn.IFS(BB42="Yes — Quantified Targets",5, BB42="Yes — Discretionary Only",2, TRUE,0)
  + _xlfn.IFS(BC42="Reasonable Assurance",5, BC42="Limited Assurance",3, BC42="Management Review Only",1, TRUE,0)
))</f>
        <v/>
      </c>
      <c r="BF42" s="5" t="n"/>
      <c r="BG42" s="5" t="n"/>
      <c r="BH42" s="5" t="n"/>
      <c r="BI42" s="5" t="n"/>
      <c r="BJ42" s="5" t="n"/>
      <c r="BK42" s="5" t="n"/>
      <c r="BL42" s="5" t="n"/>
      <c r="BM42" s="5" t="n"/>
      <c r="BN42" s="5" t="n"/>
      <c r="BO42" s="5" t="n"/>
      <c r="BP42" s="5" t="n"/>
      <c r="BQ42" s="5" t="n"/>
      <c r="BR42" s="5" t="n"/>
      <c r="BS42" s="41">
        <f t="array" ref="BS42">MIN(100, MAX(0,
  IFERROR(_xlfn.XLOOKUP(BG42,'Lookup Tables'!$A$11:$A$16,'Lookup Tables'!$B$11:$B$16,0),0)
  + IFERROR(_xlfn.XLOOKUP(BR42,'Lookup Tables'!$M$11:$M$14,'Lookup Tables'!$N$11:$N$14,0),0)
  + IFERROR(_xlfn.XLOOKUP(BQ42,'Lookup Tables'!$J$11:$J$15,'Lookup Tables'!$K$11:$K$15,0),0)
  + IFERROR(_xlfn.XLOOKUP(BH42,'Lookup Tables'!$D$11:$D$15,'Lookup Tables'!$E$11:$E$15,0),0)
  + IFERROR(_xlfn.XLOOKUP(BJ42,'Lookup Tables'!$G$11:$G$16,'Lookup Tables'!$H$11:$H$16,0),0)
  + IFERROR(_xlfn.XLOOKUP(BN42,'Lookup Tables'!$P$11:$P$15,'Lookup Tables'!$Q$11:$Q$15,0),0)
  + _xlfn.IFS(BM42="No Evidence",10, BM42="Unknown",3, BM42="Likely",0, BM42="Confirmed",-10, TRUE,3)
  + IFERROR(_xlfn.XLOOKUP(BP42,'Lookup Tables'!$J$21:$J$24,'Lookup Tables'!$K$21:$K$24,0),0)
))</f>
        <v/>
      </c>
      <c r="BT42" s="5" t="n"/>
      <c r="BU42" s="5" t="n"/>
      <c r="BV42" s="5" t="n"/>
      <c r="BW42" s="5" t="n"/>
      <c r="BX42" s="5" t="n"/>
      <c r="BY42" s="5" t="n"/>
      <c r="BZ42" s="5" t="n"/>
      <c r="CA42" s="5" t="n"/>
      <c r="CB42" s="5" t="n"/>
      <c r="CC42" s="5" t="n"/>
      <c r="CD42" s="5" t="n"/>
      <c r="CE42" s="43">
        <f t="array" ref="CE42">MIN(100, MAX(0,
  IF(ISNUMBER(BV42)*AND(BV42&gt;0), 10, 0)
  + _xlfn.IFS(BY42="Independently Verified",25, BY42="Yes",15, TRUE,0)
  + IFERROR(_xlfn.XLOOKUP(BZ42,'Lookup Tables'!$A$21:$A$24,'Lookup Tables'!$B$21:$B$24,0),0)
  + IFERROR(_xlfn.XLOOKUP(CA42,'Lookup Tables'!$D$21:$D$24,'Lookup Tables'!$E$21:$E$24,0),0)
  + _xlfn.IFS(ISNUMBER(CB42)*AND(CB42&gt;=11),15, ISNUMBER(CB42)*AND(CB42&gt;=6),10, ISNUMBER(CB42)*AND(CB42&gt;=1),5, TRUE,0)
  + IFERROR(_xlfn.XLOOKUP(CC42,'Lookup Tables'!$G$21:$G$25,'Lookup Tables'!$H$21:$H$25,0),0)
  - IF(ISNUMBER(BW42)*AND(ISNUMBER(BV42))*AND(BW42&gt;BV42), 20, 0)
  - IF(AND(BY42="Yes", ISNUMBER(BW42), BW42&gt;60), 10, 0)
))</f>
        <v/>
      </c>
      <c r="CF42" s="5" t="n"/>
      <c r="CG42" s="5" t="n"/>
      <c r="CH42" s="5" t="n"/>
      <c r="CI42" s="5" t="n"/>
      <c r="CJ42" s="5" t="n"/>
      <c r="CK42" s="5" t="n"/>
      <c r="CL42" s="5" t="n"/>
      <c r="CM42" s="5" t="n"/>
      <c r="CN42" s="5" t="n"/>
      <c r="CO42" s="5" t="n"/>
      <c r="CP42" s="5" t="n"/>
      <c r="CQ42" s="5" t="n"/>
      <c r="CR42" s="5">
        <f>COUNTIF(CJ42:CQ42,"FAIL")</f>
        <v/>
      </c>
      <c r="CS42" s="5">
        <f>COUNTIF(CJ42:CQ42,"PARTIAL")</f>
        <v/>
      </c>
      <c r="CT42" s="5">
        <f>COUNTIF(CJ42:CQ42,"MISSING")</f>
        <v/>
      </c>
      <c r="CU42" s="5">
        <f>MIN(100,
  CR42*15
  + CS42*6
  + CT42*3
  + IFERROR(_xlfn.XLOOKUP(CW42,'Lookup Tables'!$M$21:$M$25,'Lookup Tables'!$N$21:$N$25,0),0)
)</f>
        <v/>
      </c>
      <c r="CV42" s="5">
        <f>IFERROR(
CHOOSE(
MATCH("FAIL",CJ42:CQ42,0),
"1-Specificity","2-Metric","3-Baseline","4-Target",
"5-Time Horizon","6-Scope","7-Verification","8-Consistency"
),
IFERROR(
CHOOSE(
MATCH("PARTIAL",CJ42:CQ42,0),
"1-Specificity","2-Metric","3-Baseline","4-Target",
"5-Time Horizon","6-Scope","7-Verification","8-Consistency"
),
"No failures"
)
)</f>
        <v/>
      </c>
      <c r="CW42" s="5" t="n"/>
      <c r="CX42" s="5" t="n"/>
      <c r="CY42" s="5" t="n"/>
      <c r="CZ42" s="5" t="n"/>
      <c r="DA42" s="5">
        <f>IF(OR(CU42&gt;=50,CW42="Material",CW42="Severe",AS42="Material",AS42="Severe",BF42="Material",BF42="Severe — Exclusion Trigger",AND(ISNUMBER(BS42),BS42&lt;30)),"Yes","No")</f>
        <v/>
      </c>
      <c r="DB42" s="5">
        <f>IF(OR(CR42&gt;=6,AW42="Confirmed Violation",AX42="Confirmed Breach"),"Yes — Automatic",IF(CW42="Severe","Yes — Requires Captain Confirmation","No"))</f>
        <v/>
      </c>
      <c r="DC42" s="5" t="n"/>
      <c r="DD42" s="5" t="n"/>
      <c r="DE42" s="5" t="n"/>
      <c r="DF42" s="5" t="n"/>
      <c r="DG42" s="5" t="n"/>
      <c r="DH42" s="5" t="n"/>
      <c r="DI42" s="5" t="n"/>
      <c r="DJ42" s="5" t="n"/>
      <c r="DK42" s="5" t="n"/>
      <c r="DL42" s="5">
        <f>IF(OR(IFERROR(VALUE(LEFT(DF42,1)),99)&lt;=2,IFERROR(VALUE(LEFT(DG42,1)),99)&lt;=2),"Flagged","Clear")</f>
        <v/>
      </c>
      <c r="DM42" s="5">
        <f>IF(OR(DA42="Yes",DB42&lt;&gt;"No",DH42="Unverified",DL42="Flagged"),"Yes","No")</f>
        <v/>
      </c>
      <c r="DN42" s="5">
        <f t="array" ref="DN42">MIN(100,
  IF(ISNUMBER(V42), _xlfn.IFS(V42&gt;=3,25, V42=2,15, V42=1,5, TRUE,0), 0)
  + IFERROR(_xlfn.IFS(VALUE(LEFT(DF42,1))=5,25, VALUE(LEFT(DF42,1))=4,20, VALUE(LEFT(DF42,1))=3,15, VALUE(LEFT(DF42,1))=2,8, TRUE,0), 15)
  + IFERROR(_xlfn.IFS(VALUE(LEFT(DG42,1))=5,25, VALUE(LEFT(DG42,1))=4,20, VALUE(LEFT(DG42,1))=3,15, VALUE(LEFT(DG42,1))=2,8, TRUE,0), 15)
  + _xlfn.IFS(DH42="Fully Verified",25, DH42="Partially Verified",12, TRUE,0)
)</f>
        <v/>
      </c>
      <c r="DO42" s="5">
        <f t="array" ref="DO42">_xlfn.IFS(
  ISBLANK(AR42), "Insufficient Evidence",
  AND(AR42&gt;=65, AJ42="Approved"), "Strong",
  AR42&gt;=65, "Adequate",
  AR42&gt;=40, "Adequate",
  AR42&gt;=20, "Weak",
  TRUE, "Insufficient Evidence"
)</f>
        <v/>
      </c>
      <c r="DP42" s="5">
        <f t="array" ref="DP42">_xlfn.IFS(
  ISBLANK(BS42), "Insufficient Evidence",
  BS42&gt;=65, "Strong",
  BS42&gt;=40, "Adequate",
  BS42&gt;=20, "Weak",
  TRUE, "Insufficient Evidence"
)</f>
        <v/>
      </c>
      <c r="DQ42" s="5">
        <f t="array" ref="DQ42">_xlfn.IFS(
  ISBLANK(BE42), "Insufficient Evidence",
  OR(AW42="Confirmed Violation", AX42="Confirmed Breach"), "Severe — Hard Trigger",
  BE42&gt;=65, "Strong",
  BE42&gt;=40, "Adequate",
  BE42&gt;=20, "Weak",
  TRUE, "Insufficient Evidence"
)</f>
        <v/>
      </c>
      <c r="DR42" s="5">
        <f t="array" ref="DR42">_xlfn.IFS(
  ISBLANK(CU42), "Insufficient Evidence",
  CU42&lt;=20, "Low Risk",
  CU42&lt;=50, "Moderate Risk",
  CU42&lt;=75, "High Risk",
  TRUE, "Very High Risk"
)</f>
        <v/>
      </c>
      <c r="DS42" s="5">
        <f t="array" ref="DS42">_xlfn.IFS(
  ISBLANK(CE42), "Insufficient Evidence",
  AND(ISNUMBER(BW42),ISNUMBER(BV42),BW42&gt;BV42), "Overclaiming Risk",
  CE42&gt;=65, "Strong",
  CE42&gt;=40, "Adequate",
  TRUE, "Weak"
)</f>
        <v/>
      </c>
      <c r="DT42" s="5">
        <f>IF(DB42="Yes — Automatic",0,ROUND((IF(ISNUMBER(AR42),AR42,0)*0.3+IF(ISNUMBER(BS42),BS42,0)*0.2+IF(ISNUMBER(BE42),BE42,0)*0.2+IF(ISNUMBER(CE42),CE42,0)*0.15+(100-IF(ISNUMBER(CU42),CU42,50))*0.15)*IF(DN42&gt;=75,1,IF(DN42&gt;=50,0.9,IF(DN42&gt;=25,0.75,0.6))),1))</f>
        <v/>
      </c>
      <c r="DU42" s="5">
        <f t="array" ref="DU42">_xlfn.IFS(
  DV42="Upgraded to Clear", "Clear",
  DV42="Downgraded to Watchlist", "Watchlist",
  DV42="Downgraded to Exclusion", "Exclusion Risk",
  DB42="Yes — Automatic", "Exclusion Risk",
  OR(AW42="Confirmed Violation", AX42="Confirmed Breach"), "Exclusion Risk",
  OR(V42=0, ISBLANK(V42), DN42&lt;20), "Insufficient Evidence",
  AND(DT42&gt;=65, DA42="No", DB42="No"), "Clear",
  OR(DT42&gt;=40, DA42="Yes"), "Watchlist",
  TRUE, "Exclusion Risk"
)</f>
        <v/>
      </c>
      <c r="DV42" s="5" t="n"/>
      <c r="DW42" s="5">
        <f t="array" ref="DW42">_xlfn.IFS(
  DU42="Exclusion Risk", "Exclude — Hard Trigger",
  DU42="Insufficient Evidence", "Watchlist — Further Evidence Needed",
  DU42="Watchlist", "Watchlist — Further Evidence Needed",
  AND(DU42="Clear", DT42&gt;=80), "Include — No Conditions",
  DU42="Clear", "Include — Monitor",
  TRUE, "Watchlist — Further Evidence Needed"
)</f>
        <v/>
      </c>
      <c r="DX42" s="5" t="n"/>
      <c r="DY42" s="5" t="n"/>
      <c r="DZ42" s="5" t="n"/>
      <c r="EA42" s="5" t="n"/>
      <c r="EB42" s="5">
        <f>IF(OR(V42=0, ISBLANK(V42)), "MISSING — No sources reviewed", "")</f>
        <v/>
      </c>
      <c r="EC42" s="5">
        <f>IF(AND(NOT(ISBLANK(DC42)), ISBLANK(DE42)), "PAGE REF MISSING", "")</f>
        <v/>
      </c>
    </row>
    <row r="43" ht="18" customHeight="1" s="60">
      <c r="A43" s="3" t="inlineStr">
        <is>
          <t>Bank of Georgia Group PLC</t>
        </is>
      </c>
      <c r="B43" s="3" t="inlineStr">
        <is>
          <t>GEB</t>
        </is>
      </c>
      <c r="C43" s="3">
        <f>IF(ISBLANK('Universe Tracker'!D39),"",'Universe Tracker'!D39)</f>
        <v/>
      </c>
      <c r="D43" s="3" t="n"/>
      <c r="E43" s="3" t="n"/>
      <c r="F43" s="3">
        <f>IF(ISBLANK('Universe Tracker'!F39),"",'Universe Tracker'!F39)</f>
        <v/>
      </c>
      <c r="G43" s="3">
        <f>IF(ISBLANK('Universe Tracker'!G39),"",'Universe Tracker'!G39)</f>
        <v/>
      </c>
      <c r="H43" s="3" t="n"/>
      <c r="I43" s="3" t="n"/>
      <c r="J43" s="3">
        <f>IF(ISBLANK(B43),"",B43&amp;"_"&amp;C43)</f>
        <v/>
      </c>
      <c r="K43" s="3" t="n"/>
      <c r="L43" s="3" t="n"/>
      <c r="M43" s="3" t="n"/>
      <c r="N43" s="3" t="n"/>
      <c r="O43" s="3" t="n"/>
      <c r="P43" s="3" t="n"/>
      <c r="Q43" s="3" t="n"/>
      <c r="R43" s="3" t="n"/>
      <c r="S43" s="3" t="n"/>
      <c r="T43" s="3" t="n"/>
      <c r="U43" s="3" t="n"/>
      <c r="V43" s="3" t="n"/>
      <c r="W43" s="3" t="n"/>
      <c r="X43" s="3" t="n"/>
      <c r="Y43" s="3">
        <f>IF(AND(V43&gt;=2,K43="Yes",L43="Yes"),"Sufficient",IF(AND(V43&gt;=1,OR(K43="Yes",L43="Yes")),"Thin","Insufficient"))</f>
        <v/>
      </c>
      <c r="Z43" s="3" t="n"/>
      <c r="AA43" s="3" t="n"/>
      <c r="AB43" s="3" t="n"/>
      <c r="AC43" s="3" t="n"/>
      <c r="AD43" s="3" t="n"/>
      <c r="AE43" s="3" t="n"/>
      <c r="AF43" s="3" t="n"/>
      <c r="AG43" s="3" t="n"/>
      <c r="AH43" s="3" t="n"/>
      <c r="AI43" s="3" t="n"/>
      <c r="AJ43" s="3" t="n"/>
      <c r="AK43" s="3" t="n"/>
      <c r="AL43" s="3" t="n"/>
      <c r="AM43" s="3" t="n"/>
      <c r="AN43" s="3" t="n"/>
      <c r="AO43" s="3" t="n"/>
      <c r="AP43" s="3" t="n"/>
      <c r="AQ43" s="3" t="n"/>
      <c r="AR43" s="40">
        <f t="array" ref="AR43">MIN(100, MAX(0,
  IFERROR(_xlfn.XLOOKUP(AJ43,'Lookup Tables'!$A$2:$A$7,'Lookup Tables'!$B$2:$B$7,0),0)
  + IF(Z43="Yes", IF(IFERROR(_xlfn.XLOOKUP(AJ43,'Lookup Tables'!$A$2:$A$7,'Lookup Tables'!$B$2:$B$7,0),0)&lt;20, 5, 0), 0)
  + _xlfn.IFS(AB43="Yes", IF(ISNUMBER(AC43)*AND(AC43&lt;=2030),15,10), AB43="Long-term Only", 5, AB43="No", 0, TRUE, 0)
  + _xlfn.IFS(AF43="Full",10, AF43="Partial",5, AF43="Scope 2 Only",3, TRUE,0)
  + _xlfn.IFS(AG43="Yes", IF(ISNUMBER(AH43)*AND(AH43&gt;=5),10,6), AG43="Partial",4, TRUE,0)
  + _xlfn.IFS(AI43="Yes",5, AI43="Partial (material categories only)",3, TRUE,0)
  + _xlfn.IFS(AL43="Yes — Detailed",10, AL43="Yes — High Level",5, TRUE,0)
  + _xlfn.IFS(AM43="Yes — Quantified",15, AM43="Yes — Directional Only",7, TRUE,0)
  + _xlfn.IFS(AP43="Formal",5, AP43="Referenced",2, TRUE,0)
  + _xlfn.IFS(AQ43="No Issues Found",5, AQ43="Concern Identified",-5, AQ43="Severe Contradiction",-15, TRUE,0)
  + _xlfn.IFS(BC43="Reasonable Assurance",5, BC43="Limited Assurance",3, TRUE,0)
  - IF(AND(Z43="Yes", AI43="No"), 10, 0)
  - IF(AND(Z43="Yes", AM43="No"), 10, 0)
))</f>
        <v/>
      </c>
      <c r="AS43" s="3" t="n"/>
      <c r="AT43" s="3" t="n"/>
      <c r="AU43" s="3" t="n"/>
      <c r="AV43" s="3" t="n"/>
      <c r="AW43" s="3" t="n"/>
      <c r="AX43" s="3" t="n"/>
      <c r="AY43" s="3" t="n"/>
      <c r="AZ43" s="3" t="n"/>
      <c r="BA43" s="3" t="n"/>
      <c r="BB43" s="3" t="n"/>
      <c r="BC43" s="3" t="n"/>
      <c r="BD43" s="3" t="n"/>
      <c r="BE43" s="40">
        <f t="array" ref="BE43">MIN(100, MAX(0,
  IFERROR(_xlfn.XLOOKUP(AT43,'Lookup Tables'!$D$2:$D$6,'Lookup Tables'!$E$2:$E$6,0),0)
  + IFERROR(_xlfn.XLOOKUP(AV43,'Lookup Tables'!$G$2:$G$5,'Lookup Tables'!$H$2:$H$5,0),0)
  + IFERROR(_xlfn.XLOOKUP(AW43,'Lookup Tables'!$J$2:$J$5,'Lookup Tables'!$K$2:$K$5,0),0)
  + _xlfn.IFS(AX43="No Issues",10, AX43="Complaint Filed",3, AX43="Confirmed Breach",-15, TRUE,0)
  + IFERROR(_xlfn.XLOOKUP(AY43,'Lookup Tables'!$M$2:$M$6,'Lookup Tables'!$N$2:$N$6,0),0)
  + IFERROR(_xlfn.XLOOKUP(AZ43,'Lookup Tables'!$P$2:$P$6,'Lookup Tables'!$Q$2:$Q$6,0),0)
  + _xlfn.IFS(BA43="Formal Board Committee",5, BA43="Board Oversight Mentioned",2, TRUE,0)
  + _xlfn.IFS(BB43="Yes — Quantified Targets",5, BB43="Yes — Discretionary Only",2, TRUE,0)
  + _xlfn.IFS(BC43="Reasonable Assurance",5, BC43="Limited Assurance",3, BC43="Management Review Only",1, TRUE,0)
))</f>
        <v/>
      </c>
      <c r="BF43" s="3" t="n"/>
      <c r="BG43" s="3" t="n"/>
      <c r="BH43" s="3" t="n"/>
      <c r="BI43" s="3" t="n"/>
      <c r="BJ43" s="3" t="n"/>
      <c r="BK43" s="3" t="n"/>
      <c r="BL43" s="3" t="n"/>
      <c r="BM43" s="3" t="n"/>
      <c r="BN43" s="3" t="n"/>
      <c r="BO43" s="3" t="n"/>
      <c r="BP43" s="3" t="n"/>
      <c r="BQ43" s="3" t="n"/>
      <c r="BR43" s="3" t="n"/>
      <c r="BS43" s="42">
        <f t="array" ref="BS43">MIN(100, MAX(0,
  IFERROR(_xlfn.XLOOKUP(BG43,'Lookup Tables'!$A$11:$A$16,'Lookup Tables'!$B$11:$B$16,0),0)
  + IFERROR(_xlfn.XLOOKUP(BR43,'Lookup Tables'!$M$11:$M$14,'Lookup Tables'!$N$11:$N$14,0),0)
  + IFERROR(_xlfn.XLOOKUP(BQ43,'Lookup Tables'!$J$11:$J$15,'Lookup Tables'!$K$11:$K$15,0),0)
  + IFERROR(_xlfn.XLOOKUP(BH43,'Lookup Tables'!$D$11:$D$15,'Lookup Tables'!$E$11:$E$15,0),0)
  + IFERROR(_xlfn.XLOOKUP(BJ43,'Lookup Tables'!$G$11:$G$16,'Lookup Tables'!$H$11:$H$16,0),0)
  + IFERROR(_xlfn.XLOOKUP(BN43,'Lookup Tables'!$P$11:$P$15,'Lookup Tables'!$Q$11:$Q$15,0),0)
  + _xlfn.IFS(BM43="No Evidence",10, BM43="Unknown",3, BM43="Likely",0, BM43="Confirmed",-10, TRUE,3)
  + IFERROR(_xlfn.XLOOKUP(BP43,'Lookup Tables'!$J$21:$J$24,'Lookup Tables'!$K$21:$K$24,0),0)
))</f>
        <v/>
      </c>
      <c r="BT43" s="3" t="n"/>
      <c r="BU43" s="3" t="n"/>
      <c r="BV43" s="3" t="n"/>
      <c r="BW43" s="3" t="n"/>
      <c r="BX43" s="3" t="n"/>
      <c r="BY43" s="3" t="n"/>
      <c r="BZ43" s="3" t="n"/>
      <c r="CA43" s="3" t="n"/>
      <c r="CB43" s="3" t="n"/>
      <c r="CC43" s="3" t="n"/>
      <c r="CD43" s="3" t="n"/>
      <c r="CE43" s="44">
        <f t="array" ref="CE43">MIN(100, MAX(0,
  IF(ISNUMBER(BV43)*AND(BV43&gt;0), 10, 0)
  + _xlfn.IFS(BY43="Independently Verified",25, BY43="Yes",15, TRUE,0)
  + IFERROR(_xlfn.XLOOKUP(BZ43,'Lookup Tables'!$A$21:$A$24,'Lookup Tables'!$B$21:$B$24,0),0)
  + IFERROR(_xlfn.XLOOKUP(CA43,'Lookup Tables'!$D$21:$D$24,'Lookup Tables'!$E$21:$E$24,0),0)
  + _xlfn.IFS(ISNUMBER(CB43)*AND(CB43&gt;=11),15, ISNUMBER(CB43)*AND(CB43&gt;=6),10, ISNUMBER(CB43)*AND(CB43&gt;=1),5, TRUE,0)
  + IFERROR(_xlfn.XLOOKUP(CC43,'Lookup Tables'!$G$21:$G$25,'Lookup Tables'!$H$21:$H$25,0),0)
  - IF(ISNUMBER(BW43)*AND(ISNUMBER(BV43))*AND(BW43&gt;BV43), 20, 0)
  - IF(AND(BY43="Yes", ISNUMBER(BW43), BW43&gt;60), 10, 0)
))</f>
        <v/>
      </c>
      <c r="CF43" s="3" t="n"/>
      <c r="CG43" s="3" t="n"/>
      <c r="CH43" s="3" t="n"/>
      <c r="CI43" s="3" t="n"/>
      <c r="CJ43" s="3" t="n"/>
      <c r="CK43" s="3" t="n"/>
      <c r="CL43" s="3" t="n"/>
      <c r="CM43" s="3" t="n"/>
      <c r="CN43" s="3" t="n"/>
      <c r="CO43" s="3" t="n"/>
      <c r="CP43" s="3" t="n"/>
      <c r="CQ43" s="3" t="n"/>
      <c r="CR43" s="3">
        <f>COUNTIF(CJ43:CQ43,"FAIL")</f>
        <v/>
      </c>
      <c r="CS43" s="3">
        <f>COUNTIF(CJ43:CQ43,"PARTIAL")</f>
        <v/>
      </c>
      <c r="CT43" s="3">
        <f>COUNTIF(CJ43:CQ43,"MISSING")</f>
        <v/>
      </c>
      <c r="CU43" s="3">
        <f>MIN(100,
  CR43*15
  + CS43*6
  + CT43*3
  + IFERROR(_xlfn.XLOOKUP(CW43,'Lookup Tables'!$M$21:$M$25,'Lookup Tables'!$N$21:$N$25,0),0)
)</f>
        <v/>
      </c>
      <c r="CV43" s="3">
        <f>IFERROR(
CHOOSE(
MATCH("FAIL",CJ43:CQ43,0),
"1-Specificity","2-Metric","3-Baseline","4-Target",
"5-Time Horizon","6-Scope","7-Verification","8-Consistency"
),
IFERROR(
CHOOSE(
MATCH("PARTIAL",CJ43:CQ43,0),
"1-Specificity","2-Metric","3-Baseline","4-Target",
"5-Time Horizon","6-Scope","7-Verification","8-Consistency"
),
"No failures"
)
)</f>
        <v/>
      </c>
      <c r="CW43" s="3" t="n"/>
      <c r="CX43" s="3" t="n"/>
      <c r="CY43" s="3" t="n"/>
      <c r="CZ43" s="3" t="n"/>
      <c r="DA43" s="3">
        <f>IF(OR(CU43&gt;=50,CW43="Material",CW43="Severe",AS43="Material",AS43="Severe",BF43="Material",BF43="Severe — Exclusion Trigger",AND(ISNUMBER(BS43),BS43&lt;30)),"Yes","No")</f>
        <v/>
      </c>
      <c r="DB43" s="3">
        <f>IF(OR(CR43&gt;=6,AW43="Confirmed Violation",AX43="Confirmed Breach"),"Yes — Automatic",IF(CW43="Severe","Yes — Requires Captain Confirmation","No"))</f>
        <v/>
      </c>
      <c r="DC43" s="3" t="n"/>
      <c r="DD43" s="3" t="n"/>
      <c r="DE43" s="3" t="n"/>
      <c r="DF43" s="3" t="n"/>
      <c r="DG43" s="3" t="n"/>
      <c r="DH43" s="3" t="n"/>
      <c r="DI43" s="3" t="n"/>
      <c r="DJ43" s="3" t="n"/>
      <c r="DK43" s="3" t="n"/>
      <c r="DL43" s="3">
        <f>IF(OR(IFERROR(VALUE(LEFT(DF43,1)),99)&lt;=2,IFERROR(VALUE(LEFT(DG43,1)),99)&lt;=2),"Flagged","Clear")</f>
        <v/>
      </c>
      <c r="DM43" s="3">
        <f>IF(OR(DA43="Yes",DB43&lt;&gt;"No",DH43="Unverified",DL43="Flagged"),"Yes","No")</f>
        <v/>
      </c>
      <c r="DN43" s="3">
        <f t="array" ref="DN43">MIN(100,
  IF(ISNUMBER(V43), _xlfn.IFS(V43&gt;=3,25, V43=2,15, V43=1,5, TRUE,0), 0)
  + IFERROR(_xlfn.IFS(VALUE(LEFT(DF43,1))=5,25, VALUE(LEFT(DF43,1))=4,20, VALUE(LEFT(DF43,1))=3,15, VALUE(LEFT(DF43,1))=2,8, TRUE,0), 15)
  + IFERROR(_xlfn.IFS(VALUE(LEFT(DG43,1))=5,25, VALUE(LEFT(DG43,1))=4,20, VALUE(LEFT(DG43,1))=3,15, VALUE(LEFT(DG43,1))=2,8, TRUE,0), 15)
  + _xlfn.IFS(DH43="Fully Verified",25, DH43="Partially Verified",12, TRUE,0)
)</f>
        <v/>
      </c>
      <c r="DO43" s="3">
        <f t="array" ref="DO43">_xlfn.IFS(
  ISBLANK(AR43), "Insufficient Evidence",
  AND(AR43&gt;=65, AJ43="Approved"), "Strong",
  AR43&gt;=65, "Adequate",
  AR43&gt;=40, "Adequate",
  AR43&gt;=20, "Weak",
  TRUE, "Insufficient Evidence"
)</f>
        <v/>
      </c>
      <c r="DP43" s="3">
        <f t="array" ref="DP43">_xlfn.IFS(
  ISBLANK(BS43), "Insufficient Evidence",
  BS43&gt;=65, "Strong",
  BS43&gt;=40, "Adequate",
  BS43&gt;=20, "Weak",
  TRUE, "Insufficient Evidence"
)</f>
        <v/>
      </c>
      <c r="DQ43" s="3">
        <f t="array" ref="DQ43">_xlfn.IFS(
  ISBLANK(BE43), "Insufficient Evidence",
  OR(AW43="Confirmed Violation", AX43="Confirmed Breach"), "Severe — Hard Trigger",
  BE43&gt;=65, "Strong",
  BE43&gt;=40, "Adequate",
  BE43&gt;=20, "Weak",
  TRUE, "Insufficient Evidence"
)</f>
        <v/>
      </c>
      <c r="DR43" s="3">
        <f t="array" ref="DR43">_xlfn.IFS(
  ISBLANK(CU43), "Insufficient Evidence",
  CU43&lt;=20, "Low Risk",
  CU43&lt;=50, "Moderate Risk",
  CU43&lt;=75, "High Risk",
  TRUE, "Very High Risk"
)</f>
        <v/>
      </c>
      <c r="DS43" s="3">
        <f t="array" ref="DS43">_xlfn.IFS(
  ISBLANK(CE43), "Insufficient Evidence",
  AND(ISNUMBER(BW43),ISNUMBER(BV43),BW43&gt;BV43), "Overclaiming Risk",
  CE43&gt;=65, "Strong",
  CE43&gt;=40, "Adequate",
  TRUE, "Weak"
)</f>
        <v/>
      </c>
      <c r="DT43" s="3">
        <f>IF(DB43="Yes — Automatic",0,ROUND((IF(ISNUMBER(AR43),AR43,0)*0.3+IF(ISNUMBER(BS43),BS43,0)*0.2+IF(ISNUMBER(BE43),BE43,0)*0.2+IF(ISNUMBER(CE43),CE43,0)*0.15+(100-IF(ISNUMBER(CU43),CU43,50))*0.15)*IF(DN43&gt;=75,1,IF(DN43&gt;=50,0.9,IF(DN43&gt;=25,0.75,0.6))),1))</f>
        <v/>
      </c>
      <c r="DU43" s="3">
        <f t="array" ref="DU43">_xlfn.IFS(
  DV43="Upgraded to Clear", "Clear",
  DV43="Downgraded to Watchlist", "Watchlist",
  DV43="Downgraded to Exclusion", "Exclusion Risk",
  DB43="Yes — Automatic", "Exclusion Risk",
  OR(AW43="Confirmed Violation", AX43="Confirmed Breach"), "Exclusion Risk",
  OR(V43=0, ISBLANK(V43), DN43&lt;20), "Insufficient Evidence",
  AND(DT43&gt;=65, DA43="No", DB43="No"), "Clear",
  OR(DT43&gt;=40, DA43="Yes"), "Watchlist",
  TRUE, "Exclusion Risk"
)</f>
        <v/>
      </c>
      <c r="DV43" s="3" t="n"/>
      <c r="DW43" s="3">
        <f t="array" ref="DW43">_xlfn.IFS(
  DU43="Exclusion Risk", "Exclude — Hard Trigger",
  DU43="Insufficient Evidence", "Watchlist — Further Evidence Needed",
  DU43="Watchlist", "Watchlist — Further Evidence Needed",
  AND(DU43="Clear", DT43&gt;=80), "Include — No Conditions",
  DU43="Clear", "Include — Monitor",
  TRUE, "Watchlist — Further Evidence Needed"
)</f>
        <v/>
      </c>
      <c r="DX43" s="3" t="n"/>
      <c r="DY43" s="3" t="n"/>
      <c r="DZ43" s="3" t="n"/>
      <c r="EA43" s="3" t="n"/>
      <c r="EB43" s="3">
        <f>IF(OR(V43=0, ISBLANK(V43)), "MISSING — No sources reviewed", "")</f>
        <v/>
      </c>
      <c r="EC43" s="3">
        <f>IF(AND(NOT(ISBLANK(DC43)), ISBLANK(DE43)), "PAGE REF MISSING", "")</f>
        <v/>
      </c>
    </row>
    <row r="44" ht="18" customHeight="1" s="60">
      <c r="A44" s="5" t="inlineStr">
        <is>
          <t>Banca Mediolanum SpA</t>
        </is>
      </c>
      <c r="B44" s="5" t="inlineStr">
        <is>
          <t>ME1</t>
        </is>
      </c>
      <c r="C44" s="5">
        <f>IF(ISBLANK('Universe Tracker'!D40),"",'Universe Tracker'!D40)</f>
        <v/>
      </c>
      <c r="D44" s="5" t="n"/>
      <c r="E44" s="5" t="n"/>
      <c r="F44" s="5">
        <f>IF(ISBLANK('Universe Tracker'!F40),"",'Universe Tracker'!F40)</f>
        <v/>
      </c>
      <c r="G44" s="5">
        <f>IF(ISBLANK('Universe Tracker'!G40),"",'Universe Tracker'!G40)</f>
        <v/>
      </c>
      <c r="H44" s="5" t="n"/>
      <c r="I44" s="5" t="n"/>
      <c r="J44" s="5">
        <f>IF(ISBLANK(B44),"",B44&amp;"_"&amp;C44)</f>
        <v/>
      </c>
      <c r="K44" s="5" t="n"/>
      <c r="L44" s="5" t="n"/>
      <c r="M44" s="5" t="n"/>
      <c r="N44" s="5" t="n"/>
      <c r="O44" s="5" t="n"/>
      <c r="P44" s="5" t="n"/>
      <c r="Q44" s="5" t="n"/>
      <c r="R44" s="5" t="n"/>
      <c r="S44" s="5" t="n"/>
      <c r="T44" s="5" t="n"/>
      <c r="U44" s="5" t="n"/>
      <c r="V44" s="5" t="n"/>
      <c r="W44" s="5" t="n"/>
      <c r="X44" s="5" t="n"/>
      <c r="Y44" s="5">
        <f>IF(AND(V44&gt;=2,K44="Yes",L44="Yes"),"Sufficient",IF(AND(V44&gt;=1,OR(K44="Yes",L44="Yes")),"Thin","Insufficient"))</f>
        <v/>
      </c>
      <c r="Z44" s="5" t="n"/>
      <c r="AA44" s="5" t="n"/>
      <c r="AB44" s="5" t="n"/>
      <c r="AC44" s="5" t="n"/>
      <c r="AD44" s="5" t="n"/>
      <c r="AE44" s="5" t="n"/>
      <c r="AF44" s="5" t="n"/>
      <c r="AG44" s="5" t="n"/>
      <c r="AH44" s="5" t="n"/>
      <c r="AI44" s="5" t="n"/>
      <c r="AJ44" s="5" t="n"/>
      <c r="AK44" s="5" t="n"/>
      <c r="AL44" s="5" t="n"/>
      <c r="AM44" s="5" t="n"/>
      <c r="AN44" s="5" t="n"/>
      <c r="AO44" s="5" t="n"/>
      <c r="AP44" s="5" t="n"/>
      <c r="AQ44" s="5" t="n"/>
      <c r="AR44" s="40">
        <f t="array" ref="AR44">MIN(100, MAX(0,
  IFERROR(_xlfn.XLOOKUP(AJ44,'Lookup Tables'!$A$2:$A$7,'Lookup Tables'!$B$2:$B$7,0),0)
  + IF(Z44="Yes", IF(IFERROR(_xlfn.XLOOKUP(AJ44,'Lookup Tables'!$A$2:$A$7,'Lookup Tables'!$B$2:$B$7,0),0)&lt;20, 5, 0), 0)
  + _xlfn.IFS(AB44="Yes", IF(ISNUMBER(AC44)*AND(AC44&lt;=2030),15,10), AB44="Long-term Only", 5, AB44="No", 0, TRUE, 0)
  + _xlfn.IFS(AF44="Full",10, AF44="Partial",5, AF44="Scope 2 Only",3, TRUE,0)
  + _xlfn.IFS(AG44="Yes", IF(ISNUMBER(AH44)*AND(AH44&gt;=5),10,6), AG44="Partial",4, TRUE,0)
  + _xlfn.IFS(AI44="Yes",5, AI44="Partial (material categories only)",3, TRUE,0)
  + _xlfn.IFS(AL44="Yes — Detailed",10, AL44="Yes — High Level",5, TRUE,0)
  + _xlfn.IFS(AM44="Yes — Quantified",15, AM44="Yes — Directional Only",7, TRUE,0)
  + _xlfn.IFS(AP44="Formal",5, AP44="Referenced",2, TRUE,0)
  + _xlfn.IFS(AQ44="No Issues Found",5, AQ44="Concern Identified",-5, AQ44="Severe Contradiction",-15, TRUE,0)
  + _xlfn.IFS(BC44="Reasonable Assurance",5, BC44="Limited Assurance",3, TRUE,0)
  - IF(AND(Z44="Yes", AI44="No"), 10, 0)
  - IF(AND(Z44="Yes", AM44="No"), 10, 0)
))</f>
        <v/>
      </c>
      <c r="AS44" s="5" t="n"/>
      <c r="AT44" s="5" t="n"/>
      <c r="AU44" s="5" t="n"/>
      <c r="AV44" s="5" t="n"/>
      <c r="AW44" s="5" t="n"/>
      <c r="AX44" s="5" t="n"/>
      <c r="AY44" s="5" t="n"/>
      <c r="AZ44" s="5" t="n"/>
      <c r="BA44" s="5" t="n"/>
      <c r="BB44" s="5" t="n"/>
      <c r="BC44" s="5" t="n"/>
      <c r="BD44" s="5" t="n"/>
      <c r="BE44" s="39">
        <f t="array" ref="BE44">MIN(100, MAX(0,
  IFERROR(_xlfn.XLOOKUP(AT44,'Lookup Tables'!$D$2:$D$6,'Lookup Tables'!$E$2:$E$6,0),0)
  + IFERROR(_xlfn.XLOOKUP(AV44,'Lookup Tables'!$G$2:$G$5,'Lookup Tables'!$H$2:$H$5,0),0)
  + IFERROR(_xlfn.XLOOKUP(AW44,'Lookup Tables'!$J$2:$J$5,'Lookup Tables'!$K$2:$K$5,0),0)
  + _xlfn.IFS(AX44="No Issues",10, AX44="Complaint Filed",3, AX44="Confirmed Breach",-15, TRUE,0)
  + IFERROR(_xlfn.XLOOKUP(AY44,'Lookup Tables'!$M$2:$M$6,'Lookup Tables'!$N$2:$N$6,0),0)
  + IFERROR(_xlfn.XLOOKUP(AZ44,'Lookup Tables'!$P$2:$P$6,'Lookup Tables'!$Q$2:$Q$6,0),0)
  + _xlfn.IFS(BA44="Formal Board Committee",5, BA44="Board Oversight Mentioned",2, TRUE,0)
  + _xlfn.IFS(BB44="Yes — Quantified Targets",5, BB44="Yes — Discretionary Only",2, TRUE,0)
  + _xlfn.IFS(BC44="Reasonable Assurance",5, BC44="Limited Assurance",3, BC44="Management Review Only",1, TRUE,0)
))</f>
        <v/>
      </c>
      <c r="BF44" s="5" t="n"/>
      <c r="BG44" s="5" t="n"/>
      <c r="BH44" s="5" t="n"/>
      <c r="BI44" s="5" t="n"/>
      <c r="BJ44" s="5" t="n"/>
      <c r="BK44" s="5" t="n"/>
      <c r="BL44" s="5" t="n"/>
      <c r="BM44" s="5" t="n"/>
      <c r="BN44" s="5" t="n"/>
      <c r="BO44" s="5" t="n"/>
      <c r="BP44" s="5" t="n"/>
      <c r="BQ44" s="5" t="n"/>
      <c r="BR44" s="5" t="n"/>
      <c r="BS44" s="41">
        <f t="array" ref="BS44">MIN(100, MAX(0,
  IFERROR(_xlfn.XLOOKUP(BG44,'Lookup Tables'!$A$11:$A$16,'Lookup Tables'!$B$11:$B$16,0),0)
  + IFERROR(_xlfn.XLOOKUP(BR44,'Lookup Tables'!$M$11:$M$14,'Lookup Tables'!$N$11:$N$14,0),0)
  + IFERROR(_xlfn.XLOOKUP(BQ44,'Lookup Tables'!$J$11:$J$15,'Lookup Tables'!$K$11:$K$15,0),0)
  + IFERROR(_xlfn.XLOOKUP(BH44,'Lookup Tables'!$D$11:$D$15,'Lookup Tables'!$E$11:$E$15,0),0)
  + IFERROR(_xlfn.XLOOKUP(BJ44,'Lookup Tables'!$G$11:$G$16,'Lookup Tables'!$H$11:$H$16,0),0)
  + IFERROR(_xlfn.XLOOKUP(BN44,'Lookup Tables'!$P$11:$P$15,'Lookup Tables'!$Q$11:$Q$15,0),0)
  + _xlfn.IFS(BM44="No Evidence",10, BM44="Unknown",3, BM44="Likely",0, BM44="Confirmed",-10, TRUE,3)
  + IFERROR(_xlfn.XLOOKUP(BP44,'Lookup Tables'!$J$21:$J$24,'Lookup Tables'!$K$21:$K$24,0),0)
))</f>
        <v/>
      </c>
      <c r="BT44" s="5" t="n"/>
      <c r="BU44" s="5" t="n"/>
      <c r="BV44" s="5" t="n"/>
      <c r="BW44" s="5" t="n"/>
      <c r="BX44" s="5" t="n"/>
      <c r="BY44" s="5" t="n"/>
      <c r="BZ44" s="5" t="n"/>
      <c r="CA44" s="5" t="n"/>
      <c r="CB44" s="5" t="n"/>
      <c r="CC44" s="5" t="n"/>
      <c r="CD44" s="5" t="n"/>
      <c r="CE44" s="43">
        <f t="array" ref="CE44">MIN(100, MAX(0,
  IF(ISNUMBER(BV44)*AND(BV44&gt;0), 10, 0)
  + _xlfn.IFS(BY44="Independently Verified",25, BY44="Yes",15, TRUE,0)
  + IFERROR(_xlfn.XLOOKUP(BZ44,'Lookup Tables'!$A$21:$A$24,'Lookup Tables'!$B$21:$B$24,0),0)
  + IFERROR(_xlfn.XLOOKUP(CA44,'Lookup Tables'!$D$21:$D$24,'Lookup Tables'!$E$21:$E$24,0),0)
  + _xlfn.IFS(ISNUMBER(CB44)*AND(CB44&gt;=11),15, ISNUMBER(CB44)*AND(CB44&gt;=6),10, ISNUMBER(CB44)*AND(CB44&gt;=1),5, TRUE,0)
  + IFERROR(_xlfn.XLOOKUP(CC44,'Lookup Tables'!$G$21:$G$25,'Lookup Tables'!$H$21:$H$25,0),0)
  - IF(ISNUMBER(BW44)*AND(ISNUMBER(BV44))*AND(BW44&gt;BV44), 20, 0)
  - IF(AND(BY44="Yes", ISNUMBER(BW44), BW44&gt;60), 10, 0)
))</f>
        <v/>
      </c>
      <c r="CF44" s="5" t="n"/>
      <c r="CG44" s="5" t="n"/>
      <c r="CH44" s="5" t="n"/>
      <c r="CI44" s="5" t="n"/>
      <c r="CJ44" s="5" t="n"/>
      <c r="CK44" s="5" t="n"/>
      <c r="CL44" s="5" t="n"/>
      <c r="CM44" s="5" t="n"/>
      <c r="CN44" s="5" t="n"/>
      <c r="CO44" s="5" t="n"/>
      <c r="CP44" s="5" t="n"/>
      <c r="CQ44" s="5" t="n"/>
      <c r="CR44" s="5">
        <f>COUNTIF(CJ44:CQ44,"FAIL")</f>
        <v/>
      </c>
      <c r="CS44" s="5">
        <f>COUNTIF(CJ44:CQ44,"PARTIAL")</f>
        <v/>
      </c>
      <c r="CT44" s="5">
        <f>COUNTIF(CJ44:CQ44,"MISSING")</f>
        <v/>
      </c>
      <c r="CU44" s="5">
        <f>MIN(100,
  CR44*15
  + CS44*6
  + CT44*3
  + IFERROR(_xlfn.XLOOKUP(CW44,'Lookup Tables'!$M$21:$M$25,'Lookup Tables'!$N$21:$N$25,0),0)
)</f>
        <v/>
      </c>
      <c r="CV44" s="5">
        <f>IFERROR(
CHOOSE(
MATCH("FAIL",CJ44:CQ44,0),
"1-Specificity","2-Metric","3-Baseline","4-Target",
"5-Time Horizon","6-Scope","7-Verification","8-Consistency"
),
IFERROR(
CHOOSE(
MATCH("PARTIAL",CJ44:CQ44,0),
"1-Specificity","2-Metric","3-Baseline","4-Target",
"5-Time Horizon","6-Scope","7-Verification","8-Consistency"
),
"No failures"
)
)</f>
        <v/>
      </c>
      <c r="CW44" s="5" t="n"/>
      <c r="CX44" s="5" t="n"/>
      <c r="CY44" s="5" t="n"/>
      <c r="CZ44" s="5" t="n"/>
      <c r="DA44" s="5">
        <f>IF(OR(CU44&gt;=50,CW44="Material",CW44="Severe",AS44="Material",AS44="Severe",BF44="Material",BF44="Severe — Exclusion Trigger",AND(ISNUMBER(BS44),BS44&lt;30)),"Yes","No")</f>
        <v/>
      </c>
      <c r="DB44" s="5">
        <f>IF(OR(CR44&gt;=6,AW44="Confirmed Violation",AX44="Confirmed Breach"),"Yes — Automatic",IF(CW44="Severe","Yes — Requires Captain Confirmation","No"))</f>
        <v/>
      </c>
      <c r="DC44" s="5" t="n"/>
      <c r="DD44" s="5" t="n"/>
      <c r="DE44" s="5" t="n"/>
      <c r="DF44" s="5" t="n"/>
      <c r="DG44" s="5" t="n"/>
      <c r="DH44" s="5" t="n"/>
      <c r="DI44" s="5" t="n"/>
      <c r="DJ44" s="5" t="n"/>
      <c r="DK44" s="5" t="n"/>
      <c r="DL44" s="5">
        <f>IF(OR(IFERROR(VALUE(LEFT(DF44,1)),99)&lt;=2,IFERROR(VALUE(LEFT(DG44,1)),99)&lt;=2),"Flagged","Clear")</f>
        <v/>
      </c>
      <c r="DM44" s="5">
        <f>IF(OR(DA44="Yes",DB44&lt;&gt;"No",DH44="Unverified",DL44="Flagged"),"Yes","No")</f>
        <v/>
      </c>
      <c r="DN44" s="5">
        <f t="array" ref="DN44">MIN(100,
  IF(ISNUMBER(V44), _xlfn.IFS(V44&gt;=3,25, V44=2,15, V44=1,5, TRUE,0), 0)
  + IFERROR(_xlfn.IFS(VALUE(LEFT(DF44,1))=5,25, VALUE(LEFT(DF44,1))=4,20, VALUE(LEFT(DF44,1))=3,15, VALUE(LEFT(DF44,1))=2,8, TRUE,0), 15)
  + IFERROR(_xlfn.IFS(VALUE(LEFT(DG44,1))=5,25, VALUE(LEFT(DG44,1))=4,20, VALUE(LEFT(DG44,1))=3,15, VALUE(LEFT(DG44,1))=2,8, TRUE,0), 15)
  + _xlfn.IFS(DH44="Fully Verified",25, DH44="Partially Verified",12, TRUE,0)
)</f>
        <v/>
      </c>
      <c r="DO44" s="5">
        <f t="array" ref="DO44">_xlfn.IFS(
  ISBLANK(AR44), "Insufficient Evidence",
  AND(AR44&gt;=65, AJ44="Approved"), "Strong",
  AR44&gt;=65, "Adequate",
  AR44&gt;=40, "Adequate",
  AR44&gt;=20, "Weak",
  TRUE, "Insufficient Evidence"
)</f>
        <v/>
      </c>
      <c r="DP44" s="5">
        <f t="array" ref="DP44">_xlfn.IFS(
  ISBLANK(BS44), "Insufficient Evidence",
  BS44&gt;=65, "Strong",
  BS44&gt;=40, "Adequate",
  BS44&gt;=20, "Weak",
  TRUE, "Insufficient Evidence"
)</f>
        <v/>
      </c>
      <c r="DQ44" s="5">
        <f t="array" ref="DQ44">_xlfn.IFS(
  ISBLANK(BE44), "Insufficient Evidence",
  OR(AW44="Confirmed Violation", AX44="Confirmed Breach"), "Severe — Hard Trigger",
  BE44&gt;=65, "Strong",
  BE44&gt;=40, "Adequate",
  BE44&gt;=20, "Weak",
  TRUE, "Insufficient Evidence"
)</f>
        <v/>
      </c>
      <c r="DR44" s="5">
        <f t="array" ref="DR44">_xlfn.IFS(
  ISBLANK(CU44), "Insufficient Evidence",
  CU44&lt;=20, "Low Risk",
  CU44&lt;=50, "Moderate Risk",
  CU44&lt;=75, "High Risk",
  TRUE, "Very High Risk"
)</f>
        <v/>
      </c>
      <c r="DS44" s="5">
        <f t="array" ref="DS44">_xlfn.IFS(
  ISBLANK(CE44), "Insufficient Evidence",
  AND(ISNUMBER(BW44),ISNUMBER(BV44),BW44&gt;BV44), "Overclaiming Risk",
  CE44&gt;=65, "Strong",
  CE44&gt;=40, "Adequate",
  TRUE, "Weak"
)</f>
        <v/>
      </c>
      <c r="DT44" s="5">
        <f>IF(DB44="Yes — Automatic",0,ROUND((IF(ISNUMBER(AR44),AR44,0)*0.3+IF(ISNUMBER(BS44),BS44,0)*0.2+IF(ISNUMBER(BE44),BE44,0)*0.2+IF(ISNUMBER(CE44),CE44,0)*0.15+(100-IF(ISNUMBER(CU44),CU44,50))*0.15)*IF(DN44&gt;=75,1,IF(DN44&gt;=50,0.9,IF(DN44&gt;=25,0.75,0.6))),1))</f>
        <v/>
      </c>
      <c r="DU44" s="5">
        <f t="array" ref="DU44">_xlfn.IFS(
  DV44="Upgraded to Clear", "Clear",
  DV44="Downgraded to Watchlist", "Watchlist",
  DV44="Downgraded to Exclusion", "Exclusion Risk",
  DB44="Yes — Automatic", "Exclusion Risk",
  OR(AW44="Confirmed Violation", AX44="Confirmed Breach"), "Exclusion Risk",
  OR(V44=0, ISBLANK(V44), DN44&lt;20), "Insufficient Evidence",
  AND(DT44&gt;=65, DA44="No", DB44="No"), "Clear",
  OR(DT44&gt;=40, DA44="Yes"), "Watchlist",
  TRUE, "Exclusion Risk"
)</f>
        <v/>
      </c>
      <c r="DV44" s="5" t="n"/>
      <c r="DW44" s="5">
        <f t="array" ref="DW44">_xlfn.IFS(
  DU44="Exclusion Risk", "Exclude — Hard Trigger",
  DU44="Insufficient Evidence", "Watchlist — Further Evidence Needed",
  DU44="Watchlist", "Watchlist — Further Evidence Needed",
  AND(DU44="Clear", DT44&gt;=80), "Include — No Conditions",
  DU44="Clear", "Include — Monitor",
  TRUE, "Watchlist — Further Evidence Needed"
)</f>
        <v/>
      </c>
      <c r="DX44" s="5" t="n"/>
      <c r="DY44" s="5" t="n"/>
      <c r="DZ44" s="5" t="n"/>
      <c r="EA44" s="5" t="n"/>
      <c r="EB44" s="5">
        <f>IF(OR(V44=0, ISBLANK(V44)), "MISSING — No sources reviewed", "")</f>
        <v/>
      </c>
      <c r="EC44" s="5">
        <f>IF(AND(NOT(ISBLANK(DC44)), ISBLANK(DE44)), "PAGE REF MISSING", "")</f>
        <v/>
      </c>
    </row>
    <row r="45" ht="18" customHeight="1" s="60">
      <c r="A45" s="3" t="inlineStr">
        <is>
          <t>IMI PLC</t>
        </is>
      </c>
      <c r="B45" s="3" t="inlineStr">
        <is>
          <t>IMI1</t>
        </is>
      </c>
      <c r="C45" s="3">
        <f>IF(ISBLANK('Universe Tracker'!D41),"",'Universe Tracker'!D41)</f>
        <v/>
      </c>
      <c r="D45" s="3" t="n"/>
      <c r="E45" s="3" t="n"/>
      <c r="F45" s="3">
        <f>IF(ISBLANK('Universe Tracker'!F41),"",'Universe Tracker'!F41)</f>
        <v/>
      </c>
      <c r="G45" s="3">
        <f>IF(ISBLANK('Universe Tracker'!G41),"",'Universe Tracker'!G41)</f>
        <v/>
      </c>
      <c r="H45" s="3" t="n"/>
      <c r="I45" s="3" t="n"/>
      <c r="J45" s="3">
        <f>IF(ISBLANK(B45),"",B45&amp;"_"&amp;C45)</f>
        <v/>
      </c>
      <c r="K45" s="3" t="n"/>
      <c r="L45" s="3" t="n"/>
      <c r="M45" s="3" t="n"/>
      <c r="N45" s="3" t="n"/>
      <c r="O45" s="3" t="n"/>
      <c r="P45" s="3" t="n"/>
      <c r="Q45" s="3" t="n"/>
      <c r="R45" s="3" t="n"/>
      <c r="S45" s="3" t="n"/>
      <c r="T45" s="3" t="n"/>
      <c r="U45" s="3" t="n"/>
      <c r="V45" s="3" t="n"/>
      <c r="W45" s="3" t="n"/>
      <c r="X45" s="3" t="n"/>
      <c r="Y45" s="3">
        <f>IF(AND(V45&gt;=2,K45="Yes",L45="Yes"),"Sufficient",IF(AND(V45&gt;=1,OR(K45="Yes",L45="Yes")),"Thin","Insufficient"))</f>
        <v/>
      </c>
      <c r="Z45" s="3" t="n"/>
      <c r="AA45" s="3" t="n"/>
      <c r="AB45" s="3" t="n"/>
      <c r="AC45" s="3" t="n"/>
      <c r="AD45" s="3" t="n"/>
      <c r="AE45" s="3" t="n"/>
      <c r="AF45" s="3" t="n"/>
      <c r="AG45" s="3" t="n"/>
      <c r="AH45" s="3" t="n"/>
      <c r="AI45" s="3" t="n"/>
      <c r="AJ45" s="3" t="n"/>
      <c r="AK45" s="3" t="n"/>
      <c r="AL45" s="3" t="n"/>
      <c r="AM45" s="3" t="n"/>
      <c r="AN45" s="3" t="n"/>
      <c r="AO45" s="3" t="n"/>
      <c r="AP45" s="3" t="n"/>
      <c r="AQ45" s="3" t="n"/>
      <c r="AR45" s="40">
        <f t="array" ref="AR45">MIN(100, MAX(0,
  IFERROR(_xlfn.XLOOKUP(AJ45,'Lookup Tables'!$A$2:$A$7,'Lookup Tables'!$B$2:$B$7,0),0)
  + IF(Z45="Yes", IF(IFERROR(_xlfn.XLOOKUP(AJ45,'Lookup Tables'!$A$2:$A$7,'Lookup Tables'!$B$2:$B$7,0),0)&lt;20, 5, 0), 0)
  + _xlfn.IFS(AB45="Yes", IF(ISNUMBER(AC45)*AND(AC45&lt;=2030),15,10), AB45="Long-term Only", 5, AB45="No", 0, TRUE, 0)
  + _xlfn.IFS(AF45="Full",10, AF45="Partial",5, AF45="Scope 2 Only",3, TRUE,0)
  + _xlfn.IFS(AG45="Yes", IF(ISNUMBER(AH45)*AND(AH45&gt;=5),10,6), AG45="Partial",4, TRUE,0)
  + _xlfn.IFS(AI45="Yes",5, AI45="Partial (material categories only)",3, TRUE,0)
  + _xlfn.IFS(AL45="Yes — Detailed",10, AL45="Yes — High Level",5, TRUE,0)
  + _xlfn.IFS(AM45="Yes — Quantified",15, AM45="Yes — Directional Only",7, TRUE,0)
  + _xlfn.IFS(AP45="Formal",5, AP45="Referenced",2, TRUE,0)
  + _xlfn.IFS(AQ45="No Issues Found",5, AQ45="Concern Identified",-5, AQ45="Severe Contradiction",-15, TRUE,0)
  + _xlfn.IFS(BC45="Reasonable Assurance",5, BC45="Limited Assurance",3, TRUE,0)
  - IF(AND(Z45="Yes", AI45="No"), 10, 0)
  - IF(AND(Z45="Yes", AM45="No"), 10, 0)
))</f>
        <v/>
      </c>
      <c r="AS45" s="3" t="n"/>
      <c r="AT45" s="3" t="n"/>
      <c r="AU45" s="3" t="n"/>
      <c r="AV45" s="3" t="n"/>
      <c r="AW45" s="3" t="n"/>
      <c r="AX45" s="3" t="n"/>
      <c r="AY45" s="3" t="n"/>
      <c r="AZ45" s="3" t="n"/>
      <c r="BA45" s="3" t="n"/>
      <c r="BB45" s="3" t="n"/>
      <c r="BC45" s="3" t="n"/>
      <c r="BD45" s="3" t="n"/>
      <c r="BE45" s="40">
        <f t="array" ref="BE45">MIN(100, MAX(0,
  IFERROR(_xlfn.XLOOKUP(AT45,'Lookup Tables'!$D$2:$D$6,'Lookup Tables'!$E$2:$E$6,0),0)
  + IFERROR(_xlfn.XLOOKUP(AV45,'Lookup Tables'!$G$2:$G$5,'Lookup Tables'!$H$2:$H$5,0),0)
  + IFERROR(_xlfn.XLOOKUP(AW45,'Lookup Tables'!$J$2:$J$5,'Lookup Tables'!$K$2:$K$5,0),0)
  + _xlfn.IFS(AX45="No Issues",10, AX45="Complaint Filed",3, AX45="Confirmed Breach",-15, TRUE,0)
  + IFERROR(_xlfn.XLOOKUP(AY45,'Lookup Tables'!$M$2:$M$6,'Lookup Tables'!$N$2:$N$6,0),0)
  + IFERROR(_xlfn.XLOOKUP(AZ45,'Lookup Tables'!$P$2:$P$6,'Lookup Tables'!$Q$2:$Q$6,0),0)
  + _xlfn.IFS(BA45="Formal Board Committee",5, BA45="Board Oversight Mentioned",2, TRUE,0)
  + _xlfn.IFS(BB45="Yes — Quantified Targets",5, BB45="Yes — Discretionary Only",2, TRUE,0)
  + _xlfn.IFS(BC45="Reasonable Assurance",5, BC45="Limited Assurance",3, BC45="Management Review Only",1, TRUE,0)
))</f>
        <v/>
      </c>
      <c r="BF45" s="3" t="n"/>
      <c r="BG45" s="3" t="n"/>
      <c r="BH45" s="3" t="n"/>
      <c r="BI45" s="3" t="n"/>
      <c r="BJ45" s="3" t="n"/>
      <c r="BK45" s="3" t="n"/>
      <c r="BL45" s="3" t="n"/>
      <c r="BM45" s="3" t="n"/>
      <c r="BN45" s="3" t="n"/>
      <c r="BO45" s="3" t="n"/>
      <c r="BP45" s="3" t="n"/>
      <c r="BQ45" s="3" t="n"/>
      <c r="BR45" s="3" t="n"/>
      <c r="BS45" s="42">
        <f t="array" ref="BS45">MIN(100, MAX(0,
  IFERROR(_xlfn.XLOOKUP(BG45,'Lookup Tables'!$A$11:$A$16,'Lookup Tables'!$B$11:$B$16,0),0)
  + IFERROR(_xlfn.XLOOKUP(BR45,'Lookup Tables'!$M$11:$M$14,'Lookup Tables'!$N$11:$N$14,0),0)
  + IFERROR(_xlfn.XLOOKUP(BQ45,'Lookup Tables'!$J$11:$J$15,'Lookup Tables'!$K$11:$K$15,0),0)
  + IFERROR(_xlfn.XLOOKUP(BH45,'Lookup Tables'!$D$11:$D$15,'Lookup Tables'!$E$11:$E$15,0),0)
  + IFERROR(_xlfn.XLOOKUP(BJ45,'Lookup Tables'!$G$11:$G$16,'Lookup Tables'!$H$11:$H$16,0),0)
  + IFERROR(_xlfn.XLOOKUP(BN45,'Lookup Tables'!$P$11:$P$15,'Lookup Tables'!$Q$11:$Q$15,0),0)
  + _xlfn.IFS(BM45="No Evidence",10, BM45="Unknown",3, BM45="Likely",0, BM45="Confirmed",-10, TRUE,3)
  + IFERROR(_xlfn.XLOOKUP(BP45,'Lookup Tables'!$J$21:$J$24,'Lookup Tables'!$K$21:$K$24,0),0)
))</f>
        <v/>
      </c>
      <c r="BT45" s="3" t="n"/>
      <c r="BU45" s="3" t="n"/>
      <c r="BV45" s="3" t="n"/>
      <c r="BW45" s="3" t="n"/>
      <c r="BX45" s="3" t="n"/>
      <c r="BY45" s="3" t="n"/>
      <c r="BZ45" s="3" t="n"/>
      <c r="CA45" s="3" t="n"/>
      <c r="CB45" s="3" t="n"/>
      <c r="CC45" s="3" t="n"/>
      <c r="CD45" s="3" t="n"/>
      <c r="CE45" s="44">
        <f t="array" ref="CE45">MIN(100, MAX(0,
  IF(ISNUMBER(BV45)*AND(BV45&gt;0), 10, 0)
  + _xlfn.IFS(BY45="Independently Verified",25, BY45="Yes",15, TRUE,0)
  + IFERROR(_xlfn.XLOOKUP(BZ45,'Lookup Tables'!$A$21:$A$24,'Lookup Tables'!$B$21:$B$24,0),0)
  + IFERROR(_xlfn.XLOOKUP(CA45,'Lookup Tables'!$D$21:$D$24,'Lookup Tables'!$E$21:$E$24,0),0)
  + _xlfn.IFS(ISNUMBER(CB45)*AND(CB45&gt;=11),15, ISNUMBER(CB45)*AND(CB45&gt;=6),10, ISNUMBER(CB45)*AND(CB45&gt;=1),5, TRUE,0)
  + IFERROR(_xlfn.XLOOKUP(CC45,'Lookup Tables'!$G$21:$G$25,'Lookup Tables'!$H$21:$H$25,0),0)
  - IF(ISNUMBER(BW45)*AND(ISNUMBER(BV45))*AND(BW45&gt;BV45), 20, 0)
  - IF(AND(BY45="Yes", ISNUMBER(BW45), BW45&gt;60), 10, 0)
))</f>
        <v/>
      </c>
      <c r="CF45" s="3" t="n"/>
      <c r="CG45" s="3" t="n"/>
      <c r="CH45" s="3" t="n"/>
      <c r="CI45" s="3" t="n"/>
      <c r="CJ45" s="3" t="n"/>
      <c r="CK45" s="3" t="n"/>
      <c r="CL45" s="3" t="n"/>
      <c r="CM45" s="3" t="n"/>
      <c r="CN45" s="3" t="n"/>
      <c r="CO45" s="3" t="n"/>
      <c r="CP45" s="3" t="n"/>
      <c r="CQ45" s="3" t="n"/>
      <c r="CR45" s="3">
        <f>COUNTIF(CJ45:CQ45,"FAIL")</f>
        <v/>
      </c>
      <c r="CS45" s="3">
        <f>COUNTIF(CJ45:CQ45,"PARTIAL")</f>
        <v/>
      </c>
      <c r="CT45" s="3">
        <f>COUNTIF(CJ45:CQ45,"MISSING")</f>
        <v/>
      </c>
      <c r="CU45" s="3">
        <f>MIN(100,
  CR45*15
  + CS45*6
  + CT45*3
  + IFERROR(_xlfn.XLOOKUP(CW45,'Lookup Tables'!$M$21:$M$25,'Lookup Tables'!$N$21:$N$25,0),0)
)</f>
        <v/>
      </c>
      <c r="CV45" s="3">
        <f>IFERROR(
CHOOSE(
MATCH("FAIL",CJ45:CQ45,0),
"1-Specificity","2-Metric","3-Baseline","4-Target",
"5-Time Horizon","6-Scope","7-Verification","8-Consistency"
),
IFERROR(
CHOOSE(
MATCH("PARTIAL",CJ45:CQ45,0),
"1-Specificity","2-Metric","3-Baseline","4-Target",
"5-Time Horizon","6-Scope","7-Verification","8-Consistency"
),
"No failures"
)
)</f>
        <v/>
      </c>
      <c r="CW45" s="3" t="n"/>
      <c r="CX45" s="3" t="n"/>
      <c r="CY45" s="3" t="n"/>
      <c r="CZ45" s="3" t="n"/>
      <c r="DA45" s="3">
        <f>IF(OR(CU45&gt;=50,CW45="Material",CW45="Severe",AS45="Material",AS45="Severe",BF45="Material",BF45="Severe — Exclusion Trigger",AND(ISNUMBER(BS45),BS45&lt;30)),"Yes","No")</f>
        <v/>
      </c>
      <c r="DB45" s="3">
        <f>IF(OR(CR45&gt;=6,AW45="Confirmed Violation",AX45="Confirmed Breach"),"Yes — Automatic",IF(CW45="Severe","Yes — Requires Captain Confirmation","No"))</f>
        <v/>
      </c>
      <c r="DC45" s="3" t="n"/>
      <c r="DD45" s="3" t="n"/>
      <c r="DE45" s="3" t="n"/>
      <c r="DF45" s="3" t="n"/>
      <c r="DG45" s="3" t="n"/>
      <c r="DH45" s="3" t="n"/>
      <c r="DI45" s="3" t="n"/>
      <c r="DJ45" s="3" t="n"/>
      <c r="DK45" s="3" t="n"/>
      <c r="DL45" s="3">
        <f>IF(OR(IFERROR(VALUE(LEFT(DF45,1)),99)&lt;=2,IFERROR(VALUE(LEFT(DG45,1)),99)&lt;=2),"Flagged","Clear")</f>
        <v/>
      </c>
      <c r="DM45" s="3">
        <f>IF(OR(DA45="Yes",DB45&lt;&gt;"No",DH45="Unverified",DL45="Flagged"),"Yes","No")</f>
        <v/>
      </c>
      <c r="DN45" s="3">
        <f t="array" ref="DN45">MIN(100,
  IF(ISNUMBER(V45), _xlfn.IFS(V45&gt;=3,25, V45=2,15, V45=1,5, TRUE,0), 0)
  + IFERROR(_xlfn.IFS(VALUE(LEFT(DF45,1))=5,25, VALUE(LEFT(DF45,1))=4,20, VALUE(LEFT(DF45,1))=3,15, VALUE(LEFT(DF45,1))=2,8, TRUE,0), 15)
  + IFERROR(_xlfn.IFS(VALUE(LEFT(DG45,1))=5,25, VALUE(LEFT(DG45,1))=4,20, VALUE(LEFT(DG45,1))=3,15, VALUE(LEFT(DG45,1))=2,8, TRUE,0), 15)
  + _xlfn.IFS(DH45="Fully Verified",25, DH45="Partially Verified",12, TRUE,0)
)</f>
        <v/>
      </c>
      <c r="DO45" s="3">
        <f t="array" ref="DO45">_xlfn.IFS(
  ISBLANK(AR45), "Insufficient Evidence",
  AND(AR45&gt;=65, AJ45="Approved"), "Strong",
  AR45&gt;=65, "Adequate",
  AR45&gt;=40, "Adequate",
  AR45&gt;=20, "Weak",
  TRUE, "Insufficient Evidence"
)</f>
        <v/>
      </c>
      <c r="DP45" s="3">
        <f t="array" ref="DP45">_xlfn.IFS(
  ISBLANK(BS45), "Insufficient Evidence",
  BS45&gt;=65, "Strong",
  BS45&gt;=40, "Adequate",
  BS45&gt;=20, "Weak",
  TRUE, "Insufficient Evidence"
)</f>
        <v/>
      </c>
      <c r="DQ45" s="3">
        <f t="array" ref="DQ45">_xlfn.IFS(
  ISBLANK(BE45), "Insufficient Evidence",
  OR(AW45="Confirmed Violation", AX45="Confirmed Breach"), "Severe — Hard Trigger",
  BE45&gt;=65, "Strong",
  BE45&gt;=40, "Adequate",
  BE45&gt;=20, "Weak",
  TRUE, "Insufficient Evidence"
)</f>
        <v/>
      </c>
      <c r="DR45" s="3">
        <f t="array" ref="DR45">_xlfn.IFS(
  ISBLANK(CU45), "Insufficient Evidence",
  CU45&lt;=20, "Low Risk",
  CU45&lt;=50, "Moderate Risk",
  CU45&lt;=75, "High Risk",
  TRUE, "Very High Risk"
)</f>
        <v/>
      </c>
      <c r="DS45" s="3">
        <f t="array" ref="DS45">_xlfn.IFS(
  ISBLANK(CE45), "Insufficient Evidence",
  AND(ISNUMBER(BW45),ISNUMBER(BV45),BW45&gt;BV45), "Overclaiming Risk",
  CE45&gt;=65, "Strong",
  CE45&gt;=40, "Adequate",
  TRUE, "Weak"
)</f>
        <v/>
      </c>
      <c r="DT45" s="3">
        <f>IF(DB45="Yes — Automatic",0,ROUND((IF(ISNUMBER(AR45),AR45,0)*0.3+IF(ISNUMBER(BS45),BS45,0)*0.2+IF(ISNUMBER(BE45),BE45,0)*0.2+IF(ISNUMBER(CE45),CE45,0)*0.15+(100-IF(ISNUMBER(CU45),CU45,50))*0.15)*IF(DN45&gt;=75,1,IF(DN45&gt;=50,0.9,IF(DN45&gt;=25,0.75,0.6))),1))</f>
        <v/>
      </c>
      <c r="DU45" s="3">
        <f t="array" ref="DU45">_xlfn.IFS(
  DV45="Upgraded to Clear", "Clear",
  DV45="Downgraded to Watchlist", "Watchlist",
  DV45="Downgraded to Exclusion", "Exclusion Risk",
  DB45="Yes — Automatic", "Exclusion Risk",
  OR(AW45="Confirmed Violation", AX45="Confirmed Breach"), "Exclusion Risk",
  OR(V45=0, ISBLANK(V45), DN45&lt;20), "Insufficient Evidence",
  AND(DT45&gt;=65, DA45="No", DB45="No"), "Clear",
  OR(DT45&gt;=40, DA45="Yes"), "Watchlist",
  TRUE, "Exclusion Risk"
)</f>
        <v/>
      </c>
      <c r="DV45" s="3" t="n"/>
      <c r="DW45" s="3">
        <f t="array" ref="DW45">_xlfn.IFS(
  DU45="Exclusion Risk", "Exclude — Hard Trigger",
  DU45="Insufficient Evidence", "Watchlist — Further Evidence Needed",
  DU45="Watchlist", "Watchlist — Further Evidence Needed",
  AND(DU45="Clear", DT45&gt;=80), "Include — No Conditions",
  DU45="Clear", "Include — Monitor",
  TRUE, "Watchlist — Further Evidence Needed"
)</f>
        <v/>
      </c>
      <c r="DX45" s="3" t="n"/>
      <c r="DY45" s="3" t="n"/>
      <c r="DZ45" s="3" t="n"/>
      <c r="EA45" s="3" t="n"/>
      <c r="EB45" s="3">
        <f>IF(OR(V45=0, ISBLANK(V45)), "MISSING — No sources reviewed", "")</f>
        <v/>
      </c>
      <c r="EC45" s="3">
        <f>IF(AND(NOT(ISBLANK(DC45)), ISBLANK(DE45)), "PAGE REF MISSING", "")</f>
        <v/>
      </c>
    </row>
    <row r="46" ht="18" customHeight="1" s="60">
      <c r="A46" s="5" t="inlineStr">
        <is>
          <t>HSBC Holdings PLC</t>
        </is>
      </c>
      <c r="B46" s="5" t="inlineStr">
        <is>
          <t>HBC1</t>
        </is>
      </c>
      <c r="C46" s="5">
        <f>IF(ISBLANK('Universe Tracker'!D42),"",'Universe Tracker'!D42)</f>
        <v/>
      </c>
      <c r="D46" s="5" t="n"/>
      <c r="E46" s="5" t="n"/>
      <c r="F46" s="5">
        <f>IF(ISBLANK('Universe Tracker'!F42),"",'Universe Tracker'!F42)</f>
        <v/>
      </c>
      <c r="G46" s="5">
        <f>IF(ISBLANK('Universe Tracker'!G42),"",'Universe Tracker'!G42)</f>
        <v/>
      </c>
      <c r="H46" s="5" t="n"/>
      <c r="I46" s="5" t="n"/>
      <c r="J46" s="5">
        <f>IF(ISBLANK(B46),"",B46&amp;"_"&amp;C46)</f>
        <v/>
      </c>
      <c r="K46" s="5" t="n"/>
      <c r="L46" s="5" t="n"/>
      <c r="M46" s="5" t="n"/>
      <c r="N46" s="5" t="n"/>
      <c r="O46" s="5" t="n"/>
      <c r="P46" s="5" t="n"/>
      <c r="Q46" s="5" t="n"/>
      <c r="R46" s="5" t="n"/>
      <c r="S46" s="5" t="n"/>
      <c r="T46" s="5" t="n"/>
      <c r="U46" s="5" t="n"/>
      <c r="V46" s="5" t="n"/>
      <c r="W46" s="5" t="n"/>
      <c r="X46" s="5" t="n"/>
      <c r="Y46" s="5">
        <f>IF(AND(V46&gt;=2,K46="Yes",L46="Yes"),"Sufficient",IF(AND(V46&gt;=1,OR(K46="Yes",L46="Yes")),"Thin","Insufficient"))</f>
        <v/>
      </c>
      <c r="Z46" s="5" t="n"/>
      <c r="AA46" s="5" t="n"/>
      <c r="AB46" s="5" t="n"/>
      <c r="AC46" s="5" t="n"/>
      <c r="AD46" s="5" t="n"/>
      <c r="AE46" s="5" t="n"/>
      <c r="AF46" s="5" t="n"/>
      <c r="AG46" s="5" t="n"/>
      <c r="AH46" s="5" t="n"/>
      <c r="AI46" s="5" t="n"/>
      <c r="AJ46" s="5" t="n"/>
      <c r="AK46" s="5" t="n"/>
      <c r="AL46" s="5" t="n"/>
      <c r="AM46" s="5" t="n"/>
      <c r="AN46" s="5" t="n"/>
      <c r="AO46" s="5" t="n"/>
      <c r="AP46" s="5" t="n"/>
      <c r="AQ46" s="5" t="n"/>
      <c r="AR46" s="40">
        <f t="array" ref="AR46">MIN(100, MAX(0,
  IFERROR(_xlfn.XLOOKUP(AJ46,'Lookup Tables'!$A$2:$A$7,'Lookup Tables'!$B$2:$B$7,0),0)
  + IF(Z46="Yes", IF(IFERROR(_xlfn.XLOOKUP(AJ46,'Lookup Tables'!$A$2:$A$7,'Lookup Tables'!$B$2:$B$7,0),0)&lt;20, 5, 0), 0)
  + _xlfn.IFS(AB46="Yes", IF(ISNUMBER(AC46)*AND(AC46&lt;=2030),15,10), AB46="Long-term Only", 5, AB46="No", 0, TRUE, 0)
  + _xlfn.IFS(AF46="Full",10, AF46="Partial",5, AF46="Scope 2 Only",3, TRUE,0)
  + _xlfn.IFS(AG46="Yes", IF(ISNUMBER(AH46)*AND(AH46&gt;=5),10,6), AG46="Partial",4, TRUE,0)
  + _xlfn.IFS(AI46="Yes",5, AI46="Partial (material categories only)",3, TRUE,0)
  + _xlfn.IFS(AL46="Yes — Detailed",10, AL46="Yes — High Level",5, TRUE,0)
  + _xlfn.IFS(AM46="Yes — Quantified",15, AM46="Yes — Directional Only",7, TRUE,0)
  + _xlfn.IFS(AP46="Formal",5, AP46="Referenced",2, TRUE,0)
  + _xlfn.IFS(AQ46="No Issues Found",5, AQ46="Concern Identified",-5, AQ46="Severe Contradiction",-15, TRUE,0)
  + _xlfn.IFS(BC46="Reasonable Assurance",5, BC46="Limited Assurance",3, TRUE,0)
  - IF(AND(Z46="Yes", AI46="No"), 10, 0)
  - IF(AND(Z46="Yes", AM46="No"), 10, 0)
))</f>
        <v/>
      </c>
      <c r="AS46" s="5" t="n"/>
      <c r="AT46" s="5" t="n"/>
      <c r="AU46" s="5" t="n"/>
      <c r="AV46" s="5" t="n"/>
      <c r="AW46" s="5" t="n"/>
      <c r="AX46" s="5" t="n"/>
      <c r="AY46" s="5" t="n"/>
      <c r="AZ46" s="5" t="n"/>
      <c r="BA46" s="5" t="n"/>
      <c r="BB46" s="5" t="n"/>
      <c r="BC46" s="5" t="n"/>
      <c r="BD46" s="5" t="n"/>
      <c r="BE46" s="39">
        <f t="array" ref="BE46">MIN(100, MAX(0,
  IFERROR(_xlfn.XLOOKUP(AT46,'Lookup Tables'!$D$2:$D$6,'Lookup Tables'!$E$2:$E$6,0),0)
  + IFERROR(_xlfn.XLOOKUP(AV46,'Lookup Tables'!$G$2:$G$5,'Lookup Tables'!$H$2:$H$5,0),0)
  + IFERROR(_xlfn.XLOOKUP(AW46,'Lookup Tables'!$J$2:$J$5,'Lookup Tables'!$K$2:$K$5,0),0)
  + _xlfn.IFS(AX46="No Issues",10, AX46="Complaint Filed",3, AX46="Confirmed Breach",-15, TRUE,0)
  + IFERROR(_xlfn.XLOOKUP(AY46,'Lookup Tables'!$M$2:$M$6,'Lookup Tables'!$N$2:$N$6,0),0)
  + IFERROR(_xlfn.XLOOKUP(AZ46,'Lookup Tables'!$P$2:$P$6,'Lookup Tables'!$Q$2:$Q$6,0),0)
  + _xlfn.IFS(BA46="Formal Board Committee",5, BA46="Board Oversight Mentioned",2, TRUE,0)
  + _xlfn.IFS(BB46="Yes — Quantified Targets",5, BB46="Yes — Discretionary Only",2, TRUE,0)
  + _xlfn.IFS(BC46="Reasonable Assurance",5, BC46="Limited Assurance",3, BC46="Management Review Only",1, TRUE,0)
))</f>
        <v/>
      </c>
      <c r="BF46" s="5" t="n"/>
      <c r="BG46" s="5" t="n"/>
      <c r="BH46" s="5" t="n"/>
      <c r="BI46" s="5" t="n"/>
      <c r="BJ46" s="5" t="n"/>
      <c r="BK46" s="5" t="n"/>
      <c r="BL46" s="5" t="n"/>
      <c r="BM46" s="5" t="n"/>
      <c r="BN46" s="5" t="n"/>
      <c r="BO46" s="5" t="n"/>
      <c r="BP46" s="5" t="n"/>
      <c r="BQ46" s="5" t="n"/>
      <c r="BR46" s="5" t="n"/>
      <c r="BS46" s="41">
        <f t="array" ref="BS46">MIN(100, MAX(0,
  IFERROR(_xlfn.XLOOKUP(BG46,'Lookup Tables'!$A$11:$A$16,'Lookup Tables'!$B$11:$B$16,0),0)
  + IFERROR(_xlfn.XLOOKUP(BR46,'Lookup Tables'!$M$11:$M$14,'Lookup Tables'!$N$11:$N$14,0),0)
  + IFERROR(_xlfn.XLOOKUP(BQ46,'Lookup Tables'!$J$11:$J$15,'Lookup Tables'!$K$11:$K$15,0),0)
  + IFERROR(_xlfn.XLOOKUP(BH46,'Lookup Tables'!$D$11:$D$15,'Lookup Tables'!$E$11:$E$15,0),0)
  + IFERROR(_xlfn.XLOOKUP(BJ46,'Lookup Tables'!$G$11:$G$16,'Lookup Tables'!$H$11:$H$16,0),0)
  + IFERROR(_xlfn.XLOOKUP(BN46,'Lookup Tables'!$P$11:$P$15,'Lookup Tables'!$Q$11:$Q$15,0),0)
  + _xlfn.IFS(BM46="No Evidence",10, BM46="Unknown",3, BM46="Likely",0, BM46="Confirmed",-10, TRUE,3)
  + IFERROR(_xlfn.XLOOKUP(BP46,'Lookup Tables'!$J$21:$J$24,'Lookup Tables'!$K$21:$K$24,0),0)
))</f>
        <v/>
      </c>
      <c r="BT46" s="5" t="n"/>
      <c r="BU46" s="5" t="n"/>
      <c r="BV46" s="5" t="n"/>
      <c r="BW46" s="5" t="n"/>
      <c r="BX46" s="5" t="n"/>
      <c r="BY46" s="5" t="n"/>
      <c r="BZ46" s="5" t="n"/>
      <c r="CA46" s="5" t="n"/>
      <c r="CB46" s="5" t="n"/>
      <c r="CC46" s="5" t="n"/>
      <c r="CD46" s="5" t="n"/>
      <c r="CE46" s="43">
        <f t="array" ref="CE46">MIN(100, MAX(0,
  IF(ISNUMBER(BV46)*AND(BV46&gt;0), 10, 0)
  + _xlfn.IFS(BY46="Independently Verified",25, BY46="Yes",15, TRUE,0)
  + IFERROR(_xlfn.XLOOKUP(BZ46,'Lookup Tables'!$A$21:$A$24,'Lookup Tables'!$B$21:$B$24,0),0)
  + IFERROR(_xlfn.XLOOKUP(CA46,'Lookup Tables'!$D$21:$D$24,'Lookup Tables'!$E$21:$E$24,0),0)
  + _xlfn.IFS(ISNUMBER(CB46)*AND(CB46&gt;=11),15, ISNUMBER(CB46)*AND(CB46&gt;=6),10, ISNUMBER(CB46)*AND(CB46&gt;=1),5, TRUE,0)
  + IFERROR(_xlfn.XLOOKUP(CC46,'Lookup Tables'!$G$21:$G$25,'Lookup Tables'!$H$21:$H$25,0),0)
  - IF(ISNUMBER(BW46)*AND(ISNUMBER(BV46))*AND(BW46&gt;BV46), 20, 0)
  - IF(AND(BY46="Yes", ISNUMBER(BW46), BW46&gt;60), 10, 0)
))</f>
        <v/>
      </c>
      <c r="CF46" s="5" t="n"/>
      <c r="CG46" s="5" t="n"/>
      <c r="CH46" s="5" t="n"/>
      <c r="CI46" s="5" t="n"/>
      <c r="CJ46" s="5" t="n"/>
      <c r="CK46" s="5" t="n"/>
      <c r="CL46" s="5" t="n"/>
      <c r="CM46" s="5" t="n"/>
      <c r="CN46" s="5" t="n"/>
      <c r="CO46" s="5" t="n"/>
      <c r="CP46" s="5" t="n"/>
      <c r="CQ46" s="5" t="n"/>
      <c r="CR46" s="5">
        <f>COUNTIF(CJ46:CQ46,"FAIL")</f>
        <v/>
      </c>
      <c r="CS46" s="5">
        <f>COUNTIF(CJ46:CQ46,"PARTIAL")</f>
        <v/>
      </c>
      <c r="CT46" s="5">
        <f>COUNTIF(CJ46:CQ46,"MISSING")</f>
        <v/>
      </c>
      <c r="CU46" s="5">
        <f>MIN(100,
  CR46*15
  + CS46*6
  + CT46*3
  + IFERROR(_xlfn.XLOOKUP(CW46,'Lookup Tables'!$M$21:$M$25,'Lookup Tables'!$N$21:$N$25,0),0)
)</f>
        <v/>
      </c>
      <c r="CV46" s="5">
        <f>IFERROR(
CHOOSE(
MATCH("FAIL",CJ46:CQ46,0),
"1-Specificity","2-Metric","3-Baseline","4-Target",
"5-Time Horizon","6-Scope","7-Verification","8-Consistency"
),
IFERROR(
CHOOSE(
MATCH("PARTIAL",CJ46:CQ46,0),
"1-Specificity","2-Metric","3-Baseline","4-Target",
"5-Time Horizon","6-Scope","7-Verification","8-Consistency"
),
"No failures"
)
)</f>
        <v/>
      </c>
      <c r="CW46" s="5" t="n"/>
      <c r="CX46" s="5" t="n"/>
      <c r="CY46" s="5" t="n"/>
      <c r="CZ46" s="5" t="n"/>
      <c r="DA46" s="5">
        <f>IF(OR(CU46&gt;=50,CW46="Material",CW46="Severe",AS46="Material",AS46="Severe",BF46="Material",BF46="Severe — Exclusion Trigger",AND(ISNUMBER(BS46),BS46&lt;30)),"Yes","No")</f>
        <v/>
      </c>
      <c r="DB46" s="5">
        <f>IF(OR(CR46&gt;=6,AW46="Confirmed Violation",AX46="Confirmed Breach"),"Yes — Automatic",IF(CW46="Severe","Yes — Requires Captain Confirmation","No"))</f>
        <v/>
      </c>
      <c r="DC46" s="5" t="n"/>
      <c r="DD46" s="5" t="n"/>
      <c r="DE46" s="5" t="n"/>
      <c r="DF46" s="5" t="n"/>
      <c r="DG46" s="5" t="n"/>
      <c r="DH46" s="5" t="n"/>
      <c r="DI46" s="5" t="n"/>
      <c r="DJ46" s="5" t="n"/>
      <c r="DK46" s="5" t="n"/>
      <c r="DL46" s="5">
        <f>IF(OR(IFERROR(VALUE(LEFT(DF46,1)),99)&lt;=2,IFERROR(VALUE(LEFT(DG46,1)),99)&lt;=2),"Flagged","Clear")</f>
        <v/>
      </c>
      <c r="DM46" s="5">
        <f>IF(OR(DA46="Yes",DB46&lt;&gt;"No",DH46="Unverified",DL46="Flagged"),"Yes","No")</f>
        <v/>
      </c>
      <c r="DN46" s="5">
        <f t="array" ref="DN46">MIN(100,
  IF(ISNUMBER(V46), _xlfn.IFS(V46&gt;=3,25, V46=2,15, V46=1,5, TRUE,0), 0)
  + IFERROR(_xlfn.IFS(VALUE(LEFT(DF46,1))=5,25, VALUE(LEFT(DF46,1))=4,20, VALUE(LEFT(DF46,1))=3,15, VALUE(LEFT(DF46,1))=2,8, TRUE,0), 15)
  + IFERROR(_xlfn.IFS(VALUE(LEFT(DG46,1))=5,25, VALUE(LEFT(DG46,1))=4,20, VALUE(LEFT(DG46,1))=3,15, VALUE(LEFT(DG46,1))=2,8, TRUE,0), 15)
  + _xlfn.IFS(DH46="Fully Verified",25, DH46="Partially Verified",12, TRUE,0)
)</f>
        <v/>
      </c>
      <c r="DO46" s="5">
        <f t="array" ref="DO46">_xlfn.IFS(
  ISBLANK(AR46), "Insufficient Evidence",
  AND(AR46&gt;=65, AJ46="Approved"), "Strong",
  AR46&gt;=65, "Adequate",
  AR46&gt;=40, "Adequate",
  AR46&gt;=20, "Weak",
  TRUE, "Insufficient Evidence"
)</f>
        <v/>
      </c>
      <c r="DP46" s="5">
        <f t="array" ref="DP46">_xlfn.IFS(
  ISBLANK(BS46), "Insufficient Evidence",
  BS46&gt;=65, "Strong",
  BS46&gt;=40, "Adequate",
  BS46&gt;=20, "Weak",
  TRUE, "Insufficient Evidence"
)</f>
        <v/>
      </c>
      <c r="DQ46" s="5">
        <f t="array" ref="DQ46">_xlfn.IFS(
  ISBLANK(BE46), "Insufficient Evidence",
  OR(AW46="Confirmed Violation", AX46="Confirmed Breach"), "Severe — Hard Trigger",
  BE46&gt;=65, "Strong",
  BE46&gt;=40, "Adequate",
  BE46&gt;=20, "Weak",
  TRUE, "Insufficient Evidence"
)</f>
        <v/>
      </c>
      <c r="DR46" s="5">
        <f t="array" ref="DR46">_xlfn.IFS(
  ISBLANK(CU46), "Insufficient Evidence",
  CU46&lt;=20, "Low Risk",
  CU46&lt;=50, "Moderate Risk",
  CU46&lt;=75, "High Risk",
  TRUE, "Very High Risk"
)</f>
        <v/>
      </c>
      <c r="DS46" s="5">
        <f t="array" ref="DS46">_xlfn.IFS(
  ISBLANK(CE46), "Insufficient Evidence",
  AND(ISNUMBER(BW46),ISNUMBER(BV46),BW46&gt;BV46), "Overclaiming Risk",
  CE46&gt;=65, "Strong",
  CE46&gt;=40, "Adequate",
  TRUE, "Weak"
)</f>
        <v/>
      </c>
      <c r="DT46" s="5">
        <f>IF(DB46="Yes — Automatic",0,ROUND((IF(ISNUMBER(AR46),AR46,0)*0.3+IF(ISNUMBER(BS46),BS46,0)*0.2+IF(ISNUMBER(BE46),BE46,0)*0.2+IF(ISNUMBER(CE46),CE46,0)*0.15+(100-IF(ISNUMBER(CU46),CU46,50))*0.15)*IF(DN46&gt;=75,1,IF(DN46&gt;=50,0.9,IF(DN46&gt;=25,0.75,0.6))),1))</f>
        <v/>
      </c>
      <c r="DU46" s="5">
        <f t="array" ref="DU46">_xlfn.IFS(
  DV46="Upgraded to Clear", "Clear",
  DV46="Downgraded to Watchlist", "Watchlist",
  DV46="Downgraded to Exclusion", "Exclusion Risk",
  DB46="Yes — Automatic", "Exclusion Risk",
  OR(AW46="Confirmed Violation", AX46="Confirmed Breach"), "Exclusion Risk",
  OR(V46=0, ISBLANK(V46), DN46&lt;20), "Insufficient Evidence",
  AND(DT46&gt;=65, DA46="No", DB46="No"), "Clear",
  OR(DT46&gt;=40, DA46="Yes"), "Watchlist",
  TRUE, "Exclusion Risk"
)</f>
        <v/>
      </c>
      <c r="DV46" s="5" t="n"/>
      <c r="DW46" s="5">
        <f t="array" ref="DW46">_xlfn.IFS(
  DU46="Exclusion Risk", "Exclude — Hard Trigger",
  DU46="Insufficient Evidence", "Watchlist — Further Evidence Needed",
  DU46="Watchlist", "Watchlist — Further Evidence Needed",
  AND(DU46="Clear", DT46&gt;=80), "Include — No Conditions",
  DU46="Clear", "Include — Monitor",
  TRUE, "Watchlist — Further Evidence Needed"
)</f>
        <v/>
      </c>
      <c r="DX46" s="5" t="n"/>
      <c r="DY46" s="5" t="n"/>
      <c r="DZ46" s="5" t="n"/>
      <c r="EA46" s="5" t="n"/>
      <c r="EB46" s="5">
        <f>IF(OR(V46=0, ISBLANK(V46)), "MISSING — No sources reviewed", "")</f>
        <v/>
      </c>
      <c r="EC46" s="5">
        <f>IF(AND(NOT(ISBLANK(DC46)), ISBLANK(DE46)), "PAGE REF MISSING", "")</f>
        <v/>
      </c>
    </row>
    <row r="47" ht="18" customHeight="1" s="60">
      <c r="A47" s="3" t="inlineStr">
        <is>
          <t>Powszechny Zaklad Ubezpieczen SA</t>
        </is>
      </c>
      <c r="B47" s="3" t="inlineStr">
        <is>
          <t>7PZ</t>
        </is>
      </c>
      <c r="C47" s="3">
        <f>IF(ISBLANK('Universe Tracker'!D43),"",'Universe Tracker'!D43)</f>
        <v/>
      </c>
      <c r="D47" s="3" t="n"/>
      <c r="E47" s="3" t="n"/>
      <c r="F47" s="3">
        <f>IF(ISBLANK('Universe Tracker'!F43),"",'Universe Tracker'!F43)</f>
        <v/>
      </c>
      <c r="G47" s="3">
        <f>IF(ISBLANK('Universe Tracker'!G43),"",'Universe Tracker'!G43)</f>
        <v/>
      </c>
      <c r="H47" s="3" t="n"/>
      <c r="I47" s="3" t="n"/>
      <c r="J47" s="3">
        <f>IF(ISBLANK(B47),"",B47&amp;"_"&amp;C47)</f>
        <v/>
      </c>
      <c r="K47" s="3" t="n"/>
      <c r="L47" s="3" t="n"/>
      <c r="M47" s="3" t="n"/>
      <c r="N47" s="3" t="n"/>
      <c r="O47" s="3" t="n"/>
      <c r="P47" s="3" t="n"/>
      <c r="Q47" s="3" t="n"/>
      <c r="R47" s="3" t="n"/>
      <c r="S47" s="3" t="n"/>
      <c r="T47" s="3" t="n"/>
      <c r="U47" s="3" t="n"/>
      <c r="V47" s="3" t="n"/>
      <c r="W47" s="3" t="n"/>
      <c r="X47" s="3" t="n"/>
      <c r="Y47" s="3">
        <f>IF(AND(V47&gt;=2,K47="Yes",L47="Yes"),"Sufficient",IF(AND(V47&gt;=1,OR(K47="Yes",L47="Yes")),"Thin","Insufficient"))</f>
        <v/>
      </c>
      <c r="Z47" s="3" t="n"/>
      <c r="AA47" s="3" t="n"/>
      <c r="AB47" s="3" t="n"/>
      <c r="AC47" s="3" t="n"/>
      <c r="AD47" s="3" t="n"/>
      <c r="AE47" s="3" t="n"/>
      <c r="AF47" s="3" t="n"/>
      <c r="AG47" s="3" t="n"/>
      <c r="AH47" s="3" t="n"/>
      <c r="AI47" s="3" t="n"/>
      <c r="AJ47" s="3" t="n"/>
      <c r="AK47" s="3" t="n"/>
      <c r="AL47" s="3" t="n"/>
      <c r="AM47" s="3" t="n"/>
      <c r="AN47" s="3" t="n"/>
      <c r="AO47" s="3" t="n"/>
      <c r="AP47" s="3" t="n"/>
      <c r="AQ47" s="3" t="n"/>
      <c r="AR47" s="40">
        <f t="array" ref="AR47">MIN(100, MAX(0,
  IFERROR(_xlfn.XLOOKUP(AJ47,'Lookup Tables'!$A$2:$A$7,'Lookup Tables'!$B$2:$B$7,0),0)
  + IF(Z47="Yes", IF(IFERROR(_xlfn.XLOOKUP(AJ47,'Lookup Tables'!$A$2:$A$7,'Lookup Tables'!$B$2:$B$7,0),0)&lt;20, 5, 0), 0)
  + _xlfn.IFS(AB47="Yes", IF(ISNUMBER(AC47)*AND(AC47&lt;=2030),15,10), AB47="Long-term Only", 5, AB47="No", 0, TRUE, 0)
  + _xlfn.IFS(AF47="Full",10, AF47="Partial",5, AF47="Scope 2 Only",3, TRUE,0)
  + _xlfn.IFS(AG47="Yes", IF(ISNUMBER(AH47)*AND(AH47&gt;=5),10,6), AG47="Partial",4, TRUE,0)
  + _xlfn.IFS(AI47="Yes",5, AI47="Partial (material categories only)",3, TRUE,0)
  + _xlfn.IFS(AL47="Yes — Detailed",10, AL47="Yes — High Level",5, TRUE,0)
  + _xlfn.IFS(AM47="Yes — Quantified",15, AM47="Yes — Directional Only",7, TRUE,0)
  + _xlfn.IFS(AP47="Formal",5, AP47="Referenced",2, TRUE,0)
  + _xlfn.IFS(AQ47="No Issues Found",5, AQ47="Concern Identified",-5, AQ47="Severe Contradiction",-15, TRUE,0)
  + _xlfn.IFS(BC47="Reasonable Assurance",5, BC47="Limited Assurance",3, TRUE,0)
  - IF(AND(Z47="Yes", AI47="No"), 10, 0)
  - IF(AND(Z47="Yes", AM47="No"), 10, 0)
))</f>
        <v/>
      </c>
      <c r="AS47" s="3" t="n"/>
      <c r="AT47" s="3" t="n"/>
      <c r="AU47" s="3" t="n"/>
      <c r="AV47" s="3" t="n"/>
      <c r="AW47" s="3" t="n"/>
      <c r="AX47" s="3" t="n"/>
      <c r="AY47" s="3" t="n"/>
      <c r="AZ47" s="3" t="n"/>
      <c r="BA47" s="3" t="n"/>
      <c r="BB47" s="3" t="n"/>
      <c r="BC47" s="3" t="n"/>
      <c r="BD47" s="3" t="n"/>
      <c r="BE47" s="40">
        <f t="array" ref="BE47">MIN(100, MAX(0,
  IFERROR(_xlfn.XLOOKUP(AT47,'Lookup Tables'!$D$2:$D$6,'Lookup Tables'!$E$2:$E$6,0),0)
  + IFERROR(_xlfn.XLOOKUP(AV47,'Lookup Tables'!$G$2:$G$5,'Lookup Tables'!$H$2:$H$5,0),0)
  + IFERROR(_xlfn.XLOOKUP(AW47,'Lookup Tables'!$J$2:$J$5,'Lookup Tables'!$K$2:$K$5,0),0)
  + _xlfn.IFS(AX47="No Issues",10, AX47="Complaint Filed",3, AX47="Confirmed Breach",-15, TRUE,0)
  + IFERROR(_xlfn.XLOOKUP(AY47,'Lookup Tables'!$M$2:$M$6,'Lookup Tables'!$N$2:$N$6,0),0)
  + IFERROR(_xlfn.XLOOKUP(AZ47,'Lookup Tables'!$P$2:$P$6,'Lookup Tables'!$Q$2:$Q$6,0),0)
  + _xlfn.IFS(BA47="Formal Board Committee",5, BA47="Board Oversight Mentioned",2, TRUE,0)
  + _xlfn.IFS(BB47="Yes — Quantified Targets",5, BB47="Yes — Discretionary Only",2, TRUE,0)
  + _xlfn.IFS(BC47="Reasonable Assurance",5, BC47="Limited Assurance",3, BC47="Management Review Only",1, TRUE,0)
))</f>
        <v/>
      </c>
      <c r="BF47" s="3" t="n"/>
      <c r="BG47" s="3" t="n"/>
      <c r="BH47" s="3" t="n"/>
      <c r="BI47" s="3" t="n"/>
      <c r="BJ47" s="3" t="n"/>
      <c r="BK47" s="3" t="n"/>
      <c r="BL47" s="3" t="n"/>
      <c r="BM47" s="3" t="n"/>
      <c r="BN47" s="3" t="n"/>
      <c r="BO47" s="3" t="n"/>
      <c r="BP47" s="3" t="n"/>
      <c r="BQ47" s="3" t="n"/>
      <c r="BR47" s="3" t="n"/>
      <c r="BS47" s="42">
        <f t="array" ref="BS47">MIN(100, MAX(0,
  IFERROR(_xlfn.XLOOKUP(BG47,'Lookup Tables'!$A$11:$A$16,'Lookup Tables'!$B$11:$B$16,0),0)
  + IFERROR(_xlfn.XLOOKUP(BR47,'Lookup Tables'!$M$11:$M$14,'Lookup Tables'!$N$11:$N$14,0),0)
  + IFERROR(_xlfn.XLOOKUP(BQ47,'Lookup Tables'!$J$11:$J$15,'Lookup Tables'!$K$11:$K$15,0),0)
  + IFERROR(_xlfn.XLOOKUP(BH47,'Lookup Tables'!$D$11:$D$15,'Lookup Tables'!$E$11:$E$15,0),0)
  + IFERROR(_xlfn.XLOOKUP(BJ47,'Lookup Tables'!$G$11:$G$16,'Lookup Tables'!$H$11:$H$16,0),0)
  + IFERROR(_xlfn.XLOOKUP(BN47,'Lookup Tables'!$P$11:$P$15,'Lookup Tables'!$Q$11:$Q$15,0),0)
  + _xlfn.IFS(BM47="No Evidence",10, BM47="Unknown",3, BM47="Likely",0, BM47="Confirmed",-10, TRUE,3)
  + IFERROR(_xlfn.XLOOKUP(BP47,'Lookup Tables'!$J$21:$J$24,'Lookup Tables'!$K$21:$K$24,0),0)
))</f>
        <v/>
      </c>
      <c r="BT47" s="3" t="n"/>
      <c r="BU47" s="3" t="n"/>
      <c r="BV47" s="3" t="n"/>
      <c r="BW47" s="3" t="n"/>
      <c r="BX47" s="3" t="n"/>
      <c r="BY47" s="3" t="n"/>
      <c r="BZ47" s="3" t="n"/>
      <c r="CA47" s="3" t="n"/>
      <c r="CB47" s="3" t="n"/>
      <c r="CC47" s="3" t="n"/>
      <c r="CD47" s="3" t="n"/>
      <c r="CE47" s="44">
        <f t="array" ref="CE47">MIN(100, MAX(0,
  IF(ISNUMBER(BV47)*AND(BV47&gt;0), 10, 0)
  + _xlfn.IFS(BY47="Independently Verified",25, BY47="Yes",15, TRUE,0)
  + IFERROR(_xlfn.XLOOKUP(BZ47,'Lookup Tables'!$A$21:$A$24,'Lookup Tables'!$B$21:$B$24,0),0)
  + IFERROR(_xlfn.XLOOKUP(CA47,'Lookup Tables'!$D$21:$D$24,'Lookup Tables'!$E$21:$E$24,0),0)
  + _xlfn.IFS(ISNUMBER(CB47)*AND(CB47&gt;=11),15, ISNUMBER(CB47)*AND(CB47&gt;=6),10, ISNUMBER(CB47)*AND(CB47&gt;=1),5, TRUE,0)
  + IFERROR(_xlfn.XLOOKUP(CC47,'Lookup Tables'!$G$21:$G$25,'Lookup Tables'!$H$21:$H$25,0),0)
  - IF(ISNUMBER(BW47)*AND(ISNUMBER(BV47))*AND(BW47&gt;BV47), 20, 0)
  - IF(AND(BY47="Yes", ISNUMBER(BW47), BW47&gt;60), 10, 0)
))</f>
        <v/>
      </c>
      <c r="CF47" s="3" t="n"/>
      <c r="CG47" s="3" t="n"/>
      <c r="CH47" s="3" t="n"/>
      <c r="CI47" s="3" t="n"/>
      <c r="CJ47" s="3" t="n"/>
      <c r="CK47" s="3" t="n"/>
      <c r="CL47" s="3" t="n"/>
      <c r="CM47" s="3" t="n"/>
      <c r="CN47" s="3" t="n"/>
      <c r="CO47" s="3" t="n"/>
      <c r="CP47" s="3" t="n"/>
      <c r="CQ47" s="3" t="n"/>
      <c r="CR47" s="3">
        <f>COUNTIF(CJ47:CQ47,"FAIL")</f>
        <v/>
      </c>
      <c r="CS47" s="3">
        <f>COUNTIF(CJ47:CQ47,"PARTIAL")</f>
        <v/>
      </c>
      <c r="CT47" s="3">
        <f>COUNTIF(CJ47:CQ47,"MISSING")</f>
        <v/>
      </c>
      <c r="CU47" s="3">
        <f>MIN(100,
  CR47*15
  + CS47*6
  + CT47*3
  + IFERROR(_xlfn.XLOOKUP(CW47,'Lookup Tables'!$M$21:$M$25,'Lookup Tables'!$N$21:$N$25,0),0)
)</f>
        <v/>
      </c>
      <c r="CV47" s="3">
        <f>IFERROR(
CHOOSE(
MATCH("FAIL",CJ47:CQ47,0),
"1-Specificity","2-Metric","3-Baseline","4-Target",
"5-Time Horizon","6-Scope","7-Verification","8-Consistency"
),
IFERROR(
CHOOSE(
MATCH("PARTIAL",CJ47:CQ47,0),
"1-Specificity","2-Metric","3-Baseline","4-Target",
"5-Time Horizon","6-Scope","7-Verification","8-Consistency"
),
"No failures"
)
)</f>
        <v/>
      </c>
      <c r="CW47" s="3" t="n"/>
      <c r="CX47" s="3" t="n"/>
      <c r="CY47" s="3" t="n"/>
      <c r="CZ47" s="3" t="n"/>
      <c r="DA47" s="3">
        <f>IF(OR(CU47&gt;=50,CW47="Material",CW47="Severe",AS47="Material",AS47="Severe",BF47="Material",BF47="Severe — Exclusion Trigger",AND(ISNUMBER(BS47),BS47&lt;30)),"Yes","No")</f>
        <v/>
      </c>
      <c r="DB47" s="3">
        <f>IF(OR(CR47&gt;=6,AW47="Confirmed Violation",AX47="Confirmed Breach"),"Yes — Automatic",IF(CW47="Severe","Yes — Requires Captain Confirmation","No"))</f>
        <v/>
      </c>
      <c r="DC47" s="3" t="n"/>
      <c r="DD47" s="3" t="n"/>
      <c r="DE47" s="3" t="n"/>
      <c r="DF47" s="3" t="n"/>
      <c r="DG47" s="3" t="n"/>
      <c r="DH47" s="3" t="n"/>
      <c r="DI47" s="3" t="n"/>
      <c r="DJ47" s="3" t="n"/>
      <c r="DK47" s="3" t="n"/>
      <c r="DL47" s="3">
        <f>IF(OR(IFERROR(VALUE(LEFT(DF47,1)),99)&lt;=2,IFERROR(VALUE(LEFT(DG47,1)),99)&lt;=2),"Flagged","Clear")</f>
        <v/>
      </c>
      <c r="DM47" s="3">
        <f>IF(OR(DA47="Yes",DB47&lt;&gt;"No",DH47="Unverified",DL47="Flagged"),"Yes","No")</f>
        <v/>
      </c>
      <c r="DN47" s="3">
        <f t="array" ref="DN47">MIN(100,
  IF(ISNUMBER(V47), _xlfn.IFS(V47&gt;=3,25, V47=2,15, V47=1,5, TRUE,0), 0)
  + IFERROR(_xlfn.IFS(VALUE(LEFT(DF47,1))=5,25, VALUE(LEFT(DF47,1))=4,20, VALUE(LEFT(DF47,1))=3,15, VALUE(LEFT(DF47,1))=2,8, TRUE,0), 15)
  + IFERROR(_xlfn.IFS(VALUE(LEFT(DG47,1))=5,25, VALUE(LEFT(DG47,1))=4,20, VALUE(LEFT(DG47,1))=3,15, VALUE(LEFT(DG47,1))=2,8, TRUE,0), 15)
  + _xlfn.IFS(DH47="Fully Verified",25, DH47="Partially Verified",12, TRUE,0)
)</f>
        <v/>
      </c>
      <c r="DO47" s="3">
        <f t="array" ref="DO47">_xlfn.IFS(
  ISBLANK(AR47), "Insufficient Evidence",
  AND(AR47&gt;=65, AJ47="Approved"), "Strong",
  AR47&gt;=65, "Adequate",
  AR47&gt;=40, "Adequate",
  AR47&gt;=20, "Weak",
  TRUE, "Insufficient Evidence"
)</f>
        <v/>
      </c>
      <c r="DP47" s="3">
        <f t="array" ref="DP47">_xlfn.IFS(
  ISBLANK(BS47), "Insufficient Evidence",
  BS47&gt;=65, "Strong",
  BS47&gt;=40, "Adequate",
  BS47&gt;=20, "Weak",
  TRUE, "Insufficient Evidence"
)</f>
        <v/>
      </c>
      <c r="DQ47" s="3">
        <f t="array" ref="DQ47">_xlfn.IFS(
  ISBLANK(BE47), "Insufficient Evidence",
  OR(AW47="Confirmed Violation", AX47="Confirmed Breach"), "Severe — Hard Trigger",
  BE47&gt;=65, "Strong",
  BE47&gt;=40, "Adequate",
  BE47&gt;=20, "Weak",
  TRUE, "Insufficient Evidence"
)</f>
        <v/>
      </c>
      <c r="DR47" s="3">
        <f t="array" ref="DR47">_xlfn.IFS(
  ISBLANK(CU47), "Insufficient Evidence",
  CU47&lt;=20, "Low Risk",
  CU47&lt;=50, "Moderate Risk",
  CU47&lt;=75, "High Risk",
  TRUE, "Very High Risk"
)</f>
        <v/>
      </c>
      <c r="DS47" s="3">
        <f t="array" ref="DS47">_xlfn.IFS(
  ISBLANK(CE47), "Insufficient Evidence",
  AND(ISNUMBER(BW47),ISNUMBER(BV47),BW47&gt;BV47), "Overclaiming Risk",
  CE47&gt;=65, "Strong",
  CE47&gt;=40, "Adequate",
  TRUE, "Weak"
)</f>
        <v/>
      </c>
      <c r="DT47" s="3">
        <f>IF(DB47="Yes — Automatic",0,ROUND((IF(ISNUMBER(AR47),AR47,0)*0.3+IF(ISNUMBER(BS47),BS47,0)*0.2+IF(ISNUMBER(BE47),BE47,0)*0.2+IF(ISNUMBER(CE47),CE47,0)*0.15+(100-IF(ISNUMBER(CU47),CU47,50))*0.15)*IF(DN47&gt;=75,1,IF(DN47&gt;=50,0.9,IF(DN47&gt;=25,0.75,0.6))),1))</f>
        <v/>
      </c>
      <c r="DU47" s="3">
        <f t="array" ref="DU47">_xlfn.IFS(
  DV47="Upgraded to Clear", "Clear",
  DV47="Downgraded to Watchlist", "Watchlist",
  DV47="Downgraded to Exclusion", "Exclusion Risk",
  DB47="Yes — Automatic", "Exclusion Risk",
  OR(AW47="Confirmed Violation", AX47="Confirmed Breach"), "Exclusion Risk",
  OR(V47=0, ISBLANK(V47), DN47&lt;20), "Insufficient Evidence",
  AND(DT47&gt;=65, DA47="No", DB47="No"), "Clear",
  OR(DT47&gt;=40, DA47="Yes"), "Watchlist",
  TRUE, "Exclusion Risk"
)</f>
        <v/>
      </c>
      <c r="DV47" s="3" t="n"/>
      <c r="DW47" s="3">
        <f t="array" ref="DW47">_xlfn.IFS(
  DU47="Exclusion Risk", "Exclude — Hard Trigger",
  DU47="Insufficient Evidence", "Watchlist — Further Evidence Needed",
  DU47="Watchlist", "Watchlist — Further Evidence Needed",
  AND(DU47="Clear", DT47&gt;=80), "Include — No Conditions",
  DU47="Clear", "Include — Monitor",
  TRUE, "Watchlist — Further Evidence Needed"
)</f>
        <v/>
      </c>
      <c r="DX47" s="3" t="n"/>
      <c r="DY47" s="3" t="n"/>
      <c r="DZ47" s="3" t="n"/>
      <c r="EA47" s="3" t="n"/>
      <c r="EB47" s="3">
        <f>IF(OR(V47=0, ISBLANK(V47)), "MISSING — No sources reviewed", "")</f>
        <v/>
      </c>
      <c r="EC47" s="3">
        <f>IF(AND(NOT(ISBLANK(DC47)), ISBLANK(DE47)), "PAGE REF MISSING", "")</f>
        <v/>
      </c>
    </row>
    <row r="48" ht="18" customHeight="1" s="60">
      <c r="A48" s="5" t="inlineStr">
        <is>
          <t>Sulzer AG</t>
        </is>
      </c>
      <c r="B48" s="5" t="inlineStr">
        <is>
          <t>SUL1</t>
        </is>
      </c>
      <c r="C48" s="5">
        <f>IF(ISBLANK('Universe Tracker'!D44),"",'Universe Tracker'!D44)</f>
        <v/>
      </c>
      <c r="D48" s="5" t="n"/>
      <c r="E48" s="5" t="n"/>
      <c r="F48" s="5">
        <f>IF(ISBLANK('Universe Tracker'!F44),"",'Universe Tracker'!F44)</f>
        <v/>
      </c>
      <c r="G48" s="5">
        <f>IF(ISBLANK('Universe Tracker'!G44),"",'Universe Tracker'!G44)</f>
        <v/>
      </c>
      <c r="H48" s="5" t="n"/>
      <c r="I48" s="5" t="n"/>
      <c r="J48" s="5">
        <f>IF(ISBLANK(B48),"",B48&amp;"_"&amp;C48)</f>
        <v/>
      </c>
      <c r="K48" s="5" t="n"/>
      <c r="L48" s="5" t="n"/>
      <c r="M48" s="5" t="n"/>
      <c r="N48" s="5" t="n"/>
      <c r="O48" s="5" t="n"/>
      <c r="P48" s="5" t="n"/>
      <c r="Q48" s="5" t="n"/>
      <c r="R48" s="5" t="n"/>
      <c r="S48" s="5" t="n"/>
      <c r="T48" s="5" t="n"/>
      <c r="U48" s="5" t="n"/>
      <c r="V48" s="5" t="n"/>
      <c r="W48" s="5" t="n"/>
      <c r="X48" s="5" t="n"/>
      <c r="Y48" s="5">
        <f>IF(AND(V48&gt;=2,K48="Yes",L48="Yes"),"Sufficient",IF(AND(V48&gt;=1,OR(K48="Yes",L48="Yes")),"Thin","Insufficient"))</f>
        <v/>
      </c>
      <c r="Z48" s="5" t="n"/>
      <c r="AA48" s="5" t="n"/>
      <c r="AB48" s="5" t="n"/>
      <c r="AC48" s="5" t="n"/>
      <c r="AD48" s="5" t="n"/>
      <c r="AE48" s="5" t="n"/>
      <c r="AF48" s="5" t="n"/>
      <c r="AG48" s="5" t="n"/>
      <c r="AH48" s="5" t="n"/>
      <c r="AI48" s="5" t="n"/>
      <c r="AJ48" s="5" t="n"/>
      <c r="AK48" s="5" t="n"/>
      <c r="AL48" s="5" t="n"/>
      <c r="AM48" s="5" t="n"/>
      <c r="AN48" s="5" t="n"/>
      <c r="AO48" s="5" t="n"/>
      <c r="AP48" s="5" t="n"/>
      <c r="AQ48" s="5" t="n"/>
      <c r="AR48" s="40">
        <f t="array" ref="AR48">MIN(100, MAX(0,
  IFERROR(_xlfn.XLOOKUP(AJ48,'Lookup Tables'!$A$2:$A$7,'Lookup Tables'!$B$2:$B$7,0),0)
  + IF(Z48="Yes", IF(IFERROR(_xlfn.XLOOKUP(AJ48,'Lookup Tables'!$A$2:$A$7,'Lookup Tables'!$B$2:$B$7,0),0)&lt;20, 5, 0), 0)
  + _xlfn.IFS(AB48="Yes", IF(ISNUMBER(AC48)*AND(AC48&lt;=2030),15,10), AB48="Long-term Only", 5, AB48="No", 0, TRUE, 0)
  + _xlfn.IFS(AF48="Full",10, AF48="Partial",5, AF48="Scope 2 Only",3, TRUE,0)
  + _xlfn.IFS(AG48="Yes", IF(ISNUMBER(AH48)*AND(AH48&gt;=5),10,6), AG48="Partial",4, TRUE,0)
  + _xlfn.IFS(AI48="Yes",5, AI48="Partial (material categories only)",3, TRUE,0)
  + _xlfn.IFS(AL48="Yes — Detailed",10, AL48="Yes — High Level",5, TRUE,0)
  + _xlfn.IFS(AM48="Yes — Quantified",15, AM48="Yes — Directional Only",7, TRUE,0)
  + _xlfn.IFS(AP48="Formal",5, AP48="Referenced",2, TRUE,0)
  + _xlfn.IFS(AQ48="No Issues Found",5, AQ48="Concern Identified",-5, AQ48="Severe Contradiction",-15, TRUE,0)
  + _xlfn.IFS(BC48="Reasonable Assurance",5, BC48="Limited Assurance",3, TRUE,0)
  - IF(AND(Z48="Yes", AI48="No"), 10, 0)
  - IF(AND(Z48="Yes", AM48="No"), 10, 0)
))</f>
        <v/>
      </c>
      <c r="AS48" s="5" t="n"/>
      <c r="AT48" s="5" t="n"/>
      <c r="AU48" s="5" t="n"/>
      <c r="AV48" s="5" t="n"/>
      <c r="AW48" s="5" t="n"/>
      <c r="AX48" s="5" t="n"/>
      <c r="AY48" s="5" t="n"/>
      <c r="AZ48" s="5" t="n"/>
      <c r="BA48" s="5" t="n"/>
      <c r="BB48" s="5" t="n"/>
      <c r="BC48" s="5" t="n"/>
      <c r="BD48" s="5" t="n"/>
      <c r="BE48" s="39">
        <f t="array" ref="BE48">MIN(100, MAX(0,
  IFERROR(_xlfn.XLOOKUP(AT48,'Lookup Tables'!$D$2:$D$6,'Lookup Tables'!$E$2:$E$6,0),0)
  + IFERROR(_xlfn.XLOOKUP(AV48,'Lookup Tables'!$G$2:$G$5,'Lookup Tables'!$H$2:$H$5,0),0)
  + IFERROR(_xlfn.XLOOKUP(AW48,'Lookup Tables'!$J$2:$J$5,'Lookup Tables'!$K$2:$K$5,0),0)
  + _xlfn.IFS(AX48="No Issues",10, AX48="Complaint Filed",3, AX48="Confirmed Breach",-15, TRUE,0)
  + IFERROR(_xlfn.XLOOKUP(AY48,'Lookup Tables'!$M$2:$M$6,'Lookup Tables'!$N$2:$N$6,0),0)
  + IFERROR(_xlfn.XLOOKUP(AZ48,'Lookup Tables'!$P$2:$P$6,'Lookup Tables'!$Q$2:$Q$6,0),0)
  + _xlfn.IFS(BA48="Formal Board Committee",5, BA48="Board Oversight Mentioned",2, TRUE,0)
  + _xlfn.IFS(BB48="Yes — Quantified Targets",5, BB48="Yes — Discretionary Only",2, TRUE,0)
  + _xlfn.IFS(BC48="Reasonable Assurance",5, BC48="Limited Assurance",3, BC48="Management Review Only",1, TRUE,0)
))</f>
        <v/>
      </c>
      <c r="BF48" s="5" t="n"/>
      <c r="BG48" s="5" t="n"/>
      <c r="BH48" s="5" t="n"/>
      <c r="BI48" s="5" t="n"/>
      <c r="BJ48" s="5" t="n"/>
      <c r="BK48" s="5" t="n"/>
      <c r="BL48" s="5" t="n"/>
      <c r="BM48" s="5" t="n"/>
      <c r="BN48" s="5" t="n"/>
      <c r="BO48" s="5" t="n"/>
      <c r="BP48" s="5" t="n"/>
      <c r="BQ48" s="5" t="n"/>
      <c r="BR48" s="5" t="n"/>
      <c r="BS48" s="41">
        <f t="array" ref="BS48">MIN(100, MAX(0,
  IFERROR(_xlfn.XLOOKUP(BG48,'Lookup Tables'!$A$11:$A$16,'Lookup Tables'!$B$11:$B$16,0),0)
  + IFERROR(_xlfn.XLOOKUP(BR48,'Lookup Tables'!$M$11:$M$14,'Lookup Tables'!$N$11:$N$14,0),0)
  + IFERROR(_xlfn.XLOOKUP(BQ48,'Lookup Tables'!$J$11:$J$15,'Lookup Tables'!$K$11:$K$15,0),0)
  + IFERROR(_xlfn.XLOOKUP(BH48,'Lookup Tables'!$D$11:$D$15,'Lookup Tables'!$E$11:$E$15,0),0)
  + IFERROR(_xlfn.XLOOKUP(BJ48,'Lookup Tables'!$G$11:$G$16,'Lookup Tables'!$H$11:$H$16,0),0)
  + IFERROR(_xlfn.XLOOKUP(BN48,'Lookup Tables'!$P$11:$P$15,'Lookup Tables'!$Q$11:$Q$15,0),0)
  + _xlfn.IFS(BM48="No Evidence",10, BM48="Unknown",3, BM48="Likely",0, BM48="Confirmed",-10, TRUE,3)
  + IFERROR(_xlfn.XLOOKUP(BP48,'Lookup Tables'!$J$21:$J$24,'Lookup Tables'!$K$21:$K$24,0),0)
))</f>
        <v/>
      </c>
      <c r="BT48" s="5" t="n"/>
      <c r="BU48" s="5" t="n"/>
      <c r="BV48" s="5" t="n"/>
      <c r="BW48" s="5" t="n"/>
      <c r="BX48" s="5" t="n"/>
      <c r="BY48" s="5" t="n"/>
      <c r="BZ48" s="5" t="n"/>
      <c r="CA48" s="5" t="n"/>
      <c r="CB48" s="5" t="n"/>
      <c r="CC48" s="5" t="n"/>
      <c r="CD48" s="5" t="n"/>
      <c r="CE48" s="43">
        <f t="array" ref="CE48">MIN(100, MAX(0,
  IF(ISNUMBER(BV48)*AND(BV48&gt;0), 10, 0)
  + _xlfn.IFS(BY48="Independently Verified",25, BY48="Yes",15, TRUE,0)
  + IFERROR(_xlfn.XLOOKUP(BZ48,'Lookup Tables'!$A$21:$A$24,'Lookup Tables'!$B$21:$B$24,0),0)
  + IFERROR(_xlfn.XLOOKUP(CA48,'Lookup Tables'!$D$21:$D$24,'Lookup Tables'!$E$21:$E$24,0),0)
  + _xlfn.IFS(ISNUMBER(CB48)*AND(CB48&gt;=11),15, ISNUMBER(CB48)*AND(CB48&gt;=6),10, ISNUMBER(CB48)*AND(CB48&gt;=1),5, TRUE,0)
  + IFERROR(_xlfn.XLOOKUP(CC48,'Lookup Tables'!$G$21:$G$25,'Lookup Tables'!$H$21:$H$25,0),0)
  - IF(ISNUMBER(BW48)*AND(ISNUMBER(BV48))*AND(BW48&gt;BV48), 20, 0)
  - IF(AND(BY48="Yes", ISNUMBER(BW48), BW48&gt;60), 10, 0)
))</f>
        <v/>
      </c>
      <c r="CF48" s="5" t="n"/>
      <c r="CG48" s="5" t="n"/>
      <c r="CH48" s="5" t="n"/>
      <c r="CI48" s="5" t="n"/>
      <c r="CJ48" s="5" t="n"/>
      <c r="CK48" s="5" t="n"/>
      <c r="CL48" s="5" t="n"/>
      <c r="CM48" s="5" t="n"/>
      <c r="CN48" s="5" t="n"/>
      <c r="CO48" s="5" t="n"/>
      <c r="CP48" s="5" t="n"/>
      <c r="CQ48" s="5" t="n"/>
      <c r="CR48" s="5">
        <f>COUNTIF(CJ48:CQ48,"FAIL")</f>
        <v/>
      </c>
      <c r="CS48" s="5">
        <f>COUNTIF(CJ48:CQ48,"PARTIAL")</f>
        <v/>
      </c>
      <c r="CT48" s="5">
        <f>COUNTIF(CJ48:CQ48,"MISSING")</f>
        <v/>
      </c>
      <c r="CU48" s="5">
        <f>MIN(100,
  CR48*15
  + CS48*6
  + CT48*3
  + IFERROR(_xlfn.XLOOKUP(CW48,'Lookup Tables'!$M$21:$M$25,'Lookup Tables'!$N$21:$N$25,0),0)
)</f>
        <v/>
      </c>
      <c r="CV48" s="5">
        <f>IFERROR(
CHOOSE(
MATCH("FAIL",CJ48:CQ48,0),
"1-Specificity","2-Metric","3-Baseline","4-Target",
"5-Time Horizon","6-Scope","7-Verification","8-Consistency"
),
IFERROR(
CHOOSE(
MATCH("PARTIAL",CJ48:CQ48,0),
"1-Specificity","2-Metric","3-Baseline","4-Target",
"5-Time Horizon","6-Scope","7-Verification","8-Consistency"
),
"No failures"
)
)</f>
        <v/>
      </c>
      <c r="CW48" s="5" t="n"/>
      <c r="CX48" s="5" t="n"/>
      <c r="CY48" s="5" t="n"/>
      <c r="CZ48" s="5" t="n"/>
      <c r="DA48" s="5">
        <f>IF(OR(CU48&gt;=50,CW48="Material",CW48="Severe",AS48="Material",AS48="Severe",BF48="Material",BF48="Severe — Exclusion Trigger",AND(ISNUMBER(BS48),BS48&lt;30)),"Yes","No")</f>
        <v/>
      </c>
      <c r="DB48" s="5">
        <f>IF(OR(CR48&gt;=6,AW48="Confirmed Violation",AX48="Confirmed Breach"),"Yes — Automatic",IF(CW48="Severe","Yes — Requires Captain Confirmation","No"))</f>
        <v/>
      </c>
      <c r="DC48" s="5" t="n"/>
      <c r="DD48" s="5" t="n"/>
      <c r="DE48" s="5" t="n"/>
      <c r="DF48" s="5" t="n"/>
      <c r="DG48" s="5" t="n"/>
      <c r="DH48" s="5" t="n"/>
      <c r="DI48" s="5" t="n"/>
      <c r="DJ48" s="5" t="n"/>
      <c r="DK48" s="5" t="n"/>
      <c r="DL48" s="5">
        <f>IF(OR(IFERROR(VALUE(LEFT(DF48,1)),99)&lt;=2,IFERROR(VALUE(LEFT(DG48,1)),99)&lt;=2),"Flagged","Clear")</f>
        <v/>
      </c>
      <c r="DM48" s="5">
        <f>IF(OR(DA48="Yes",DB48&lt;&gt;"No",DH48="Unverified",DL48="Flagged"),"Yes","No")</f>
        <v/>
      </c>
      <c r="DN48" s="5">
        <f t="array" ref="DN48">MIN(100,
  IF(ISNUMBER(V48), _xlfn.IFS(V48&gt;=3,25, V48=2,15, V48=1,5, TRUE,0), 0)
  + IFERROR(_xlfn.IFS(VALUE(LEFT(DF48,1))=5,25, VALUE(LEFT(DF48,1))=4,20, VALUE(LEFT(DF48,1))=3,15, VALUE(LEFT(DF48,1))=2,8, TRUE,0), 15)
  + IFERROR(_xlfn.IFS(VALUE(LEFT(DG48,1))=5,25, VALUE(LEFT(DG48,1))=4,20, VALUE(LEFT(DG48,1))=3,15, VALUE(LEFT(DG48,1))=2,8, TRUE,0), 15)
  + _xlfn.IFS(DH48="Fully Verified",25, DH48="Partially Verified",12, TRUE,0)
)</f>
        <v/>
      </c>
      <c r="DO48" s="5">
        <f t="array" ref="DO48">_xlfn.IFS(
  ISBLANK(AR48), "Insufficient Evidence",
  AND(AR48&gt;=65, AJ48="Approved"), "Strong",
  AR48&gt;=65, "Adequate",
  AR48&gt;=40, "Adequate",
  AR48&gt;=20, "Weak",
  TRUE, "Insufficient Evidence"
)</f>
        <v/>
      </c>
      <c r="DP48" s="5">
        <f t="array" ref="DP48">_xlfn.IFS(
  ISBLANK(BS48), "Insufficient Evidence",
  BS48&gt;=65, "Strong",
  BS48&gt;=40, "Adequate",
  BS48&gt;=20, "Weak",
  TRUE, "Insufficient Evidence"
)</f>
        <v/>
      </c>
      <c r="DQ48" s="5">
        <f t="array" ref="DQ48">_xlfn.IFS(
  ISBLANK(BE48), "Insufficient Evidence",
  OR(AW48="Confirmed Violation", AX48="Confirmed Breach"), "Severe — Hard Trigger",
  BE48&gt;=65, "Strong",
  BE48&gt;=40, "Adequate",
  BE48&gt;=20, "Weak",
  TRUE, "Insufficient Evidence"
)</f>
        <v/>
      </c>
      <c r="DR48" s="5">
        <f t="array" ref="DR48">_xlfn.IFS(
  ISBLANK(CU48), "Insufficient Evidence",
  CU48&lt;=20, "Low Risk",
  CU48&lt;=50, "Moderate Risk",
  CU48&lt;=75, "High Risk",
  TRUE, "Very High Risk"
)</f>
        <v/>
      </c>
      <c r="DS48" s="5">
        <f t="array" ref="DS48">_xlfn.IFS(
  ISBLANK(CE48), "Insufficient Evidence",
  AND(ISNUMBER(BW48),ISNUMBER(BV48),BW48&gt;BV48), "Overclaiming Risk",
  CE48&gt;=65, "Strong",
  CE48&gt;=40, "Adequate",
  TRUE, "Weak"
)</f>
        <v/>
      </c>
      <c r="DT48" s="5">
        <f>IF(DB48="Yes — Automatic",0,ROUND((IF(ISNUMBER(AR48),AR48,0)*0.3+IF(ISNUMBER(BS48),BS48,0)*0.2+IF(ISNUMBER(BE48),BE48,0)*0.2+IF(ISNUMBER(CE48),CE48,0)*0.15+(100-IF(ISNUMBER(CU48),CU48,50))*0.15)*IF(DN48&gt;=75,1,IF(DN48&gt;=50,0.9,IF(DN48&gt;=25,0.75,0.6))),1))</f>
        <v/>
      </c>
      <c r="DU48" s="5">
        <f t="array" ref="DU48">_xlfn.IFS(
  DV48="Upgraded to Clear", "Clear",
  DV48="Downgraded to Watchlist", "Watchlist",
  DV48="Downgraded to Exclusion", "Exclusion Risk",
  DB48="Yes — Automatic", "Exclusion Risk",
  OR(AW48="Confirmed Violation", AX48="Confirmed Breach"), "Exclusion Risk",
  OR(V48=0, ISBLANK(V48), DN48&lt;20), "Insufficient Evidence",
  AND(DT48&gt;=65, DA48="No", DB48="No"), "Clear",
  OR(DT48&gt;=40, DA48="Yes"), "Watchlist",
  TRUE, "Exclusion Risk"
)</f>
        <v/>
      </c>
      <c r="DV48" s="5" t="n"/>
      <c r="DW48" s="5">
        <f t="array" ref="DW48">_xlfn.IFS(
  DU48="Exclusion Risk", "Exclude — Hard Trigger",
  DU48="Insufficient Evidence", "Watchlist — Further Evidence Needed",
  DU48="Watchlist", "Watchlist — Further Evidence Needed",
  AND(DU48="Clear", DT48&gt;=80), "Include — No Conditions",
  DU48="Clear", "Include — Monitor",
  TRUE, "Watchlist — Further Evidence Needed"
)</f>
        <v/>
      </c>
      <c r="DX48" s="5" t="n"/>
      <c r="DY48" s="5" t="n"/>
      <c r="DZ48" s="5" t="n"/>
      <c r="EA48" s="5" t="n"/>
      <c r="EB48" s="5">
        <f>IF(OR(V48=0, ISBLANK(V48)), "MISSING — No sources reviewed", "")</f>
        <v/>
      </c>
      <c r="EC48" s="5">
        <f>IF(AND(NOT(ISBLANK(DC48)), ISBLANK(DE48)), "PAGE REF MISSING", "")</f>
        <v/>
      </c>
    </row>
    <row r="49" ht="18" customHeight="1" s="60">
      <c r="A49" s="3" t="inlineStr">
        <is>
          <t>Equinor ASA</t>
        </is>
      </c>
      <c r="B49" s="3" t="inlineStr">
        <is>
          <t>DNQ</t>
        </is>
      </c>
      <c r="C49" s="3">
        <f>IF(ISBLANK('Universe Tracker'!D45),"",'Universe Tracker'!D45)</f>
        <v/>
      </c>
      <c r="D49" s="3" t="n"/>
      <c r="E49" s="3" t="n"/>
      <c r="F49" s="3">
        <f>IF(ISBLANK('Universe Tracker'!F45),"",'Universe Tracker'!F45)</f>
        <v/>
      </c>
      <c r="G49" s="3">
        <f>IF(ISBLANK('Universe Tracker'!G45),"",'Universe Tracker'!G45)</f>
        <v/>
      </c>
      <c r="H49" s="3" t="n"/>
      <c r="I49" s="3" t="n"/>
      <c r="J49" s="3">
        <f>IF(ISBLANK(B49),"",B49&amp;"_"&amp;C49)</f>
        <v/>
      </c>
      <c r="K49" s="3" t="n"/>
      <c r="L49" s="3" t="n"/>
      <c r="M49" s="3" t="n"/>
      <c r="N49" s="3" t="n"/>
      <c r="O49" s="3" t="n"/>
      <c r="P49" s="3" t="n"/>
      <c r="Q49" s="3" t="n"/>
      <c r="R49" s="3" t="n"/>
      <c r="S49" s="3" t="n"/>
      <c r="T49" s="3" t="n"/>
      <c r="U49" s="3" t="n"/>
      <c r="V49" s="3" t="n"/>
      <c r="W49" s="3" t="n"/>
      <c r="X49" s="3" t="n"/>
      <c r="Y49" s="3">
        <f>IF(AND(V49&gt;=2,K49="Yes",L49="Yes"),"Sufficient",IF(AND(V49&gt;=1,OR(K49="Yes",L49="Yes")),"Thin","Insufficient"))</f>
        <v/>
      </c>
      <c r="Z49" s="3" t="n"/>
      <c r="AA49" s="3" t="n"/>
      <c r="AB49" s="3" t="n"/>
      <c r="AC49" s="3" t="n"/>
      <c r="AD49" s="3" t="n"/>
      <c r="AE49" s="3" t="n"/>
      <c r="AF49" s="3" t="n"/>
      <c r="AG49" s="3" t="n"/>
      <c r="AH49" s="3" t="n"/>
      <c r="AI49" s="3" t="n"/>
      <c r="AJ49" s="3" t="n"/>
      <c r="AK49" s="3" t="n"/>
      <c r="AL49" s="3" t="n"/>
      <c r="AM49" s="3" t="n"/>
      <c r="AN49" s="3" t="n"/>
      <c r="AO49" s="3" t="n"/>
      <c r="AP49" s="3" t="n"/>
      <c r="AQ49" s="3" t="n"/>
      <c r="AR49" s="40">
        <f t="array" ref="AR49">MIN(100, MAX(0,
  IFERROR(_xlfn.XLOOKUP(AJ49,'Lookup Tables'!$A$2:$A$7,'Lookup Tables'!$B$2:$B$7,0),0)
  + IF(Z49="Yes", IF(IFERROR(_xlfn.XLOOKUP(AJ49,'Lookup Tables'!$A$2:$A$7,'Lookup Tables'!$B$2:$B$7,0),0)&lt;20, 5, 0), 0)
  + _xlfn.IFS(AB49="Yes", IF(ISNUMBER(AC49)*AND(AC49&lt;=2030),15,10), AB49="Long-term Only", 5, AB49="No", 0, TRUE, 0)
  + _xlfn.IFS(AF49="Full",10, AF49="Partial",5, AF49="Scope 2 Only",3, TRUE,0)
  + _xlfn.IFS(AG49="Yes", IF(ISNUMBER(AH49)*AND(AH49&gt;=5),10,6), AG49="Partial",4, TRUE,0)
  + _xlfn.IFS(AI49="Yes",5, AI49="Partial (material categories only)",3, TRUE,0)
  + _xlfn.IFS(AL49="Yes — Detailed",10, AL49="Yes — High Level",5, TRUE,0)
  + _xlfn.IFS(AM49="Yes — Quantified",15, AM49="Yes — Directional Only",7, TRUE,0)
  + _xlfn.IFS(AP49="Formal",5, AP49="Referenced",2, TRUE,0)
  + _xlfn.IFS(AQ49="No Issues Found",5, AQ49="Concern Identified",-5, AQ49="Severe Contradiction",-15, TRUE,0)
  + _xlfn.IFS(BC49="Reasonable Assurance",5, BC49="Limited Assurance",3, TRUE,0)
  - IF(AND(Z49="Yes", AI49="No"), 10, 0)
  - IF(AND(Z49="Yes", AM49="No"), 10, 0)
))</f>
        <v/>
      </c>
      <c r="AS49" s="3" t="n"/>
      <c r="AT49" s="3" t="n"/>
      <c r="AU49" s="3" t="n"/>
      <c r="AV49" s="3" t="n"/>
      <c r="AW49" s="3" t="n"/>
      <c r="AX49" s="3" t="n"/>
      <c r="AY49" s="3" t="n"/>
      <c r="AZ49" s="3" t="n"/>
      <c r="BA49" s="3" t="n"/>
      <c r="BB49" s="3" t="n"/>
      <c r="BC49" s="3" t="n"/>
      <c r="BD49" s="3" t="n"/>
      <c r="BE49" s="40">
        <f t="array" ref="BE49">MIN(100, MAX(0,
  IFERROR(_xlfn.XLOOKUP(AT49,'Lookup Tables'!$D$2:$D$6,'Lookup Tables'!$E$2:$E$6,0),0)
  + IFERROR(_xlfn.XLOOKUP(AV49,'Lookup Tables'!$G$2:$G$5,'Lookup Tables'!$H$2:$H$5,0),0)
  + IFERROR(_xlfn.XLOOKUP(AW49,'Lookup Tables'!$J$2:$J$5,'Lookup Tables'!$K$2:$K$5,0),0)
  + _xlfn.IFS(AX49="No Issues",10, AX49="Complaint Filed",3, AX49="Confirmed Breach",-15, TRUE,0)
  + IFERROR(_xlfn.XLOOKUP(AY49,'Lookup Tables'!$M$2:$M$6,'Lookup Tables'!$N$2:$N$6,0),0)
  + IFERROR(_xlfn.XLOOKUP(AZ49,'Lookup Tables'!$P$2:$P$6,'Lookup Tables'!$Q$2:$Q$6,0),0)
  + _xlfn.IFS(BA49="Formal Board Committee",5, BA49="Board Oversight Mentioned",2, TRUE,0)
  + _xlfn.IFS(BB49="Yes — Quantified Targets",5, BB49="Yes — Discretionary Only",2, TRUE,0)
  + _xlfn.IFS(BC49="Reasonable Assurance",5, BC49="Limited Assurance",3, BC49="Management Review Only",1, TRUE,0)
))</f>
        <v/>
      </c>
      <c r="BF49" s="3" t="n"/>
      <c r="BG49" s="3" t="n"/>
      <c r="BH49" s="3" t="n"/>
      <c r="BI49" s="3" t="n"/>
      <c r="BJ49" s="3" t="n"/>
      <c r="BK49" s="3" t="n"/>
      <c r="BL49" s="3" t="n"/>
      <c r="BM49" s="3" t="n"/>
      <c r="BN49" s="3" t="n"/>
      <c r="BO49" s="3" t="n"/>
      <c r="BP49" s="3" t="n"/>
      <c r="BQ49" s="3" t="n"/>
      <c r="BR49" s="3" t="n"/>
      <c r="BS49" s="42">
        <f t="array" ref="BS49">MIN(100, MAX(0,
  IFERROR(_xlfn.XLOOKUP(BG49,'Lookup Tables'!$A$11:$A$16,'Lookup Tables'!$B$11:$B$16,0),0)
  + IFERROR(_xlfn.XLOOKUP(BR49,'Lookup Tables'!$M$11:$M$14,'Lookup Tables'!$N$11:$N$14,0),0)
  + IFERROR(_xlfn.XLOOKUP(BQ49,'Lookup Tables'!$J$11:$J$15,'Lookup Tables'!$K$11:$K$15,0),0)
  + IFERROR(_xlfn.XLOOKUP(BH49,'Lookup Tables'!$D$11:$D$15,'Lookup Tables'!$E$11:$E$15,0),0)
  + IFERROR(_xlfn.XLOOKUP(BJ49,'Lookup Tables'!$G$11:$G$16,'Lookup Tables'!$H$11:$H$16,0),0)
  + IFERROR(_xlfn.XLOOKUP(BN49,'Lookup Tables'!$P$11:$P$15,'Lookup Tables'!$Q$11:$Q$15,0),0)
  + _xlfn.IFS(BM49="No Evidence",10, BM49="Unknown",3, BM49="Likely",0, BM49="Confirmed",-10, TRUE,3)
  + IFERROR(_xlfn.XLOOKUP(BP49,'Lookup Tables'!$J$21:$J$24,'Lookup Tables'!$K$21:$K$24,0),0)
))</f>
        <v/>
      </c>
      <c r="BT49" s="3" t="n"/>
      <c r="BU49" s="3" t="n"/>
      <c r="BV49" s="3" t="n"/>
      <c r="BW49" s="3" t="n"/>
      <c r="BX49" s="3" t="n"/>
      <c r="BY49" s="3" t="n"/>
      <c r="BZ49" s="3" t="n"/>
      <c r="CA49" s="3" t="n"/>
      <c r="CB49" s="3" t="n"/>
      <c r="CC49" s="3" t="n"/>
      <c r="CD49" s="3" t="n"/>
      <c r="CE49" s="44">
        <f t="array" ref="CE49">MIN(100, MAX(0,
  IF(ISNUMBER(BV49)*AND(BV49&gt;0), 10, 0)
  + _xlfn.IFS(BY49="Independently Verified",25, BY49="Yes",15, TRUE,0)
  + IFERROR(_xlfn.XLOOKUP(BZ49,'Lookup Tables'!$A$21:$A$24,'Lookup Tables'!$B$21:$B$24,0),0)
  + IFERROR(_xlfn.XLOOKUP(CA49,'Lookup Tables'!$D$21:$D$24,'Lookup Tables'!$E$21:$E$24,0),0)
  + _xlfn.IFS(ISNUMBER(CB49)*AND(CB49&gt;=11),15, ISNUMBER(CB49)*AND(CB49&gt;=6),10, ISNUMBER(CB49)*AND(CB49&gt;=1),5, TRUE,0)
  + IFERROR(_xlfn.XLOOKUP(CC49,'Lookup Tables'!$G$21:$G$25,'Lookup Tables'!$H$21:$H$25,0),0)
  - IF(ISNUMBER(BW49)*AND(ISNUMBER(BV49))*AND(BW49&gt;BV49), 20, 0)
  - IF(AND(BY49="Yes", ISNUMBER(BW49), BW49&gt;60), 10, 0)
))</f>
        <v/>
      </c>
      <c r="CF49" s="3" t="n"/>
      <c r="CG49" s="3" t="n"/>
      <c r="CH49" s="3" t="n"/>
      <c r="CI49" s="3" t="n"/>
      <c r="CJ49" s="3" t="n"/>
      <c r="CK49" s="3" t="n"/>
      <c r="CL49" s="3" t="n"/>
      <c r="CM49" s="3" t="n"/>
      <c r="CN49" s="3" t="n"/>
      <c r="CO49" s="3" t="n"/>
      <c r="CP49" s="3" t="n"/>
      <c r="CQ49" s="3" t="n"/>
      <c r="CR49" s="3">
        <f>COUNTIF(CJ49:CQ49,"FAIL")</f>
        <v/>
      </c>
      <c r="CS49" s="3">
        <f>COUNTIF(CJ49:CQ49,"PARTIAL")</f>
        <v/>
      </c>
      <c r="CT49" s="3">
        <f>COUNTIF(CJ49:CQ49,"MISSING")</f>
        <v/>
      </c>
      <c r="CU49" s="3">
        <f>MIN(100,
  CR49*15
  + CS49*6
  + CT49*3
  + IFERROR(_xlfn.XLOOKUP(CW49,'Lookup Tables'!$M$21:$M$25,'Lookup Tables'!$N$21:$N$25,0),0)
)</f>
        <v/>
      </c>
      <c r="CV49" s="3">
        <f>IFERROR(
CHOOSE(
MATCH("FAIL",CJ49:CQ49,0),
"1-Specificity","2-Metric","3-Baseline","4-Target",
"5-Time Horizon","6-Scope","7-Verification","8-Consistency"
),
IFERROR(
CHOOSE(
MATCH("PARTIAL",CJ49:CQ49,0),
"1-Specificity","2-Metric","3-Baseline","4-Target",
"5-Time Horizon","6-Scope","7-Verification","8-Consistency"
),
"No failures"
)
)</f>
        <v/>
      </c>
      <c r="CW49" s="3" t="n"/>
      <c r="CX49" s="3" t="n"/>
      <c r="CY49" s="3" t="n"/>
      <c r="CZ49" s="3" t="n"/>
      <c r="DA49" s="3">
        <f>IF(OR(CU49&gt;=50,CW49="Material",CW49="Severe",AS49="Material",AS49="Severe",BF49="Material",BF49="Severe — Exclusion Trigger",AND(ISNUMBER(BS49),BS49&lt;30)),"Yes","No")</f>
        <v/>
      </c>
      <c r="DB49" s="3">
        <f>IF(OR(CR49&gt;=6,AW49="Confirmed Violation",AX49="Confirmed Breach"),"Yes — Automatic",IF(CW49="Severe","Yes — Requires Captain Confirmation","No"))</f>
        <v/>
      </c>
      <c r="DC49" s="3" t="n"/>
      <c r="DD49" s="3" t="n"/>
      <c r="DE49" s="3" t="n"/>
      <c r="DF49" s="3" t="n"/>
      <c r="DG49" s="3" t="n"/>
      <c r="DH49" s="3" t="n"/>
      <c r="DI49" s="3" t="n"/>
      <c r="DJ49" s="3" t="n"/>
      <c r="DK49" s="3" t="n"/>
      <c r="DL49" s="3">
        <f>IF(OR(IFERROR(VALUE(LEFT(DF49,1)),99)&lt;=2,IFERROR(VALUE(LEFT(DG49,1)),99)&lt;=2),"Flagged","Clear")</f>
        <v/>
      </c>
      <c r="DM49" s="3">
        <f>IF(OR(DA49="Yes",DB49&lt;&gt;"No",DH49="Unverified",DL49="Flagged"),"Yes","No")</f>
        <v/>
      </c>
      <c r="DN49" s="3">
        <f t="array" ref="DN49">MIN(100,
  IF(ISNUMBER(V49), _xlfn.IFS(V49&gt;=3,25, V49=2,15, V49=1,5, TRUE,0), 0)
  + IFERROR(_xlfn.IFS(VALUE(LEFT(DF49,1))=5,25, VALUE(LEFT(DF49,1))=4,20, VALUE(LEFT(DF49,1))=3,15, VALUE(LEFT(DF49,1))=2,8, TRUE,0), 15)
  + IFERROR(_xlfn.IFS(VALUE(LEFT(DG49,1))=5,25, VALUE(LEFT(DG49,1))=4,20, VALUE(LEFT(DG49,1))=3,15, VALUE(LEFT(DG49,1))=2,8, TRUE,0), 15)
  + _xlfn.IFS(DH49="Fully Verified",25, DH49="Partially Verified",12, TRUE,0)
)</f>
        <v/>
      </c>
      <c r="DO49" s="3">
        <f t="array" ref="DO49">_xlfn.IFS(
  ISBLANK(AR49), "Insufficient Evidence",
  AND(AR49&gt;=65, AJ49="Approved"), "Strong",
  AR49&gt;=65, "Adequate",
  AR49&gt;=40, "Adequate",
  AR49&gt;=20, "Weak",
  TRUE, "Insufficient Evidence"
)</f>
        <v/>
      </c>
      <c r="DP49" s="3">
        <f t="array" ref="DP49">_xlfn.IFS(
  ISBLANK(BS49), "Insufficient Evidence",
  BS49&gt;=65, "Strong",
  BS49&gt;=40, "Adequate",
  BS49&gt;=20, "Weak",
  TRUE, "Insufficient Evidence"
)</f>
        <v/>
      </c>
      <c r="DQ49" s="3">
        <f t="array" ref="DQ49">_xlfn.IFS(
  ISBLANK(BE49), "Insufficient Evidence",
  OR(AW49="Confirmed Violation", AX49="Confirmed Breach"), "Severe — Hard Trigger",
  BE49&gt;=65, "Strong",
  BE49&gt;=40, "Adequate",
  BE49&gt;=20, "Weak",
  TRUE, "Insufficient Evidence"
)</f>
        <v/>
      </c>
      <c r="DR49" s="3">
        <f t="array" ref="DR49">_xlfn.IFS(
  ISBLANK(CU49), "Insufficient Evidence",
  CU49&lt;=20, "Low Risk",
  CU49&lt;=50, "Moderate Risk",
  CU49&lt;=75, "High Risk",
  TRUE, "Very High Risk"
)</f>
        <v/>
      </c>
      <c r="DS49" s="3">
        <f t="array" ref="DS49">_xlfn.IFS(
  ISBLANK(CE49), "Insufficient Evidence",
  AND(ISNUMBER(BW49),ISNUMBER(BV49),BW49&gt;BV49), "Overclaiming Risk",
  CE49&gt;=65, "Strong",
  CE49&gt;=40, "Adequate",
  TRUE, "Weak"
)</f>
        <v/>
      </c>
      <c r="DT49" s="3">
        <f>IF(DB49="Yes — Automatic",0,ROUND((IF(ISNUMBER(AR49),AR49,0)*0.3+IF(ISNUMBER(BS49),BS49,0)*0.2+IF(ISNUMBER(BE49),BE49,0)*0.2+IF(ISNUMBER(CE49),CE49,0)*0.15+(100-IF(ISNUMBER(CU49),CU49,50))*0.15)*IF(DN49&gt;=75,1,IF(DN49&gt;=50,0.9,IF(DN49&gt;=25,0.75,0.6))),1))</f>
        <v/>
      </c>
      <c r="DU49" s="3">
        <f t="array" ref="DU49">_xlfn.IFS(
  DV49="Upgraded to Clear", "Clear",
  DV49="Downgraded to Watchlist", "Watchlist",
  DV49="Downgraded to Exclusion", "Exclusion Risk",
  DB49="Yes — Automatic", "Exclusion Risk",
  OR(AW49="Confirmed Violation", AX49="Confirmed Breach"), "Exclusion Risk",
  OR(V49=0, ISBLANK(V49), DN49&lt;20), "Insufficient Evidence",
  AND(DT49&gt;=65, DA49="No", DB49="No"), "Clear",
  OR(DT49&gt;=40, DA49="Yes"), "Watchlist",
  TRUE, "Exclusion Risk"
)</f>
        <v/>
      </c>
      <c r="DV49" s="3" t="n"/>
      <c r="DW49" s="3">
        <f t="array" ref="DW49">_xlfn.IFS(
  DU49="Exclusion Risk", "Exclude — Hard Trigger",
  DU49="Insufficient Evidence", "Watchlist — Further Evidence Needed",
  DU49="Watchlist", "Watchlist — Further Evidence Needed",
  AND(DU49="Clear", DT49&gt;=80), "Include — No Conditions",
  DU49="Clear", "Include — Monitor",
  TRUE, "Watchlist — Further Evidence Needed"
)</f>
        <v/>
      </c>
      <c r="DX49" s="3" t="n"/>
      <c r="DY49" s="3" t="n"/>
      <c r="DZ49" s="3" t="n"/>
      <c r="EA49" s="3" t="n"/>
      <c r="EB49" s="3">
        <f>IF(OR(V49=0, ISBLANK(V49)), "MISSING — No sources reviewed", "")</f>
        <v/>
      </c>
      <c r="EC49" s="3">
        <f>IF(AND(NOT(ISBLANK(DC49)), ISBLANK(DE49)), "PAGE REF MISSING", "")</f>
        <v/>
      </c>
    </row>
    <row r="50" ht="18" customHeight="1" s="60">
      <c r="A50" s="5" t="inlineStr">
        <is>
          <t>Halma PLC</t>
        </is>
      </c>
      <c r="B50" s="5" t="inlineStr">
        <is>
          <t>H11</t>
        </is>
      </c>
      <c r="C50" s="5">
        <f>IF(ISBLANK('Universe Tracker'!D46),"",'Universe Tracker'!D46)</f>
        <v/>
      </c>
      <c r="D50" s="5" t="n"/>
      <c r="E50" s="5" t="n"/>
      <c r="F50" s="5">
        <f>IF(ISBLANK('Universe Tracker'!F46),"",'Universe Tracker'!F46)</f>
        <v/>
      </c>
      <c r="G50" s="5">
        <f>IF(ISBLANK('Universe Tracker'!G46),"",'Universe Tracker'!G46)</f>
        <v/>
      </c>
      <c r="H50" s="5" t="n"/>
      <c r="I50" s="5" t="n"/>
      <c r="J50" s="5">
        <f>IF(ISBLANK(B50),"",B50&amp;"_"&amp;C50)</f>
        <v/>
      </c>
      <c r="K50" s="5" t="n"/>
      <c r="L50" s="5" t="n"/>
      <c r="M50" s="5" t="n"/>
      <c r="N50" s="5" t="n"/>
      <c r="O50" s="5" t="n"/>
      <c r="P50" s="5" t="n"/>
      <c r="Q50" s="5" t="n"/>
      <c r="R50" s="5" t="n"/>
      <c r="S50" s="5" t="n"/>
      <c r="T50" s="5" t="n"/>
      <c r="U50" s="5" t="n"/>
      <c r="V50" s="5" t="n"/>
      <c r="W50" s="5" t="n"/>
      <c r="X50" s="5" t="n"/>
      <c r="Y50" s="5">
        <f>IF(AND(V50&gt;=2,K50="Yes",L50="Yes"),"Sufficient",IF(AND(V50&gt;=1,OR(K50="Yes",L50="Yes")),"Thin","Insufficient"))</f>
        <v/>
      </c>
      <c r="Z50" s="5" t="n"/>
      <c r="AA50" s="5" t="n"/>
      <c r="AB50" s="5" t="n"/>
      <c r="AC50" s="5" t="n"/>
      <c r="AD50" s="5" t="n"/>
      <c r="AE50" s="5" t="n"/>
      <c r="AF50" s="5" t="n"/>
      <c r="AG50" s="5" t="n"/>
      <c r="AH50" s="5" t="n"/>
      <c r="AI50" s="5" t="n"/>
      <c r="AJ50" s="5" t="n"/>
      <c r="AK50" s="5" t="n"/>
      <c r="AL50" s="5" t="n"/>
      <c r="AM50" s="5" t="n"/>
      <c r="AN50" s="5" t="n"/>
      <c r="AO50" s="5" t="n"/>
      <c r="AP50" s="5" t="n"/>
      <c r="AQ50" s="5" t="n"/>
      <c r="AR50" s="40">
        <f t="array" ref="AR50">MIN(100, MAX(0,
  IFERROR(_xlfn.XLOOKUP(AJ50,'Lookup Tables'!$A$2:$A$7,'Lookup Tables'!$B$2:$B$7,0),0)
  + IF(Z50="Yes", IF(IFERROR(_xlfn.XLOOKUP(AJ50,'Lookup Tables'!$A$2:$A$7,'Lookup Tables'!$B$2:$B$7,0),0)&lt;20, 5, 0), 0)
  + _xlfn.IFS(AB50="Yes", IF(ISNUMBER(AC50)*AND(AC50&lt;=2030),15,10), AB50="Long-term Only", 5, AB50="No", 0, TRUE, 0)
  + _xlfn.IFS(AF50="Full",10, AF50="Partial",5, AF50="Scope 2 Only",3, TRUE,0)
  + _xlfn.IFS(AG50="Yes", IF(ISNUMBER(AH50)*AND(AH50&gt;=5),10,6), AG50="Partial",4, TRUE,0)
  + _xlfn.IFS(AI50="Yes",5, AI50="Partial (material categories only)",3, TRUE,0)
  + _xlfn.IFS(AL50="Yes — Detailed",10, AL50="Yes — High Level",5, TRUE,0)
  + _xlfn.IFS(AM50="Yes — Quantified",15, AM50="Yes — Directional Only",7, TRUE,0)
  + _xlfn.IFS(AP50="Formal",5, AP50="Referenced",2, TRUE,0)
  + _xlfn.IFS(AQ50="No Issues Found",5, AQ50="Concern Identified",-5, AQ50="Severe Contradiction",-15, TRUE,0)
  + _xlfn.IFS(BC50="Reasonable Assurance",5, BC50="Limited Assurance",3, TRUE,0)
  - IF(AND(Z50="Yes", AI50="No"), 10, 0)
  - IF(AND(Z50="Yes", AM50="No"), 10, 0)
))</f>
        <v/>
      </c>
      <c r="AS50" s="5" t="n"/>
      <c r="AT50" s="5" t="n"/>
      <c r="AU50" s="5" t="n"/>
      <c r="AV50" s="5" t="n"/>
      <c r="AW50" s="5" t="n"/>
      <c r="AX50" s="5" t="n"/>
      <c r="AY50" s="5" t="n"/>
      <c r="AZ50" s="5" t="n"/>
      <c r="BA50" s="5" t="n"/>
      <c r="BB50" s="5" t="n"/>
      <c r="BC50" s="5" t="n"/>
      <c r="BD50" s="5" t="n"/>
      <c r="BE50" s="39">
        <f t="array" ref="BE50">MIN(100, MAX(0,
  IFERROR(_xlfn.XLOOKUP(AT50,'Lookup Tables'!$D$2:$D$6,'Lookup Tables'!$E$2:$E$6,0),0)
  + IFERROR(_xlfn.XLOOKUP(AV50,'Lookup Tables'!$G$2:$G$5,'Lookup Tables'!$H$2:$H$5,0),0)
  + IFERROR(_xlfn.XLOOKUP(AW50,'Lookup Tables'!$J$2:$J$5,'Lookup Tables'!$K$2:$K$5,0),0)
  + _xlfn.IFS(AX50="No Issues",10, AX50="Complaint Filed",3, AX50="Confirmed Breach",-15, TRUE,0)
  + IFERROR(_xlfn.XLOOKUP(AY50,'Lookup Tables'!$M$2:$M$6,'Lookup Tables'!$N$2:$N$6,0),0)
  + IFERROR(_xlfn.XLOOKUP(AZ50,'Lookup Tables'!$P$2:$P$6,'Lookup Tables'!$Q$2:$Q$6,0),0)
  + _xlfn.IFS(BA50="Formal Board Committee",5, BA50="Board Oversight Mentioned",2, TRUE,0)
  + _xlfn.IFS(BB50="Yes — Quantified Targets",5, BB50="Yes — Discretionary Only",2, TRUE,0)
  + _xlfn.IFS(BC50="Reasonable Assurance",5, BC50="Limited Assurance",3, BC50="Management Review Only",1, TRUE,0)
))</f>
        <v/>
      </c>
      <c r="BF50" s="5" t="n"/>
      <c r="BG50" s="5" t="n"/>
      <c r="BH50" s="5" t="n"/>
      <c r="BI50" s="5" t="n"/>
      <c r="BJ50" s="5" t="n"/>
      <c r="BK50" s="5" t="n"/>
      <c r="BL50" s="5" t="n"/>
      <c r="BM50" s="5" t="n"/>
      <c r="BN50" s="5" t="n"/>
      <c r="BO50" s="5" t="n"/>
      <c r="BP50" s="5" t="n"/>
      <c r="BQ50" s="5" t="n"/>
      <c r="BR50" s="5" t="n"/>
      <c r="BS50" s="41">
        <f t="array" ref="BS50">MIN(100, MAX(0,
  IFERROR(_xlfn.XLOOKUP(BG50,'Lookup Tables'!$A$11:$A$16,'Lookup Tables'!$B$11:$B$16,0),0)
  + IFERROR(_xlfn.XLOOKUP(BR50,'Lookup Tables'!$M$11:$M$14,'Lookup Tables'!$N$11:$N$14,0),0)
  + IFERROR(_xlfn.XLOOKUP(BQ50,'Lookup Tables'!$J$11:$J$15,'Lookup Tables'!$K$11:$K$15,0),0)
  + IFERROR(_xlfn.XLOOKUP(BH50,'Lookup Tables'!$D$11:$D$15,'Lookup Tables'!$E$11:$E$15,0),0)
  + IFERROR(_xlfn.XLOOKUP(BJ50,'Lookup Tables'!$G$11:$G$16,'Lookup Tables'!$H$11:$H$16,0),0)
  + IFERROR(_xlfn.XLOOKUP(BN50,'Lookup Tables'!$P$11:$P$15,'Lookup Tables'!$Q$11:$Q$15,0),0)
  + _xlfn.IFS(BM50="No Evidence",10, BM50="Unknown",3, BM50="Likely",0, BM50="Confirmed",-10, TRUE,3)
  + IFERROR(_xlfn.XLOOKUP(BP50,'Lookup Tables'!$J$21:$J$24,'Lookup Tables'!$K$21:$K$24,0),0)
))</f>
        <v/>
      </c>
      <c r="BT50" s="5" t="n"/>
      <c r="BU50" s="5" t="n"/>
      <c r="BV50" s="5" t="n"/>
      <c r="BW50" s="5" t="n"/>
      <c r="BX50" s="5" t="n"/>
      <c r="BY50" s="5" t="n"/>
      <c r="BZ50" s="5" t="n"/>
      <c r="CA50" s="5" t="n"/>
      <c r="CB50" s="5" t="n"/>
      <c r="CC50" s="5" t="n"/>
      <c r="CD50" s="5" t="n"/>
      <c r="CE50" s="43">
        <f t="array" ref="CE50">MIN(100, MAX(0,
  IF(ISNUMBER(BV50)*AND(BV50&gt;0), 10, 0)
  + _xlfn.IFS(BY50="Independently Verified",25, BY50="Yes",15, TRUE,0)
  + IFERROR(_xlfn.XLOOKUP(BZ50,'Lookup Tables'!$A$21:$A$24,'Lookup Tables'!$B$21:$B$24,0),0)
  + IFERROR(_xlfn.XLOOKUP(CA50,'Lookup Tables'!$D$21:$D$24,'Lookup Tables'!$E$21:$E$24,0),0)
  + _xlfn.IFS(ISNUMBER(CB50)*AND(CB50&gt;=11),15, ISNUMBER(CB50)*AND(CB50&gt;=6),10, ISNUMBER(CB50)*AND(CB50&gt;=1),5, TRUE,0)
  + IFERROR(_xlfn.XLOOKUP(CC50,'Lookup Tables'!$G$21:$G$25,'Lookup Tables'!$H$21:$H$25,0),0)
  - IF(ISNUMBER(BW50)*AND(ISNUMBER(BV50))*AND(BW50&gt;BV50), 20, 0)
  - IF(AND(BY50="Yes", ISNUMBER(BW50), BW50&gt;60), 10, 0)
))</f>
        <v/>
      </c>
      <c r="CF50" s="5" t="n"/>
      <c r="CG50" s="5" t="n"/>
      <c r="CH50" s="5" t="n"/>
      <c r="CI50" s="5" t="n"/>
      <c r="CJ50" s="5" t="n"/>
      <c r="CK50" s="5" t="n"/>
      <c r="CL50" s="5" t="n"/>
      <c r="CM50" s="5" t="n"/>
      <c r="CN50" s="5" t="n"/>
      <c r="CO50" s="5" t="n"/>
      <c r="CP50" s="5" t="n"/>
      <c r="CQ50" s="5" t="n"/>
      <c r="CR50" s="5">
        <f>COUNTIF(CJ50:CQ50,"FAIL")</f>
        <v/>
      </c>
      <c r="CS50" s="5">
        <f>COUNTIF(CJ50:CQ50,"PARTIAL")</f>
        <v/>
      </c>
      <c r="CT50" s="5">
        <f>COUNTIF(CJ50:CQ50,"MISSING")</f>
        <v/>
      </c>
      <c r="CU50" s="5">
        <f>MIN(100,
  CR50*15
  + CS50*6
  + CT50*3
  + IFERROR(_xlfn.XLOOKUP(CW50,'Lookup Tables'!$M$21:$M$25,'Lookup Tables'!$N$21:$N$25,0),0)
)</f>
        <v/>
      </c>
      <c r="CV50" s="5">
        <f>IFERROR(
CHOOSE(
MATCH("FAIL",CJ50:CQ50,0),
"1-Specificity","2-Metric","3-Baseline","4-Target",
"5-Time Horizon","6-Scope","7-Verification","8-Consistency"
),
IFERROR(
CHOOSE(
MATCH("PARTIAL",CJ50:CQ50,0),
"1-Specificity","2-Metric","3-Baseline","4-Target",
"5-Time Horizon","6-Scope","7-Verification","8-Consistency"
),
"No failures"
)
)</f>
        <v/>
      </c>
      <c r="CW50" s="5" t="n"/>
      <c r="CX50" s="5" t="n"/>
      <c r="CY50" s="5" t="n"/>
      <c r="CZ50" s="5" t="n"/>
      <c r="DA50" s="5">
        <f>IF(OR(CU50&gt;=50,CW50="Material",CW50="Severe",AS50="Material",AS50="Severe",BF50="Material",BF50="Severe — Exclusion Trigger",AND(ISNUMBER(BS50),BS50&lt;30)),"Yes","No")</f>
        <v/>
      </c>
      <c r="DB50" s="5">
        <f>IF(OR(CR50&gt;=6,AW50="Confirmed Violation",AX50="Confirmed Breach"),"Yes — Automatic",IF(CW50="Severe","Yes — Requires Captain Confirmation","No"))</f>
        <v/>
      </c>
      <c r="DC50" s="5" t="n"/>
      <c r="DD50" s="5" t="n"/>
      <c r="DE50" s="5" t="n"/>
      <c r="DF50" s="5" t="n"/>
      <c r="DG50" s="5" t="n"/>
      <c r="DH50" s="5" t="n"/>
      <c r="DI50" s="5" t="n"/>
      <c r="DJ50" s="5" t="n"/>
      <c r="DK50" s="5" t="n"/>
      <c r="DL50" s="5">
        <f>IF(OR(IFERROR(VALUE(LEFT(DF50,1)),99)&lt;=2,IFERROR(VALUE(LEFT(DG50,1)),99)&lt;=2),"Flagged","Clear")</f>
        <v/>
      </c>
      <c r="DM50" s="5">
        <f>IF(OR(DA50="Yes",DB50&lt;&gt;"No",DH50="Unverified",DL50="Flagged"),"Yes","No")</f>
        <v/>
      </c>
      <c r="DN50" s="5">
        <f t="array" ref="DN50">MIN(100,
  IF(ISNUMBER(V50), _xlfn.IFS(V50&gt;=3,25, V50=2,15, V50=1,5, TRUE,0), 0)
  + IFERROR(_xlfn.IFS(VALUE(LEFT(DF50,1))=5,25, VALUE(LEFT(DF50,1))=4,20, VALUE(LEFT(DF50,1))=3,15, VALUE(LEFT(DF50,1))=2,8, TRUE,0), 15)
  + IFERROR(_xlfn.IFS(VALUE(LEFT(DG50,1))=5,25, VALUE(LEFT(DG50,1))=4,20, VALUE(LEFT(DG50,1))=3,15, VALUE(LEFT(DG50,1))=2,8, TRUE,0), 15)
  + _xlfn.IFS(DH50="Fully Verified",25, DH50="Partially Verified",12, TRUE,0)
)</f>
        <v/>
      </c>
      <c r="DO50" s="5">
        <f t="array" ref="DO50">_xlfn.IFS(
  ISBLANK(AR50), "Insufficient Evidence",
  AND(AR50&gt;=65, AJ50="Approved"), "Strong",
  AR50&gt;=65, "Adequate",
  AR50&gt;=40, "Adequate",
  AR50&gt;=20, "Weak",
  TRUE, "Insufficient Evidence"
)</f>
        <v/>
      </c>
      <c r="DP50" s="5">
        <f t="array" ref="DP50">_xlfn.IFS(
  ISBLANK(BS50), "Insufficient Evidence",
  BS50&gt;=65, "Strong",
  BS50&gt;=40, "Adequate",
  BS50&gt;=20, "Weak",
  TRUE, "Insufficient Evidence"
)</f>
        <v/>
      </c>
      <c r="DQ50" s="5">
        <f t="array" ref="DQ50">_xlfn.IFS(
  ISBLANK(BE50), "Insufficient Evidence",
  OR(AW50="Confirmed Violation", AX50="Confirmed Breach"), "Severe — Hard Trigger",
  BE50&gt;=65, "Strong",
  BE50&gt;=40, "Adequate",
  BE50&gt;=20, "Weak",
  TRUE, "Insufficient Evidence"
)</f>
        <v/>
      </c>
      <c r="DR50" s="5">
        <f t="array" ref="DR50">_xlfn.IFS(
  ISBLANK(CU50), "Insufficient Evidence",
  CU50&lt;=20, "Low Risk",
  CU50&lt;=50, "Moderate Risk",
  CU50&lt;=75, "High Risk",
  TRUE, "Very High Risk"
)</f>
        <v/>
      </c>
      <c r="DS50" s="5">
        <f t="array" ref="DS50">_xlfn.IFS(
  ISBLANK(CE50), "Insufficient Evidence",
  AND(ISNUMBER(BW50),ISNUMBER(BV50),BW50&gt;BV50), "Overclaiming Risk",
  CE50&gt;=65, "Strong",
  CE50&gt;=40, "Adequate",
  TRUE, "Weak"
)</f>
        <v/>
      </c>
      <c r="DT50" s="5">
        <f>IF(DB50="Yes — Automatic",0,ROUND((IF(ISNUMBER(AR50),AR50,0)*0.3+IF(ISNUMBER(BS50),BS50,0)*0.2+IF(ISNUMBER(BE50),BE50,0)*0.2+IF(ISNUMBER(CE50),CE50,0)*0.15+(100-IF(ISNUMBER(CU50),CU50,50))*0.15)*IF(DN50&gt;=75,1,IF(DN50&gt;=50,0.9,IF(DN50&gt;=25,0.75,0.6))),1))</f>
        <v/>
      </c>
      <c r="DU50" s="5">
        <f t="array" ref="DU50">_xlfn.IFS(
  DV50="Upgraded to Clear", "Clear",
  DV50="Downgraded to Watchlist", "Watchlist",
  DV50="Downgraded to Exclusion", "Exclusion Risk",
  DB50="Yes — Automatic", "Exclusion Risk",
  OR(AW50="Confirmed Violation", AX50="Confirmed Breach"), "Exclusion Risk",
  OR(V50=0, ISBLANK(V50), DN50&lt;20), "Insufficient Evidence",
  AND(DT50&gt;=65, DA50="No", DB50="No"), "Clear",
  OR(DT50&gt;=40, DA50="Yes"), "Watchlist",
  TRUE, "Exclusion Risk"
)</f>
        <v/>
      </c>
      <c r="DV50" s="5" t="n"/>
      <c r="DW50" s="5">
        <f t="array" ref="DW50">_xlfn.IFS(
  DU50="Exclusion Risk", "Exclude — Hard Trigger",
  DU50="Insufficient Evidence", "Watchlist — Further Evidence Needed",
  DU50="Watchlist", "Watchlist — Further Evidence Needed",
  AND(DU50="Clear", DT50&gt;=80), "Include — No Conditions",
  DU50="Clear", "Include — Monitor",
  TRUE, "Watchlist — Further Evidence Needed"
)</f>
        <v/>
      </c>
      <c r="DX50" s="5" t="n"/>
      <c r="DY50" s="5" t="n"/>
      <c r="DZ50" s="5" t="n"/>
      <c r="EA50" s="5" t="n"/>
      <c r="EB50" s="5">
        <f>IF(OR(V50=0, ISBLANK(V50)), "MISSING — No sources reviewed", "")</f>
        <v/>
      </c>
      <c r="EC50" s="5">
        <f>IF(AND(NOT(ISBLANK(DC50)), ISBLANK(DE50)), "PAGE REF MISSING", "")</f>
        <v/>
      </c>
    </row>
    <row r="51" ht="18" customHeight="1" s="60">
      <c r="A51" s="3" t="inlineStr">
        <is>
          <t>OMV AG</t>
        </is>
      </c>
      <c r="B51" s="3" t="inlineStr">
        <is>
          <t>OMV</t>
        </is>
      </c>
      <c r="C51" s="3">
        <f>IF(ISBLANK('Universe Tracker'!D47),"",'Universe Tracker'!D47)</f>
        <v/>
      </c>
      <c r="D51" s="3" t="n"/>
      <c r="E51" s="3" t="n"/>
      <c r="F51" s="3">
        <f>IF(ISBLANK('Universe Tracker'!F47),"",'Universe Tracker'!F47)</f>
        <v/>
      </c>
      <c r="G51" s="3">
        <f>IF(ISBLANK('Universe Tracker'!G47),"",'Universe Tracker'!G47)</f>
        <v/>
      </c>
      <c r="H51" s="3" t="n"/>
      <c r="I51" s="3" t="n"/>
      <c r="J51" s="3">
        <f>IF(ISBLANK(B51),"",B51&amp;"_"&amp;C51)</f>
        <v/>
      </c>
      <c r="K51" s="3" t="n"/>
      <c r="L51" s="3" t="n"/>
      <c r="M51" s="3" t="n"/>
      <c r="N51" s="3" t="n"/>
      <c r="O51" s="3" t="n"/>
      <c r="P51" s="3" t="n"/>
      <c r="Q51" s="3" t="n"/>
      <c r="R51" s="3" t="n"/>
      <c r="S51" s="3" t="n"/>
      <c r="T51" s="3" t="n"/>
      <c r="U51" s="3" t="n"/>
      <c r="V51" s="3" t="n"/>
      <c r="W51" s="3" t="n"/>
      <c r="X51" s="3" t="n"/>
      <c r="Y51" s="3">
        <f>IF(AND(V51&gt;=2,K51="Yes",L51="Yes"),"Sufficient",IF(AND(V51&gt;=1,OR(K51="Yes",L51="Yes")),"Thin","Insufficient"))</f>
        <v/>
      </c>
      <c r="Z51" s="3" t="n"/>
      <c r="AA51" s="3" t="n"/>
      <c r="AB51" s="3" t="n"/>
      <c r="AC51" s="3" t="n"/>
      <c r="AD51" s="3" t="n"/>
      <c r="AE51" s="3" t="n"/>
      <c r="AF51" s="3" t="n"/>
      <c r="AG51" s="3" t="n"/>
      <c r="AH51" s="3" t="n"/>
      <c r="AI51" s="3" t="n"/>
      <c r="AJ51" s="3" t="n"/>
      <c r="AK51" s="3" t="n"/>
      <c r="AL51" s="3" t="n"/>
      <c r="AM51" s="3" t="n"/>
      <c r="AN51" s="3" t="n"/>
      <c r="AO51" s="3" t="n"/>
      <c r="AP51" s="3" t="n"/>
      <c r="AQ51" s="3" t="n"/>
      <c r="AR51" s="40">
        <f t="array" ref="AR51">MIN(100, MAX(0,
  IFERROR(_xlfn.XLOOKUP(AJ51,'Lookup Tables'!$A$2:$A$7,'Lookup Tables'!$B$2:$B$7,0),0)
  + IF(Z51="Yes", IF(IFERROR(_xlfn.XLOOKUP(AJ51,'Lookup Tables'!$A$2:$A$7,'Lookup Tables'!$B$2:$B$7,0),0)&lt;20, 5, 0), 0)
  + _xlfn.IFS(AB51="Yes", IF(ISNUMBER(AC51)*AND(AC51&lt;=2030),15,10), AB51="Long-term Only", 5, AB51="No", 0, TRUE, 0)
  + _xlfn.IFS(AF51="Full",10, AF51="Partial",5, AF51="Scope 2 Only",3, TRUE,0)
  + _xlfn.IFS(AG51="Yes", IF(ISNUMBER(AH51)*AND(AH51&gt;=5),10,6), AG51="Partial",4, TRUE,0)
  + _xlfn.IFS(AI51="Yes",5, AI51="Partial (material categories only)",3, TRUE,0)
  + _xlfn.IFS(AL51="Yes — Detailed",10, AL51="Yes — High Level",5, TRUE,0)
  + _xlfn.IFS(AM51="Yes — Quantified",15, AM51="Yes — Directional Only",7, TRUE,0)
  + _xlfn.IFS(AP51="Formal",5, AP51="Referenced",2, TRUE,0)
  + _xlfn.IFS(AQ51="No Issues Found",5, AQ51="Concern Identified",-5, AQ51="Severe Contradiction",-15, TRUE,0)
  + _xlfn.IFS(BC51="Reasonable Assurance",5, BC51="Limited Assurance",3, TRUE,0)
  - IF(AND(Z51="Yes", AI51="No"), 10, 0)
  - IF(AND(Z51="Yes", AM51="No"), 10, 0)
))</f>
        <v/>
      </c>
      <c r="AS51" s="3" t="n"/>
      <c r="AT51" s="3" t="n"/>
      <c r="AU51" s="3" t="n"/>
      <c r="AV51" s="3" t="n"/>
      <c r="AW51" s="3" t="n"/>
      <c r="AX51" s="3" t="n"/>
      <c r="AY51" s="3" t="n"/>
      <c r="AZ51" s="3" t="n"/>
      <c r="BA51" s="3" t="n"/>
      <c r="BB51" s="3" t="n"/>
      <c r="BC51" s="3" t="n"/>
      <c r="BD51" s="3" t="n"/>
      <c r="BE51" s="40">
        <f t="array" ref="BE51">MIN(100, MAX(0,
  IFERROR(_xlfn.XLOOKUP(AT51,'Lookup Tables'!$D$2:$D$6,'Lookup Tables'!$E$2:$E$6,0),0)
  + IFERROR(_xlfn.XLOOKUP(AV51,'Lookup Tables'!$G$2:$G$5,'Lookup Tables'!$H$2:$H$5,0),0)
  + IFERROR(_xlfn.XLOOKUP(AW51,'Lookup Tables'!$J$2:$J$5,'Lookup Tables'!$K$2:$K$5,0),0)
  + _xlfn.IFS(AX51="No Issues",10, AX51="Complaint Filed",3, AX51="Confirmed Breach",-15, TRUE,0)
  + IFERROR(_xlfn.XLOOKUP(AY51,'Lookup Tables'!$M$2:$M$6,'Lookup Tables'!$N$2:$N$6,0),0)
  + IFERROR(_xlfn.XLOOKUP(AZ51,'Lookup Tables'!$P$2:$P$6,'Lookup Tables'!$Q$2:$Q$6,0),0)
  + _xlfn.IFS(BA51="Formal Board Committee",5, BA51="Board Oversight Mentioned",2, TRUE,0)
  + _xlfn.IFS(BB51="Yes — Quantified Targets",5, BB51="Yes — Discretionary Only",2, TRUE,0)
  + _xlfn.IFS(BC51="Reasonable Assurance",5, BC51="Limited Assurance",3, BC51="Management Review Only",1, TRUE,0)
))</f>
        <v/>
      </c>
      <c r="BF51" s="3" t="n"/>
      <c r="BG51" s="3" t="n"/>
      <c r="BH51" s="3" t="n"/>
      <c r="BI51" s="3" t="n"/>
      <c r="BJ51" s="3" t="n"/>
      <c r="BK51" s="3" t="n"/>
      <c r="BL51" s="3" t="n"/>
      <c r="BM51" s="3" t="n"/>
      <c r="BN51" s="3" t="n"/>
      <c r="BO51" s="3" t="n"/>
      <c r="BP51" s="3" t="n"/>
      <c r="BQ51" s="3" t="n"/>
      <c r="BR51" s="3" t="n"/>
      <c r="BS51" s="42">
        <f t="array" ref="BS51">MIN(100, MAX(0,
  IFERROR(_xlfn.XLOOKUP(BG51,'Lookup Tables'!$A$11:$A$16,'Lookup Tables'!$B$11:$B$16,0),0)
  + IFERROR(_xlfn.XLOOKUP(BR51,'Lookup Tables'!$M$11:$M$14,'Lookup Tables'!$N$11:$N$14,0),0)
  + IFERROR(_xlfn.XLOOKUP(BQ51,'Lookup Tables'!$J$11:$J$15,'Lookup Tables'!$K$11:$K$15,0),0)
  + IFERROR(_xlfn.XLOOKUP(BH51,'Lookup Tables'!$D$11:$D$15,'Lookup Tables'!$E$11:$E$15,0),0)
  + IFERROR(_xlfn.XLOOKUP(BJ51,'Lookup Tables'!$G$11:$G$16,'Lookup Tables'!$H$11:$H$16,0),0)
  + IFERROR(_xlfn.XLOOKUP(BN51,'Lookup Tables'!$P$11:$P$15,'Lookup Tables'!$Q$11:$Q$15,0),0)
  + _xlfn.IFS(BM51="No Evidence",10, BM51="Unknown",3, BM51="Likely",0, BM51="Confirmed",-10, TRUE,3)
  + IFERROR(_xlfn.XLOOKUP(BP51,'Lookup Tables'!$J$21:$J$24,'Lookup Tables'!$K$21:$K$24,0),0)
))</f>
        <v/>
      </c>
      <c r="BT51" s="3" t="n"/>
      <c r="BU51" s="3" t="n"/>
      <c r="BV51" s="3" t="n"/>
      <c r="BW51" s="3" t="n"/>
      <c r="BX51" s="3" t="n"/>
      <c r="BY51" s="3" t="n"/>
      <c r="BZ51" s="3" t="n"/>
      <c r="CA51" s="3" t="n"/>
      <c r="CB51" s="3" t="n"/>
      <c r="CC51" s="3" t="n"/>
      <c r="CD51" s="3" t="n"/>
      <c r="CE51" s="44">
        <f t="array" ref="CE51">MIN(100, MAX(0,
  IF(ISNUMBER(BV51)*AND(BV51&gt;0), 10, 0)
  + _xlfn.IFS(BY51="Independently Verified",25, BY51="Yes",15, TRUE,0)
  + IFERROR(_xlfn.XLOOKUP(BZ51,'Lookup Tables'!$A$21:$A$24,'Lookup Tables'!$B$21:$B$24,0),0)
  + IFERROR(_xlfn.XLOOKUP(CA51,'Lookup Tables'!$D$21:$D$24,'Lookup Tables'!$E$21:$E$24,0),0)
  + _xlfn.IFS(ISNUMBER(CB51)*AND(CB51&gt;=11),15, ISNUMBER(CB51)*AND(CB51&gt;=6),10, ISNUMBER(CB51)*AND(CB51&gt;=1),5, TRUE,0)
  + IFERROR(_xlfn.XLOOKUP(CC51,'Lookup Tables'!$G$21:$G$25,'Lookup Tables'!$H$21:$H$25,0),0)
  - IF(ISNUMBER(BW51)*AND(ISNUMBER(BV51))*AND(BW51&gt;BV51), 20, 0)
  - IF(AND(BY51="Yes", ISNUMBER(BW51), BW51&gt;60), 10, 0)
))</f>
        <v/>
      </c>
      <c r="CF51" s="3" t="n"/>
      <c r="CG51" s="3" t="n"/>
      <c r="CH51" s="3" t="n"/>
      <c r="CI51" s="3" t="n"/>
      <c r="CJ51" s="3" t="n"/>
      <c r="CK51" s="3" t="n"/>
      <c r="CL51" s="3" t="n"/>
      <c r="CM51" s="3" t="n"/>
      <c r="CN51" s="3" t="n"/>
      <c r="CO51" s="3" t="n"/>
      <c r="CP51" s="3" t="n"/>
      <c r="CQ51" s="3" t="n"/>
      <c r="CR51" s="3">
        <f>COUNTIF(CJ51:CQ51,"FAIL")</f>
        <v/>
      </c>
      <c r="CS51" s="3">
        <f>COUNTIF(CJ51:CQ51,"PARTIAL")</f>
        <v/>
      </c>
      <c r="CT51" s="3">
        <f>COUNTIF(CJ51:CQ51,"MISSING")</f>
        <v/>
      </c>
      <c r="CU51" s="3">
        <f>MIN(100,
  CR51*15
  + CS51*6
  + CT51*3
  + IFERROR(_xlfn.XLOOKUP(CW51,'Lookup Tables'!$M$21:$M$25,'Lookup Tables'!$N$21:$N$25,0),0)
)</f>
        <v/>
      </c>
      <c r="CV51" s="3">
        <f>IFERROR(
CHOOSE(
MATCH("FAIL",CJ51:CQ51,0),
"1-Specificity","2-Metric","3-Baseline","4-Target",
"5-Time Horizon","6-Scope","7-Verification","8-Consistency"
),
IFERROR(
CHOOSE(
MATCH("PARTIAL",CJ51:CQ51,0),
"1-Specificity","2-Metric","3-Baseline","4-Target",
"5-Time Horizon","6-Scope","7-Verification","8-Consistency"
),
"No failures"
)
)</f>
        <v/>
      </c>
      <c r="CW51" s="3" t="n"/>
      <c r="CX51" s="3" t="n"/>
      <c r="CY51" s="3" t="n"/>
      <c r="CZ51" s="3" t="n"/>
      <c r="DA51" s="3">
        <f>IF(OR(CU51&gt;=50,CW51="Material",CW51="Severe",AS51="Material",AS51="Severe",BF51="Material",BF51="Severe — Exclusion Trigger",AND(ISNUMBER(BS51),BS51&lt;30)),"Yes","No")</f>
        <v/>
      </c>
      <c r="DB51" s="3">
        <f>IF(OR(CR51&gt;=6,AW51="Confirmed Violation",AX51="Confirmed Breach"),"Yes — Automatic",IF(CW51="Severe","Yes — Requires Captain Confirmation","No"))</f>
        <v/>
      </c>
      <c r="DC51" s="3" t="n"/>
      <c r="DD51" s="3" t="n"/>
      <c r="DE51" s="3" t="n"/>
      <c r="DF51" s="3" t="n"/>
      <c r="DG51" s="3" t="n"/>
      <c r="DH51" s="3" t="n"/>
      <c r="DI51" s="3" t="n"/>
      <c r="DJ51" s="3" t="n"/>
      <c r="DK51" s="3" t="n"/>
      <c r="DL51" s="3">
        <f>IF(OR(IFERROR(VALUE(LEFT(DF51,1)),99)&lt;=2,IFERROR(VALUE(LEFT(DG51,1)),99)&lt;=2),"Flagged","Clear")</f>
        <v/>
      </c>
      <c r="DM51" s="3">
        <f>IF(OR(DA51="Yes",DB51&lt;&gt;"No",DH51="Unverified",DL51="Flagged"),"Yes","No")</f>
        <v/>
      </c>
      <c r="DN51" s="3">
        <f t="array" ref="DN51">MIN(100,
  IF(ISNUMBER(V51), _xlfn.IFS(V51&gt;=3,25, V51=2,15, V51=1,5, TRUE,0), 0)
  + IFERROR(_xlfn.IFS(VALUE(LEFT(DF51,1))=5,25, VALUE(LEFT(DF51,1))=4,20, VALUE(LEFT(DF51,1))=3,15, VALUE(LEFT(DF51,1))=2,8, TRUE,0), 15)
  + IFERROR(_xlfn.IFS(VALUE(LEFT(DG51,1))=5,25, VALUE(LEFT(DG51,1))=4,20, VALUE(LEFT(DG51,1))=3,15, VALUE(LEFT(DG51,1))=2,8, TRUE,0), 15)
  + _xlfn.IFS(DH51="Fully Verified",25, DH51="Partially Verified",12, TRUE,0)
)</f>
        <v/>
      </c>
      <c r="DO51" s="3">
        <f t="array" ref="DO51">_xlfn.IFS(
  ISBLANK(AR51), "Insufficient Evidence",
  AND(AR51&gt;=65, AJ51="Approved"), "Strong",
  AR51&gt;=65, "Adequate",
  AR51&gt;=40, "Adequate",
  AR51&gt;=20, "Weak",
  TRUE, "Insufficient Evidence"
)</f>
        <v/>
      </c>
      <c r="DP51" s="3">
        <f t="array" ref="DP51">_xlfn.IFS(
  ISBLANK(BS51), "Insufficient Evidence",
  BS51&gt;=65, "Strong",
  BS51&gt;=40, "Adequate",
  BS51&gt;=20, "Weak",
  TRUE, "Insufficient Evidence"
)</f>
        <v/>
      </c>
      <c r="DQ51" s="3">
        <f t="array" ref="DQ51">_xlfn.IFS(
  ISBLANK(BE51), "Insufficient Evidence",
  OR(AW51="Confirmed Violation", AX51="Confirmed Breach"), "Severe — Hard Trigger",
  BE51&gt;=65, "Strong",
  BE51&gt;=40, "Adequate",
  BE51&gt;=20, "Weak",
  TRUE, "Insufficient Evidence"
)</f>
        <v/>
      </c>
      <c r="DR51" s="3">
        <f t="array" ref="DR51">_xlfn.IFS(
  ISBLANK(CU51), "Insufficient Evidence",
  CU51&lt;=20, "Low Risk",
  CU51&lt;=50, "Moderate Risk",
  CU51&lt;=75, "High Risk",
  TRUE, "Very High Risk"
)</f>
        <v/>
      </c>
      <c r="DS51" s="3">
        <f t="array" ref="DS51">_xlfn.IFS(
  ISBLANK(CE51), "Insufficient Evidence",
  AND(ISNUMBER(BW51),ISNUMBER(BV51),BW51&gt;BV51), "Overclaiming Risk",
  CE51&gt;=65, "Strong",
  CE51&gt;=40, "Adequate",
  TRUE, "Weak"
)</f>
        <v/>
      </c>
      <c r="DT51" s="3">
        <f>IF(DB51="Yes — Automatic",0,ROUND((IF(ISNUMBER(AR51),AR51,0)*0.3+IF(ISNUMBER(BS51),BS51,0)*0.2+IF(ISNUMBER(BE51),BE51,0)*0.2+IF(ISNUMBER(CE51),CE51,0)*0.15+(100-IF(ISNUMBER(CU51),CU51,50))*0.15)*IF(DN51&gt;=75,1,IF(DN51&gt;=50,0.9,IF(DN51&gt;=25,0.75,0.6))),1))</f>
        <v/>
      </c>
      <c r="DU51" s="3">
        <f t="array" ref="DU51">_xlfn.IFS(
  DV51="Upgraded to Clear", "Clear",
  DV51="Downgraded to Watchlist", "Watchlist",
  DV51="Downgraded to Exclusion", "Exclusion Risk",
  DB51="Yes — Automatic", "Exclusion Risk",
  OR(AW51="Confirmed Violation", AX51="Confirmed Breach"), "Exclusion Risk",
  OR(V51=0, ISBLANK(V51), DN51&lt;20), "Insufficient Evidence",
  AND(DT51&gt;=65, DA51="No", DB51="No"), "Clear",
  OR(DT51&gt;=40, DA51="Yes"), "Watchlist",
  TRUE, "Exclusion Risk"
)</f>
        <v/>
      </c>
      <c r="DV51" s="3" t="n"/>
      <c r="DW51" s="3">
        <f t="array" ref="DW51">_xlfn.IFS(
  DU51="Exclusion Risk", "Exclude — Hard Trigger",
  DU51="Insufficient Evidence", "Watchlist — Further Evidence Needed",
  DU51="Watchlist", "Watchlist — Further Evidence Needed",
  AND(DU51="Clear", DT51&gt;=80), "Include — No Conditions",
  DU51="Clear", "Include — Monitor",
  TRUE, "Watchlist — Further Evidence Needed"
)</f>
        <v/>
      </c>
      <c r="DX51" s="3" t="n"/>
      <c r="DY51" s="3" t="n"/>
      <c r="DZ51" s="3" t="n"/>
      <c r="EA51" s="3" t="n"/>
      <c r="EB51" s="3">
        <f>IF(OR(V51=0, ISBLANK(V51)), "MISSING — No sources reviewed", "")</f>
        <v/>
      </c>
      <c r="EC51" s="3">
        <f>IF(AND(NOT(ISBLANK(DC51)), ISBLANK(DE51)), "PAGE REF MISSING", "")</f>
        <v/>
      </c>
    </row>
    <row r="52" ht="18" customHeight="1" s="60">
      <c r="A52" s="5" t="inlineStr">
        <is>
          <t>Raiffeisen Bank International AG</t>
        </is>
      </c>
      <c r="B52" s="5" t="inlineStr">
        <is>
          <t>RAW</t>
        </is>
      </c>
      <c r="C52" s="5">
        <f>IF(ISBLANK('Universe Tracker'!D48),"",'Universe Tracker'!D48)</f>
        <v/>
      </c>
      <c r="D52" s="5" t="n"/>
      <c r="E52" s="5" t="n"/>
      <c r="F52" s="5">
        <f>IF(ISBLANK('Universe Tracker'!F48),"",'Universe Tracker'!F48)</f>
        <v/>
      </c>
      <c r="G52" s="5">
        <f>IF(ISBLANK('Universe Tracker'!G48),"",'Universe Tracker'!G48)</f>
        <v/>
      </c>
      <c r="H52" s="5" t="n"/>
      <c r="I52" s="5" t="n"/>
      <c r="J52" s="5">
        <f>IF(ISBLANK(B52),"",B52&amp;"_"&amp;C52)</f>
        <v/>
      </c>
      <c r="K52" s="5" t="n"/>
      <c r="L52" s="5" t="n"/>
      <c r="M52" s="5" t="n"/>
      <c r="N52" s="5" t="n"/>
      <c r="O52" s="5" t="n"/>
      <c r="P52" s="5" t="n"/>
      <c r="Q52" s="5" t="n"/>
      <c r="R52" s="5" t="n"/>
      <c r="S52" s="5" t="n"/>
      <c r="T52" s="5" t="n"/>
      <c r="U52" s="5" t="n"/>
      <c r="V52" s="5" t="n"/>
      <c r="W52" s="5" t="n"/>
      <c r="X52" s="5" t="n"/>
      <c r="Y52" s="5">
        <f>IF(AND(V52&gt;=2,K52="Yes",L52="Yes"),"Sufficient",IF(AND(V52&gt;=1,OR(K52="Yes",L52="Yes")),"Thin","Insufficient"))</f>
        <v/>
      </c>
      <c r="Z52" s="5" t="n"/>
      <c r="AA52" s="5" t="n"/>
      <c r="AB52" s="5" t="n"/>
      <c r="AC52" s="5" t="n"/>
      <c r="AD52" s="5" t="n"/>
      <c r="AE52" s="5" t="n"/>
      <c r="AF52" s="5" t="n"/>
      <c r="AG52" s="5" t="n"/>
      <c r="AH52" s="5" t="n"/>
      <c r="AI52" s="5" t="n"/>
      <c r="AJ52" s="5" t="n"/>
      <c r="AK52" s="5" t="n"/>
      <c r="AL52" s="5" t="n"/>
      <c r="AM52" s="5" t="n"/>
      <c r="AN52" s="5" t="n"/>
      <c r="AO52" s="5" t="n"/>
      <c r="AP52" s="5" t="n"/>
      <c r="AQ52" s="5" t="n"/>
      <c r="AR52" s="40">
        <f t="array" ref="AR52">MIN(100, MAX(0,
  IFERROR(_xlfn.XLOOKUP(AJ52,'Lookup Tables'!$A$2:$A$7,'Lookup Tables'!$B$2:$B$7,0),0)
  + IF(Z52="Yes", IF(IFERROR(_xlfn.XLOOKUP(AJ52,'Lookup Tables'!$A$2:$A$7,'Lookup Tables'!$B$2:$B$7,0),0)&lt;20, 5, 0), 0)
  + _xlfn.IFS(AB52="Yes", IF(ISNUMBER(AC52)*AND(AC52&lt;=2030),15,10), AB52="Long-term Only", 5, AB52="No", 0, TRUE, 0)
  + _xlfn.IFS(AF52="Full",10, AF52="Partial",5, AF52="Scope 2 Only",3, TRUE,0)
  + _xlfn.IFS(AG52="Yes", IF(ISNUMBER(AH52)*AND(AH52&gt;=5),10,6), AG52="Partial",4, TRUE,0)
  + _xlfn.IFS(AI52="Yes",5, AI52="Partial (material categories only)",3, TRUE,0)
  + _xlfn.IFS(AL52="Yes — Detailed",10, AL52="Yes — High Level",5, TRUE,0)
  + _xlfn.IFS(AM52="Yes — Quantified",15, AM52="Yes — Directional Only",7, TRUE,0)
  + _xlfn.IFS(AP52="Formal",5, AP52="Referenced",2, TRUE,0)
  + _xlfn.IFS(AQ52="No Issues Found",5, AQ52="Concern Identified",-5, AQ52="Severe Contradiction",-15, TRUE,0)
  + _xlfn.IFS(BC52="Reasonable Assurance",5, BC52="Limited Assurance",3, TRUE,0)
  - IF(AND(Z52="Yes", AI52="No"), 10, 0)
  - IF(AND(Z52="Yes", AM52="No"), 10, 0)
))</f>
        <v/>
      </c>
      <c r="AS52" s="5" t="n"/>
      <c r="AT52" s="5" t="n"/>
      <c r="AU52" s="5" t="n"/>
      <c r="AV52" s="5" t="n"/>
      <c r="AW52" s="5" t="n"/>
      <c r="AX52" s="5" t="n"/>
      <c r="AY52" s="5" t="n"/>
      <c r="AZ52" s="5" t="n"/>
      <c r="BA52" s="5" t="n"/>
      <c r="BB52" s="5" t="n"/>
      <c r="BC52" s="5" t="n"/>
      <c r="BD52" s="5" t="n"/>
      <c r="BE52" s="39">
        <f t="array" ref="BE52">MIN(100, MAX(0,
  IFERROR(_xlfn.XLOOKUP(AT52,'Lookup Tables'!$D$2:$D$6,'Lookup Tables'!$E$2:$E$6,0),0)
  + IFERROR(_xlfn.XLOOKUP(AV52,'Lookup Tables'!$G$2:$G$5,'Lookup Tables'!$H$2:$H$5,0),0)
  + IFERROR(_xlfn.XLOOKUP(AW52,'Lookup Tables'!$J$2:$J$5,'Lookup Tables'!$K$2:$K$5,0),0)
  + _xlfn.IFS(AX52="No Issues",10, AX52="Complaint Filed",3, AX52="Confirmed Breach",-15, TRUE,0)
  + IFERROR(_xlfn.XLOOKUP(AY52,'Lookup Tables'!$M$2:$M$6,'Lookup Tables'!$N$2:$N$6,0),0)
  + IFERROR(_xlfn.XLOOKUP(AZ52,'Lookup Tables'!$P$2:$P$6,'Lookup Tables'!$Q$2:$Q$6,0),0)
  + _xlfn.IFS(BA52="Formal Board Committee",5, BA52="Board Oversight Mentioned",2, TRUE,0)
  + _xlfn.IFS(BB52="Yes — Quantified Targets",5, BB52="Yes — Discretionary Only",2, TRUE,0)
  + _xlfn.IFS(BC52="Reasonable Assurance",5, BC52="Limited Assurance",3, BC52="Management Review Only",1, TRUE,0)
))</f>
        <v/>
      </c>
      <c r="BF52" s="5" t="n"/>
      <c r="BG52" s="5" t="n"/>
      <c r="BH52" s="5" t="n"/>
      <c r="BI52" s="5" t="n"/>
      <c r="BJ52" s="5" t="n"/>
      <c r="BK52" s="5" t="n"/>
      <c r="BL52" s="5" t="n"/>
      <c r="BM52" s="5" t="n"/>
      <c r="BN52" s="5" t="n"/>
      <c r="BO52" s="5" t="n"/>
      <c r="BP52" s="5" t="n"/>
      <c r="BQ52" s="5" t="n"/>
      <c r="BR52" s="5" t="n"/>
      <c r="BS52" s="41">
        <f t="array" ref="BS52">MIN(100, MAX(0,
  IFERROR(_xlfn.XLOOKUP(BG52,'Lookup Tables'!$A$11:$A$16,'Lookup Tables'!$B$11:$B$16,0),0)
  + IFERROR(_xlfn.XLOOKUP(BR52,'Lookup Tables'!$M$11:$M$14,'Lookup Tables'!$N$11:$N$14,0),0)
  + IFERROR(_xlfn.XLOOKUP(BQ52,'Lookup Tables'!$J$11:$J$15,'Lookup Tables'!$K$11:$K$15,0),0)
  + IFERROR(_xlfn.XLOOKUP(BH52,'Lookup Tables'!$D$11:$D$15,'Lookup Tables'!$E$11:$E$15,0),0)
  + IFERROR(_xlfn.XLOOKUP(BJ52,'Lookup Tables'!$G$11:$G$16,'Lookup Tables'!$H$11:$H$16,0),0)
  + IFERROR(_xlfn.XLOOKUP(BN52,'Lookup Tables'!$P$11:$P$15,'Lookup Tables'!$Q$11:$Q$15,0),0)
  + _xlfn.IFS(BM52="No Evidence",10, BM52="Unknown",3, BM52="Likely",0, BM52="Confirmed",-10, TRUE,3)
  + IFERROR(_xlfn.XLOOKUP(BP52,'Lookup Tables'!$J$21:$J$24,'Lookup Tables'!$K$21:$K$24,0),0)
))</f>
        <v/>
      </c>
      <c r="BT52" s="5" t="n"/>
      <c r="BU52" s="5" t="n"/>
      <c r="BV52" s="5" t="n"/>
      <c r="BW52" s="5" t="n"/>
      <c r="BX52" s="5" t="n"/>
      <c r="BY52" s="5" t="n"/>
      <c r="BZ52" s="5" t="n"/>
      <c r="CA52" s="5" t="n"/>
      <c r="CB52" s="5" t="n"/>
      <c r="CC52" s="5" t="n"/>
      <c r="CD52" s="5" t="n"/>
      <c r="CE52" s="43">
        <f t="array" ref="CE52">MIN(100, MAX(0,
  IF(ISNUMBER(BV52)*AND(BV52&gt;0), 10, 0)
  + _xlfn.IFS(BY52="Independently Verified",25, BY52="Yes",15, TRUE,0)
  + IFERROR(_xlfn.XLOOKUP(BZ52,'Lookup Tables'!$A$21:$A$24,'Lookup Tables'!$B$21:$B$24,0),0)
  + IFERROR(_xlfn.XLOOKUP(CA52,'Lookup Tables'!$D$21:$D$24,'Lookup Tables'!$E$21:$E$24,0),0)
  + _xlfn.IFS(ISNUMBER(CB52)*AND(CB52&gt;=11),15, ISNUMBER(CB52)*AND(CB52&gt;=6),10, ISNUMBER(CB52)*AND(CB52&gt;=1),5, TRUE,0)
  + IFERROR(_xlfn.XLOOKUP(CC52,'Lookup Tables'!$G$21:$G$25,'Lookup Tables'!$H$21:$H$25,0),0)
  - IF(ISNUMBER(BW52)*AND(ISNUMBER(BV52))*AND(BW52&gt;BV52), 20, 0)
  - IF(AND(BY52="Yes", ISNUMBER(BW52), BW52&gt;60), 10, 0)
))</f>
        <v/>
      </c>
      <c r="CF52" s="5" t="n"/>
      <c r="CG52" s="5" t="n"/>
      <c r="CH52" s="5" t="n"/>
      <c r="CI52" s="5" t="n"/>
      <c r="CJ52" s="5" t="n"/>
      <c r="CK52" s="5" t="n"/>
      <c r="CL52" s="5" t="n"/>
      <c r="CM52" s="5" t="n"/>
      <c r="CN52" s="5" t="n"/>
      <c r="CO52" s="5" t="n"/>
      <c r="CP52" s="5" t="n"/>
      <c r="CQ52" s="5" t="n"/>
      <c r="CR52" s="5">
        <f>COUNTIF(CJ52:CQ52,"FAIL")</f>
        <v/>
      </c>
      <c r="CS52" s="5">
        <f>COUNTIF(CJ52:CQ52,"PARTIAL")</f>
        <v/>
      </c>
      <c r="CT52" s="5">
        <f>COUNTIF(CJ52:CQ52,"MISSING")</f>
        <v/>
      </c>
      <c r="CU52" s="5">
        <f>MIN(100,
  CR52*15
  + CS52*6
  + CT52*3
  + IFERROR(_xlfn.XLOOKUP(CW52,'Lookup Tables'!$M$21:$M$25,'Lookup Tables'!$N$21:$N$25,0),0)
)</f>
        <v/>
      </c>
      <c r="CV52" s="5">
        <f>IFERROR(
CHOOSE(
MATCH("FAIL",CJ52:CQ52,0),
"1-Specificity","2-Metric","3-Baseline","4-Target",
"5-Time Horizon","6-Scope","7-Verification","8-Consistency"
),
IFERROR(
CHOOSE(
MATCH("PARTIAL",CJ52:CQ52,0),
"1-Specificity","2-Metric","3-Baseline","4-Target",
"5-Time Horizon","6-Scope","7-Verification","8-Consistency"
),
"No failures"
)
)</f>
        <v/>
      </c>
      <c r="CW52" s="5" t="n"/>
      <c r="CX52" s="5" t="n"/>
      <c r="CY52" s="5" t="n"/>
      <c r="CZ52" s="5" t="n"/>
      <c r="DA52" s="5">
        <f>IF(OR(CU52&gt;=50,CW52="Material",CW52="Severe",AS52="Material",AS52="Severe",BF52="Material",BF52="Severe — Exclusion Trigger",AND(ISNUMBER(BS52),BS52&lt;30)),"Yes","No")</f>
        <v/>
      </c>
      <c r="DB52" s="5">
        <f>IF(OR(CR52&gt;=6,AW52="Confirmed Violation",AX52="Confirmed Breach"),"Yes — Automatic",IF(CW52="Severe","Yes — Requires Captain Confirmation","No"))</f>
        <v/>
      </c>
      <c r="DC52" s="5" t="n"/>
      <c r="DD52" s="5" t="n"/>
      <c r="DE52" s="5" t="n"/>
      <c r="DF52" s="5" t="n"/>
      <c r="DG52" s="5" t="n"/>
      <c r="DH52" s="5" t="n"/>
      <c r="DI52" s="5" t="n"/>
      <c r="DJ52" s="5" t="n"/>
      <c r="DK52" s="5" t="n"/>
      <c r="DL52" s="5">
        <f>IF(OR(IFERROR(VALUE(LEFT(DF52,1)),99)&lt;=2,IFERROR(VALUE(LEFT(DG52,1)),99)&lt;=2),"Flagged","Clear")</f>
        <v/>
      </c>
      <c r="DM52" s="5">
        <f>IF(OR(DA52="Yes",DB52&lt;&gt;"No",DH52="Unverified",DL52="Flagged"),"Yes","No")</f>
        <v/>
      </c>
      <c r="DN52" s="5">
        <f t="array" ref="DN52">MIN(100,
  IF(ISNUMBER(V52), _xlfn.IFS(V52&gt;=3,25, V52=2,15, V52=1,5, TRUE,0), 0)
  + IFERROR(_xlfn.IFS(VALUE(LEFT(DF52,1))=5,25, VALUE(LEFT(DF52,1))=4,20, VALUE(LEFT(DF52,1))=3,15, VALUE(LEFT(DF52,1))=2,8, TRUE,0), 15)
  + IFERROR(_xlfn.IFS(VALUE(LEFT(DG52,1))=5,25, VALUE(LEFT(DG52,1))=4,20, VALUE(LEFT(DG52,1))=3,15, VALUE(LEFT(DG52,1))=2,8, TRUE,0), 15)
  + _xlfn.IFS(DH52="Fully Verified",25, DH52="Partially Verified",12, TRUE,0)
)</f>
        <v/>
      </c>
      <c r="DO52" s="5">
        <f t="array" ref="DO52">_xlfn.IFS(
  ISBLANK(AR52), "Insufficient Evidence",
  AND(AR52&gt;=65, AJ52="Approved"), "Strong",
  AR52&gt;=65, "Adequate",
  AR52&gt;=40, "Adequate",
  AR52&gt;=20, "Weak",
  TRUE, "Insufficient Evidence"
)</f>
        <v/>
      </c>
      <c r="DP52" s="5">
        <f t="array" ref="DP52">_xlfn.IFS(
  ISBLANK(BS52), "Insufficient Evidence",
  BS52&gt;=65, "Strong",
  BS52&gt;=40, "Adequate",
  BS52&gt;=20, "Weak",
  TRUE, "Insufficient Evidence"
)</f>
        <v/>
      </c>
      <c r="DQ52" s="5">
        <f t="array" ref="DQ52">_xlfn.IFS(
  ISBLANK(BE52), "Insufficient Evidence",
  OR(AW52="Confirmed Violation", AX52="Confirmed Breach"), "Severe — Hard Trigger",
  BE52&gt;=65, "Strong",
  BE52&gt;=40, "Adequate",
  BE52&gt;=20, "Weak",
  TRUE, "Insufficient Evidence"
)</f>
        <v/>
      </c>
      <c r="DR52" s="5">
        <f t="array" ref="DR52">_xlfn.IFS(
  ISBLANK(CU52), "Insufficient Evidence",
  CU52&lt;=20, "Low Risk",
  CU52&lt;=50, "Moderate Risk",
  CU52&lt;=75, "High Risk",
  TRUE, "Very High Risk"
)</f>
        <v/>
      </c>
      <c r="DS52" s="5">
        <f t="array" ref="DS52">_xlfn.IFS(
  ISBLANK(CE52), "Insufficient Evidence",
  AND(ISNUMBER(BW52),ISNUMBER(BV52),BW52&gt;BV52), "Overclaiming Risk",
  CE52&gt;=65, "Strong",
  CE52&gt;=40, "Adequate",
  TRUE, "Weak"
)</f>
        <v/>
      </c>
      <c r="DT52" s="5">
        <f>IF(DB52="Yes — Automatic",0,ROUND((IF(ISNUMBER(AR52),AR52,0)*0.3+IF(ISNUMBER(BS52),BS52,0)*0.2+IF(ISNUMBER(BE52),BE52,0)*0.2+IF(ISNUMBER(CE52),CE52,0)*0.15+(100-IF(ISNUMBER(CU52),CU52,50))*0.15)*IF(DN52&gt;=75,1,IF(DN52&gt;=50,0.9,IF(DN52&gt;=25,0.75,0.6))),1))</f>
        <v/>
      </c>
      <c r="DU52" s="5">
        <f t="array" ref="DU52">_xlfn.IFS(
  DV52="Upgraded to Clear", "Clear",
  DV52="Downgraded to Watchlist", "Watchlist",
  DV52="Downgraded to Exclusion", "Exclusion Risk",
  DB52="Yes — Automatic", "Exclusion Risk",
  OR(AW52="Confirmed Violation", AX52="Confirmed Breach"), "Exclusion Risk",
  OR(V52=0, ISBLANK(V52), DN52&lt;20), "Insufficient Evidence",
  AND(DT52&gt;=65, DA52="No", DB52="No"), "Clear",
  OR(DT52&gt;=40, DA52="Yes"), "Watchlist",
  TRUE, "Exclusion Risk"
)</f>
        <v/>
      </c>
      <c r="DV52" s="5" t="n"/>
      <c r="DW52" s="5">
        <f t="array" ref="DW52">_xlfn.IFS(
  DU52="Exclusion Risk", "Exclude — Hard Trigger",
  DU52="Insufficient Evidence", "Watchlist — Further Evidence Needed",
  DU52="Watchlist", "Watchlist — Further Evidence Needed",
  AND(DU52="Clear", DT52&gt;=80), "Include — No Conditions",
  DU52="Clear", "Include — Monitor",
  TRUE, "Watchlist — Further Evidence Needed"
)</f>
        <v/>
      </c>
      <c r="DX52" s="5" t="n"/>
      <c r="DY52" s="5" t="n"/>
      <c r="DZ52" s="5" t="n"/>
      <c r="EA52" s="5" t="n"/>
      <c r="EB52" s="5">
        <f>IF(OR(V52=0, ISBLANK(V52)), "MISSING — No sources reviewed", "")</f>
        <v/>
      </c>
      <c r="EC52" s="5">
        <f>IF(AND(NOT(ISBLANK(DC52)), ISBLANK(DE52)), "PAGE REF MISSING", "")</f>
        <v/>
      </c>
    </row>
    <row r="53" ht="18" customHeight="1" s="60">
      <c r="A53" s="3" t="inlineStr">
        <is>
          <t>Infineon Technologies AG</t>
        </is>
      </c>
      <c r="B53" s="3" t="inlineStr">
        <is>
          <t>IFX</t>
        </is>
      </c>
      <c r="C53" s="3">
        <f>IF(ISBLANK('Universe Tracker'!D49),"",'Universe Tracker'!D49)</f>
        <v/>
      </c>
      <c r="D53" s="3" t="n"/>
      <c r="E53" s="3" t="n"/>
      <c r="F53" s="3">
        <f>IF(ISBLANK('Universe Tracker'!F49),"",'Universe Tracker'!F49)</f>
        <v/>
      </c>
      <c r="G53" s="3">
        <f>IF(ISBLANK('Universe Tracker'!G49),"",'Universe Tracker'!G49)</f>
        <v/>
      </c>
      <c r="H53" s="3" t="n"/>
      <c r="I53" s="3" t="n"/>
      <c r="J53" s="3">
        <f>IF(ISBLANK(B53),"",B53&amp;"_"&amp;C53)</f>
        <v/>
      </c>
      <c r="K53" s="3" t="n"/>
      <c r="L53" s="3" t="n"/>
      <c r="M53" s="3" t="n"/>
      <c r="N53" s="3" t="n"/>
      <c r="O53" s="3" t="n"/>
      <c r="P53" s="3" t="n"/>
      <c r="Q53" s="3" t="n"/>
      <c r="R53" s="3" t="n"/>
      <c r="S53" s="3" t="n"/>
      <c r="T53" s="3" t="n"/>
      <c r="U53" s="3" t="n"/>
      <c r="V53" s="3" t="n"/>
      <c r="W53" s="3" t="n"/>
      <c r="X53" s="3" t="n"/>
      <c r="Y53" s="3">
        <f>IF(AND(V53&gt;=2,K53="Yes",L53="Yes"),"Sufficient",IF(AND(V53&gt;=1,OR(K53="Yes",L53="Yes")),"Thin","Insufficient"))</f>
        <v/>
      </c>
      <c r="Z53" s="3" t="n"/>
      <c r="AA53" s="3" t="n"/>
      <c r="AB53" s="3" t="n"/>
      <c r="AC53" s="3" t="n"/>
      <c r="AD53" s="3" t="n"/>
      <c r="AE53" s="3" t="n"/>
      <c r="AF53" s="3" t="n"/>
      <c r="AG53" s="3" t="n"/>
      <c r="AH53" s="3" t="n"/>
      <c r="AI53" s="3" t="n"/>
      <c r="AJ53" s="3" t="n"/>
      <c r="AK53" s="3" t="n"/>
      <c r="AL53" s="3" t="n"/>
      <c r="AM53" s="3" t="n"/>
      <c r="AN53" s="3" t="n"/>
      <c r="AO53" s="3" t="n"/>
      <c r="AP53" s="3" t="n"/>
      <c r="AQ53" s="3" t="n"/>
      <c r="AR53" s="40">
        <f t="array" ref="AR53">MIN(100, MAX(0,
  IFERROR(_xlfn.XLOOKUP(AJ53,'Lookup Tables'!$A$2:$A$7,'Lookup Tables'!$B$2:$B$7,0),0)
  + IF(Z53="Yes", IF(IFERROR(_xlfn.XLOOKUP(AJ53,'Lookup Tables'!$A$2:$A$7,'Lookup Tables'!$B$2:$B$7,0),0)&lt;20, 5, 0), 0)
  + _xlfn.IFS(AB53="Yes", IF(ISNUMBER(AC53)*AND(AC53&lt;=2030),15,10), AB53="Long-term Only", 5, AB53="No", 0, TRUE, 0)
  + _xlfn.IFS(AF53="Full",10, AF53="Partial",5, AF53="Scope 2 Only",3, TRUE,0)
  + _xlfn.IFS(AG53="Yes", IF(ISNUMBER(AH53)*AND(AH53&gt;=5),10,6), AG53="Partial",4, TRUE,0)
  + _xlfn.IFS(AI53="Yes",5, AI53="Partial (material categories only)",3, TRUE,0)
  + _xlfn.IFS(AL53="Yes — Detailed",10, AL53="Yes — High Level",5, TRUE,0)
  + _xlfn.IFS(AM53="Yes — Quantified",15, AM53="Yes — Directional Only",7, TRUE,0)
  + _xlfn.IFS(AP53="Formal",5, AP53="Referenced",2, TRUE,0)
  + _xlfn.IFS(AQ53="No Issues Found",5, AQ53="Concern Identified",-5, AQ53="Severe Contradiction",-15, TRUE,0)
  + _xlfn.IFS(BC53="Reasonable Assurance",5, BC53="Limited Assurance",3, TRUE,0)
  - IF(AND(Z53="Yes", AI53="No"), 10, 0)
  - IF(AND(Z53="Yes", AM53="No"), 10, 0)
))</f>
        <v/>
      </c>
      <c r="AS53" s="3" t="n"/>
      <c r="AT53" s="3" t="n"/>
      <c r="AU53" s="3" t="n"/>
      <c r="AV53" s="3" t="n"/>
      <c r="AW53" s="3" t="n"/>
      <c r="AX53" s="3" t="n"/>
      <c r="AY53" s="3" t="n"/>
      <c r="AZ53" s="3" t="n"/>
      <c r="BA53" s="3" t="n"/>
      <c r="BB53" s="3" t="n"/>
      <c r="BC53" s="3" t="n"/>
      <c r="BD53" s="3" t="n"/>
      <c r="BE53" s="40">
        <f t="array" ref="BE53">MIN(100, MAX(0,
  IFERROR(_xlfn.XLOOKUP(AT53,'Lookup Tables'!$D$2:$D$6,'Lookup Tables'!$E$2:$E$6,0),0)
  + IFERROR(_xlfn.XLOOKUP(AV53,'Lookup Tables'!$G$2:$G$5,'Lookup Tables'!$H$2:$H$5,0),0)
  + IFERROR(_xlfn.XLOOKUP(AW53,'Lookup Tables'!$J$2:$J$5,'Lookup Tables'!$K$2:$K$5,0),0)
  + _xlfn.IFS(AX53="No Issues",10, AX53="Complaint Filed",3, AX53="Confirmed Breach",-15, TRUE,0)
  + IFERROR(_xlfn.XLOOKUP(AY53,'Lookup Tables'!$M$2:$M$6,'Lookup Tables'!$N$2:$N$6,0),0)
  + IFERROR(_xlfn.XLOOKUP(AZ53,'Lookup Tables'!$P$2:$P$6,'Lookup Tables'!$Q$2:$Q$6,0),0)
  + _xlfn.IFS(BA53="Formal Board Committee",5, BA53="Board Oversight Mentioned",2, TRUE,0)
  + _xlfn.IFS(BB53="Yes — Quantified Targets",5, BB53="Yes — Discretionary Only",2, TRUE,0)
  + _xlfn.IFS(BC53="Reasonable Assurance",5, BC53="Limited Assurance",3, BC53="Management Review Only",1, TRUE,0)
))</f>
        <v/>
      </c>
      <c r="BF53" s="3" t="n"/>
      <c r="BG53" s="3" t="n"/>
      <c r="BH53" s="3" t="n"/>
      <c r="BI53" s="3" t="n"/>
      <c r="BJ53" s="3" t="n"/>
      <c r="BK53" s="3" t="n"/>
      <c r="BL53" s="3" t="n"/>
      <c r="BM53" s="3" t="n"/>
      <c r="BN53" s="3" t="n"/>
      <c r="BO53" s="3" t="n"/>
      <c r="BP53" s="3" t="n"/>
      <c r="BQ53" s="3" t="n"/>
      <c r="BR53" s="3" t="n"/>
      <c r="BS53" s="42">
        <f t="array" ref="BS53">MIN(100, MAX(0,
  IFERROR(_xlfn.XLOOKUP(BG53,'Lookup Tables'!$A$11:$A$16,'Lookup Tables'!$B$11:$B$16,0),0)
  + IFERROR(_xlfn.XLOOKUP(BR53,'Lookup Tables'!$M$11:$M$14,'Lookup Tables'!$N$11:$N$14,0),0)
  + IFERROR(_xlfn.XLOOKUP(BQ53,'Lookup Tables'!$J$11:$J$15,'Lookup Tables'!$K$11:$K$15,0),0)
  + IFERROR(_xlfn.XLOOKUP(BH53,'Lookup Tables'!$D$11:$D$15,'Lookup Tables'!$E$11:$E$15,0),0)
  + IFERROR(_xlfn.XLOOKUP(BJ53,'Lookup Tables'!$G$11:$G$16,'Lookup Tables'!$H$11:$H$16,0),0)
  + IFERROR(_xlfn.XLOOKUP(BN53,'Lookup Tables'!$P$11:$P$15,'Lookup Tables'!$Q$11:$Q$15,0),0)
  + _xlfn.IFS(BM53="No Evidence",10, BM53="Unknown",3, BM53="Likely",0, BM53="Confirmed",-10, TRUE,3)
  + IFERROR(_xlfn.XLOOKUP(BP53,'Lookup Tables'!$J$21:$J$24,'Lookup Tables'!$K$21:$K$24,0),0)
))</f>
        <v/>
      </c>
      <c r="BT53" s="3" t="n"/>
      <c r="BU53" s="3" t="n"/>
      <c r="BV53" s="3" t="n"/>
      <c r="BW53" s="3" t="n"/>
      <c r="BX53" s="3" t="n"/>
      <c r="BY53" s="3" t="n"/>
      <c r="BZ53" s="3" t="n"/>
      <c r="CA53" s="3" t="n"/>
      <c r="CB53" s="3" t="n"/>
      <c r="CC53" s="3" t="n"/>
      <c r="CD53" s="3" t="n"/>
      <c r="CE53" s="44">
        <f t="array" ref="CE53">MIN(100, MAX(0,
  IF(ISNUMBER(BV53)*AND(BV53&gt;0), 10, 0)
  + _xlfn.IFS(BY53="Independently Verified",25, BY53="Yes",15, TRUE,0)
  + IFERROR(_xlfn.XLOOKUP(BZ53,'Lookup Tables'!$A$21:$A$24,'Lookup Tables'!$B$21:$B$24,0),0)
  + IFERROR(_xlfn.XLOOKUP(CA53,'Lookup Tables'!$D$21:$D$24,'Lookup Tables'!$E$21:$E$24,0),0)
  + _xlfn.IFS(ISNUMBER(CB53)*AND(CB53&gt;=11),15, ISNUMBER(CB53)*AND(CB53&gt;=6),10, ISNUMBER(CB53)*AND(CB53&gt;=1),5, TRUE,0)
  + IFERROR(_xlfn.XLOOKUP(CC53,'Lookup Tables'!$G$21:$G$25,'Lookup Tables'!$H$21:$H$25,0),0)
  - IF(ISNUMBER(BW53)*AND(ISNUMBER(BV53))*AND(BW53&gt;BV53), 20, 0)
  - IF(AND(BY53="Yes", ISNUMBER(BW53), BW53&gt;60), 10, 0)
))</f>
        <v/>
      </c>
      <c r="CF53" s="3" t="n"/>
      <c r="CG53" s="3" t="n"/>
      <c r="CH53" s="3" t="n"/>
      <c r="CI53" s="3" t="n"/>
      <c r="CJ53" s="3" t="n"/>
      <c r="CK53" s="3" t="n"/>
      <c r="CL53" s="3" t="n"/>
      <c r="CM53" s="3" t="n"/>
      <c r="CN53" s="3" t="n"/>
      <c r="CO53" s="3" t="n"/>
      <c r="CP53" s="3" t="n"/>
      <c r="CQ53" s="3" t="n"/>
      <c r="CR53" s="3">
        <f>COUNTIF(CJ53:CQ53,"FAIL")</f>
        <v/>
      </c>
      <c r="CS53" s="3">
        <f>COUNTIF(CJ53:CQ53,"PARTIAL")</f>
        <v/>
      </c>
      <c r="CT53" s="3">
        <f>COUNTIF(CJ53:CQ53,"MISSING")</f>
        <v/>
      </c>
      <c r="CU53" s="3">
        <f>MIN(100,
  CR53*15
  + CS53*6
  + CT53*3
  + IFERROR(_xlfn.XLOOKUP(CW53,'Lookup Tables'!$M$21:$M$25,'Lookup Tables'!$N$21:$N$25,0),0)
)</f>
        <v/>
      </c>
      <c r="CV53" s="3">
        <f>IFERROR(
CHOOSE(
MATCH("FAIL",CJ53:CQ53,0),
"1-Specificity","2-Metric","3-Baseline","4-Target",
"5-Time Horizon","6-Scope","7-Verification","8-Consistency"
),
IFERROR(
CHOOSE(
MATCH("PARTIAL",CJ53:CQ53,0),
"1-Specificity","2-Metric","3-Baseline","4-Target",
"5-Time Horizon","6-Scope","7-Verification","8-Consistency"
),
"No failures"
)
)</f>
        <v/>
      </c>
      <c r="CW53" s="3" t="n"/>
      <c r="CX53" s="3" t="n"/>
      <c r="CY53" s="3" t="n"/>
      <c r="CZ53" s="3" t="n"/>
      <c r="DA53" s="3">
        <f>IF(OR(CU53&gt;=50,CW53="Material",CW53="Severe",AS53="Material",AS53="Severe",BF53="Material",BF53="Severe — Exclusion Trigger",AND(ISNUMBER(BS53),BS53&lt;30)),"Yes","No")</f>
        <v/>
      </c>
      <c r="DB53" s="3">
        <f>IF(OR(CR53&gt;=6,AW53="Confirmed Violation",AX53="Confirmed Breach"),"Yes — Automatic",IF(CW53="Severe","Yes — Requires Captain Confirmation","No"))</f>
        <v/>
      </c>
      <c r="DC53" s="3" t="n"/>
      <c r="DD53" s="3" t="n"/>
      <c r="DE53" s="3" t="n"/>
      <c r="DF53" s="3" t="n"/>
      <c r="DG53" s="3" t="n"/>
      <c r="DH53" s="3" t="n"/>
      <c r="DI53" s="3" t="n"/>
      <c r="DJ53" s="3" t="n"/>
      <c r="DK53" s="3" t="n"/>
      <c r="DL53" s="3">
        <f>IF(OR(IFERROR(VALUE(LEFT(DF53,1)),99)&lt;=2,IFERROR(VALUE(LEFT(DG53,1)),99)&lt;=2),"Flagged","Clear")</f>
        <v/>
      </c>
      <c r="DM53" s="3">
        <f>IF(OR(DA53="Yes",DB53&lt;&gt;"No",DH53="Unverified",DL53="Flagged"),"Yes","No")</f>
        <v/>
      </c>
      <c r="DN53" s="3">
        <f t="array" ref="DN53">MIN(100,
  IF(ISNUMBER(V53), _xlfn.IFS(V53&gt;=3,25, V53=2,15, V53=1,5, TRUE,0), 0)
  + IFERROR(_xlfn.IFS(VALUE(LEFT(DF53,1))=5,25, VALUE(LEFT(DF53,1))=4,20, VALUE(LEFT(DF53,1))=3,15, VALUE(LEFT(DF53,1))=2,8, TRUE,0), 15)
  + IFERROR(_xlfn.IFS(VALUE(LEFT(DG53,1))=5,25, VALUE(LEFT(DG53,1))=4,20, VALUE(LEFT(DG53,1))=3,15, VALUE(LEFT(DG53,1))=2,8, TRUE,0), 15)
  + _xlfn.IFS(DH53="Fully Verified",25, DH53="Partially Verified",12, TRUE,0)
)</f>
        <v/>
      </c>
      <c r="DO53" s="3">
        <f t="array" ref="DO53">_xlfn.IFS(
  ISBLANK(AR53), "Insufficient Evidence",
  AND(AR53&gt;=65, AJ53="Approved"), "Strong",
  AR53&gt;=65, "Adequate",
  AR53&gt;=40, "Adequate",
  AR53&gt;=20, "Weak",
  TRUE, "Insufficient Evidence"
)</f>
        <v/>
      </c>
      <c r="DP53" s="3">
        <f t="array" ref="DP53">_xlfn.IFS(
  ISBLANK(BS53), "Insufficient Evidence",
  BS53&gt;=65, "Strong",
  BS53&gt;=40, "Adequate",
  BS53&gt;=20, "Weak",
  TRUE, "Insufficient Evidence"
)</f>
        <v/>
      </c>
      <c r="DQ53" s="3">
        <f t="array" ref="DQ53">_xlfn.IFS(
  ISBLANK(BE53), "Insufficient Evidence",
  OR(AW53="Confirmed Violation", AX53="Confirmed Breach"), "Severe — Hard Trigger",
  BE53&gt;=65, "Strong",
  BE53&gt;=40, "Adequate",
  BE53&gt;=20, "Weak",
  TRUE, "Insufficient Evidence"
)</f>
        <v/>
      </c>
      <c r="DR53" s="3">
        <f t="array" ref="DR53">_xlfn.IFS(
  ISBLANK(CU53), "Insufficient Evidence",
  CU53&lt;=20, "Low Risk",
  CU53&lt;=50, "Moderate Risk",
  CU53&lt;=75, "High Risk",
  TRUE, "Very High Risk"
)</f>
        <v/>
      </c>
      <c r="DS53" s="3">
        <f t="array" ref="DS53">_xlfn.IFS(
  ISBLANK(CE53), "Insufficient Evidence",
  AND(ISNUMBER(BW53),ISNUMBER(BV53),BW53&gt;BV53), "Overclaiming Risk",
  CE53&gt;=65, "Strong",
  CE53&gt;=40, "Adequate",
  TRUE, "Weak"
)</f>
        <v/>
      </c>
      <c r="DT53" s="3">
        <f>IF(DB53="Yes — Automatic",0,ROUND((IF(ISNUMBER(AR53),AR53,0)*0.3+IF(ISNUMBER(BS53),BS53,0)*0.2+IF(ISNUMBER(BE53),BE53,0)*0.2+IF(ISNUMBER(CE53),CE53,0)*0.15+(100-IF(ISNUMBER(CU53),CU53,50))*0.15)*IF(DN53&gt;=75,1,IF(DN53&gt;=50,0.9,IF(DN53&gt;=25,0.75,0.6))),1))</f>
        <v/>
      </c>
      <c r="DU53" s="3">
        <f t="array" ref="DU53">_xlfn.IFS(
  DV53="Upgraded to Clear", "Clear",
  DV53="Downgraded to Watchlist", "Watchlist",
  DV53="Downgraded to Exclusion", "Exclusion Risk",
  DB53="Yes — Automatic", "Exclusion Risk",
  OR(AW53="Confirmed Violation", AX53="Confirmed Breach"), "Exclusion Risk",
  OR(V53=0, ISBLANK(V53), DN53&lt;20), "Insufficient Evidence",
  AND(DT53&gt;=65, DA53="No", DB53="No"), "Clear",
  OR(DT53&gt;=40, DA53="Yes"), "Watchlist",
  TRUE, "Exclusion Risk"
)</f>
        <v/>
      </c>
      <c r="DV53" s="3" t="n"/>
      <c r="DW53" s="3">
        <f t="array" ref="DW53">_xlfn.IFS(
  DU53="Exclusion Risk", "Exclude — Hard Trigger",
  DU53="Insufficient Evidence", "Watchlist — Further Evidence Needed",
  DU53="Watchlist", "Watchlist — Further Evidence Needed",
  AND(DU53="Clear", DT53&gt;=80), "Include — No Conditions",
  DU53="Clear", "Include — Monitor",
  TRUE, "Watchlist — Further Evidence Needed"
)</f>
        <v/>
      </c>
      <c r="DX53" s="3" t="n"/>
      <c r="DY53" s="3" t="n"/>
      <c r="DZ53" s="3" t="n"/>
      <c r="EA53" s="3" t="n"/>
      <c r="EB53" s="3">
        <f>IF(OR(V53=0, ISBLANK(V53)), "MISSING — No sources reviewed", "")</f>
        <v/>
      </c>
      <c r="EC53" s="3">
        <f>IF(AND(NOT(ISBLANK(DC53)), ISBLANK(DE53)), "PAGE REF MISSING", "")</f>
        <v/>
      </c>
    </row>
    <row r="54" ht="18" customHeight="1" s="60">
      <c r="A54" s="5" t="inlineStr">
        <is>
          <t>Assicurazioni Generali SpA</t>
        </is>
      </c>
      <c r="B54" s="5" t="inlineStr">
        <is>
          <t>ASG</t>
        </is>
      </c>
      <c r="C54" s="5">
        <f>IF(ISBLANK('Universe Tracker'!D50),"",'Universe Tracker'!D50)</f>
        <v/>
      </c>
      <c r="D54" s="5" t="n"/>
      <c r="E54" s="5" t="n"/>
      <c r="F54" s="5">
        <f>IF(ISBLANK('Universe Tracker'!F50),"",'Universe Tracker'!F50)</f>
        <v/>
      </c>
      <c r="G54" s="5">
        <f>IF(ISBLANK('Universe Tracker'!G50),"",'Universe Tracker'!G50)</f>
        <v/>
      </c>
      <c r="H54" s="5" t="n"/>
      <c r="I54" s="5" t="n"/>
      <c r="J54" s="5">
        <f>IF(ISBLANK(B54),"",B54&amp;"_"&amp;C54)</f>
        <v/>
      </c>
      <c r="K54" s="5" t="n"/>
      <c r="L54" s="5" t="n"/>
      <c r="M54" s="5" t="n"/>
      <c r="N54" s="5" t="n"/>
      <c r="O54" s="5" t="n"/>
      <c r="P54" s="5" t="n"/>
      <c r="Q54" s="5" t="n"/>
      <c r="R54" s="5" t="n"/>
      <c r="S54" s="5" t="n"/>
      <c r="T54" s="5" t="n"/>
      <c r="U54" s="5" t="n"/>
      <c r="V54" s="5" t="n"/>
      <c r="W54" s="5" t="n"/>
      <c r="X54" s="5" t="n"/>
      <c r="Y54" s="5">
        <f>IF(AND(V54&gt;=2,K54="Yes",L54="Yes"),"Sufficient",IF(AND(V54&gt;=1,OR(K54="Yes",L54="Yes")),"Thin","Insufficient"))</f>
        <v/>
      </c>
      <c r="Z54" s="5" t="n"/>
      <c r="AA54" s="5" t="n"/>
      <c r="AB54" s="5" t="n"/>
      <c r="AC54" s="5" t="n"/>
      <c r="AD54" s="5" t="n"/>
      <c r="AE54" s="5" t="n"/>
      <c r="AF54" s="5" t="n"/>
      <c r="AG54" s="5" t="n"/>
      <c r="AH54" s="5" t="n"/>
      <c r="AI54" s="5" t="n"/>
      <c r="AJ54" s="5" t="n"/>
      <c r="AK54" s="5" t="n"/>
      <c r="AL54" s="5" t="n"/>
      <c r="AM54" s="5" t="n"/>
      <c r="AN54" s="5" t="n"/>
      <c r="AO54" s="5" t="n"/>
      <c r="AP54" s="5" t="n"/>
      <c r="AQ54" s="5" t="n"/>
      <c r="AR54" s="40">
        <f t="array" ref="AR54">MIN(100, MAX(0,
  IFERROR(_xlfn.XLOOKUP(AJ54,'Lookup Tables'!$A$2:$A$7,'Lookup Tables'!$B$2:$B$7,0),0)
  + IF(Z54="Yes", IF(IFERROR(_xlfn.XLOOKUP(AJ54,'Lookup Tables'!$A$2:$A$7,'Lookup Tables'!$B$2:$B$7,0),0)&lt;20, 5, 0), 0)
  + _xlfn.IFS(AB54="Yes", IF(ISNUMBER(AC54)*AND(AC54&lt;=2030),15,10), AB54="Long-term Only", 5, AB54="No", 0, TRUE, 0)
  + _xlfn.IFS(AF54="Full",10, AF54="Partial",5, AF54="Scope 2 Only",3, TRUE,0)
  + _xlfn.IFS(AG54="Yes", IF(ISNUMBER(AH54)*AND(AH54&gt;=5),10,6), AG54="Partial",4, TRUE,0)
  + _xlfn.IFS(AI54="Yes",5, AI54="Partial (material categories only)",3, TRUE,0)
  + _xlfn.IFS(AL54="Yes — Detailed",10, AL54="Yes — High Level",5, TRUE,0)
  + _xlfn.IFS(AM54="Yes — Quantified",15, AM54="Yes — Directional Only",7, TRUE,0)
  + _xlfn.IFS(AP54="Formal",5, AP54="Referenced",2, TRUE,0)
  + _xlfn.IFS(AQ54="No Issues Found",5, AQ54="Concern Identified",-5, AQ54="Severe Contradiction",-15, TRUE,0)
  + _xlfn.IFS(BC54="Reasonable Assurance",5, BC54="Limited Assurance",3, TRUE,0)
  - IF(AND(Z54="Yes", AI54="No"), 10, 0)
  - IF(AND(Z54="Yes", AM54="No"), 10, 0)
))</f>
        <v/>
      </c>
      <c r="AS54" s="5" t="n"/>
      <c r="AT54" s="5" t="n"/>
      <c r="AU54" s="5" t="n"/>
      <c r="AV54" s="5" t="n"/>
      <c r="AW54" s="5" t="n"/>
      <c r="AX54" s="5" t="n"/>
      <c r="AY54" s="5" t="n"/>
      <c r="AZ54" s="5" t="n"/>
      <c r="BA54" s="5" t="n"/>
      <c r="BB54" s="5" t="n"/>
      <c r="BC54" s="5" t="n"/>
      <c r="BD54" s="5" t="n"/>
      <c r="BE54" s="39">
        <f t="array" ref="BE54">MIN(100, MAX(0,
  IFERROR(_xlfn.XLOOKUP(AT54,'Lookup Tables'!$D$2:$D$6,'Lookup Tables'!$E$2:$E$6,0),0)
  + IFERROR(_xlfn.XLOOKUP(AV54,'Lookup Tables'!$G$2:$G$5,'Lookup Tables'!$H$2:$H$5,0),0)
  + IFERROR(_xlfn.XLOOKUP(AW54,'Lookup Tables'!$J$2:$J$5,'Lookup Tables'!$K$2:$K$5,0),0)
  + _xlfn.IFS(AX54="No Issues",10, AX54="Complaint Filed",3, AX54="Confirmed Breach",-15, TRUE,0)
  + IFERROR(_xlfn.XLOOKUP(AY54,'Lookup Tables'!$M$2:$M$6,'Lookup Tables'!$N$2:$N$6,0),0)
  + IFERROR(_xlfn.XLOOKUP(AZ54,'Lookup Tables'!$P$2:$P$6,'Lookup Tables'!$Q$2:$Q$6,0),0)
  + _xlfn.IFS(BA54="Formal Board Committee",5, BA54="Board Oversight Mentioned",2, TRUE,0)
  + _xlfn.IFS(BB54="Yes — Quantified Targets",5, BB54="Yes — Discretionary Only",2, TRUE,0)
  + _xlfn.IFS(BC54="Reasonable Assurance",5, BC54="Limited Assurance",3, BC54="Management Review Only",1, TRUE,0)
))</f>
        <v/>
      </c>
      <c r="BF54" s="5" t="n"/>
      <c r="BG54" s="5" t="n"/>
      <c r="BH54" s="5" t="n"/>
      <c r="BI54" s="5" t="n"/>
      <c r="BJ54" s="5" t="n"/>
      <c r="BK54" s="5" t="n"/>
      <c r="BL54" s="5" t="n"/>
      <c r="BM54" s="5" t="n"/>
      <c r="BN54" s="5" t="n"/>
      <c r="BO54" s="5" t="n"/>
      <c r="BP54" s="5" t="n"/>
      <c r="BQ54" s="5" t="n"/>
      <c r="BR54" s="5" t="n"/>
      <c r="BS54" s="41">
        <f t="array" ref="BS54">MIN(100, MAX(0,
  IFERROR(_xlfn.XLOOKUP(BG54,'Lookup Tables'!$A$11:$A$16,'Lookup Tables'!$B$11:$B$16,0),0)
  + IFERROR(_xlfn.XLOOKUP(BR54,'Lookup Tables'!$M$11:$M$14,'Lookup Tables'!$N$11:$N$14,0),0)
  + IFERROR(_xlfn.XLOOKUP(BQ54,'Lookup Tables'!$J$11:$J$15,'Lookup Tables'!$K$11:$K$15,0),0)
  + IFERROR(_xlfn.XLOOKUP(BH54,'Lookup Tables'!$D$11:$D$15,'Lookup Tables'!$E$11:$E$15,0),0)
  + IFERROR(_xlfn.XLOOKUP(BJ54,'Lookup Tables'!$G$11:$G$16,'Lookup Tables'!$H$11:$H$16,0),0)
  + IFERROR(_xlfn.XLOOKUP(BN54,'Lookup Tables'!$P$11:$P$15,'Lookup Tables'!$Q$11:$Q$15,0),0)
  + _xlfn.IFS(BM54="No Evidence",10, BM54="Unknown",3, BM54="Likely",0, BM54="Confirmed",-10, TRUE,3)
  + IFERROR(_xlfn.XLOOKUP(BP54,'Lookup Tables'!$J$21:$J$24,'Lookup Tables'!$K$21:$K$24,0),0)
))</f>
        <v/>
      </c>
      <c r="BT54" s="5" t="n"/>
      <c r="BU54" s="5" t="n"/>
      <c r="BV54" s="5" t="n"/>
      <c r="BW54" s="5" t="n"/>
      <c r="BX54" s="5" t="n"/>
      <c r="BY54" s="5" t="n"/>
      <c r="BZ54" s="5" t="n"/>
      <c r="CA54" s="5" t="n"/>
      <c r="CB54" s="5" t="n"/>
      <c r="CC54" s="5" t="n"/>
      <c r="CD54" s="5" t="n"/>
      <c r="CE54" s="43">
        <f t="array" ref="CE54">MIN(100, MAX(0,
  IF(ISNUMBER(BV54)*AND(BV54&gt;0), 10, 0)
  + _xlfn.IFS(BY54="Independently Verified",25, BY54="Yes",15, TRUE,0)
  + IFERROR(_xlfn.XLOOKUP(BZ54,'Lookup Tables'!$A$21:$A$24,'Lookup Tables'!$B$21:$B$24,0),0)
  + IFERROR(_xlfn.XLOOKUP(CA54,'Lookup Tables'!$D$21:$D$24,'Lookup Tables'!$E$21:$E$24,0),0)
  + _xlfn.IFS(ISNUMBER(CB54)*AND(CB54&gt;=11),15, ISNUMBER(CB54)*AND(CB54&gt;=6),10, ISNUMBER(CB54)*AND(CB54&gt;=1),5, TRUE,0)
  + IFERROR(_xlfn.XLOOKUP(CC54,'Lookup Tables'!$G$21:$G$25,'Lookup Tables'!$H$21:$H$25,0),0)
  - IF(ISNUMBER(BW54)*AND(ISNUMBER(BV54))*AND(BW54&gt;BV54), 20, 0)
  - IF(AND(BY54="Yes", ISNUMBER(BW54), BW54&gt;60), 10, 0)
))</f>
        <v/>
      </c>
      <c r="CF54" s="5" t="n"/>
      <c r="CG54" s="5" t="n"/>
      <c r="CH54" s="5" t="n"/>
      <c r="CI54" s="5" t="n"/>
      <c r="CJ54" s="5" t="n"/>
      <c r="CK54" s="5" t="n"/>
      <c r="CL54" s="5" t="n"/>
      <c r="CM54" s="5" t="n"/>
      <c r="CN54" s="5" t="n"/>
      <c r="CO54" s="5" t="n"/>
      <c r="CP54" s="5" t="n"/>
      <c r="CQ54" s="5" t="n"/>
      <c r="CR54" s="5">
        <f>COUNTIF(CJ54:CQ54,"FAIL")</f>
        <v/>
      </c>
      <c r="CS54" s="5">
        <f>COUNTIF(CJ54:CQ54,"PARTIAL")</f>
        <v/>
      </c>
      <c r="CT54" s="5">
        <f>COUNTIF(CJ54:CQ54,"MISSING")</f>
        <v/>
      </c>
      <c r="CU54" s="5">
        <f>MIN(100,
  CR54*15
  + CS54*6
  + CT54*3
  + IFERROR(_xlfn.XLOOKUP(CW54,'Lookup Tables'!$M$21:$M$25,'Lookup Tables'!$N$21:$N$25,0),0)
)</f>
        <v/>
      </c>
      <c r="CV54" s="5">
        <f>IFERROR(
CHOOSE(
MATCH("FAIL",CJ54:CQ54,0),
"1-Specificity","2-Metric","3-Baseline","4-Target",
"5-Time Horizon","6-Scope","7-Verification","8-Consistency"
),
IFERROR(
CHOOSE(
MATCH("PARTIAL",CJ54:CQ54,0),
"1-Specificity","2-Metric","3-Baseline","4-Target",
"5-Time Horizon","6-Scope","7-Verification","8-Consistency"
),
"No failures"
)
)</f>
        <v/>
      </c>
      <c r="CW54" s="5" t="n"/>
      <c r="CX54" s="5" t="n"/>
      <c r="CY54" s="5" t="n"/>
      <c r="CZ54" s="5" t="n"/>
      <c r="DA54" s="5">
        <f>IF(OR(CU54&gt;=50,CW54="Material",CW54="Severe",AS54="Material",AS54="Severe",BF54="Material",BF54="Severe — Exclusion Trigger",AND(ISNUMBER(BS54),BS54&lt;30)),"Yes","No")</f>
        <v/>
      </c>
      <c r="DB54" s="5">
        <f>IF(OR(CR54&gt;=6,AW54="Confirmed Violation",AX54="Confirmed Breach"),"Yes — Automatic",IF(CW54="Severe","Yes — Requires Captain Confirmation","No"))</f>
        <v/>
      </c>
      <c r="DC54" s="5" t="n"/>
      <c r="DD54" s="5" t="n"/>
      <c r="DE54" s="5" t="n"/>
      <c r="DF54" s="5" t="n"/>
      <c r="DG54" s="5" t="n"/>
      <c r="DH54" s="5" t="n"/>
      <c r="DI54" s="5" t="n"/>
      <c r="DJ54" s="5" t="n"/>
      <c r="DK54" s="5" t="n"/>
      <c r="DL54" s="5">
        <f>IF(OR(IFERROR(VALUE(LEFT(DF54,1)),99)&lt;=2,IFERROR(VALUE(LEFT(DG54,1)),99)&lt;=2),"Flagged","Clear")</f>
        <v/>
      </c>
      <c r="DM54" s="5">
        <f>IF(OR(DA54="Yes",DB54&lt;&gt;"No",DH54="Unverified",DL54="Flagged"),"Yes","No")</f>
        <v/>
      </c>
      <c r="DN54" s="5">
        <f t="array" ref="DN54">MIN(100,
  IF(ISNUMBER(V54), _xlfn.IFS(V54&gt;=3,25, V54=2,15, V54=1,5, TRUE,0), 0)
  + IFERROR(_xlfn.IFS(VALUE(LEFT(DF54,1))=5,25, VALUE(LEFT(DF54,1))=4,20, VALUE(LEFT(DF54,1))=3,15, VALUE(LEFT(DF54,1))=2,8, TRUE,0), 15)
  + IFERROR(_xlfn.IFS(VALUE(LEFT(DG54,1))=5,25, VALUE(LEFT(DG54,1))=4,20, VALUE(LEFT(DG54,1))=3,15, VALUE(LEFT(DG54,1))=2,8, TRUE,0), 15)
  + _xlfn.IFS(DH54="Fully Verified",25, DH54="Partially Verified",12, TRUE,0)
)</f>
        <v/>
      </c>
      <c r="DO54" s="5">
        <f t="array" ref="DO54">_xlfn.IFS(
  ISBLANK(AR54), "Insufficient Evidence",
  AND(AR54&gt;=65, AJ54="Approved"), "Strong",
  AR54&gt;=65, "Adequate",
  AR54&gt;=40, "Adequate",
  AR54&gt;=20, "Weak",
  TRUE, "Insufficient Evidence"
)</f>
        <v/>
      </c>
      <c r="DP54" s="5">
        <f t="array" ref="DP54">_xlfn.IFS(
  ISBLANK(BS54), "Insufficient Evidence",
  BS54&gt;=65, "Strong",
  BS54&gt;=40, "Adequate",
  BS54&gt;=20, "Weak",
  TRUE, "Insufficient Evidence"
)</f>
        <v/>
      </c>
      <c r="DQ54" s="5">
        <f t="array" ref="DQ54">_xlfn.IFS(
  ISBLANK(BE54), "Insufficient Evidence",
  OR(AW54="Confirmed Violation", AX54="Confirmed Breach"), "Severe — Hard Trigger",
  BE54&gt;=65, "Strong",
  BE54&gt;=40, "Adequate",
  BE54&gt;=20, "Weak",
  TRUE, "Insufficient Evidence"
)</f>
        <v/>
      </c>
      <c r="DR54" s="5">
        <f t="array" ref="DR54">_xlfn.IFS(
  ISBLANK(CU54), "Insufficient Evidence",
  CU54&lt;=20, "Low Risk",
  CU54&lt;=50, "Moderate Risk",
  CU54&lt;=75, "High Risk",
  TRUE, "Very High Risk"
)</f>
        <v/>
      </c>
      <c r="DS54" s="5">
        <f t="array" ref="DS54">_xlfn.IFS(
  ISBLANK(CE54), "Insufficient Evidence",
  AND(ISNUMBER(BW54),ISNUMBER(BV54),BW54&gt;BV54), "Overclaiming Risk",
  CE54&gt;=65, "Strong",
  CE54&gt;=40, "Adequate",
  TRUE, "Weak"
)</f>
        <v/>
      </c>
      <c r="DT54" s="5">
        <f>IF(DB54="Yes — Automatic",0,ROUND((IF(ISNUMBER(AR54),AR54,0)*0.3+IF(ISNUMBER(BS54),BS54,0)*0.2+IF(ISNUMBER(BE54),BE54,0)*0.2+IF(ISNUMBER(CE54),CE54,0)*0.15+(100-IF(ISNUMBER(CU54),CU54,50))*0.15)*IF(DN54&gt;=75,1,IF(DN54&gt;=50,0.9,IF(DN54&gt;=25,0.75,0.6))),1))</f>
        <v/>
      </c>
      <c r="DU54" s="5">
        <f t="array" ref="DU54">_xlfn.IFS(
  DV54="Upgraded to Clear", "Clear",
  DV54="Downgraded to Watchlist", "Watchlist",
  DV54="Downgraded to Exclusion", "Exclusion Risk",
  DB54="Yes — Automatic", "Exclusion Risk",
  OR(AW54="Confirmed Violation", AX54="Confirmed Breach"), "Exclusion Risk",
  OR(V54=0, ISBLANK(V54), DN54&lt;20), "Insufficient Evidence",
  AND(DT54&gt;=65, DA54="No", DB54="No"), "Clear",
  OR(DT54&gt;=40, DA54="Yes"), "Watchlist",
  TRUE, "Exclusion Risk"
)</f>
        <v/>
      </c>
      <c r="DV54" s="5" t="n"/>
      <c r="DW54" s="5">
        <f t="array" ref="DW54">_xlfn.IFS(
  DU54="Exclusion Risk", "Exclude — Hard Trigger",
  DU54="Insufficient Evidence", "Watchlist — Further Evidence Needed",
  DU54="Watchlist", "Watchlist — Further Evidence Needed",
  AND(DU54="Clear", DT54&gt;=80), "Include — No Conditions",
  DU54="Clear", "Include — Monitor",
  TRUE, "Watchlist — Further Evidence Needed"
)</f>
        <v/>
      </c>
      <c r="DX54" s="5" t="n"/>
      <c r="DY54" s="5" t="n"/>
      <c r="DZ54" s="5" t="n"/>
      <c r="EA54" s="5" t="n"/>
      <c r="EB54" s="5">
        <f>IF(OR(V54=0, ISBLANK(V54)), "MISSING — No sources reviewed", "")</f>
        <v/>
      </c>
      <c r="EC54" s="5">
        <f>IF(AND(NOT(ISBLANK(DC54)), ISBLANK(DE54)), "PAGE REF MISSING", "")</f>
        <v/>
      </c>
    </row>
    <row r="55" ht="18" customHeight="1" s="60">
      <c r="A55" s="3" t="inlineStr">
        <is>
          <t>ABB Ltd</t>
        </is>
      </c>
      <c r="B55" s="3" t="inlineStr">
        <is>
          <t>ABJ</t>
        </is>
      </c>
      <c r="C55" s="3" t="inlineStr">
        <is>
          <t>CH0012221716</t>
        </is>
      </c>
      <c r="D55" s="3" t="n"/>
      <c r="E55" s="3" t="n"/>
      <c r="F55" s="3">
        <f>IF(ISBLANK('Universe Tracker'!F51),"",'Universe Tracker'!F51)</f>
        <v/>
      </c>
      <c r="G55" s="3">
        <f>IF(ISBLANK('Universe Tracker'!G51),"",'Universe Tracker'!G51)</f>
        <v/>
      </c>
      <c r="H55" s="3" t="n"/>
      <c r="I55" s="3" t="n"/>
      <c r="J55" s="3">
        <f>IF(ISBLANK(B55),"",B55&amp;"_"&amp;C55)</f>
        <v/>
      </c>
      <c r="K55" s="3" t="n"/>
      <c r="L55" s="3" t="n"/>
      <c r="M55" s="3" t="n"/>
      <c r="N55" s="3" t="n"/>
      <c r="O55" s="3" t="inlineStr">
        <is>
          <t>Yes</t>
        </is>
      </c>
      <c r="P55" s="3" t="inlineStr">
        <is>
          <t>Yes</t>
        </is>
      </c>
      <c r="Q55" s="3" t="n"/>
      <c r="R55" s="3" t="n"/>
      <c r="S55" s="3" t="n"/>
      <c r="T55" s="3" t="n"/>
      <c r="U55" s="3" t="n"/>
      <c r="V55" s="3" t="n"/>
      <c r="W55" s="3" t="n"/>
      <c r="X55" s="3" t="n"/>
      <c r="Y55" s="3">
        <f>IF(AND(V55&gt;=2,K55="Yes",L55="Yes"),"Sufficient",IF(AND(V55&gt;=1,OR(K55="Yes",L55="Yes")),"Thin","Insufficient"))</f>
        <v/>
      </c>
      <c r="Z55" s="3" t="n"/>
      <c r="AA55" s="3" t="n"/>
      <c r="AB55" s="3" t="n"/>
      <c r="AC55" s="3" t="n"/>
      <c r="AD55" s="3" t="n"/>
      <c r="AE55" s="3" t="n"/>
      <c r="AF55" s="3" t="n"/>
      <c r="AG55" s="3" t="n"/>
      <c r="AH55" s="3" t="n"/>
      <c r="AI55" s="3" t="n"/>
      <c r="AJ55" s="3" t="inlineStr">
        <is>
          <t>Targets set (1.5°C)</t>
        </is>
      </c>
      <c r="AK55" s="3" t="inlineStr">
        <is>
          <t>2030</t>
        </is>
      </c>
      <c r="AL55" s="3" t="n"/>
      <c r="AM55" s="3" t="n"/>
      <c r="AN55" s="3" t="n"/>
      <c r="AO55" s="3" t="n"/>
      <c r="AP55" s="3" t="n"/>
      <c r="AQ55" s="3" t="n"/>
      <c r="AR55" s="40">
        <f t="array" ref="AR55">MIN(100, MAX(0,
  IFERROR(_xlfn.XLOOKUP(AJ55,'Lookup Tables'!$A$2:$A$7,'Lookup Tables'!$B$2:$B$7,0),0)
  + IF(Z55="Yes", IF(IFERROR(_xlfn.XLOOKUP(AJ55,'Lookup Tables'!$A$2:$A$7,'Lookup Tables'!$B$2:$B$7,0),0)&lt;20, 5, 0), 0)
  + _xlfn.IFS(AB55="Yes", IF(ISNUMBER(AC55)*AND(AC55&lt;=2030),15,10), AB55="Long-term Only", 5, AB55="No", 0, TRUE, 0)
  + _xlfn.IFS(AF55="Full",10, AF55="Partial",5, AF55="Scope 2 Only",3, TRUE,0)
  + _xlfn.IFS(AG55="Yes", IF(ISNUMBER(AH55)*AND(AH55&gt;=5),10,6), AG55="Partial",4, TRUE,0)
  + _xlfn.IFS(AI55="Yes",5, AI55="Partial (material categories only)",3, TRUE,0)
  + _xlfn.IFS(AL55="Yes — Detailed",10, AL55="Yes — High Level",5, TRUE,0)
  + _xlfn.IFS(AM55="Yes — Quantified",15, AM55="Yes — Directional Only",7, TRUE,0)
  + _xlfn.IFS(AP55="Formal",5, AP55="Referenced",2, TRUE,0)
  + _xlfn.IFS(AQ55="No Issues Found",5, AQ55="Concern Identified",-5, AQ55="Severe Contradiction",-15, TRUE,0)
  + _xlfn.IFS(BC55="Reasonable Assurance",5, BC55="Limited Assurance",3, TRUE,0)
  - IF(AND(Z55="Yes", AI55="No"), 10, 0)
  - IF(AND(Z55="Yes", AM55="No"), 10, 0)
))</f>
        <v/>
      </c>
      <c r="AS55" s="3" t="n"/>
      <c r="AT55" s="3" t="n"/>
      <c r="AU55" s="3" t="n"/>
      <c r="AV55" s="3" t="n"/>
      <c r="AW55" s="3" t="n"/>
      <c r="AX55" s="3" t="n"/>
      <c r="AY55" s="3" t="n"/>
      <c r="AZ55" s="3" t="n"/>
      <c r="BA55" s="3" t="n"/>
      <c r="BB55" s="3" t="n"/>
      <c r="BC55" s="3" t="n"/>
      <c r="BD55" s="3" t="n"/>
      <c r="BE55" s="40">
        <f t="array" ref="BE55">MIN(100, MAX(0,
  IFERROR(_xlfn.XLOOKUP(AT55,'Lookup Tables'!$D$2:$D$6,'Lookup Tables'!$E$2:$E$6,0),0)
  + IFERROR(_xlfn.XLOOKUP(AV55,'Lookup Tables'!$G$2:$G$5,'Lookup Tables'!$H$2:$H$5,0),0)
  + IFERROR(_xlfn.XLOOKUP(AW55,'Lookup Tables'!$J$2:$J$5,'Lookup Tables'!$K$2:$K$5,0),0)
  + _xlfn.IFS(AX55="No Issues",10, AX55="Complaint Filed",3, AX55="Confirmed Breach",-15, TRUE,0)
  + IFERROR(_xlfn.XLOOKUP(AY55,'Lookup Tables'!$M$2:$M$6,'Lookup Tables'!$N$2:$N$6,0),0)
  + IFERROR(_xlfn.XLOOKUP(AZ55,'Lookup Tables'!$P$2:$P$6,'Lookup Tables'!$Q$2:$Q$6,0),0)
  + _xlfn.IFS(BA55="Formal Board Committee",5, BA55="Board Oversight Mentioned",2, TRUE,0)
  + _xlfn.IFS(BB55="Yes — Quantified Targets",5, BB55="Yes — Discretionary Only",2, TRUE,0)
  + _xlfn.IFS(BC55="Reasonable Assurance",5, BC55="Limited Assurance",3, BC55="Management Review Only",1, TRUE,0)
))</f>
        <v/>
      </c>
      <c r="BF55" s="3" t="n"/>
      <c r="BG55" s="3" t="n"/>
      <c r="BH55" s="3" t="n"/>
      <c r="BI55" s="3" t="n"/>
      <c r="BJ55" s="3" t="n"/>
      <c r="BK55" s="3" t="n"/>
      <c r="BL55" s="3" t="n"/>
      <c r="BM55" s="3" t="n"/>
      <c r="BN55" s="3" t="n"/>
      <c r="BO55" s="3" t="n"/>
      <c r="BP55" s="3" t="n"/>
      <c r="BQ55" s="3" t="n"/>
      <c r="BR55" s="3" t="n"/>
      <c r="BS55" s="42">
        <f t="array" ref="BS55">MIN(100, MAX(0,
  IFERROR(_xlfn.XLOOKUP(BG55,'Lookup Tables'!$A$11:$A$16,'Lookup Tables'!$B$11:$B$16,0),0)
  + IFERROR(_xlfn.XLOOKUP(BR55,'Lookup Tables'!$M$11:$M$14,'Lookup Tables'!$N$11:$N$14,0),0)
  + IFERROR(_xlfn.XLOOKUP(BQ55,'Lookup Tables'!$J$11:$J$15,'Lookup Tables'!$K$11:$K$15,0),0)
  + IFERROR(_xlfn.XLOOKUP(BH55,'Lookup Tables'!$D$11:$D$15,'Lookup Tables'!$E$11:$E$15,0),0)
  + IFERROR(_xlfn.XLOOKUP(BJ55,'Lookup Tables'!$G$11:$G$16,'Lookup Tables'!$H$11:$H$16,0),0)
  + IFERROR(_xlfn.XLOOKUP(BN55,'Lookup Tables'!$P$11:$P$15,'Lookup Tables'!$Q$11:$Q$15,0),0)
  + _xlfn.IFS(BM55="No Evidence",10, BM55="Unknown",3, BM55="Likely",0, BM55="Confirmed",-10, TRUE,3)
  + IFERROR(_xlfn.XLOOKUP(BP55,'Lookup Tables'!$J$21:$J$24,'Lookup Tables'!$K$21:$K$24,0),0)
))</f>
        <v/>
      </c>
      <c r="BT55" s="3" t="n"/>
      <c r="BU55" s="3" t="n"/>
      <c r="BV55" s="3" t="n"/>
      <c r="BW55" s="3" t="n"/>
      <c r="BX55" s="3" t="n"/>
      <c r="BY55" s="3" t="n"/>
      <c r="BZ55" s="3" t="n"/>
      <c r="CA55" s="3" t="n"/>
      <c r="CB55" s="3" t="n"/>
      <c r="CC55" s="3" t="n"/>
      <c r="CD55" s="3" t="n"/>
      <c r="CE55" s="44">
        <f t="array" ref="CE55">MIN(100, MAX(0,
  IF(ISNUMBER(BV55)*AND(BV55&gt;0), 10, 0)
  + _xlfn.IFS(BY55="Independently Verified",25, BY55="Yes",15, TRUE,0)
  + IFERROR(_xlfn.XLOOKUP(BZ55,'Lookup Tables'!$A$21:$A$24,'Lookup Tables'!$B$21:$B$24,0),0)
  + IFERROR(_xlfn.XLOOKUP(CA55,'Lookup Tables'!$D$21:$D$24,'Lookup Tables'!$E$21:$E$24,0),0)
  + _xlfn.IFS(ISNUMBER(CB55)*AND(CB55&gt;=11),15, ISNUMBER(CB55)*AND(CB55&gt;=6),10, ISNUMBER(CB55)*AND(CB55&gt;=1),5, TRUE,0)
  + IFERROR(_xlfn.XLOOKUP(CC55,'Lookup Tables'!$G$21:$G$25,'Lookup Tables'!$H$21:$H$25,0),0)
  - IF(ISNUMBER(BW55)*AND(ISNUMBER(BV55))*AND(BW55&gt;BV55), 20, 0)
  - IF(AND(BY55="Yes", ISNUMBER(BW55), BW55&gt;60), 10, 0)
))</f>
        <v/>
      </c>
      <c r="CF55" s="3" t="n"/>
      <c r="CG55" s="3" t="inlineStr">
        <is>
          <t>reaching net zero by 2050 ... aligned with the Corporate Net-Zero Standard of the Science Based [Targets initiative]</t>
        </is>
      </c>
      <c r="CH55" s="3" t="inlineStr">
        <is>
          <t>ABB Sustainability Statement 2025.pdf</t>
        </is>
      </c>
      <c r="CI55" s="3" t="n">
        <v>53</v>
      </c>
      <c r="CJ55" s="3" t="inlineStr">
        <is>
          <t>PASS</t>
        </is>
      </c>
      <c r="CK55" s="3" t="inlineStr">
        <is>
          <t>PASS</t>
        </is>
      </c>
      <c r="CL55" s="3" t="inlineStr">
        <is>
          <t>PASS</t>
        </is>
      </c>
      <c r="CM55" s="3" t="inlineStr">
        <is>
          <t>PASS</t>
        </is>
      </c>
      <c r="CN55" s="3" t="inlineStr">
        <is>
          <t>PASS</t>
        </is>
      </c>
      <c r="CO55" s="3" t="inlineStr">
        <is>
          <t>PASS</t>
        </is>
      </c>
      <c r="CP55" s="3" t="inlineStr">
        <is>
          <t>PASS</t>
        </is>
      </c>
      <c r="CQ55" s="3" t="inlineStr">
        <is>
          <t>PASS</t>
        </is>
      </c>
      <c r="CR55" s="3">
        <f>COUNTIF(CJ55:CQ55,"FAIL")</f>
        <v/>
      </c>
      <c r="CS55" s="3">
        <f>COUNTIF(CJ55:CQ55,"PARTIAL")</f>
        <v/>
      </c>
      <c r="CT55" s="3">
        <f>COUNTIF(CJ55:CQ55,"MISSING")</f>
        <v/>
      </c>
      <c r="CU55" s="3">
        <f>MIN(100,
  CR55*15
  + CS55*6
  + CT55*3
  + IFERROR(_xlfn.XLOOKUP(CW55,'Lookup Tables'!$M$21:$M$25,'Lookup Tables'!$N$21:$N$25,0),0)
)</f>
        <v/>
      </c>
      <c r="CV55" s="3">
        <f>IFERROR(
CHOOSE(
MATCH("FAIL",CJ55:CQ55,0),
"1-Specificity","2-Metric","3-Baseline","4-Target",
"5-Time Horizon","6-Scope","7-Verification","8-Consistency"
),
IFERROR(
CHOOSE(
MATCH("PARTIAL",CJ55:CQ55,0),
"1-Specificity","2-Metric","3-Baseline","4-Target",
"5-Time Horizon","6-Scope","7-Verification","8-Consistency"
),
"No failures"
)
)</f>
        <v/>
      </c>
      <c r="CW55" s="3" t="n"/>
      <c r="CX55" s="3" t="n"/>
      <c r="CY55" s="3" t="n"/>
      <c r="CZ55" s="3" t="n"/>
      <c r="DA55" s="3">
        <f>IF(OR(CU55&gt;=50,CW55="Material",CW55="Severe",AS55="Material",AS55="Severe",BF55="Material",BF55="Severe — Exclusion Trigger",AND(ISNUMBER(BS55),BS55&lt;30)),"Yes","No")</f>
        <v/>
      </c>
      <c r="DB55" s="3">
        <f>IF(OR(CR55&gt;=6,AW55="Confirmed Violation",AX55="Confirmed Breach"),"Yes — Automatic",IF(CW55="Severe","Yes — Requires Captain Confirmation","No"))</f>
        <v/>
      </c>
      <c r="DC55" s="3" t="inlineStr">
        <is>
          <t>reaching net zero by 2050 ... aligned with the Corporate Net-Zero Standard of the Science Based [Targets initiative]</t>
        </is>
      </c>
      <c r="DD55" s="3" t="inlineStr">
        <is>
          <t>ABB Sustainability Statement 2025.pdf</t>
        </is>
      </c>
      <c r="DE55" s="3" t="n">
        <v>53</v>
      </c>
      <c r="DF55" s="3" t="n">
        <v>4</v>
      </c>
      <c r="DG55" s="3" t="n">
        <v>4</v>
      </c>
      <c r="DH55" s="3" t="inlineStr">
        <is>
          <t>PENDING</t>
        </is>
      </c>
      <c r="DI55" s="3" t="n"/>
      <c r="DJ55" s="3" t="n"/>
      <c r="DK55" s="3" t="n"/>
      <c r="DL55" s="3">
        <f>IF(OR(IFERROR(VALUE(LEFT(DF55,1)),99)&lt;=2,IFERROR(VALUE(LEFT(DG55,1)),99)&lt;=2),"Flagged","Clear")</f>
        <v/>
      </c>
      <c r="DM55" s="3">
        <f>IF(OR(DA55="Yes",DB55&lt;&gt;"No",DH55="Unverified",DL55="Flagged"),"Yes","No")</f>
        <v/>
      </c>
      <c r="DN55" s="3">
        <f t="array" ref="DN55">MIN(100,
  IF(ISNUMBER(V55), _xlfn.IFS(V55&gt;=3,25, V55=2,15, V55=1,5, TRUE,0), 0)
  + IFERROR(_xlfn.IFS(VALUE(LEFT(DF55,1))=5,25, VALUE(LEFT(DF55,1))=4,20, VALUE(LEFT(DF55,1))=3,15, VALUE(LEFT(DF55,1))=2,8, TRUE,0), 15)
  + IFERROR(_xlfn.IFS(VALUE(LEFT(DG55,1))=5,25, VALUE(LEFT(DG55,1))=4,20, VALUE(LEFT(DG55,1))=3,15, VALUE(LEFT(DG55,1))=2,8, TRUE,0), 15)
  + _xlfn.IFS(DH55="Fully Verified",25, DH55="Partially Verified",12, TRUE,0)
)</f>
        <v/>
      </c>
      <c r="DO55" s="3">
        <f t="array" ref="DO55">_xlfn.IFS(
  ISBLANK(AR55), "Insufficient Evidence",
  AND(AR55&gt;=65, AJ55="Approved"), "Strong",
  AR55&gt;=65, "Adequate",
  AR55&gt;=40, "Adequate",
  AR55&gt;=20, "Weak",
  TRUE, "Insufficient Evidence"
)</f>
        <v/>
      </c>
      <c r="DP55" s="3">
        <f t="array" ref="DP55">_xlfn.IFS(
  ISBLANK(BS55), "Insufficient Evidence",
  BS55&gt;=65, "Strong",
  BS55&gt;=40, "Adequate",
  BS55&gt;=20, "Weak",
  TRUE, "Insufficient Evidence"
)</f>
        <v/>
      </c>
      <c r="DQ55" s="3">
        <f t="array" ref="DQ55">_xlfn.IFS(
  ISBLANK(BE55), "Insufficient Evidence",
  OR(AW55="Confirmed Violation", AX55="Confirmed Breach"), "Severe — Hard Trigger",
  BE55&gt;=65, "Strong",
  BE55&gt;=40, "Adequate",
  BE55&gt;=20, "Weak",
  TRUE, "Insufficient Evidence"
)</f>
        <v/>
      </c>
      <c r="DR55" s="3">
        <f t="array" ref="DR55">_xlfn.IFS(
  ISBLANK(CU55), "Insufficient Evidence",
  CU55&lt;=20, "Low Risk",
  CU55&lt;=50, "Moderate Risk",
  CU55&lt;=75, "High Risk",
  TRUE, "Very High Risk"
)</f>
        <v/>
      </c>
      <c r="DS55" s="3">
        <f t="array" ref="DS55">_xlfn.IFS(
  ISBLANK(CE55), "Insufficient Evidence",
  AND(ISNUMBER(BW55),ISNUMBER(BV55),BW55&gt;BV55), "Overclaiming Risk",
  CE55&gt;=65, "Strong",
  CE55&gt;=40, "Adequate",
  TRUE, "Weak"
)</f>
        <v/>
      </c>
      <c r="DT55" s="3">
        <f>IF(DB55="Yes — Automatic",0,ROUND((IF(ISNUMBER(AR55),AR55,0)*0.3+IF(ISNUMBER(BS55),BS55,0)*0.2+IF(ISNUMBER(BE55),BE55,0)*0.2+IF(ISNUMBER(CE55),CE55,0)*0.15+(100-IF(ISNUMBER(CU55),CU55,50))*0.15)*IF(DN55&gt;=75,1,IF(DN55&gt;=50,0.9,IF(DN55&gt;=25,0.75,0.6))),1))</f>
        <v/>
      </c>
      <c r="DU55" s="3">
        <f t="array" ref="DU55">_xlfn.IFS(
  DV55="Upgraded to Clear", "Clear",
  DV55="Downgraded to Watchlist", "Watchlist",
  DV55="Downgraded to Exclusion", "Exclusion Risk",
  DB55="Yes — Automatic", "Exclusion Risk",
  OR(AW55="Confirmed Violation", AX55="Confirmed Breach"), "Exclusion Risk",
  OR(V55=0, ISBLANK(V55), DN55&lt;20), "Insufficient Evidence",
  AND(DT55&gt;=65, DA55="No", DB55="No"), "Clear",
  OR(DT55&gt;=40, DA55="Yes"), "Watchlist",
  TRUE, "Exclusion Risk"
)</f>
        <v/>
      </c>
      <c r="DV55" s="3" t="n"/>
      <c r="DW55" s="3">
        <f t="array" ref="DW55">_xlfn.IFS(
  DU55="Exclusion Risk", "Exclude — Hard Trigger",
  DU55="Insufficient Evidence", "Watchlist — Further Evidence Needed",
  DU55="Watchlist", "Watchlist — Further Evidence Needed",
  AND(DU55="Clear", DT55&gt;=80), "Include — No Conditions",
  DU55="Clear", "Include — Monitor",
  TRUE, "Watchlist — Further Evidence Needed"
)</f>
        <v/>
      </c>
      <c r="DX55" s="3" t="inlineStr">
        <is>
          <t>Main claim: "reaching net zero by 2050 ... aligned with the Corporate Net-Zero Standard of the Science Based [Targets initiative]" (ABB Sustainability Statement 2025.pdf, p53). SBTi: Targets set, 1.5°C near-term target (2030). 8-Test: 0 PARTIAL, 0 FAIL, 0 MISSING -&gt; PASS. CSRD/ESRS Sustainability Statement. Strong throughout — SBTi-validated Net-Zero-Standard targets, explicit 2019/2022 baselines, KPMG limited assurance, disclosed climate capex. One MED (limited assurance level).</t>
        </is>
      </c>
      <c r="DY55" s="3" t="n"/>
      <c r="DZ55" s="3" t="n"/>
      <c r="EA55" s="3" t="n"/>
      <c r="EB55" s="3">
        <f>IF(OR(V55=0, ISBLANK(V55)), "MISSING — No sources reviewed", "")</f>
        <v/>
      </c>
      <c r="EC55" s="3">
        <f>IF(AND(NOT(ISBLANK(DC55)), ISBLANK(DE55)), "PAGE REF MISSING", "")</f>
        <v/>
      </c>
    </row>
    <row r="56" ht="18" customHeight="1" s="60">
      <c r="A56" s="5" t="inlineStr">
        <is>
          <t>Volvo AB</t>
        </is>
      </c>
      <c r="B56" s="5" t="inlineStr">
        <is>
          <t>VOL3</t>
        </is>
      </c>
      <c r="C56" s="5">
        <f>IF(ISBLANK('Universe Tracker'!D52),"",'Universe Tracker'!D52)</f>
        <v/>
      </c>
      <c r="D56" s="5" t="n"/>
      <c r="E56" s="5" t="n"/>
      <c r="F56" s="5">
        <f>IF(ISBLANK('Universe Tracker'!F52),"",'Universe Tracker'!F52)</f>
        <v/>
      </c>
      <c r="G56" s="5">
        <f>IF(ISBLANK('Universe Tracker'!G52),"",'Universe Tracker'!G52)</f>
        <v/>
      </c>
      <c r="H56" s="5" t="n"/>
      <c r="I56" s="5" t="n"/>
      <c r="J56" s="5">
        <f>IF(ISBLANK(B56),"",B56&amp;"_"&amp;C56)</f>
        <v/>
      </c>
      <c r="K56" s="5" t="n"/>
      <c r="L56" s="5" t="n"/>
      <c r="M56" s="5" t="n"/>
      <c r="N56" s="5" t="n"/>
      <c r="O56" s="5" t="n"/>
      <c r="P56" s="5" t="n"/>
      <c r="Q56" s="5" t="n"/>
      <c r="R56" s="5" t="n"/>
      <c r="S56" s="5" t="n"/>
      <c r="T56" s="5" t="n"/>
      <c r="U56" s="5" t="n"/>
      <c r="V56" s="5" t="n"/>
      <c r="W56" s="5" t="n"/>
      <c r="X56" s="5" t="n"/>
      <c r="Y56" s="5">
        <f>IF(AND(V56&gt;=2,K56="Yes",L56="Yes"),"Sufficient",IF(AND(V56&gt;=1,OR(K56="Yes",L56="Yes")),"Thin","Insufficient"))</f>
        <v/>
      </c>
      <c r="Z56" s="5" t="n"/>
      <c r="AA56" s="5" t="n"/>
      <c r="AB56" s="5" t="n"/>
      <c r="AC56" s="5" t="n"/>
      <c r="AD56" s="5" t="n"/>
      <c r="AE56" s="5" t="n"/>
      <c r="AF56" s="5" t="n"/>
      <c r="AG56" s="5" t="n"/>
      <c r="AH56" s="5" t="n"/>
      <c r="AI56" s="5" t="n"/>
      <c r="AJ56" s="5" t="n"/>
      <c r="AK56" s="5" t="n"/>
      <c r="AL56" s="5" t="n"/>
      <c r="AM56" s="5" t="n"/>
      <c r="AN56" s="5" t="n"/>
      <c r="AO56" s="5" t="n"/>
      <c r="AP56" s="5" t="n"/>
      <c r="AQ56" s="5" t="n"/>
      <c r="AR56" s="40">
        <f t="array" ref="AR56">MIN(100, MAX(0,
  IFERROR(_xlfn.XLOOKUP(AJ56,'Lookup Tables'!$A$2:$A$7,'Lookup Tables'!$B$2:$B$7,0),0)
  + IF(Z56="Yes", IF(IFERROR(_xlfn.XLOOKUP(AJ56,'Lookup Tables'!$A$2:$A$7,'Lookup Tables'!$B$2:$B$7,0),0)&lt;20, 5, 0), 0)
  + _xlfn.IFS(AB56="Yes", IF(ISNUMBER(AC56)*AND(AC56&lt;=2030),15,10), AB56="Long-term Only", 5, AB56="No", 0, TRUE, 0)
  + _xlfn.IFS(AF56="Full",10, AF56="Partial",5, AF56="Scope 2 Only",3, TRUE,0)
  + _xlfn.IFS(AG56="Yes", IF(ISNUMBER(AH56)*AND(AH56&gt;=5),10,6), AG56="Partial",4, TRUE,0)
  + _xlfn.IFS(AI56="Yes",5, AI56="Partial (material categories only)",3, TRUE,0)
  + _xlfn.IFS(AL56="Yes — Detailed",10, AL56="Yes — High Level",5, TRUE,0)
  + _xlfn.IFS(AM56="Yes — Quantified",15, AM56="Yes — Directional Only",7, TRUE,0)
  + _xlfn.IFS(AP56="Formal",5, AP56="Referenced",2, TRUE,0)
  + _xlfn.IFS(AQ56="No Issues Found",5, AQ56="Concern Identified",-5, AQ56="Severe Contradiction",-15, TRUE,0)
  + _xlfn.IFS(BC56="Reasonable Assurance",5, BC56="Limited Assurance",3, TRUE,0)
  - IF(AND(Z56="Yes", AI56="No"), 10, 0)
  - IF(AND(Z56="Yes", AM56="No"), 10, 0)
))</f>
        <v/>
      </c>
      <c r="AS56" s="5" t="n"/>
      <c r="AT56" s="5" t="n"/>
      <c r="AU56" s="5" t="n"/>
      <c r="AV56" s="5" t="n"/>
      <c r="AW56" s="5" t="n"/>
      <c r="AX56" s="5" t="n"/>
      <c r="AY56" s="5" t="n"/>
      <c r="AZ56" s="5" t="n"/>
      <c r="BA56" s="5" t="n"/>
      <c r="BB56" s="5" t="n"/>
      <c r="BC56" s="5" t="n"/>
      <c r="BD56" s="5" t="n"/>
      <c r="BE56" s="39">
        <f t="array" ref="BE56">MIN(100, MAX(0,
  IFERROR(_xlfn.XLOOKUP(AT56,'Lookup Tables'!$D$2:$D$6,'Lookup Tables'!$E$2:$E$6,0),0)
  + IFERROR(_xlfn.XLOOKUP(AV56,'Lookup Tables'!$G$2:$G$5,'Lookup Tables'!$H$2:$H$5,0),0)
  + IFERROR(_xlfn.XLOOKUP(AW56,'Lookup Tables'!$J$2:$J$5,'Lookup Tables'!$K$2:$K$5,0),0)
  + _xlfn.IFS(AX56="No Issues",10, AX56="Complaint Filed",3, AX56="Confirmed Breach",-15, TRUE,0)
  + IFERROR(_xlfn.XLOOKUP(AY56,'Lookup Tables'!$M$2:$M$6,'Lookup Tables'!$N$2:$N$6,0),0)
  + IFERROR(_xlfn.XLOOKUP(AZ56,'Lookup Tables'!$P$2:$P$6,'Lookup Tables'!$Q$2:$Q$6,0),0)
  + _xlfn.IFS(BA56="Formal Board Committee",5, BA56="Board Oversight Mentioned",2, TRUE,0)
  + _xlfn.IFS(BB56="Yes — Quantified Targets",5, BB56="Yes — Discretionary Only",2, TRUE,0)
  + _xlfn.IFS(BC56="Reasonable Assurance",5, BC56="Limited Assurance",3, BC56="Management Review Only",1, TRUE,0)
))</f>
        <v/>
      </c>
      <c r="BF56" s="5" t="n"/>
      <c r="BG56" s="5" t="n"/>
      <c r="BH56" s="5" t="n"/>
      <c r="BI56" s="5" t="n"/>
      <c r="BJ56" s="5" t="n"/>
      <c r="BK56" s="5" t="n"/>
      <c r="BL56" s="5" t="n"/>
      <c r="BM56" s="5" t="n"/>
      <c r="BN56" s="5" t="n"/>
      <c r="BO56" s="5" t="n"/>
      <c r="BP56" s="5" t="n"/>
      <c r="BQ56" s="5" t="n"/>
      <c r="BR56" s="5" t="n"/>
      <c r="BS56" s="41">
        <f t="array" ref="BS56">MIN(100, MAX(0,
  IFERROR(_xlfn.XLOOKUP(BG56,'Lookup Tables'!$A$11:$A$16,'Lookup Tables'!$B$11:$B$16,0),0)
  + IFERROR(_xlfn.XLOOKUP(BR56,'Lookup Tables'!$M$11:$M$14,'Lookup Tables'!$N$11:$N$14,0),0)
  + IFERROR(_xlfn.XLOOKUP(BQ56,'Lookup Tables'!$J$11:$J$15,'Lookup Tables'!$K$11:$K$15,0),0)
  + IFERROR(_xlfn.XLOOKUP(BH56,'Lookup Tables'!$D$11:$D$15,'Lookup Tables'!$E$11:$E$15,0),0)
  + IFERROR(_xlfn.XLOOKUP(BJ56,'Lookup Tables'!$G$11:$G$16,'Lookup Tables'!$H$11:$H$16,0),0)
  + IFERROR(_xlfn.XLOOKUP(BN56,'Lookup Tables'!$P$11:$P$15,'Lookup Tables'!$Q$11:$Q$15,0),0)
  + _xlfn.IFS(BM56="No Evidence",10, BM56="Unknown",3, BM56="Likely",0, BM56="Confirmed",-10, TRUE,3)
  + IFERROR(_xlfn.XLOOKUP(BP56,'Lookup Tables'!$J$21:$J$24,'Lookup Tables'!$K$21:$K$24,0),0)
))</f>
        <v/>
      </c>
      <c r="BT56" s="5" t="n"/>
      <c r="BU56" s="5" t="n"/>
      <c r="BV56" s="5" t="n"/>
      <c r="BW56" s="5" t="n"/>
      <c r="BX56" s="5" t="n"/>
      <c r="BY56" s="5" t="n"/>
      <c r="BZ56" s="5" t="n"/>
      <c r="CA56" s="5" t="n"/>
      <c r="CB56" s="5" t="n"/>
      <c r="CC56" s="5" t="n"/>
      <c r="CD56" s="5" t="n"/>
      <c r="CE56" s="43">
        <f t="array" ref="CE56">MIN(100, MAX(0,
  IF(ISNUMBER(BV56)*AND(BV56&gt;0), 10, 0)
  + _xlfn.IFS(BY56="Independently Verified",25, BY56="Yes",15, TRUE,0)
  + IFERROR(_xlfn.XLOOKUP(BZ56,'Lookup Tables'!$A$21:$A$24,'Lookup Tables'!$B$21:$B$24,0),0)
  + IFERROR(_xlfn.XLOOKUP(CA56,'Lookup Tables'!$D$21:$D$24,'Lookup Tables'!$E$21:$E$24,0),0)
  + _xlfn.IFS(ISNUMBER(CB56)*AND(CB56&gt;=11),15, ISNUMBER(CB56)*AND(CB56&gt;=6),10, ISNUMBER(CB56)*AND(CB56&gt;=1),5, TRUE,0)
  + IFERROR(_xlfn.XLOOKUP(CC56,'Lookup Tables'!$G$21:$G$25,'Lookup Tables'!$H$21:$H$25,0),0)
  - IF(ISNUMBER(BW56)*AND(ISNUMBER(BV56))*AND(BW56&gt;BV56), 20, 0)
  - IF(AND(BY56="Yes", ISNUMBER(BW56), BW56&gt;60), 10, 0)
))</f>
        <v/>
      </c>
      <c r="CF56" s="5" t="n"/>
      <c r="CG56" s="5" t="n"/>
      <c r="CH56" s="5" t="n"/>
      <c r="CI56" s="5" t="n"/>
      <c r="CJ56" s="5" t="n"/>
      <c r="CK56" s="5" t="n"/>
      <c r="CL56" s="5" t="n"/>
      <c r="CM56" s="5" t="n"/>
      <c r="CN56" s="5" t="n"/>
      <c r="CO56" s="5" t="n"/>
      <c r="CP56" s="5" t="n"/>
      <c r="CQ56" s="5" t="n"/>
      <c r="CR56" s="5">
        <f>COUNTIF(CJ56:CQ56,"FAIL")</f>
        <v/>
      </c>
      <c r="CS56" s="5">
        <f>COUNTIF(CJ56:CQ56,"PARTIAL")</f>
        <v/>
      </c>
      <c r="CT56" s="5">
        <f>COUNTIF(CJ56:CQ56,"MISSING")</f>
        <v/>
      </c>
      <c r="CU56" s="5">
        <f>MIN(100,
  CR56*15
  + CS56*6
  + CT56*3
  + IFERROR(_xlfn.XLOOKUP(CW56,'Lookup Tables'!$M$21:$M$25,'Lookup Tables'!$N$21:$N$25,0),0)
)</f>
        <v/>
      </c>
      <c r="CV56" s="5">
        <f>IFERROR(
CHOOSE(
MATCH("FAIL",CJ56:CQ56,0),
"1-Specificity","2-Metric","3-Baseline","4-Target",
"5-Time Horizon","6-Scope","7-Verification","8-Consistency"
),
IFERROR(
CHOOSE(
MATCH("PARTIAL",CJ56:CQ56,0),
"1-Specificity","2-Metric","3-Baseline","4-Target",
"5-Time Horizon","6-Scope","7-Verification","8-Consistency"
),
"No failures"
)
)</f>
        <v/>
      </c>
      <c r="CW56" s="5" t="n"/>
      <c r="CX56" s="5" t="n"/>
      <c r="CY56" s="5" t="n"/>
      <c r="CZ56" s="5" t="n"/>
      <c r="DA56" s="5">
        <f>IF(OR(CU56&gt;=50,CW56="Material",CW56="Severe",AS56="Material",AS56="Severe",BF56="Material",BF56="Severe — Exclusion Trigger",AND(ISNUMBER(BS56),BS56&lt;30)),"Yes","No")</f>
        <v/>
      </c>
      <c r="DB56" s="5">
        <f>IF(OR(CR56&gt;=6,AW56="Confirmed Violation",AX56="Confirmed Breach"),"Yes — Automatic",IF(CW56="Severe","Yes — Requires Captain Confirmation","No"))</f>
        <v/>
      </c>
      <c r="DC56" s="5" t="n"/>
      <c r="DD56" s="5" t="n"/>
      <c r="DE56" s="5" t="n"/>
      <c r="DF56" s="5" t="n"/>
      <c r="DG56" s="5" t="n"/>
      <c r="DH56" s="5" t="n"/>
      <c r="DI56" s="5" t="n"/>
      <c r="DJ56" s="5" t="n"/>
      <c r="DK56" s="5" t="n"/>
      <c r="DL56" s="5">
        <f>IF(OR(IFERROR(VALUE(LEFT(DF56,1)),99)&lt;=2,IFERROR(VALUE(LEFT(DG56,1)),99)&lt;=2),"Flagged","Clear")</f>
        <v/>
      </c>
      <c r="DM56" s="5">
        <f>IF(OR(DA56="Yes",DB56&lt;&gt;"No",DH56="Unverified",DL56="Flagged"),"Yes","No")</f>
        <v/>
      </c>
      <c r="DN56" s="5">
        <f t="array" ref="DN56">MIN(100,
  IF(ISNUMBER(V56), _xlfn.IFS(V56&gt;=3,25, V56=2,15, V56=1,5, TRUE,0), 0)
  + IFERROR(_xlfn.IFS(VALUE(LEFT(DF56,1))=5,25, VALUE(LEFT(DF56,1))=4,20, VALUE(LEFT(DF56,1))=3,15, VALUE(LEFT(DF56,1))=2,8, TRUE,0), 15)
  + IFERROR(_xlfn.IFS(VALUE(LEFT(DG56,1))=5,25, VALUE(LEFT(DG56,1))=4,20, VALUE(LEFT(DG56,1))=3,15, VALUE(LEFT(DG56,1))=2,8, TRUE,0), 15)
  + _xlfn.IFS(DH56="Fully Verified",25, DH56="Partially Verified",12, TRUE,0)
)</f>
        <v/>
      </c>
      <c r="DO56" s="5">
        <f t="array" ref="DO56">_xlfn.IFS(
  ISBLANK(AR56), "Insufficient Evidence",
  AND(AR56&gt;=65, AJ56="Approved"), "Strong",
  AR56&gt;=65, "Adequate",
  AR56&gt;=40, "Adequate",
  AR56&gt;=20, "Weak",
  TRUE, "Insufficient Evidence"
)</f>
        <v/>
      </c>
      <c r="DP56" s="5">
        <f t="array" ref="DP56">_xlfn.IFS(
  ISBLANK(BS56), "Insufficient Evidence",
  BS56&gt;=65, "Strong",
  BS56&gt;=40, "Adequate",
  BS56&gt;=20, "Weak",
  TRUE, "Insufficient Evidence"
)</f>
        <v/>
      </c>
      <c r="DQ56" s="5">
        <f t="array" ref="DQ56">_xlfn.IFS(
  ISBLANK(BE56), "Insufficient Evidence",
  OR(AW56="Confirmed Violation", AX56="Confirmed Breach"), "Severe — Hard Trigger",
  BE56&gt;=65, "Strong",
  BE56&gt;=40, "Adequate",
  BE56&gt;=20, "Weak",
  TRUE, "Insufficient Evidence"
)</f>
        <v/>
      </c>
      <c r="DR56" s="5">
        <f t="array" ref="DR56">_xlfn.IFS(
  ISBLANK(CU56), "Insufficient Evidence",
  CU56&lt;=20, "Low Risk",
  CU56&lt;=50, "Moderate Risk",
  CU56&lt;=75, "High Risk",
  TRUE, "Very High Risk"
)</f>
        <v/>
      </c>
      <c r="DS56" s="5">
        <f t="array" ref="DS56">_xlfn.IFS(
  ISBLANK(CE56), "Insufficient Evidence",
  AND(ISNUMBER(BW56),ISNUMBER(BV56),BW56&gt;BV56), "Overclaiming Risk",
  CE56&gt;=65, "Strong",
  CE56&gt;=40, "Adequate",
  TRUE, "Weak"
)</f>
        <v/>
      </c>
      <c r="DT56" s="5">
        <f>IF(DB56="Yes — Automatic",0,ROUND((IF(ISNUMBER(AR56),AR56,0)*0.3+IF(ISNUMBER(BS56),BS56,0)*0.2+IF(ISNUMBER(BE56),BE56,0)*0.2+IF(ISNUMBER(CE56),CE56,0)*0.15+(100-IF(ISNUMBER(CU56),CU56,50))*0.15)*IF(DN56&gt;=75,1,IF(DN56&gt;=50,0.9,IF(DN56&gt;=25,0.75,0.6))),1))</f>
        <v/>
      </c>
      <c r="DU56" s="5">
        <f t="array" ref="DU56">_xlfn.IFS(
  DV56="Upgraded to Clear", "Clear",
  DV56="Downgraded to Watchlist", "Watchlist",
  DV56="Downgraded to Exclusion", "Exclusion Risk",
  DB56="Yes — Automatic", "Exclusion Risk",
  OR(AW56="Confirmed Violation", AX56="Confirmed Breach"), "Exclusion Risk",
  OR(V56=0, ISBLANK(V56), DN56&lt;20), "Insufficient Evidence",
  AND(DT56&gt;=65, DA56="No", DB56="No"), "Clear",
  OR(DT56&gt;=40, DA56="Yes"), "Watchlist",
  TRUE, "Exclusion Risk"
)</f>
        <v/>
      </c>
      <c r="DV56" s="5" t="n"/>
      <c r="DW56" s="5">
        <f t="array" ref="DW56">_xlfn.IFS(
  DU56="Exclusion Risk", "Exclude — Hard Trigger",
  DU56="Insufficient Evidence", "Watchlist — Further Evidence Needed",
  DU56="Watchlist", "Watchlist — Further Evidence Needed",
  AND(DU56="Clear", DT56&gt;=80), "Include — No Conditions",
  DU56="Clear", "Include — Monitor",
  TRUE, "Watchlist — Further Evidence Needed"
)</f>
        <v/>
      </c>
      <c r="DX56" s="5" t="n"/>
      <c r="DY56" s="5" t="n"/>
      <c r="DZ56" s="5" t="n"/>
      <c r="EA56" s="5" t="n"/>
      <c r="EB56" s="5">
        <f>IF(OR(V56=0, ISBLANK(V56)), "MISSING — No sources reviewed", "")</f>
        <v/>
      </c>
      <c r="EC56" s="5">
        <f>IF(AND(NOT(ISBLANK(DC56)), ISBLANK(DE56)), "PAGE REF MISSING", "")</f>
        <v/>
      </c>
    </row>
    <row r="57" ht="18" customHeight="1" s="60">
      <c r="A57" s="3" t="inlineStr">
        <is>
          <t>Man Group PLC/Jersey</t>
        </is>
      </c>
      <c r="B57" s="3" t="inlineStr">
        <is>
          <t>M3N</t>
        </is>
      </c>
      <c r="C57" s="3">
        <f>IF(ISBLANK('Universe Tracker'!D53),"",'Universe Tracker'!D53)</f>
        <v/>
      </c>
      <c r="D57" s="3" t="n"/>
      <c r="E57" s="3" t="n"/>
      <c r="F57" s="3">
        <f>IF(ISBLANK('Universe Tracker'!F53),"",'Universe Tracker'!F53)</f>
        <v/>
      </c>
      <c r="G57" s="3">
        <f>IF(ISBLANK('Universe Tracker'!G53),"",'Universe Tracker'!G53)</f>
        <v/>
      </c>
      <c r="H57" s="3" t="n"/>
      <c r="I57" s="3" t="n"/>
      <c r="J57" s="3">
        <f>IF(ISBLANK(B57),"",B57&amp;"_"&amp;C57)</f>
        <v/>
      </c>
      <c r="K57" s="3" t="n"/>
      <c r="L57" s="3" t="n"/>
      <c r="M57" s="3" t="n"/>
      <c r="N57" s="3" t="n"/>
      <c r="O57" s="3" t="n"/>
      <c r="P57" s="3" t="n"/>
      <c r="Q57" s="3" t="n"/>
      <c r="R57" s="3" t="n"/>
      <c r="S57" s="3" t="n"/>
      <c r="T57" s="3" t="n"/>
      <c r="U57" s="3" t="n"/>
      <c r="V57" s="3" t="n"/>
      <c r="W57" s="3" t="n"/>
      <c r="X57" s="3" t="n"/>
      <c r="Y57" s="3">
        <f>IF(AND(V57&gt;=2,K57="Yes",L57="Yes"),"Sufficient",IF(AND(V57&gt;=1,OR(K57="Yes",L57="Yes")),"Thin","Insufficient"))</f>
        <v/>
      </c>
      <c r="Z57" s="3" t="n"/>
      <c r="AA57" s="3" t="n"/>
      <c r="AB57" s="3" t="n"/>
      <c r="AC57" s="3" t="n"/>
      <c r="AD57" s="3" t="n"/>
      <c r="AE57" s="3" t="n"/>
      <c r="AF57" s="3" t="n"/>
      <c r="AG57" s="3" t="n"/>
      <c r="AH57" s="3" t="n"/>
      <c r="AI57" s="3" t="n"/>
      <c r="AJ57" s="3" t="n"/>
      <c r="AK57" s="3" t="n"/>
      <c r="AL57" s="3" t="n"/>
      <c r="AM57" s="3" t="n"/>
      <c r="AN57" s="3" t="n"/>
      <c r="AO57" s="3" t="n"/>
      <c r="AP57" s="3" t="n"/>
      <c r="AQ57" s="3" t="n"/>
      <c r="AR57" s="40">
        <f t="array" ref="AR57">MIN(100, MAX(0,
  IFERROR(_xlfn.XLOOKUP(AJ57,'Lookup Tables'!$A$2:$A$7,'Lookup Tables'!$B$2:$B$7,0),0)
  + IF(Z57="Yes", IF(IFERROR(_xlfn.XLOOKUP(AJ57,'Lookup Tables'!$A$2:$A$7,'Lookup Tables'!$B$2:$B$7,0),0)&lt;20, 5, 0), 0)
  + _xlfn.IFS(AB57="Yes", IF(ISNUMBER(AC57)*AND(AC57&lt;=2030),15,10), AB57="Long-term Only", 5, AB57="No", 0, TRUE, 0)
  + _xlfn.IFS(AF57="Full",10, AF57="Partial",5, AF57="Scope 2 Only",3, TRUE,0)
  + _xlfn.IFS(AG57="Yes", IF(ISNUMBER(AH57)*AND(AH57&gt;=5),10,6), AG57="Partial",4, TRUE,0)
  + _xlfn.IFS(AI57="Yes",5, AI57="Partial (material categories only)",3, TRUE,0)
  + _xlfn.IFS(AL57="Yes — Detailed",10, AL57="Yes — High Level",5, TRUE,0)
  + _xlfn.IFS(AM57="Yes — Quantified",15, AM57="Yes — Directional Only",7, TRUE,0)
  + _xlfn.IFS(AP57="Formal",5, AP57="Referenced",2, TRUE,0)
  + _xlfn.IFS(AQ57="No Issues Found",5, AQ57="Concern Identified",-5, AQ57="Severe Contradiction",-15, TRUE,0)
  + _xlfn.IFS(BC57="Reasonable Assurance",5, BC57="Limited Assurance",3, TRUE,0)
  - IF(AND(Z57="Yes", AI57="No"), 10, 0)
  - IF(AND(Z57="Yes", AM57="No"), 10, 0)
))</f>
        <v/>
      </c>
      <c r="AS57" s="3" t="n"/>
      <c r="AT57" s="3" t="n"/>
      <c r="AU57" s="3" t="n"/>
      <c r="AV57" s="3" t="n"/>
      <c r="AW57" s="3" t="n"/>
      <c r="AX57" s="3" t="n"/>
      <c r="AY57" s="3" t="n"/>
      <c r="AZ57" s="3" t="n"/>
      <c r="BA57" s="3" t="n"/>
      <c r="BB57" s="3" t="n"/>
      <c r="BC57" s="3" t="n"/>
      <c r="BD57" s="3" t="n"/>
      <c r="BE57" s="40">
        <f t="array" ref="BE57">MIN(100, MAX(0,
  IFERROR(_xlfn.XLOOKUP(AT57,'Lookup Tables'!$D$2:$D$6,'Lookup Tables'!$E$2:$E$6,0),0)
  + IFERROR(_xlfn.XLOOKUP(AV57,'Lookup Tables'!$G$2:$G$5,'Lookup Tables'!$H$2:$H$5,0),0)
  + IFERROR(_xlfn.XLOOKUP(AW57,'Lookup Tables'!$J$2:$J$5,'Lookup Tables'!$K$2:$K$5,0),0)
  + _xlfn.IFS(AX57="No Issues",10, AX57="Complaint Filed",3, AX57="Confirmed Breach",-15, TRUE,0)
  + IFERROR(_xlfn.XLOOKUP(AY57,'Lookup Tables'!$M$2:$M$6,'Lookup Tables'!$N$2:$N$6,0),0)
  + IFERROR(_xlfn.XLOOKUP(AZ57,'Lookup Tables'!$P$2:$P$6,'Lookup Tables'!$Q$2:$Q$6,0),0)
  + _xlfn.IFS(BA57="Formal Board Committee",5, BA57="Board Oversight Mentioned",2, TRUE,0)
  + _xlfn.IFS(BB57="Yes — Quantified Targets",5, BB57="Yes — Discretionary Only",2, TRUE,0)
  + _xlfn.IFS(BC57="Reasonable Assurance",5, BC57="Limited Assurance",3, BC57="Management Review Only",1, TRUE,0)
))</f>
        <v/>
      </c>
      <c r="BF57" s="3" t="n"/>
      <c r="BG57" s="3" t="n"/>
      <c r="BH57" s="3" t="n"/>
      <c r="BI57" s="3" t="n"/>
      <c r="BJ57" s="3" t="n"/>
      <c r="BK57" s="3" t="n"/>
      <c r="BL57" s="3" t="n"/>
      <c r="BM57" s="3" t="n"/>
      <c r="BN57" s="3" t="n"/>
      <c r="BO57" s="3" t="n"/>
      <c r="BP57" s="3" t="n"/>
      <c r="BQ57" s="3" t="n"/>
      <c r="BR57" s="3" t="n"/>
      <c r="BS57" s="42">
        <f t="array" ref="BS57">MIN(100, MAX(0,
  IFERROR(_xlfn.XLOOKUP(BG57,'Lookup Tables'!$A$11:$A$16,'Lookup Tables'!$B$11:$B$16,0),0)
  + IFERROR(_xlfn.XLOOKUP(BR57,'Lookup Tables'!$M$11:$M$14,'Lookup Tables'!$N$11:$N$14,0),0)
  + IFERROR(_xlfn.XLOOKUP(BQ57,'Lookup Tables'!$J$11:$J$15,'Lookup Tables'!$K$11:$K$15,0),0)
  + IFERROR(_xlfn.XLOOKUP(BH57,'Lookup Tables'!$D$11:$D$15,'Lookup Tables'!$E$11:$E$15,0),0)
  + IFERROR(_xlfn.XLOOKUP(BJ57,'Lookup Tables'!$G$11:$G$16,'Lookup Tables'!$H$11:$H$16,0),0)
  + IFERROR(_xlfn.XLOOKUP(BN57,'Lookup Tables'!$P$11:$P$15,'Lookup Tables'!$Q$11:$Q$15,0),0)
  + _xlfn.IFS(BM57="No Evidence",10, BM57="Unknown",3, BM57="Likely",0, BM57="Confirmed",-10, TRUE,3)
  + IFERROR(_xlfn.XLOOKUP(BP57,'Lookup Tables'!$J$21:$J$24,'Lookup Tables'!$K$21:$K$24,0),0)
))</f>
        <v/>
      </c>
      <c r="BT57" s="3" t="n"/>
      <c r="BU57" s="3" t="n"/>
      <c r="BV57" s="3" t="n"/>
      <c r="BW57" s="3" t="n"/>
      <c r="BX57" s="3" t="n"/>
      <c r="BY57" s="3" t="n"/>
      <c r="BZ57" s="3" t="n"/>
      <c r="CA57" s="3" t="n"/>
      <c r="CB57" s="3" t="n"/>
      <c r="CC57" s="3" t="n"/>
      <c r="CD57" s="3" t="n"/>
      <c r="CE57" s="44">
        <f t="array" ref="CE57">MIN(100, MAX(0,
  IF(ISNUMBER(BV57)*AND(BV57&gt;0), 10, 0)
  + _xlfn.IFS(BY57="Independently Verified",25, BY57="Yes",15, TRUE,0)
  + IFERROR(_xlfn.XLOOKUP(BZ57,'Lookup Tables'!$A$21:$A$24,'Lookup Tables'!$B$21:$B$24,0),0)
  + IFERROR(_xlfn.XLOOKUP(CA57,'Lookup Tables'!$D$21:$D$24,'Lookup Tables'!$E$21:$E$24,0),0)
  + _xlfn.IFS(ISNUMBER(CB57)*AND(CB57&gt;=11),15, ISNUMBER(CB57)*AND(CB57&gt;=6),10, ISNUMBER(CB57)*AND(CB57&gt;=1),5, TRUE,0)
  + IFERROR(_xlfn.XLOOKUP(CC57,'Lookup Tables'!$G$21:$G$25,'Lookup Tables'!$H$21:$H$25,0),0)
  - IF(ISNUMBER(BW57)*AND(ISNUMBER(BV57))*AND(BW57&gt;BV57), 20, 0)
  - IF(AND(BY57="Yes", ISNUMBER(BW57), BW57&gt;60), 10, 0)
))</f>
        <v/>
      </c>
      <c r="CF57" s="3" t="n"/>
      <c r="CG57" s="3" t="n"/>
      <c r="CH57" s="3" t="n"/>
      <c r="CI57" s="3" t="n"/>
      <c r="CJ57" s="3" t="n"/>
      <c r="CK57" s="3" t="n"/>
      <c r="CL57" s="3" t="n"/>
      <c r="CM57" s="3" t="n"/>
      <c r="CN57" s="3" t="n"/>
      <c r="CO57" s="3" t="n"/>
      <c r="CP57" s="3" t="n"/>
      <c r="CQ57" s="3" t="n"/>
      <c r="CR57" s="3">
        <f>COUNTIF(CJ57:CQ57,"FAIL")</f>
        <v/>
      </c>
      <c r="CS57" s="3">
        <f>COUNTIF(CJ57:CQ57,"PARTIAL")</f>
        <v/>
      </c>
      <c r="CT57" s="3">
        <f>COUNTIF(CJ57:CQ57,"MISSING")</f>
        <v/>
      </c>
      <c r="CU57" s="3">
        <f>MIN(100,
  CR57*15
  + CS57*6
  + CT57*3
  + IFERROR(_xlfn.XLOOKUP(CW57,'Lookup Tables'!$M$21:$M$25,'Lookup Tables'!$N$21:$N$25,0),0)
)</f>
        <v/>
      </c>
      <c r="CV57" s="3">
        <f>IFERROR(
CHOOSE(
MATCH("FAIL",CJ57:CQ57,0),
"1-Specificity","2-Metric","3-Baseline","4-Target",
"5-Time Horizon","6-Scope","7-Verification","8-Consistency"
),
IFERROR(
CHOOSE(
MATCH("PARTIAL",CJ57:CQ57,0),
"1-Specificity","2-Metric","3-Baseline","4-Target",
"5-Time Horizon","6-Scope","7-Verification","8-Consistency"
),
"No failures"
)
)</f>
        <v/>
      </c>
      <c r="CW57" s="3" t="n"/>
      <c r="CX57" s="3" t="n"/>
      <c r="CY57" s="3" t="n"/>
      <c r="CZ57" s="3" t="n"/>
      <c r="DA57" s="3">
        <f>IF(OR(CU57&gt;=50,CW57="Material",CW57="Severe",AS57="Material",AS57="Severe",BF57="Material",BF57="Severe — Exclusion Trigger",AND(ISNUMBER(BS57),BS57&lt;30)),"Yes","No")</f>
        <v/>
      </c>
      <c r="DB57" s="3">
        <f>IF(OR(CR57&gt;=6,AW57="Confirmed Violation",AX57="Confirmed Breach"),"Yes — Automatic",IF(CW57="Severe","Yes — Requires Captain Confirmation","No"))</f>
        <v/>
      </c>
      <c r="DC57" s="3" t="n"/>
      <c r="DD57" s="3" t="n"/>
      <c r="DE57" s="3" t="n"/>
      <c r="DF57" s="3" t="n"/>
      <c r="DG57" s="3" t="n"/>
      <c r="DH57" s="3" t="n"/>
      <c r="DI57" s="3" t="n"/>
      <c r="DJ57" s="3" t="n"/>
      <c r="DK57" s="3" t="n"/>
      <c r="DL57" s="3">
        <f>IF(OR(IFERROR(VALUE(LEFT(DF57,1)),99)&lt;=2,IFERROR(VALUE(LEFT(DG57,1)),99)&lt;=2),"Flagged","Clear")</f>
        <v/>
      </c>
      <c r="DM57" s="3">
        <f>IF(OR(DA57="Yes",DB57&lt;&gt;"No",DH57="Unverified",DL57="Flagged"),"Yes","No")</f>
        <v/>
      </c>
      <c r="DN57" s="3">
        <f t="array" ref="DN57">MIN(100,
  IF(ISNUMBER(V57), _xlfn.IFS(V57&gt;=3,25, V57=2,15, V57=1,5, TRUE,0), 0)
  + IFERROR(_xlfn.IFS(VALUE(LEFT(DF57,1))=5,25, VALUE(LEFT(DF57,1))=4,20, VALUE(LEFT(DF57,1))=3,15, VALUE(LEFT(DF57,1))=2,8, TRUE,0), 15)
  + IFERROR(_xlfn.IFS(VALUE(LEFT(DG57,1))=5,25, VALUE(LEFT(DG57,1))=4,20, VALUE(LEFT(DG57,1))=3,15, VALUE(LEFT(DG57,1))=2,8, TRUE,0), 15)
  + _xlfn.IFS(DH57="Fully Verified",25, DH57="Partially Verified",12, TRUE,0)
)</f>
        <v/>
      </c>
      <c r="DO57" s="3">
        <f t="array" ref="DO57">_xlfn.IFS(
  ISBLANK(AR57), "Insufficient Evidence",
  AND(AR57&gt;=65, AJ57="Approved"), "Strong",
  AR57&gt;=65, "Adequate",
  AR57&gt;=40, "Adequate",
  AR57&gt;=20, "Weak",
  TRUE, "Insufficient Evidence"
)</f>
        <v/>
      </c>
      <c r="DP57" s="3">
        <f t="array" ref="DP57">_xlfn.IFS(
  ISBLANK(BS57), "Insufficient Evidence",
  BS57&gt;=65, "Strong",
  BS57&gt;=40, "Adequate",
  BS57&gt;=20, "Weak",
  TRUE, "Insufficient Evidence"
)</f>
        <v/>
      </c>
      <c r="DQ57" s="3">
        <f t="array" ref="DQ57">_xlfn.IFS(
  ISBLANK(BE57), "Insufficient Evidence",
  OR(AW57="Confirmed Violation", AX57="Confirmed Breach"), "Severe — Hard Trigger",
  BE57&gt;=65, "Strong",
  BE57&gt;=40, "Adequate",
  BE57&gt;=20, "Weak",
  TRUE, "Insufficient Evidence"
)</f>
        <v/>
      </c>
      <c r="DR57" s="3">
        <f t="array" ref="DR57">_xlfn.IFS(
  ISBLANK(CU57), "Insufficient Evidence",
  CU57&lt;=20, "Low Risk",
  CU57&lt;=50, "Moderate Risk",
  CU57&lt;=75, "High Risk",
  TRUE, "Very High Risk"
)</f>
        <v/>
      </c>
      <c r="DS57" s="3">
        <f t="array" ref="DS57">_xlfn.IFS(
  ISBLANK(CE57), "Insufficient Evidence",
  AND(ISNUMBER(BW57),ISNUMBER(BV57),BW57&gt;BV57), "Overclaiming Risk",
  CE57&gt;=65, "Strong",
  CE57&gt;=40, "Adequate",
  TRUE, "Weak"
)</f>
        <v/>
      </c>
      <c r="DT57" s="3">
        <f>IF(DB57="Yes — Automatic",0,ROUND((IF(ISNUMBER(AR57),AR57,0)*0.3+IF(ISNUMBER(BS57),BS57,0)*0.2+IF(ISNUMBER(BE57),BE57,0)*0.2+IF(ISNUMBER(CE57),CE57,0)*0.15+(100-IF(ISNUMBER(CU57),CU57,50))*0.15)*IF(DN57&gt;=75,1,IF(DN57&gt;=50,0.9,IF(DN57&gt;=25,0.75,0.6))),1))</f>
        <v/>
      </c>
      <c r="DU57" s="3">
        <f t="array" ref="DU57">_xlfn.IFS(
  DV57="Upgraded to Clear", "Clear",
  DV57="Downgraded to Watchlist", "Watchlist",
  DV57="Downgraded to Exclusion", "Exclusion Risk",
  DB57="Yes — Automatic", "Exclusion Risk",
  OR(AW57="Confirmed Violation", AX57="Confirmed Breach"), "Exclusion Risk",
  OR(V57=0, ISBLANK(V57), DN57&lt;20), "Insufficient Evidence",
  AND(DT57&gt;=65, DA57="No", DB57="No"), "Clear",
  OR(DT57&gt;=40, DA57="Yes"), "Watchlist",
  TRUE, "Exclusion Risk"
)</f>
        <v/>
      </c>
      <c r="DV57" s="3" t="n"/>
      <c r="DW57" s="3">
        <f t="array" ref="DW57">_xlfn.IFS(
  DU57="Exclusion Risk", "Exclude — Hard Trigger",
  DU57="Insufficient Evidence", "Watchlist — Further Evidence Needed",
  DU57="Watchlist", "Watchlist — Further Evidence Needed",
  AND(DU57="Clear", DT57&gt;=80), "Include — No Conditions",
  DU57="Clear", "Include — Monitor",
  TRUE, "Watchlist — Further Evidence Needed"
)</f>
        <v/>
      </c>
      <c r="DX57" s="3" t="n"/>
      <c r="DY57" s="3" t="n"/>
      <c r="DZ57" s="3" t="n"/>
      <c r="EA57" s="3" t="n"/>
      <c r="EB57" s="3">
        <f>IF(OR(V57=0, ISBLANK(V57)), "MISSING — No sources reviewed", "")</f>
        <v/>
      </c>
      <c r="EC57" s="3">
        <f>IF(AND(NOT(ISBLANK(DC57)), ISBLANK(DE57)), "PAGE REF MISSING", "")</f>
        <v/>
      </c>
    </row>
    <row r="58" ht="18" customHeight="1" s="60">
      <c r="A58" s="5" t="inlineStr">
        <is>
          <t>ASML Holding NV</t>
        </is>
      </c>
      <c r="B58" s="5" t="inlineStr">
        <is>
          <t>ASME</t>
        </is>
      </c>
      <c r="C58" s="5">
        <f>IF(ISBLANK('Universe Tracker'!D54),"",'Universe Tracker'!D54)</f>
        <v/>
      </c>
      <c r="D58" s="5" t="n"/>
      <c r="E58" s="5" t="n"/>
      <c r="F58" s="5">
        <f>IF(ISBLANK('Universe Tracker'!F54),"",'Universe Tracker'!F54)</f>
        <v/>
      </c>
      <c r="G58" s="5">
        <f>IF(ISBLANK('Universe Tracker'!G54),"",'Universe Tracker'!G54)</f>
        <v/>
      </c>
      <c r="H58" s="5" t="n"/>
      <c r="I58" s="5" t="n"/>
      <c r="J58" s="5">
        <f>IF(ISBLANK(B58),"",B58&amp;"_"&amp;C58)</f>
        <v/>
      </c>
      <c r="K58" s="5" t="n"/>
      <c r="L58" s="5" t="n"/>
      <c r="M58" s="5" t="n"/>
      <c r="N58" s="5" t="n"/>
      <c r="O58" s="5" t="n"/>
      <c r="P58" s="5" t="n"/>
      <c r="Q58" s="5" t="n"/>
      <c r="R58" s="5" t="n"/>
      <c r="S58" s="5" t="n"/>
      <c r="T58" s="5" t="n"/>
      <c r="U58" s="5" t="n"/>
      <c r="V58" s="5" t="n"/>
      <c r="W58" s="5" t="n"/>
      <c r="X58" s="5" t="n"/>
      <c r="Y58" s="5">
        <f>IF(AND(V58&gt;=2,K58="Yes",L58="Yes"),"Sufficient",IF(AND(V58&gt;=1,OR(K58="Yes",L58="Yes")),"Thin","Insufficient"))</f>
        <v/>
      </c>
      <c r="Z58" s="5" t="n"/>
      <c r="AA58" s="5" t="n"/>
      <c r="AB58" s="5" t="n"/>
      <c r="AC58" s="5" t="n"/>
      <c r="AD58" s="5" t="n"/>
      <c r="AE58" s="5" t="n"/>
      <c r="AF58" s="5" t="n"/>
      <c r="AG58" s="5" t="n"/>
      <c r="AH58" s="5" t="n"/>
      <c r="AI58" s="5" t="n"/>
      <c r="AJ58" s="5" t="n"/>
      <c r="AK58" s="5" t="n"/>
      <c r="AL58" s="5" t="n"/>
      <c r="AM58" s="5" t="n"/>
      <c r="AN58" s="5" t="n"/>
      <c r="AO58" s="5" t="n"/>
      <c r="AP58" s="5" t="n"/>
      <c r="AQ58" s="5" t="n"/>
      <c r="AR58" s="40">
        <f t="array" ref="AR58">MIN(100, MAX(0,
  IFERROR(_xlfn.XLOOKUP(AJ58,'Lookup Tables'!$A$2:$A$7,'Lookup Tables'!$B$2:$B$7,0),0)
  + IF(Z58="Yes", IF(IFERROR(_xlfn.XLOOKUP(AJ58,'Lookup Tables'!$A$2:$A$7,'Lookup Tables'!$B$2:$B$7,0),0)&lt;20, 5, 0), 0)
  + _xlfn.IFS(AB58="Yes", IF(ISNUMBER(AC58)*AND(AC58&lt;=2030),15,10), AB58="Long-term Only", 5, AB58="No", 0, TRUE, 0)
  + _xlfn.IFS(AF58="Full",10, AF58="Partial",5, AF58="Scope 2 Only",3, TRUE,0)
  + _xlfn.IFS(AG58="Yes", IF(ISNUMBER(AH58)*AND(AH58&gt;=5),10,6), AG58="Partial",4, TRUE,0)
  + _xlfn.IFS(AI58="Yes",5, AI58="Partial (material categories only)",3, TRUE,0)
  + _xlfn.IFS(AL58="Yes — Detailed",10, AL58="Yes — High Level",5, TRUE,0)
  + _xlfn.IFS(AM58="Yes — Quantified",15, AM58="Yes — Directional Only",7, TRUE,0)
  + _xlfn.IFS(AP58="Formal",5, AP58="Referenced",2, TRUE,0)
  + _xlfn.IFS(AQ58="No Issues Found",5, AQ58="Concern Identified",-5, AQ58="Severe Contradiction",-15, TRUE,0)
  + _xlfn.IFS(BC58="Reasonable Assurance",5, BC58="Limited Assurance",3, TRUE,0)
  - IF(AND(Z58="Yes", AI58="No"), 10, 0)
  - IF(AND(Z58="Yes", AM58="No"), 10, 0)
))</f>
        <v/>
      </c>
      <c r="AS58" s="5" t="n"/>
      <c r="AT58" s="5" t="n"/>
      <c r="AU58" s="5" t="n"/>
      <c r="AV58" s="5" t="n"/>
      <c r="AW58" s="5" t="n"/>
      <c r="AX58" s="5" t="n"/>
      <c r="AY58" s="5" t="n"/>
      <c r="AZ58" s="5" t="n"/>
      <c r="BA58" s="5" t="n"/>
      <c r="BB58" s="5" t="n"/>
      <c r="BC58" s="5" t="n"/>
      <c r="BD58" s="5" t="n"/>
      <c r="BE58" s="39">
        <f t="array" ref="BE58">MIN(100, MAX(0,
  IFERROR(_xlfn.XLOOKUP(AT58,'Lookup Tables'!$D$2:$D$6,'Lookup Tables'!$E$2:$E$6,0),0)
  + IFERROR(_xlfn.XLOOKUP(AV58,'Lookup Tables'!$G$2:$G$5,'Lookup Tables'!$H$2:$H$5,0),0)
  + IFERROR(_xlfn.XLOOKUP(AW58,'Lookup Tables'!$J$2:$J$5,'Lookup Tables'!$K$2:$K$5,0),0)
  + _xlfn.IFS(AX58="No Issues",10, AX58="Complaint Filed",3, AX58="Confirmed Breach",-15, TRUE,0)
  + IFERROR(_xlfn.XLOOKUP(AY58,'Lookup Tables'!$M$2:$M$6,'Lookup Tables'!$N$2:$N$6,0),0)
  + IFERROR(_xlfn.XLOOKUP(AZ58,'Lookup Tables'!$P$2:$P$6,'Lookup Tables'!$Q$2:$Q$6,0),0)
  + _xlfn.IFS(BA58="Formal Board Committee",5, BA58="Board Oversight Mentioned",2, TRUE,0)
  + _xlfn.IFS(BB58="Yes — Quantified Targets",5, BB58="Yes — Discretionary Only",2, TRUE,0)
  + _xlfn.IFS(BC58="Reasonable Assurance",5, BC58="Limited Assurance",3, BC58="Management Review Only",1, TRUE,0)
))</f>
        <v/>
      </c>
      <c r="BF58" s="5" t="n"/>
      <c r="BG58" s="5" t="n"/>
      <c r="BH58" s="5" t="n"/>
      <c r="BI58" s="5" t="n"/>
      <c r="BJ58" s="5" t="n"/>
      <c r="BK58" s="5" t="n"/>
      <c r="BL58" s="5" t="n"/>
      <c r="BM58" s="5" t="n"/>
      <c r="BN58" s="5" t="n"/>
      <c r="BO58" s="5" t="n"/>
      <c r="BP58" s="5" t="n"/>
      <c r="BQ58" s="5" t="n"/>
      <c r="BR58" s="5" t="n"/>
      <c r="BS58" s="41">
        <f t="array" ref="BS58">MIN(100, MAX(0,
  IFERROR(_xlfn.XLOOKUP(BG58,'Lookup Tables'!$A$11:$A$16,'Lookup Tables'!$B$11:$B$16,0),0)
  + IFERROR(_xlfn.XLOOKUP(BR58,'Lookup Tables'!$M$11:$M$14,'Lookup Tables'!$N$11:$N$14,0),0)
  + IFERROR(_xlfn.XLOOKUP(BQ58,'Lookup Tables'!$J$11:$J$15,'Lookup Tables'!$K$11:$K$15,0),0)
  + IFERROR(_xlfn.XLOOKUP(BH58,'Lookup Tables'!$D$11:$D$15,'Lookup Tables'!$E$11:$E$15,0),0)
  + IFERROR(_xlfn.XLOOKUP(BJ58,'Lookup Tables'!$G$11:$G$16,'Lookup Tables'!$H$11:$H$16,0),0)
  + IFERROR(_xlfn.XLOOKUP(BN58,'Lookup Tables'!$P$11:$P$15,'Lookup Tables'!$Q$11:$Q$15,0),0)
  + _xlfn.IFS(BM58="No Evidence",10, BM58="Unknown",3, BM58="Likely",0, BM58="Confirmed",-10, TRUE,3)
  + IFERROR(_xlfn.XLOOKUP(BP58,'Lookup Tables'!$J$21:$J$24,'Lookup Tables'!$K$21:$K$24,0),0)
))</f>
        <v/>
      </c>
      <c r="BT58" s="5" t="n"/>
      <c r="BU58" s="5" t="n"/>
      <c r="BV58" s="5" t="n"/>
      <c r="BW58" s="5" t="n"/>
      <c r="BX58" s="5" t="n"/>
      <c r="BY58" s="5" t="n"/>
      <c r="BZ58" s="5" t="n"/>
      <c r="CA58" s="5" t="n"/>
      <c r="CB58" s="5" t="n"/>
      <c r="CC58" s="5" t="n"/>
      <c r="CD58" s="5" t="n"/>
      <c r="CE58" s="43">
        <f t="array" ref="CE58">MIN(100, MAX(0,
  IF(ISNUMBER(BV58)*AND(BV58&gt;0), 10, 0)
  + _xlfn.IFS(BY58="Independently Verified",25, BY58="Yes",15, TRUE,0)
  + IFERROR(_xlfn.XLOOKUP(BZ58,'Lookup Tables'!$A$21:$A$24,'Lookup Tables'!$B$21:$B$24,0),0)
  + IFERROR(_xlfn.XLOOKUP(CA58,'Lookup Tables'!$D$21:$D$24,'Lookup Tables'!$E$21:$E$24,0),0)
  + _xlfn.IFS(ISNUMBER(CB58)*AND(CB58&gt;=11),15, ISNUMBER(CB58)*AND(CB58&gt;=6),10, ISNUMBER(CB58)*AND(CB58&gt;=1),5, TRUE,0)
  + IFERROR(_xlfn.XLOOKUP(CC58,'Lookup Tables'!$G$21:$G$25,'Lookup Tables'!$H$21:$H$25,0),0)
  - IF(ISNUMBER(BW58)*AND(ISNUMBER(BV58))*AND(BW58&gt;BV58), 20, 0)
  - IF(AND(BY58="Yes", ISNUMBER(BW58), BW58&gt;60), 10, 0)
))</f>
        <v/>
      </c>
      <c r="CF58" s="5" t="n"/>
      <c r="CG58" s="5" t="n"/>
      <c r="CH58" s="5" t="n"/>
      <c r="CI58" s="5" t="n"/>
      <c r="CJ58" s="5" t="n"/>
      <c r="CK58" s="5" t="n"/>
      <c r="CL58" s="5" t="n"/>
      <c r="CM58" s="5" t="n"/>
      <c r="CN58" s="5" t="n"/>
      <c r="CO58" s="5" t="n"/>
      <c r="CP58" s="5" t="n"/>
      <c r="CQ58" s="5" t="n"/>
      <c r="CR58" s="5">
        <f>COUNTIF(CJ58:CQ58,"FAIL")</f>
        <v/>
      </c>
      <c r="CS58" s="5">
        <f>COUNTIF(CJ58:CQ58,"PARTIAL")</f>
        <v/>
      </c>
      <c r="CT58" s="5">
        <f>COUNTIF(CJ58:CQ58,"MISSING")</f>
        <v/>
      </c>
      <c r="CU58" s="5">
        <f>MIN(100,
  CR58*15
  + CS58*6
  + CT58*3
  + IFERROR(_xlfn.XLOOKUP(CW58,'Lookup Tables'!$M$21:$M$25,'Lookup Tables'!$N$21:$N$25,0),0)
)</f>
        <v/>
      </c>
      <c r="CV58" s="5">
        <f>IFERROR(
CHOOSE(
MATCH("FAIL",CJ58:CQ58,0),
"1-Specificity","2-Metric","3-Baseline","4-Target",
"5-Time Horizon","6-Scope","7-Verification","8-Consistency"
),
IFERROR(
CHOOSE(
MATCH("PARTIAL",CJ58:CQ58,0),
"1-Specificity","2-Metric","3-Baseline","4-Target",
"5-Time Horizon","6-Scope","7-Verification","8-Consistency"
),
"No failures"
)
)</f>
        <v/>
      </c>
      <c r="CW58" s="5" t="n"/>
      <c r="CX58" s="5" t="n"/>
      <c r="CY58" s="5" t="n"/>
      <c r="CZ58" s="5" t="n"/>
      <c r="DA58" s="5">
        <f>IF(OR(CU58&gt;=50,CW58="Material",CW58="Severe",AS58="Material",AS58="Severe",BF58="Material",BF58="Severe — Exclusion Trigger",AND(ISNUMBER(BS58),BS58&lt;30)),"Yes","No")</f>
        <v/>
      </c>
      <c r="DB58" s="5">
        <f>IF(OR(CR58&gt;=6,AW58="Confirmed Violation",AX58="Confirmed Breach"),"Yes — Automatic",IF(CW58="Severe","Yes — Requires Captain Confirmation","No"))</f>
        <v/>
      </c>
      <c r="DC58" s="5" t="n"/>
      <c r="DD58" s="5" t="n"/>
      <c r="DE58" s="5" t="n"/>
      <c r="DF58" s="5" t="n"/>
      <c r="DG58" s="5" t="n"/>
      <c r="DH58" s="5" t="n"/>
      <c r="DI58" s="5" t="n"/>
      <c r="DJ58" s="5" t="n"/>
      <c r="DK58" s="5" t="n"/>
      <c r="DL58" s="5">
        <f>IF(OR(IFERROR(VALUE(LEFT(DF58,1)),99)&lt;=2,IFERROR(VALUE(LEFT(DG58,1)),99)&lt;=2),"Flagged","Clear")</f>
        <v/>
      </c>
      <c r="DM58" s="5">
        <f>IF(OR(DA58="Yes",DB58&lt;&gt;"No",DH58="Unverified",DL58="Flagged"),"Yes","No")</f>
        <v/>
      </c>
      <c r="DN58" s="5">
        <f t="array" ref="DN58">MIN(100,
  IF(ISNUMBER(V58), _xlfn.IFS(V58&gt;=3,25, V58=2,15, V58=1,5, TRUE,0), 0)
  + IFERROR(_xlfn.IFS(VALUE(LEFT(DF58,1))=5,25, VALUE(LEFT(DF58,1))=4,20, VALUE(LEFT(DF58,1))=3,15, VALUE(LEFT(DF58,1))=2,8, TRUE,0), 15)
  + IFERROR(_xlfn.IFS(VALUE(LEFT(DG58,1))=5,25, VALUE(LEFT(DG58,1))=4,20, VALUE(LEFT(DG58,1))=3,15, VALUE(LEFT(DG58,1))=2,8, TRUE,0), 15)
  + _xlfn.IFS(DH58="Fully Verified",25, DH58="Partially Verified",12, TRUE,0)
)</f>
        <v/>
      </c>
      <c r="DO58" s="5">
        <f t="array" ref="DO58">_xlfn.IFS(
  ISBLANK(AR58), "Insufficient Evidence",
  AND(AR58&gt;=65, AJ58="Approved"), "Strong",
  AR58&gt;=65, "Adequate",
  AR58&gt;=40, "Adequate",
  AR58&gt;=20, "Weak",
  TRUE, "Insufficient Evidence"
)</f>
        <v/>
      </c>
      <c r="DP58" s="5">
        <f t="array" ref="DP58">_xlfn.IFS(
  ISBLANK(BS58), "Insufficient Evidence",
  BS58&gt;=65, "Strong",
  BS58&gt;=40, "Adequate",
  BS58&gt;=20, "Weak",
  TRUE, "Insufficient Evidence"
)</f>
        <v/>
      </c>
      <c r="DQ58" s="5">
        <f t="array" ref="DQ58">_xlfn.IFS(
  ISBLANK(BE58), "Insufficient Evidence",
  OR(AW58="Confirmed Violation", AX58="Confirmed Breach"), "Severe — Hard Trigger",
  BE58&gt;=65, "Strong",
  BE58&gt;=40, "Adequate",
  BE58&gt;=20, "Weak",
  TRUE, "Insufficient Evidence"
)</f>
        <v/>
      </c>
      <c r="DR58" s="5">
        <f t="array" ref="DR58">_xlfn.IFS(
  ISBLANK(CU58), "Insufficient Evidence",
  CU58&lt;=20, "Low Risk",
  CU58&lt;=50, "Moderate Risk",
  CU58&lt;=75, "High Risk",
  TRUE, "Very High Risk"
)</f>
        <v/>
      </c>
      <c r="DS58" s="5">
        <f t="array" ref="DS58">_xlfn.IFS(
  ISBLANK(CE58), "Insufficient Evidence",
  AND(ISNUMBER(BW58),ISNUMBER(BV58),BW58&gt;BV58), "Overclaiming Risk",
  CE58&gt;=65, "Strong",
  CE58&gt;=40, "Adequate",
  TRUE, "Weak"
)</f>
        <v/>
      </c>
      <c r="DT58" s="5">
        <f>IF(DB58="Yes — Automatic",0,ROUND((IF(ISNUMBER(AR58),AR58,0)*0.3+IF(ISNUMBER(BS58),BS58,0)*0.2+IF(ISNUMBER(BE58),BE58,0)*0.2+IF(ISNUMBER(CE58),CE58,0)*0.15+(100-IF(ISNUMBER(CU58),CU58,50))*0.15)*IF(DN58&gt;=75,1,IF(DN58&gt;=50,0.9,IF(DN58&gt;=25,0.75,0.6))),1))</f>
        <v/>
      </c>
      <c r="DU58" s="5">
        <f t="array" ref="DU58">_xlfn.IFS(
  DV58="Upgraded to Clear", "Clear",
  DV58="Downgraded to Watchlist", "Watchlist",
  DV58="Downgraded to Exclusion", "Exclusion Risk",
  DB58="Yes — Automatic", "Exclusion Risk",
  OR(AW58="Confirmed Violation", AX58="Confirmed Breach"), "Exclusion Risk",
  OR(V58=0, ISBLANK(V58), DN58&lt;20), "Insufficient Evidence",
  AND(DT58&gt;=65, DA58="No", DB58="No"), "Clear",
  OR(DT58&gt;=40, DA58="Yes"), "Watchlist",
  TRUE, "Exclusion Risk"
)</f>
        <v/>
      </c>
      <c r="DV58" s="5" t="n"/>
      <c r="DW58" s="5">
        <f t="array" ref="DW58">_xlfn.IFS(
  DU58="Exclusion Risk", "Exclude — Hard Trigger",
  DU58="Insufficient Evidence", "Watchlist — Further Evidence Needed",
  DU58="Watchlist", "Watchlist — Further Evidence Needed",
  AND(DU58="Clear", DT58&gt;=80), "Include — No Conditions",
  DU58="Clear", "Include — Monitor",
  TRUE, "Watchlist — Further Evidence Needed"
)</f>
        <v/>
      </c>
      <c r="DX58" s="5" t="n"/>
      <c r="DY58" s="5" t="n"/>
      <c r="DZ58" s="5" t="n"/>
      <c r="EA58" s="5" t="n"/>
      <c r="EB58" s="5">
        <f>IF(OR(V58=0, ISBLANK(V58)), "MISSING — No sources reviewed", "")</f>
        <v/>
      </c>
      <c r="EC58" s="5">
        <f>IF(AND(NOT(ISBLANK(DC58)), ISBLANK(DE58)), "PAGE REF MISSING", "")</f>
        <v/>
      </c>
    </row>
    <row r="59" ht="18" customHeight="1" s="60">
      <c r="A59" s="3" t="inlineStr">
        <is>
          <t>Allianz SE</t>
        </is>
      </c>
      <c r="B59" s="3" t="inlineStr">
        <is>
          <t>ALV</t>
        </is>
      </c>
      <c r="C59" s="3">
        <f>IF(ISBLANK('Universe Tracker'!D55),"",'Universe Tracker'!D55)</f>
        <v/>
      </c>
      <c r="D59" s="3" t="n"/>
      <c r="E59" s="3" t="n"/>
      <c r="F59" s="3">
        <f>IF(ISBLANK('Universe Tracker'!F55),"",'Universe Tracker'!F55)</f>
        <v/>
      </c>
      <c r="G59" s="3">
        <f>IF(ISBLANK('Universe Tracker'!G55),"",'Universe Tracker'!G55)</f>
        <v/>
      </c>
      <c r="H59" s="3" t="n"/>
      <c r="I59" s="3" t="n"/>
      <c r="J59" s="3">
        <f>IF(ISBLANK(B59),"",B59&amp;"_"&amp;C59)</f>
        <v/>
      </c>
      <c r="K59" s="3" t="n"/>
      <c r="L59" s="3" t="n"/>
      <c r="M59" s="3" t="n"/>
      <c r="N59" s="3" t="n"/>
      <c r="O59" s="3" t="n"/>
      <c r="P59" s="3" t="n"/>
      <c r="Q59" s="3" t="n"/>
      <c r="R59" s="3" t="n"/>
      <c r="S59" s="3" t="n"/>
      <c r="T59" s="3" t="n"/>
      <c r="U59" s="3" t="n"/>
      <c r="V59" s="3" t="n"/>
      <c r="W59" s="3" t="n"/>
      <c r="X59" s="3" t="n"/>
      <c r="Y59" s="3">
        <f>IF(AND(V59&gt;=2,K59="Yes",L59="Yes"),"Sufficient",IF(AND(V59&gt;=1,OR(K59="Yes",L59="Yes")),"Thin","Insufficient"))</f>
        <v/>
      </c>
      <c r="Z59" s="3" t="n"/>
      <c r="AA59" s="3" t="n"/>
      <c r="AB59" s="3" t="n"/>
      <c r="AC59" s="3" t="n"/>
      <c r="AD59" s="3" t="n"/>
      <c r="AE59" s="3" t="n"/>
      <c r="AF59" s="3" t="n"/>
      <c r="AG59" s="3" t="n"/>
      <c r="AH59" s="3" t="n"/>
      <c r="AI59" s="3" t="n"/>
      <c r="AJ59" s="3" t="n"/>
      <c r="AK59" s="3" t="n"/>
      <c r="AL59" s="3" t="n"/>
      <c r="AM59" s="3" t="n"/>
      <c r="AN59" s="3" t="n"/>
      <c r="AO59" s="3" t="n"/>
      <c r="AP59" s="3" t="n"/>
      <c r="AQ59" s="3" t="n"/>
      <c r="AR59" s="40">
        <f t="array" ref="AR59">MIN(100, MAX(0,
  IFERROR(_xlfn.XLOOKUP(AJ59,'Lookup Tables'!$A$2:$A$7,'Lookup Tables'!$B$2:$B$7,0),0)
  + IF(Z59="Yes", IF(IFERROR(_xlfn.XLOOKUP(AJ59,'Lookup Tables'!$A$2:$A$7,'Lookup Tables'!$B$2:$B$7,0),0)&lt;20, 5, 0), 0)
  + _xlfn.IFS(AB59="Yes", IF(ISNUMBER(AC59)*AND(AC59&lt;=2030),15,10), AB59="Long-term Only", 5, AB59="No", 0, TRUE, 0)
  + _xlfn.IFS(AF59="Full",10, AF59="Partial",5, AF59="Scope 2 Only",3, TRUE,0)
  + _xlfn.IFS(AG59="Yes", IF(ISNUMBER(AH59)*AND(AH59&gt;=5),10,6), AG59="Partial",4, TRUE,0)
  + _xlfn.IFS(AI59="Yes",5, AI59="Partial (material categories only)",3, TRUE,0)
  + _xlfn.IFS(AL59="Yes — Detailed",10, AL59="Yes — High Level",5, TRUE,0)
  + _xlfn.IFS(AM59="Yes — Quantified",15, AM59="Yes — Directional Only",7, TRUE,0)
  + _xlfn.IFS(AP59="Formal",5, AP59="Referenced",2, TRUE,0)
  + _xlfn.IFS(AQ59="No Issues Found",5, AQ59="Concern Identified",-5, AQ59="Severe Contradiction",-15, TRUE,0)
  + _xlfn.IFS(BC59="Reasonable Assurance",5, BC59="Limited Assurance",3, TRUE,0)
  - IF(AND(Z59="Yes", AI59="No"), 10, 0)
  - IF(AND(Z59="Yes", AM59="No"), 10, 0)
))</f>
        <v/>
      </c>
      <c r="AS59" s="3" t="n"/>
      <c r="AT59" s="3" t="n"/>
      <c r="AU59" s="3" t="n"/>
      <c r="AV59" s="3" t="n"/>
      <c r="AW59" s="3" t="n"/>
      <c r="AX59" s="3" t="n"/>
      <c r="AY59" s="3" t="n"/>
      <c r="AZ59" s="3" t="n"/>
      <c r="BA59" s="3" t="n"/>
      <c r="BB59" s="3" t="n"/>
      <c r="BC59" s="3" t="n"/>
      <c r="BD59" s="3" t="n"/>
      <c r="BE59" s="40">
        <f t="array" ref="BE59">MIN(100, MAX(0,
  IFERROR(_xlfn.XLOOKUP(AT59,'Lookup Tables'!$D$2:$D$6,'Lookup Tables'!$E$2:$E$6,0),0)
  + IFERROR(_xlfn.XLOOKUP(AV59,'Lookup Tables'!$G$2:$G$5,'Lookup Tables'!$H$2:$H$5,0),0)
  + IFERROR(_xlfn.XLOOKUP(AW59,'Lookup Tables'!$J$2:$J$5,'Lookup Tables'!$K$2:$K$5,0),0)
  + _xlfn.IFS(AX59="No Issues",10, AX59="Complaint Filed",3, AX59="Confirmed Breach",-15, TRUE,0)
  + IFERROR(_xlfn.XLOOKUP(AY59,'Lookup Tables'!$M$2:$M$6,'Lookup Tables'!$N$2:$N$6,0),0)
  + IFERROR(_xlfn.XLOOKUP(AZ59,'Lookup Tables'!$P$2:$P$6,'Lookup Tables'!$Q$2:$Q$6,0),0)
  + _xlfn.IFS(BA59="Formal Board Committee",5, BA59="Board Oversight Mentioned",2, TRUE,0)
  + _xlfn.IFS(BB59="Yes — Quantified Targets",5, BB59="Yes — Discretionary Only",2, TRUE,0)
  + _xlfn.IFS(BC59="Reasonable Assurance",5, BC59="Limited Assurance",3, BC59="Management Review Only",1, TRUE,0)
))</f>
        <v/>
      </c>
      <c r="BF59" s="3" t="n"/>
      <c r="BG59" s="3" t="n"/>
      <c r="BH59" s="3" t="n"/>
      <c r="BI59" s="3" t="n"/>
      <c r="BJ59" s="3" t="n"/>
      <c r="BK59" s="3" t="n"/>
      <c r="BL59" s="3" t="n"/>
      <c r="BM59" s="3" t="n"/>
      <c r="BN59" s="3" t="n"/>
      <c r="BO59" s="3" t="n"/>
      <c r="BP59" s="3" t="n"/>
      <c r="BQ59" s="3" t="n"/>
      <c r="BR59" s="3" t="n"/>
      <c r="BS59" s="42">
        <f t="array" ref="BS59">MIN(100, MAX(0,
  IFERROR(_xlfn.XLOOKUP(BG59,'Lookup Tables'!$A$11:$A$16,'Lookup Tables'!$B$11:$B$16,0),0)
  + IFERROR(_xlfn.XLOOKUP(BR59,'Lookup Tables'!$M$11:$M$14,'Lookup Tables'!$N$11:$N$14,0),0)
  + IFERROR(_xlfn.XLOOKUP(BQ59,'Lookup Tables'!$J$11:$J$15,'Lookup Tables'!$K$11:$K$15,0),0)
  + IFERROR(_xlfn.XLOOKUP(BH59,'Lookup Tables'!$D$11:$D$15,'Lookup Tables'!$E$11:$E$15,0),0)
  + IFERROR(_xlfn.XLOOKUP(BJ59,'Lookup Tables'!$G$11:$G$16,'Lookup Tables'!$H$11:$H$16,0),0)
  + IFERROR(_xlfn.XLOOKUP(BN59,'Lookup Tables'!$P$11:$P$15,'Lookup Tables'!$Q$11:$Q$15,0),0)
  + _xlfn.IFS(BM59="No Evidence",10, BM59="Unknown",3, BM59="Likely",0, BM59="Confirmed",-10, TRUE,3)
  + IFERROR(_xlfn.XLOOKUP(BP59,'Lookup Tables'!$J$21:$J$24,'Lookup Tables'!$K$21:$K$24,0),0)
))</f>
        <v/>
      </c>
      <c r="BT59" s="3" t="n"/>
      <c r="BU59" s="3" t="n"/>
      <c r="BV59" s="3" t="n"/>
      <c r="BW59" s="3" t="n"/>
      <c r="BX59" s="3" t="n"/>
      <c r="BY59" s="3" t="n"/>
      <c r="BZ59" s="3" t="n"/>
      <c r="CA59" s="3" t="n"/>
      <c r="CB59" s="3" t="n"/>
      <c r="CC59" s="3" t="n"/>
      <c r="CD59" s="3" t="n"/>
      <c r="CE59" s="44">
        <f t="array" ref="CE59">MIN(100, MAX(0,
  IF(ISNUMBER(BV59)*AND(BV59&gt;0), 10, 0)
  + _xlfn.IFS(BY59="Independently Verified",25, BY59="Yes",15, TRUE,0)
  + IFERROR(_xlfn.XLOOKUP(BZ59,'Lookup Tables'!$A$21:$A$24,'Lookup Tables'!$B$21:$B$24,0),0)
  + IFERROR(_xlfn.XLOOKUP(CA59,'Lookup Tables'!$D$21:$D$24,'Lookup Tables'!$E$21:$E$24,0),0)
  + _xlfn.IFS(ISNUMBER(CB59)*AND(CB59&gt;=11),15, ISNUMBER(CB59)*AND(CB59&gt;=6),10, ISNUMBER(CB59)*AND(CB59&gt;=1),5, TRUE,0)
  + IFERROR(_xlfn.XLOOKUP(CC59,'Lookup Tables'!$G$21:$G$25,'Lookup Tables'!$H$21:$H$25,0),0)
  - IF(ISNUMBER(BW59)*AND(ISNUMBER(BV59))*AND(BW59&gt;BV59), 20, 0)
  - IF(AND(BY59="Yes", ISNUMBER(BW59), BW59&gt;60), 10, 0)
))</f>
        <v/>
      </c>
      <c r="CF59" s="3" t="n"/>
      <c r="CG59" s="3" t="n"/>
      <c r="CH59" s="3" t="n"/>
      <c r="CI59" s="3" t="n"/>
      <c r="CJ59" s="3" t="n"/>
      <c r="CK59" s="3" t="n"/>
      <c r="CL59" s="3" t="n"/>
      <c r="CM59" s="3" t="n"/>
      <c r="CN59" s="3" t="n"/>
      <c r="CO59" s="3" t="n"/>
      <c r="CP59" s="3" t="n"/>
      <c r="CQ59" s="3" t="n"/>
      <c r="CR59" s="3">
        <f>COUNTIF(CJ59:CQ59,"FAIL")</f>
        <v/>
      </c>
      <c r="CS59" s="3">
        <f>COUNTIF(CJ59:CQ59,"PARTIAL")</f>
        <v/>
      </c>
      <c r="CT59" s="3">
        <f>COUNTIF(CJ59:CQ59,"MISSING")</f>
        <v/>
      </c>
      <c r="CU59" s="3">
        <f>MIN(100,
  CR59*15
  + CS59*6
  + CT59*3
  + IFERROR(_xlfn.XLOOKUP(CW59,'Lookup Tables'!$M$21:$M$25,'Lookup Tables'!$N$21:$N$25,0),0)
)</f>
        <v/>
      </c>
      <c r="CV59" s="3">
        <f>IFERROR(
CHOOSE(
MATCH("FAIL",CJ59:CQ59,0),
"1-Specificity","2-Metric","3-Baseline","4-Target",
"5-Time Horizon","6-Scope","7-Verification","8-Consistency"
),
IFERROR(
CHOOSE(
MATCH("PARTIAL",CJ59:CQ59,0),
"1-Specificity","2-Metric","3-Baseline","4-Target",
"5-Time Horizon","6-Scope","7-Verification","8-Consistency"
),
"No failures"
)
)</f>
        <v/>
      </c>
      <c r="CW59" s="3" t="n"/>
      <c r="CX59" s="3" t="n"/>
      <c r="CY59" s="3" t="n"/>
      <c r="CZ59" s="3" t="n"/>
      <c r="DA59" s="3">
        <f>IF(OR(CU59&gt;=50,CW59="Material",CW59="Severe",AS59="Material",AS59="Severe",BF59="Material",BF59="Severe — Exclusion Trigger",AND(ISNUMBER(BS59),BS59&lt;30)),"Yes","No")</f>
        <v/>
      </c>
      <c r="DB59" s="3">
        <f>IF(OR(CR59&gt;=6,AW59="Confirmed Violation",AX59="Confirmed Breach"),"Yes — Automatic",IF(CW59="Severe","Yes — Requires Captain Confirmation","No"))</f>
        <v/>
      </c>
      <c r="DC59" s="3" t="n"/>
      <c r="DD59" s="3" t="n"/>
      <c r="DE59" s="3" t="n"/>
      <c r="DF59" s="3" t="n"/>
      <c r="DG59" s="3" t="n"/>
      <c r="DH59" s="3" t="n"/>
      <c r="DI59" s="3" t="n"/>
      <c r="DJ59" s="3" t="n"/>
      <c r="DK59" s="3" t="n"/>
      <c r="DL59" s="3">
        <f>IF(OR(IFERROR(VALUE(LEFT(DF59,1)),99)&lt;=2,IFERROR(VALUE(LEFT(DG59,1)),99)&lt;=2),"Flagged","Clear")</f>
        <v/>
      </c>
      <c r="DM59" s="3">
        <f>IF(OR(DA59="Yes",DB59&lt;&gt;"No",DH59="Unverified",DL59="Flagged"),"Yes","No")</f>
        <v/>
      </c>
      <c r="DN59" s="3">
        <f t="array" ref="DN59">MIN(100,
  IF(ISNUMBER(V59), _xlfn.IFS(V59&gt;=3,25, V59=2,15, V59=1,5, TRUE,0), 0)
  + IFERROR(_xlfn.IFS(VALUE(LEFT(DF59,1))=5,25, VALUE(LEFT(DF59,1))=4,20, VALUE(LEFT(DF59,1))=3,15, VALUE(LEFT(DF59,1))=2,8, TRUE,0), 15)
  + IFERROR(_xlfn.IFS(VALUE(LEFT(DG59,1))=5,25, VALUE(LEFT(DG59,1))=4,20, VALUE(LEFT(DG59,1))=3,15, VALUE(LEFT(DG59,1))=2,8, TRUE,0), 15)
  + _xlfn.IFS(DH59="Fully Verified",25, DH59="Partially Verified",12, TRUE,0)
)</f>
        <v/>
      </c>
      <c r="DO59" s="3">
        <f t="array" ref="DO59">_xlfn.IFS(
  ISBLANK(AR59), "Insufficient Evidence",
  AND(AR59&gt;=65, AJ59="Approved"), "Strong",
  AR59&gt;=65, "Adequate",
  AR59&gt;=40, "Adequate",
  AR59&gt;=20, "Weak",
  TRUE, "Insufficient Evidence"
)</f>
        <v/>
      </c>
      <c r="DP59" s="3">
        <f t="array" ref="DP59">_xlfn.IFS(
  ISBLANK(BS59), "Insufficient Evidence",
  BS59&gt;=65, "Strong",
  BS59&gt;=40, "Adequate",
  BS59&gt;=20, "Weak",
  TRUE, "Insufficient Evidence"
)</f>
        <v/>
      </c>
      <c r="DQ59" s="3">
        <f t="array" ref="DQ59">_xlfn.IFS(
  ISBLANK(BE59), "Insufficient Evidence",
  OR(AW59="Confirmed Violation", AX59="Confirmed Breach"), "Severe — Hard Trigger",
  BE59&gt;=65, "Strong",
  BE59&gt;=40, "Adequate",
  BE59&gt;=20, "Weak",
  TRUE, "Insufficient Evidence"
)</f>
        <v/>
      </c>
      <c r="DR59" s="3">
        <f t="array" ref="DR59">_xlfn.IFS(
  ISBLANK(CU59), "Insufficient Evidence",
  CU59&lt;=20, "Low Risk",
  CU59&lt;=50, "Moderate Risk",
  CU59&lt;=75, "High Risk",
  TRUE, "Very High Risk"
)</f>
        <v/>
      </c>
      <c r="DS59" s="3">
        <f t="array" ref="DS59">_xlfn.IFS(
  ISBLANK(CE59), "Insufficient Evidence",
  AND(ISNUMBER(BW59),ISNUMBER(BV59),BW59&gt;BV59), "Overclaiming Risk",
  CE59&gt;=65, "Strong",
  CE59&gt;=40, "Adequate",
  TRUE, "Weak"
)</f>
        <v/>
      </c>
      <c r="DT59" s="3">
        <f>IF(DB59="Yes — Automatic",0,ROUND((IF(ISNUMBER(AR59),AR59,0)*0.3+IF(ISNUMBER(BS59),BS59,0)*0.2+IF(ISNUMBER(BE59),BE59,0)*0.2+IF(ISNUMBER(CE59),CE59,0)*0.15+(100-IF(ISNUMBER(CU59),CU59,50))*0.15)*IF(DN59&gt;=75,1,IF(DN59&gt;=50,0.9,IF(DN59&gt;=25,0.75,0.6))),1))</f>
        <v/>
      </c>
      <c r="DU59" s="3">
        <f t="array" ref="DU59">_xlfn.IFS(
  DV59="Upgraded to Clear", "Clear",
  DV59="Downgraded to Watchlist", "Watchlist",
  DV59="Downgraded to Exclusion", "Exclusion Risk",
  DB59="Yes — Automatic", "Exclusion Risk",
  OR(AW59="Confirmed Violation", AX59="Confirmed Breach"), "Exclusion Risk",
  OR(V59=0, ISBLANK(V59), DN59&lt;20), "Insufficient Evidence",
  AND(DT59&gt;=65, DA59="No", DB59="No"), "Clear",
  OR(DT59&gt;=40, DA59="Yes"), "Watchlist",
  TRUE, "Exclusion Risk"
)</f>
        <v/>
      </c>
      <c r="DV59" s="3" t="n"/>
      <c r="DW59" s="3">
        <f t="array" ref="DW59">_xlfn.IFS(
  DU59="Exclusion Risk", "Exclude — Hard Trigger",
  DU59="Insufficient Evidence", "Watchlist — Further Evidence Needed",
  DU59="Watchlist", "Watchlist — Further Evidence Needed",
  AND(DU59="Clear", DT59&gt;=80), "Include — No Conditions",
  DU59="Clear", "Include — Monitor",
  TRUE, "Watchlist — Further Evidence Needed"
)</f>
        <v/>
      </c>
      <c r="DX59" s="3" t="n"/>
      <c r="DY59" s="3" t="n"/>
      <c r="DZ59" s="3" t="n"/>
      <c r="EA59" s="3" t="n"/>
      <c r="EB59" s="3">
        <f>IF(OR(V59=0, ISBLANK(V59)), "MISSING — No sources reviewed", "")</f>
        <v/>
      </c>
      <c r="EC59" s="3">
        <f>IF(AND(NOT(ISBLANK(DC59)), ISBLANK(DE59)), "PAGE REF MISSING", "")</f>
        <v/>
      </c>
    </row>
    <row r="60" ht="18" customHeight="1" s="60">
      <c r="A60" s="5" t="inlineStr">
        <is>
          <t>Banque Cantonale Vaudoise</t>
        </is>
      </c>
      <c r="B60" s="5" t="inlineStr">
        <is>
          <t>B1V1</t>
        </is>
      </c>
      <c r="C60" s="5">
        <f>IF(ISBLANK('Universe Tracker'!D56),"",'Universe Tracker'!D56)</f>
        <v/>
      </c>
      <c r="D60" s="5" t="n"/>
      <c r="E60" s="5" t="n"/>
      <c r="F60" s="5">
        <f>IF(ISBLANK('Universe Tracker'!F56),"",'Universe Tracker'!F56)</f>
        <v/>
      </c>
      <c r="G60" s="5">
        <f>IF(ISBLANK('Universe Tracker'!G56),"",'Universe Tracker'!G56)</f>
        <v/>
      </c>
      <c r="H60" s="5" t="n"/>
      <c r="I60" s="5" t="n"/>
      <c r="J60" s="5">
        <f>IF(ISBLANK(B60),"",B60&amp;"_"&amp;C60)</f>
        <v/>
      </c>
      <c r="K60" s="5" t="n"/>
      <c r="L60" s="5" t="n"/>
      <c r="M60" s="5" t="n"/>
      <c r="N60" s="5" t="n"/>
      <c r="O60" s="5" t="n"/>
      <c r="P60" s="5" t="n"/>
      <c r="Q60" s="5" t="n"/>
      <c r="R60" s="5" t="n"/>
      <c r="S60" s="5" t="n"/>
      <c r="T60" s="5" t="n"/>
      <c r="U60" s="5" t="n"/>
      <c r="V60" s="5" t="n"/>
      <c r="W60" s="5" t="n"/>
      <c r="X60" s="5" t="n"/>
      <c r="Y60" s="5">
        <f>IF(AND(V60&gt;=2,K60="Yes",L60="Yes"),"Sufficient",IF(AND(V60&gt;=1,OR(K60="Yes",L60="Yes")),"Thin","Insufficient"))</f>
        <v/>
      </c>
      <c r="Z60" s="5" t="n"/>
      <c r="AA60" s="5" t="n"/>
      <c r="AB60" s="5" t="n"/>
      <c r="AC60" s="5" t="n"/>
      <c r="AD60" s="5" t="n"/>
      <c r="AE60" s="5" t="n"/>
      <c r="AF60" s="5" t="n"/>
      <c r="AG60" s="5" t="n"/>
      <c r="AH60" s="5" t="n"/>
      <c r="AI60" s="5" t="n"/>
      <c r="AJ60" s="5" t="n"/>
      <c r="AK60" s="5" t="n"/>
      <c r="AL60" s="5" t="n"/>
      <c r="AM60" s="5" t="n"/>
      <c r="AN60" s="5" t="n"/>
      <c r="AO60" s="5" t="n"/>
      <c r="AP60" s="5" t="n"/>
      <c r="AQ60" s="5" t="n"/>
      <c r="AR60" s="40">
        <f t="array" ref="AR60">MIN(100, MAX(0,
  IFERROR(_xlfn.XLOOKUP(AJ60,'Lookup Tables'!$A$2:$A$7,'Lookup Tables'!$B$2:$B$7,0),0)
  + IF(Z60="Yes", IF(IFERROR(_xlfn.XLOOKUP(AJ60,'Lookup Tables'!$A$2:$A$7,'Lookup Tables'!$B$2:$B$7,0),0)&lt;20, 5, 0), 0)
  + _xlfn.IFS(AB60="Yes", IF(ISNUMBER(AC60)*AND(AC60&lt;=2030),15,10), AB60="Long-term Only", 5, AB60="No", 0, TRUE, 0)
  + _xlfn.IFS(AF60="Full",10, AF60="Partial",5, AF60="Scope 2 Only",3, TRUE,0)
  + _xlfn.IFS(AG60="Yes", IF(ISNUMBER(AH60)*AND(AH60&gt;=5),10,6), AG60="Partial",4, TRUE,0)
  + _xlfn.IFS(AI60="Yes",5, AI60="Partial (material categories only)",3, TRUE,0)
  + _xlfn.IFS(AL60="Yes — Detailed",10, AL60="Yes — High Level",5, TRUE,0)
  + _xlfn.IFS(AM60="Yes — Quantified",15, AM60="Yes — Directional Only",7, TRUE,0)
  + _xlfn.IFS(AP60="Formal",5, AP60="Referenced",2, TRUE,0)
  + _xlfn.IFS(AQ60="No Issues Found",5, AQ60="Concern Identified",-5, AQ60="Severe Contradiction",-15, TRUE,0)
  + _xlfn.IFS(BC60="Reasonable Assurance",5, BC60="Limited Assurance",3, TRUE,0)
  - IF(AND(Z60="Yes", AI60="No"), 10, 0)
  - IF(AND(Z60="Yes", AM60="No"), 10, 0)
))</f>
        <v/>
      </c>
      <c r="AS60" s="5" t="n"/>
      <c r="AT60" s="5" t="n"/>
      <c r="AU60" s="5" t="n"/>
      <c r="AV60" s="5" t="n"/>
      <c r="AW60" s="5" t="n"/>
      <c r="AX60" s="5" t="n"/>
      <c r="AY60" s="5" t="n"/>
      <c r="AZ60" s="5" t="n"/>
      <c r="BA60" s="5" t="n"/>
      <c r="BB60" s="5" t="n"/>
      <c r="BC60" s="5" t="n"/>
      <c r="BD60" s="5" t="n"/>
      <c r="BE60" s="39">
        <f t="array" ref="BE60">MIN(100, MAX(0,
  IFERROR(_xlfn.XLOOKUP(AT60,'Lookup Tables'!$D$2:$D$6,'Lookup Tables'!$E$2:$E$6,0),0)
  + IFERROR(_xlfn.XLOOKUP(AV60,'Lookup Tables'!$G$2:$G$5,'Lookup Tables'!$H$2:$H$5,0),0)
  + IFERROR(_xlfn.XLOOKUP(AW60,'Lookup Tables'!$J$2:$J$5,'Lookup Tables'!$K$2:$K$5,0),0)
  + _xlfn.IFS(AX60="No Issues",10, AX60="Complaint Filed",3, AX60="Confirmed Breach",-15, TRUE,0)
  + IFERROR(_xlfn.XLOOKUP(AY60,'Lookup Tables'!$M$2:$M$6,'Lookup Tables'!$N$2:$N$6,0),0)
  + IFERROR(_xlfn.XLOOKUP(AZ60,'Lookup Tables'!$P$2:$P$6,'Lookup Tables'!$Q$2:$Q$6,0),0)
  + _xlfn.IFS(BA60="Formal Board Committee",5, BA60="Board Oversight Mentioned",2, TRUE,0)
  + _xlfn.IFS(BB60="Yes — Quantified Targets",5, BB60="Yes — Discretionary Only",2, TRUE,0)
  + _xlfn.IFS(BC60="Reasonable Assurance",5, BC60="Limited Assurance",3, BC60="Management Review Only",1, TRUE,0)
))</f>
        <v/>
      </c>
      <c r="BF60" s="5" t="n"/>
      <c r="BG60" s="5" t="n"/>
      <c r="BH60" s="5" t="n"/>
      <c r="BI60" s="5" t="n"/>
      <c r="BJ60" s="5" t="n"/>
      <c r="BK60" s="5" t="n"/>
      <c r="BL60" s="5" t="n"/>
      <c r="BM60" s="5" t="n"/>
      <c r="BN60" s="5" t="n"/>
      <c r="BO60" s="5" t="n"/>
      <c r="BP60" s="5" t="n"/>
      <c r="BQ60" s="5" t="n"/>
      <c r="BR60" s="5" t="n"/>
      <c r="BS60" s="41">
        <f t="array" ref="BS60">MIN(100, MAX(0,
  IFERROR(_xlfn.XLOOKUP(BG60,'Lookup Tables'!$A$11:$A$16,'Lookup Tables'!$B$11:$B$16,0),0)
  + IFERROR(_xlfn.XLOOKUP(BR60,'Lookup Tables'!$M$11:$M$14,'Lookup Tables'!$N$11:$N$14,0),0)
  + IFERROR(_xlfn.XLOOKUP(BQ60,'Lookup Tables'!$J$11:$J$15,'Lookup Tables'!$K$11:$K$15,0),0)
  + IFERROR(_xlfn.XLOOKUP(BH60,'Lookup Tables'!$D$11:$D$15,'Lookup Tables'!$E$11:$E$15,0),0)
  + IFERROR(_xlfn.XLOOKUP(BJ60,'Lookup Tables'!$G$11:$G$16,'Lookup Tables'!$H$11:$H$16,0),0)
  + IFERROR(_xlfn.XLOOKUP(BN60,'Lookup Tables'!$P$11:$P$15,'Lookup Tables'!$Q$11:$Q$15,0),0)
  + _xlfn.IFS(BM60="No Evidence",10, BM60="Unknown",3, BM60="Likely",0, BM60="Confirmed",-10, TRUE,3)
  + IFERROR(_xlfn.XLOOKUP(BP60,'Lookup Tables'!$J$21:$J$24,'Lookup Tables'!$K$21:$K$24,0),0)
))</f>
        <v/>
      </c>
      <c r="BT60" s="5" t="n"/>
      <c r="BU60" s="5" t="n"/>
      <c r="BV60" s="5" t="n"/>
      <c r="BW60" s="5" t="n"/>
      <c r="BX60" s="5" t="n"/>
      <c r="BY60" s="5" t="n"/>
      <c r="BZ60" s="5" t="n"/>
      <c r="CA60" s="5" t="n"/>
      <c r="CB60" s="5" t="n"/>
      <c r="CC60" s="5" t="n"/>
      <c r="CD60" s="5" t="n"/>
      <c r="CE60" s="43">
        <f t="array" ref="CE60">MIN(100, MAX(0,
  IF(ISNUMBER(BV60)*AND(BV60&gt;0), 10, 0)
  + _xlfn.IFS(BY60="Independently Verified",25, BY60="Yes",15, TRUE,0)
  + IFERROR(_xlfn.XLOOKUP(BZ60,'Lookup Tables'!$A$21:$A$24,'Lookup Tables'!$B$21:$B$24,0),0)
  + IFERROR(_xlfn.XLOOKUP(CA60,'Lookup Tables'!$D$21:$D$24,'Lookup Tables'!$E$21:$E$24,0),0)
  + _xlfn.IFS(ISNUMBER(CB60)*AND(CB60&gt;=11),15, ISNUMBER(CB60)*AND(CB60&gt;=6),10, ISNUMBER(CB60)*AND(CB60&gt;=1),5, TRUE,0)
  + IFERROR(_xlfn.XLOOKUP(CC60,'Lookup Tables'!$G$21:$G$25,'Lookup Tables'!$H$21:$H$25,0),0)
  - IF(ISNUMBER(BW60)*AND(ISNUMBER(BV60))*AND(BW60&gt;BV60), 20, 0)
  - IF(AND(BY60="Yes", ISNUMBER(BW60), BW60&gt;60), 10, 0)
))</f>
        <v/>
      </c>
      <c r="CF60" s="5" t="n"/>
      <c r="CG60" s="5" t="n"/>
      <c r="CH60" s="5" t="n"/>
      <c r="CI60" s="5" t="n"/>
      <c r="CJ60" s="5" t="n"/>
      <c r="CK60" s="5" t="n"/>
      <c r="CL60" s="5" t="n"/>
      <c r="CM60" s="5" t="n"/>
      <c r="CN60" s="5" t="n"/>
      <c r="CO60" s="5" t="n"/>
      <c r="CP60" s="5" t="n"/>
      <c r="CQ60" s="5" t="n"/>
      <c r="CR60" s="5">
        <f>COUNTIF(CJ60:CQ60,"FAIL")</f>
        <v/>
      </c>
      <c r="CS60" s="5">
        <f>COUNTIF(CJ60:CQ60,"PARTIAL")</f>
        <v/>
      </c>
      <c r="CT60" s="5">
        <f>COUNTIF(CJ60:CQ60,"MISSING")</f>
        <v/>
      </c>
      <c r="CU60" s="5">
        <f>MIN(100,
  CR60*15
  + CS60*6
  + CT60*3
  + IFERROR(_xlfn.XLOOKUP(CW60,'Lookup Tables'!$M$21:$M$25,'Lookup Tables'!$N$21:$N$25,0),0)
)</f>
        <v/>
      </c>
      <c r="CV60" s="5">
        <f>IFERROR(
CHOOSE(
MATCH("FAIL",CJ60:CQ60,0),
"1-Specificity","2-Metric","3-Baseline","4-Target",
"5-Time Horizon","6-Scope","7-Verification","8-Consistency"
),
IFERROR(
CHOOSE(
MATCH("PARTIAL",CJ60:CQ60,0),
"1-Specificity","2-Metric","3-Baseline","4-Target",
"5-Time Horizon","6-Scope","7-Verification","8-Consistency"
),
"No failures"
)
)</f>
        <v/>
      </c>
      <c r="CW60" s="5" t="n"/>
      <c r="CX60" s="5" t="n"/>
      <c r="CY60" s="5" t="n"/>
      <c r="CZ60" s="5" t="n"/>
      <c r="DA60" s="5">
        <f>IF(OR(CU60&gt;=50,CW60="Material",CW60="Severe",AS60="Material",AS60="Severe",BF60="Material",BF60="Severe — Exclusion Trigger",AND(ISNUMBER(BS60),BS60&lt;30)),"Yes","No")</f>
        <v/>
      </c>
      <c r="DB60" s="5">
        <f>IF(OR(CR60&gt;=6,AW60="Confirmed Violation",AX60="Confirmed Breach"),"Yes — Automatic",IF(CW60="Severe","Yes — Requires Captain Confirmation","No"))</f>
        <v/>
      </c>
      <c r="DC60" s="5" t="n"/>
      <c r="DD60" s="5" t="n"/>
      <c r="DE60" s="5" t="n"/>
      <c r="DF60" s="5" t="n"/>
      <c r="DG60" s="5" t="n"/>
      <c r="DH60" s="5" t="n"/>
      <c r="DI60" s="5" t="n"/>
      <c r="DJ60" s="5" t="n"/>
      <c r="DK60" s="5" t="n"/>
      <c r="DL60" s="5">
        <f>IF(OR(IFERROR(VALUE(LEFT(DF60,1)),99)&lt;=2,IFERROR(VALUE(LEFT(DG60,1)),99)&lt;=2),"Flagged","Clear")</f>
        <v/>
      </c>
      <c r="DM60" s="5">
        <f>IF(OR(DA60="Yes",DB60&lt;&gt;"No",DH60="Unverified",DL60="Flagged"),"Yes","No")</f>
        <v/>
      </c>
      <c r="DN60" s="5">
        <f t="array" ref="DN60">MIN(100,
  IF(ISNUMBER(V60), _xlfn.IFS(V60&gt;=3,25, V60=2,15, V60=1,5, TRUE,0), 0)
  + IFERROR(_xlfn.IFS(VALUE(LEFT(DF60,1))=5,25, VALUE(LEFT(DF60,1))=4,20, VALUE(LEFT(DF60,1))=3,15, VALUE(LEFT(DF60,1))=2,8, TRUE,0), 15)
  + IFERROR(_xlfn.IFS(VALUE(LEFT(DG60,1))=5,25, VALUE(LEFT(DG60,1))=4,20, VALUE(LEFT(DG60,1))=3,15, VALUE(LEFT(DG60,1))=2,8, TRUE,0), 15)
  + _xlfn.IFS(DH60="Fully Verified",25, DH60="Partially Verified",12, TRUE,0)
)</f>
        <v/>
      </c>
      <c r="DO60" s="5">
        <f t="array" ref="DO60">_xlfn.IFS(
  ISBLANK(AR60), "Insufficient Evidence",
  AND(AR60&gt;=65, AJ60="Approved"), "Strong",
  AR60&gt;=65, "Adequate",
  AR60&gt;=40, "Adequate",
  AR60&gt;=20, "Weak",
  TRUE, "Insufficient Evidence"
)</f>
        <v/>
      </c>
      <c r="DP60" s="5">
        <f t="array" ref="DP60">_xlfn.IFS(
  ISBLANK(BS60), "Insufficient Evidence",
  BS60&gt;=65, "Strong",
  BS60&gt;=40, "Adequate",
  BS60&gt;=20, "Weak",
  TRUE, "Insufficient Evidence"
)</f>
        <v/>
      </c>
      <c r="DQ60" s="5">
        <f t="array" ref="DQ60">_xlfn.IFS(
  ISBLANK(BE60), "Insufficient Evidence",
  OR(AW60="Confirmed Violation", AX60="Confirmed Breach"), "Severe — Hard Trigger",
  BE60&gt;=65, "Strong",
  BE60&gt;=40, "Adequate",
  BE60&gt;=20, "Weak",
  TRUE, "Insufficient Evidence"
)</f>
        <v/>
      </c>
      <c r="DR60" s="5">
        <f t="array" ref="DR60">_xlfn.IFS(
  ISBLANK(CU60), "Insufficient Evidence",
  CU60&lt;=20, "Low Risk",
  CU60&lt;=50, "Moderate Risk",
  CU60&lt;=75, "High Risk",
  TRUE, "Very High Risk"
)</f>
        <v/>
      </c>
      <c r="DS60" s="5">
        <f t="array" ref="DS60">_xlfn.IFS(
  ISBLANK(CE60), "Insufficient Evidence",
  AND(ISNUMBER(BW60),ISNUMBER(BV60),BW60&gt;BV60), "Overclaiming Risk",
  CE60&gt;=65, "Strong",
  CE60&gt;=40, "Adequate",
  TRUE, "Weak"
)</f>
        <v/>
      </c>
      <c r="DT60" s="5">
        <f>IF(DB60="Yes — Automatic",0,ROUND((IF(ISNUMBER(AR60),AR60,0)*0.3+IF(ISNUMBER(BS60),BS60,0)*0.2+IF(ISNUMBER(BE60),BE60,0)*0.2+IF(ISNUMBER(CE60),CE60,0)*0.15+(100-IF(ISNUMBER(CU60),CU60,50))*0.15)*IF(DN60&gt;=75,1,IF(DN60&gt;=50,0.9,IF(DN60&gt;=25,0.75,0.6))),1))</f>
        <v/>
      </c>
      <c r="DU60" s="5">
        <f t="array" ref="DU60">_xlfn.IFS(
  DV60="Upgraded to Clear", "Clear",
  DV60="Downgraded to Watchlist", "Watchlist",
  DV60="Downgraded to Exclusion", "Exclusion Risk",
  DB60="Yes — Automatic", "Exclusion Risk",
  OR(AW60="Confirmed Violation", AX60="Confirmed Breach"), "Exclusion Risk",
  OR(V60=0, ISBLANK(V60), DN60&lt;20), "Insufficient Evidence",
  AND(DT60&gt;=65, DA60="No", DB60="No"), "Clear",
  OR(DT60&gt;=40, DA60="Yes"), "Watchlist",
  TRUE, "Exclusion Risk"
)</f>
        <v/>
      </c>
      <c r="DV60" s="5" t="n"/>
      <c r="DW60" s="5">
        <f t="array" ref="DW60">_xlfn.IFS(
  DU60="Exclusion Risk", "Exclude — Hard Trigger",
  DU60="Insufficient Evidence", "Watchlist — Further Evidence Needed",
  DU60="Watchlist", "Watchlist — Further Evidence Needed",
  AND(DU60="Clear", DT60&gt;=80), "Include — No Conditions",
  DU60="Clear", "Include — Monitor",
  TRUE, "Watchlist — Further Evidence Needed"
)</f>
        <v/>
      </c>
      <c r="DX60" s="5" t="n"/>
      <c r="DY60" s="5" t="n"/>
      <c r="DZ60" s="5" t="n"/>
      <c r="EA60" s="5" t="n"/>
      <c r="EB60" s="5">
        <f>IF(OR(V60=0, ISBLANK(V60)), "MISSING — No sources reviewed", "")</f>
        <v/>
      </c>
      <c r="EC60" s="5">
        <f>IF(AND(NOT(ISBLANK(DC60)), ISBLANK(DE60)), "PAGE REF MISSING", "")</f>
        <v/>
      </c>
    </row>
    <row r="61" ht="18" customHeight="1" s="60">
      <c r="A61" s="3" t="inlineStr">
        <is>
          <t>Nordea Bank Abp</t>
        </is>
      </c>
      <c r="B61" s="3" t="inlineStr">
        <is>
          <t>04Q</t>
        </is>
      </c>
      <c r="C61" s="3">
        <f>IF(ISBLANK('Universe Tracker'!D57),"",'Universe Tracker'!D57)</f>
        <v/>
      </c>
      <c r="D61" s="3" t="n"/>
      <c r="E61" s="3" t="n"/>
      <c r="F61" s="3">
        <f>IF(ISBLANK('Universe Tracker'!F57),"",'Universe Tracker'!F57)</f>
        <v/>
      </c>
      <c r="G61" s="3">
        <f>IF(ISBLANK('Universe Tracker'!G57),"",'Universe Tracker'!G57)</f>
        <v/>
      </c>
      <c r="H61" s="3" t="n"/>
      <c r="I61" s="3" t="n"/>
      <c r="J61" s="3">
        <f>IF(ISBLANK(B61),"",B61&amp;"_"&amp;C61)</f>
        <v/>
      </c>
      <c r="K61" s="3" t="n"/>
      <c r="L61" s="3" t="n"/>
      <c r="M61" s="3" t="n"/>
      <c r="N61" s="3" t="n"/>
      <c r="O61" s="3" t="n"/>
      <c r="P61" s="3" t="n"/>
      <c r="Q61" s="3" t="n"/>
      <c r="R61" s="3" t="n"/>
      <c r="S61" s="3" t="n"/>
      <c r="T61" s="3" t="n"/>
      <c r="U61" s="3" t="n"/>
      <c r="V61" s="3" t="n"/>
      <c r="W61" s="3" t="n"/>
      <c r="X61" s="3" t="n"/>
      <c r="Y61" s="3">
        <f>IF(AND(V61&gt;=2,K61="Yes",L61="Yes"),"Sufficient",IF(AND(V61&gt;=1,OR(K61="Yes",L61="Yes")),"Thin","Insufficient"))</f>
        <v/>
      </c>
      <c r="Z61" s="3" t="n"/>
      <c r="AA61" s="3" t="n"/>
      <c r="AB61" s="3" t="n"/>
      <c r="AC61" s="3" t="n"/>
      <c r="AD61" s="3" t="n"/>
      <c r="AE61" s="3" t="n"/>
      <c r="AF61" s="3" t="n"/>
      <c r="AG61" s="3" t="n"/>
      <c r="AH61" s="3" t="n"/>
      <c r="AI61" s="3" t="n"/>
      <c r="AJ61" s="3" t="n"/>
      <c r="AK61" s="3" t="n"/>
      <c r="AL61" s="3" t="n"/>
      <c r="AM61" s="3" t="n"/>
      <c r="AN61" s="3" t="n"/>
      <c r="AO61" s="3" t="n"/>
      <c r="AP61" s="3" t="n"/>
      <c r="AQ61" s="3" t="n"/>
      <c r="AR61" s="40">
        <f t="array" ref="AR61">MIN(100, MAX(0,
  IFERROR(_xlfn.XLOOKUP(AJ61,'Lookup Tables'!$A$2:$A$7,'Lookup Tables'!$B$2:$B$7,0),0)
  + IF(Z61="Yes", IF(IFERROR(_xlfn.XLOOKUP(AJ61,'Lookup Tables'!$A$2:$A$7,'Lookup Tables'!$B$2:$B$7,0),0)&lt;20, 5, 0), 0)
  + _xlfn.IFS(AB61="Yes", IF(ISNUMBER(AC61)*AND(AC61&lt;=2030),15,10), AB61="Long-term Only", 5, AB61="No", 0, TRUE, 0)
  + _xlfn.IFS(AF61="Full",10, AF61="Partial",5, AF61="Scope 2 Only",3, TRUE,0)
  + _xlfn.IFS(AG61="Yes", IF(ISNUMBER(AH61)*AND(AH61&gt;=5),10,6), AG61="Partial",4, TRUE,0)
  + _xlfn.IFS(AI61="Yes",5, AI61="Partial (material categories only)",3, TRUE,0)
  + _xlfn.IFS(AL61="Yes — Detailed",10, AL61="Yes — High Level",5, TRUE,0)
  + _xlfn.IFS(AM61="Yes — Quantified",15, AM61="Yes — Directional Only",7, TRUE,0)
  + _xlfn.IFS(AP61="Formal",5, AP61="Referenced",2, TRUE,0)
  + _xlfn.IFS(AQ61="No Issues Found",5, AQ61="Concern Identified",-5, AQ61="Severe Contradiction",-15, TRUE,0)
  + _xlfn.IFS(BC61="Reasonable Assurance",5, BC61="Limited Assurance",3, TRUE,0)
  - IF(AND(Z61="Yes", AI61="No"), 10, 0)
  - IF(AND(Z61="Yes", AM61="No"), 10, 0)
))</f>
        <v/>
      </c>
      <c r="AS61" s="3" t="n"/>
      <c r="AT61" s="3" t="n"/>
      <c r="AU61" s="3" t="n"/>
      <c r="AV61" s="3" t="n"/>
      <c r="AW61" s="3" t="n"/>
      <c r="AX61" s="3" t="n"/>
      <c r="AY61" s="3" t="n"/>
      <c r="AZ61" s="3" t="n"/>
      <c r="BA61" s="3" t="n"/>
      <c r="BB61" s="3" t="n"/>
      <c r="BC61" s="3" t="n"/>
      <c r="BD61" s="3" t="n"/>
      <c r="BE61" s="40">
        <f t="array" ref="BE61">MIN(100, MAX(0,
  IFERROR(_xlfn.XLOOKUP(AT61,'Lookup Tables'!$D$2:$D$6,'Lookup Tables'!$E$2:$E$6,0),0)
  + IFERROR(_xlfn.XLOOKUP(AV61,'Lookup Tables'!$G$2:$G$5,'Lookup Tables'!$H$2:$H$5,0),0)
  + IFERROR(_xlfn.XLOOKUP(AW61,'Lookup Tables'!$J$2:$J$5,'Lookup Tables'!$K$2:$K$5,0),0)
  + _xlfn.IFS(AX61="No Issues",10, AX61="Complaint Filed",3, AX61="Confirmed Breach",-15, TRUE,0)
  + IFERROR(_xlfn.XLOOKUP(AY61,'Lookup Tables'!$M$2:$M$6,'Lookup Tables'!$N$2:$N$6,0),0)
  + IFERROR(_xlfn.XLOOKUP(AZ61,'Lookup Tables'!$P$2:$P$6,'Lookup Tables'!$Q$2:$Q$6,0),0)
  + _xlfn.IFS(BA61="Formal Board Committee",5, BA61="Board Oversight Mentioned",2, TRUE,0)
  + _xlfn.IFS(BB61="Yes — Quantified Targets",5, BB61="Yes — Discretionary Only",2, TRUE,0)
  + _xlfn.IFS(BC61="Reasonable Assurance",5, BC61="Limited Assurance",3, BC61="Management Review Only",1, TRUE,0)
))</f>
        <v/>
      </c>
      <c r="BF61" s="3" t="n"/>
      <c r="BG61" s="3" t="n"/>
      <c r="BH61" s="3" t="n"/>
      <c r="BI61" s="3" t="n"/>
      <c r="BJ61" s="3" t="n"/>
      <c r="BK61" s="3" t="n"/>
      <c r="BL61" s="3" t="n"/>
      <c r="BM61" s="3" t="n"/>
      <c r="BN61" s="3" t="n"/>
      <c r="BO61" s="3" t="n"/>
      <c r="BP61" s="3" t="n"/>
      <c r="BQ61" s="3" t="n"/>
      <c r="BR61" s="3" t="n"/>
      <c r="BS61" s="42">
        <f t="array" ref="BS61">MIN(100, MAX(0,
  IFERROR(_xlfn.XLOOKUP(BG61,'Lookup Tables'!$A$11:$A$16,'Lookup Tables'!$B$11:$B$16,0),0)
  + IFERROR(_xlfn.XLOOKUP(BR61,'Lookup Tables'!$M$11:$M$14,'Lookup Tables'!$N$11:$N$14,0),0)
  + IFERROR(_xlfn.XLOOKUP(BQ61,'Lookup Tables'!$J$11:$J$15,'Lookup Tables'!$K$11:$K$15,0),0)
  + IFERROR(_xlfn.XLOOKUP(BH61,'Lookup Tables'!$D$11:$D$15,'Lookup Tables'!$E$11:$E$15,0),0)
  + IFERROR(_xlfn.XLOOKUP(BJ61,'Lookup Tables'!$G$11:$G$16,'Lookup Tables'!$H$11:$H$16,0),0)
  + IFERROR(_xlfn.XLOOKUP(BN61,'Lookup Tables'!$P$11:$P$15,'Lookup Tables'!$Q$11:$Q$15,0),0)
  + _xlfn.IFS(BM61="No Evidence",10, BM61="Unknown",3, BM61="Likely",0, BM61="Confirmed",-10, TRUE,3)
  + IFERROR(_xlfn.XLOOKUP(BP61,'Lookup Tables'!$J$21:$J$24,'Lookup Tables'!$K$21:$K$24,0),0)
))</f>
        <v/>
      </c>
      <c r="BT61" s="3" t="n"/>
      <c r="BU61" s="3" t="n"/>
      <c r="BV61" s="3" t="n"/>
      <c r="BW61" s="3" t="n"/>
      <c r="BX61" s="3" t="n"/>
      <c r="BY61" s="3" t="n"/>
      <c r="BZ61" s="3" t="n"/>
      <c r="CA61" s="3" t="n"/>
      <c r="CB61" s="3" t="n"/>
      <c r="CC61" s="3" t="n"/>
      <c r="CD61" s="3" t="n"/>
      <c r="CE61" s="44">
        <f t="array" ref="CE61">MIN(100, MAX(0,
  IF(ISNUMBER(BV61)*AND(BV61&gt;0), 10, 0)
  + _xlfn.IFS(BY61="Independently Verified",25, BY61="Yes",15, TRUE,0)
  + IFERROR(_xlfn.XLOOKUP(BZ61,'Lookup Tables'!$A$21:$A$24,'Lookup Tables'!$B$21:$B$24,0),0)
  + IFERROR(_xlfn.XLOOKUP(CA61,'Lookup Tables'!$D$21:$D$24,'Lookup Tables'!$E$21:$E$24,0),0)
  + _xlfn.IFS(ISNUMBER(CB61)*AND(CB61&gt;=11),15, ISNUMBER(CB61)*AND(CB61&gt;=6),10, ISNUMBER(CB61)*AND(CB61&gt;=1),5, TRUE,0)
  + IFERROR(_xlfn.XLOOKUP(CC61,'Lookup Tables'!$G$21:$G$25,'Lookup Tables'!$H$21:$H$25,0),0)
  - IF(ISNUMBER(BW61)*AND(ISNUMBER(BV61))*AND(BW61&gt;BV61), 20, 0)
  - IF(AND(BY61="Yes", ISNUMBER(BW61), BW61&gt;60), 10, 0)
))</f>
        <v/>
      </c>
      <c r="CF61" s="3" t="n"/>
      <c r="CG61" s="3" t="n"/>
      <c r="CH61" s="3" t="n"/>
      <c r="CI61" s="3" t="n"/>
      <c r="CJ61" s="3" t="n"/>
      <c r="CK61" s="3" t="n"/>
      <c r="CL61" s="3" t="n"/>
      <c r="CM61" s="3" t="n"/>
      <c r="CN61" s="3" t="n"/>
      <c r="CO61" s="3" t="n"/>
      <c r="CP61" s="3" t="n"/>
      <c r="CQ61" s="3" t="n"/>
      <c r="CR61" s="3">
        <f>COUNTIF(CJ61:CQ61,"FAIL")</f>
        <v/>
      </c>
      <c r="CS61" s="3">
        <f>COUNTIF(CJ61:CQ61,"PARTIAL")</f>
        <v/>
      </c>
      <c r="CT61" s="3">
        <f>COUNTIF(CJ61:CQ61,"MISSING")</f>
        <v/>
      </c>
      <c r="CU61" s="3">
        <f>MIN(100,
  CR61*15
  + CS61*6
  + CT61*3
  + IFERROR(_xlfn.XLOOKUP(CW61,'Lookup Tables'!$M$21:$M$25,'Lookup Tables'!$N$21:$N$25,0),0)
)</f>
        <v/>
      </c>
      <c r="CV61" s="3">
        <f>IFERROR(
CHOOSE(
MATCH("FAIL",CJ61:CQ61,0),
"1-Specificity","2-Metric","3-Baseline","4-Target",
"5-Time Horizon","6-Scope","7-Verification","8-Consistency"
),
IFERROR(
CHOOSE(
MATCH("PARTIAL",CJ61:CQ61,0),
"1-Specificity","2-Metric","3-Baseline","4-Target",
"5-Time Horizon","6-Scope","7-Verification","8-Consistency"
),
"No failures"
)
)</f>
        <v/>
      </c>
      <c r="CW61" s="3" t="n"/>
      <c r="CX61" s="3" t="n"/>
      <c r="CY61" s="3" t="n"/>
      <c r="CZ61" s="3" t="n"/>
      <c r="DA61" s="3">
        <f>IF(OR(CU61&gt;=50,CW61="Material",CW61="Severe",AS61="Material",AS61="Severe",BF61="Material",BF61="Severe — Exclusion Trigger",AND(ISNUMBER(BS61),BS61&lt;30)),"Yes","No")</f>
        <v/>
      </c>
      <c r="DB61" s="3">
        <f>IF(OR(CR61&gt;=6,AW61="Confirmed Violation",AX61="Confirmed Breach"),"Yes — Automatic",IF(CW61="Severe","Yes — Requires Captain Confirmation","No"))</f>
        <v/>
      </c>
      <c r="DC61" s="3" t="n"/>
      <c r="DD61" s="3" t="n"/>
      <c r="DE61" s="3" t="n"/>
      <c r="DF61" s="3" t="n"/>
      <c r="DG61" s="3" t="n"/>
      <c r="DH61" s="3" t="n"/>
      <c r="DI61" s="3" t="n"/>
      <c r="DJ61" s="3" t="n"/>
      <c r="DK61" s="3" t="n"/>
      <c r="DL61" s="3">
        <f>IF(OR(IFERROR(VALUE(LEFT(DF61,1)),99)&lt;=2,IFERROR(VALUE(LEFT(DG61,1)),99)&lt;=2),"Flagged","Clear")</f>
        <v/>
      </c>
      <c r="DM61" s="3">
        <f>IF(OR(DA61="Yes",DB61&lt;&gt;"No",DH61="Unverified",DL61="Flagged"),"Yes","No")</f>
        <v/>
      </c>
      <c r="DN61" s="3">
        <f t="array" ref="DN61">MIN(100,
  IF(ISNUMBER(V61), _xlfn.IFS(V61&gt;=3,25, V61=2,15, V61=1,5, TRUE,0), 0)
  + IFERROR(_xlfn.IFS(VALUE(LEFT(DF61,1))=5,25, VALUE(LEFT(DF61,1))=4,20, VALUE(LEFT(DF61,1))=3,15, VALUE(LEFT(DF61,1))=2,8, TRUE,0), 15)
  + IFERROR(_xlfn.IFS(VALUE(LEFT(DG61,1))=5,25, VALUE(LEFT(DG61,1))=4,20, VALUE(LEFT(DG61,1))=3,15, VALUE(LEFT(DG61,1))=2,8, TRUE,0), 15)
  + _xlfn.IFS(DH61="Fully Verified",25, DH61="Partially Verified",12, TRUE,0)
)</f>
        <v/>
      </c>
      <c r="DO61" s="3">
        <f t="array" ref="DO61">_xlfn.IFS(
  ISBLANK(AR61), "Insufficient Evidence",
  AND(AR61&gt;=65, AJ61="Approved"), "Strong",
  AR61&gt;=65, "Adequate",
  AR61&gt;=40, "Adequate",
  AR61&gt;=20, "Weak",
  TRUE, "Insufficient Evidence"
)</f>
        <v/>
      </c>
      <c r="DP61" s="3">
        <f t="array" ref="DP61">_xlfn.IFS(
  ISBLANK(BS61), "Insufficient Evidence",
  BS61&gt;=65, "Strong",
  BS61&gt;=40, "Adequate",
  BS61&gt;=20, "Weak",
  TRUE, "Insufficient Evidence"
)</f>
        <v/>
      </c>
      <c r="DQ61" s="3">
        <f t="array" ref="DQ61">_xlfn.IFS(
  ISBLANK(BE61), "Insufficient Evidence",
  OR(AW61="Confirmed Violation", AX61="Confirmed Breach"), "Severe — Hard Trigger",
  BE61&gt;=65, "Strong",
  BE61&gt;=40, "Adequate",
  BE61&gt;=20, "Weak",
  TRUE, "Insufficient Evidence"
)</f>
        <v/>
      </c>
      <c r="DR61" s="3">
        <f t="array" ref="DR61">_xlfn.IFS(
  ISBLANK(CU61), "Insufficient Evidence",
  CU61&lt;=20, "Low Risk",
  CU61&lt;=50, "Moderate Risk",
  CU61&lt;=75, "High Risk",
  TRUE, "Very High Risk"
)</f>
        <v/>
      </c>
      <c r="DS61" s="3">
        <f t="array" ref="DS61">_xlfn.IFS(
  ISBLANK(CE61), "Insufficient Evidence",
  AND(ISNUMBER(BW61),ISNUMBER(BV61),BW61&gt;BV61), "Overclaiming Risk",
  CE61&gt;=65, "Strong",
  CE61&gt;=40, "Adequate",
  TRUE, "Weak"
)</f>
        <v/>
      </c>
      <c r="DT61" s="3">
        <f>IF(DB61="Yes — Automatic",0,ROUND((IF(ISNUMBER(AR61),AR61,0)*0.3+IF(ISNUMBER(BS61),BS61,0)*0.2+IF(ISNUMBER(BE61),BE61,0)*0.2+IF(ISNUMBER(CE61),CE61,0)*0.15+(100-IF(ISNUMBER(CU61),CU61,50))*0.15)*IF(DN61&gt;=75,1,IF(DN61&gt;=50,0.9,IF(DN61&gt;=25,0.75,0.6))),1))</f>
        <v/>
      </c>
      <c r="DU61" s="3">
        <f t="array" ref="DU61">_xlfn.IFS(
  DV61="Upgraded to Clear", "Clear",
  DV61="Downgraded to Watchlist", "Watchlist",
  DV61="Downgraded to Exclusion", "Exclusion Risk",
  DB61="Yes — Automatic", "Exclusion Risk",
  OR(AW61="Confirmed Violation", AX61="Confirmed Breach"), "Exclusion Risk",
  OR(V61=0, ISBLANK(V61), DN61&lt;20), "Insufficient Evidence",
  AND(DT61&gt;=65, DA61="No", DB61="No"), "Clear",
  OR(DT61&gt;=40, DA61="Yes"), "Watchlist",
  TRUE, "Exclusion Risk"
)</f>
        <v/>
      </c>
      <c r="DV61" s="3" t="n"/>
      <c r="DW61" s="3">
        <f t="array" ref="DW61">_xlfn.IFS(
  DU61="Exclusion Risk", "Exclude — Hard Trigger",
  DU61="Insufficient Evidence", "Watchlist — Further Evidence Needed",
  DU61="Watchlist", "Watchlist — Further Evidence Needed",
  AND(DU61="Clear", DT61&gt;=80), "Include — No Conditions",
  DU61="Clear", "Include — Monitor",
  TRUE, "Watchlist — Further Evidence Needed"
)</f>
        <v/>
      </c>
      <c r="DX61" s="3" t="n"/>
      <c r="DY61" s="3" t="n"/>
      <c r="DZ61" s="3" t="n"/>
      <c r="EA61" s="3" t="n"/>
      <c r="EB61" s="3">
        <f>IF(OR(V61=0, ISBLANK(V61)), "MISSING — No sources reviewed", "")</f>
        <v/>
      </c>
      <c r="EC61" s="3">
        <f>IF(AND(NOT(ISBLANK(DC61)), ISBLANK(DE61)), "PAGE REF MISSING", "")</f>
        <v/>
      </c>
    </row>
    <row r="62" ht="18" customHeight="1" s="60">
      <c r="A62" s="5" t="inlineStr">
        <is>
          <t>BNP Paribas SA</t>
        </is>
      </c>
      <c r="B62" s="5" t="inlineStr">
        <is>
          <t>BNP</t>
        </is>
      </c>
      <c r="C62" s="5">
        <f>IF(ISBLANK('Universe Tracker'!D58),"",'Universe Tracker'!D58)</f>
        <v/>
      </c>
      <c r="D62" s="5" t="n"/>
      <c r="E62" s="5" t="n"/>
      <c r="F62" s="5">
        <f>IF(ISBLANK('Universe Tracker'!F58),"",'Universe Tracker'!F58)</f>
        <v/>
      </c>
      <c r="G62" s="5">
        <f>IF(ISBLANK('Universe Tracker'!G58),"",'Universe Tracker'!G58)</f>
        <v/>
      </c>
      <c r="H62" s="5" t="n"/>
      <c r="I62" s="5" t="n"/>
      <c r="J62" s="5">
        <f>IF(ISBLANK(B62),"",B62&amp;"_"&amp;C62)</f>
        <v/>
      </c>
      <c r="K62" s="5" t="n"/>
      <c r="L62" s="5" t="n"/>
      <c r="M62" s="5" t="n"/>
      <c r="N62" s="5" t="n"/>
      <c r="O62" s="5" t="n"/>
      <c r="P62" s="5" t="n"/>
      <c r="Q62" s="5" t="n"/>
      <c r="R62" s="5" t="n"/>
      <c r="S62" s="5" t="n"/>
      <c r="T62" s="5" t="n"/>
      <c r="U62" s="5" t="n"/>
      <c r="V62" s="5" t="n"/>
      <c r="W62" s="5" t="n"/>
      <c r="X62" s="5" t="n"/>
      <c r="Y62" s="5">
        <f>IF(AND(V62&gt;=2,K62="Yes",L62="Yes"),"Sufficient",IF(AND(V62&gt;=1,OR(K62="Yes",L62="Yes")),"Thin","Insufficient"))</f>
        <v/>
      </c>
      <c r="Z62" s="5" t="n"/>
      <c r="AA62" s="5" t="n"/>
      <c r="AB62" s="5" t="n"/>
      <c r="AC62" s="5" t="n"/>
      <c r="AD62" s="5" t="n"/>
      <c r="AE62" s="5" t="n"/>
      <c r="AF62" s="5" t="n"/>
      <c r="AG62" s="5" t="n"/>
      <c r="AH62" s="5" t="n"/>
      <c r="AI62" s="5" t="n"/>
      <c r="AJ62" s="5" t="n"/>
      <c r="AK62" s="5" t="n"/>
      <c r="AL62" s="5" t="n"/>
      <c r="AM62" s="5" t="n"/>
      <c r="AN62" s="5" t="n"/>
      <c r="AO62" s="5" t="n"/>
      <c r="AP62" s="5" t="n"/>
      <c r="AQ62" s="5" t="n"/>
      <c r="AR62" s="40">
        <f t="array" ref="AR62">MIN(100, MAX(0,
  IFERROR(_xlfn.XLOOKUP(AJ62,'Lookup Tables'!$A$2:$A$7,'Lookup Tables'!$B$2:$B$7,0),0)
  + IF(Z62="Yes", IF(IFERROR(_xlfn.XLOOKUP(AJ62,'Lookup Tables'!$A$2:$A$7,'Lookup Tables'!$B$2:$B$7,0),0)&lt;20, 5, 0), 0)
  + _xlfn.IFS(AB62="Yes", IF(ISNUMBER(AC62)*AND(AC62&lt;=2030),15,10), AB62="Long-term Only", 5, AB62="No", 0, TRUE, 0)
  + _xlfn.IFS(AF62="Full",10, AF62="Partial",5, AF62="Scope 2 Only",3, TRUE,0)
  + _xlfn.IFS(AG62="Yes", IF(ISNUMBER(AH62)*AND(AH62&gt;=5),10,6), AG62="Partial",4, TRUE,0)
  + _xlfn.IFS(AI62="Yes",5, AI62="Partial (material categories only)",3, TRUE,0)
  + _xlfn.IFS(AL62="Yes — Detailed",10, AL62="Yes — High Level",5, TRUE,0)
  + _xlfn.IFS(AM62="Yes — Quantified",15, AM62="Yes — Directional Only",7, TRUE,0)
  + _xlfn.IFS(AP62="Formal",5, AP62="Referenced",2, TRUE,0)
  + _xlfn.IFS(AQ62="No Issues Found",5, AQ62="Concern Identified",-5, AQ62="Severe Contradiction",-15, TRUE,0)
  + _xlfn.IFS(BC62="Reasonable Assurance",5, BC62="Limited Assurance",3, TRUE,0)
  - IF(AND(Z62="Yes", AI62="No"), 10, 0)
  - IF(AND(Z62="Yes", AM62="No"), 10, 0)
))</f>
        <v/>
      </c>
      <c r="AS62" s="5" t="n"/>
      <c r="AT62" s="5" t="n"/>
      <c r="AU62" s="5" t="n"/>
      <c r="AV62" s="5" t="n"/>
      <c r="AW62" s="5" t="n"/>
      <c r="AX62" s="5" t="n"/>
      <c r="AY62" s="5" t="n"/>
      <c r="AZ62" s="5" t="n"/>
      <c r="BA62" s="5" t="n"/>
      <c r="BB62" s="5" t="n"/>
      <c r="BC62" s="5" t="n"/>
      <c r="BD62" s="5" t="n"/>
      <c r="BE62" s="39">
        <f t="array" ref="BE62">MIN(100, MAX(0,
  IFERROR(_xlfn.XLOOKUP(AT62,'Lookup Tables'!$D$2:$D$6,'Lookup Tables'!$E$2:$E$6,0),0)
  + IFERROR(_xlfn.XLOOKUP(AV62,'Lookup Tables'!$G$2:$G$5,'Lookup Tables'!$H$2:$H$5,0),0)
  + IFERROR(_xlfn.XLOOKUP(AW62,'Lookup Tables'!$J$2:$J$5,'Lookup Tables'!$K$2:$K$5,0),0)
  + _xlfn.IFS(AX62="No Issues",10, AX62="Complaint Filed",3, AX62="Confirmed Breach",-15, TRUE,0)
  + IFERROR(_xlfn.XLOOKUP(AY62,'Lookup Tables'!$M$2:$M$6,'Lookup Tables'!$N$2:$N$6,0),0)
  + IFERROR(_xlfn.XLOOKUP(AZ62,'Lookup Tables'!$P$2:$P$6,'Lookup Tables'!$Q$2:$Q$6,0),0)
  + _xlfn.IFS(BA62="Formal Board Committee",5, BA62="Board Oversight Mentioned",2, TRUE,0)
  + _xlfn.IFS(BB62="Yes — Quantified Targets",5, BB62="Yes — Discretionary Only",2, TRUE,0)
  + _xlfn.IFS(BC62="Reasonable Assurance",5, BC62="Limited Assurance",3, BC62="Management Review Only",1, TRUE,0)
))</f>
        <v/>
      </c>
      <c r="BF62" s="5" t="n"/>
      <c r="BG62" s="5" t="n"/>
      <c r="BH62" s="5" t="n"/>
      <c r="BI62" s="5" t="n"/>
      <c r="BJ62" s="5" t="n"/>
      <c r="BK62" s="5" t="n"/>
      <c r="BL62" s="5" t="n"/>
      <c r="BM62" s="5" t="n"/>
      <c r="BN62" s="5" t="n"/>
      <c r="BO62" s="5" t="n"/>
      <c r="BP62" s="5" t="n"/>
      <c r="BQ62" s="5" t="n"/>
      <c r="BR62" s="5" t="n"/>
      <c r="BS62" s="41">
        <f t="array" ref="BS62">MIN(100, MAX(0,
  IFERROR(_xlfn.XLOOKUP(BG62,'Lookup Tables'!$A$11:$A$16,'Lookup Tables'!$B$11:$B$16,0),0)
  + IFERROR(_xlfn.XLOOKUP(BR62,'Lookup Tables'!$M$11:$M$14,'Lookup Tables'!$N$11:$N$14,0),0)
  + IFERROR(_xlfn.XLOOKUP(BQ62,'Lookup Tables'!$J$11:$J$15,'Lookup Tables'!$K$11:$K$15,0),0)
  + IFERROR(_xlfn.XLOOKUP(BH62,'Lookup Tables'!$D$11:$D$15,'Lookup Tables'!$E$11:$E$15,0),0)
  + IFERROR(_xlfn.XLOOKUP(BJ62,'Lookup Tables'!$G$11:$G$16,'Lookup Tables'!$H$11:$H$16,0),0)
  + IFERROR(_xlfn.XLOOKUP(BN62,'Lookup Tables'!$P$11:$P$15,'Lookup Tables'!$Q$11:$Q$15,0),0)
  + _xlfn.IFS(BM62="No Evidence",10, BM62="Unknown",3, BM62="Likely",0, BM62="Confirmed",-10, TRUE,3)
  + IFERROR(_xlfn.XLOOKUP(BP62,'Lookup Tables'!$J$21:$J$24,'Lookup Tables'!$K$21:$K$24,0),0)
))</f>
        <v/>
      </c>
      <c r="BT62" s="5" t="n"/>
      <c r="BU62" s="5" t="n"/>
      <c r="BV62" s="5" t="n"/>
      <c r="BW62" s="5" t="n"/>
      <c r="BX62" s="5" t="n"/>
      <c r="BY62" s="5" t="n"/>
      <c r="BZ62" s="5" t="n"/>
      <c r="CA62" s="5" t="n"/>
      <c r="CB62" s="5" t="n"/>
      <c r="CC62" s="5" t="n"/>
      <c r="CD62" s="5" t="n"/>
      <c r="CE62" s="43">
        <f t="array" ref="CE62">MIN(100, MAX(0,
  IF(ISNUMBER(BV62)*AND(BV62&gt;0), 10, 0)
  + _xlfn.IFS(BY62="Independently Verified",25, BY62="Yes",15, TRUE,0)
  + IFERROR(_xlfn.XLOOKUP(BZ62,'Lookup Tables'!$A$21:$A$24,'Lookup Tables'!$B$21:$B$24,0),0)
  + IFERROR(_xlfn.XLOOKUP(CA62,'Lookup Tables'!$D$21:$D$24,'Lookup Tables'!$E$21:$E$24,0),0)
  + _xlfn.IFS(ISNUMBER(CB62)*AND(CB62&gt;=11),15, ISNUMBER(CB62)*AND(CB62&gt;=6),10, ISNUMBER(CB62)*AND(CB62&gt;=1),5, TRUE,0)
  + IFERROR(_xlfn.XLOOKUP(CC62,'Lookup Tables'!$G$21:$G$25,'Lookup Tables'!$H$21:$H$25,0),0)
  - IF(ISNUMBER(BW62)*AND(ISNUMBER(BV62))*AND(BW62&gt;BV62), 20, 0)
  - IF(AND(BY62="Yes", ISNUMBER(BW62), BW62&gt;60), 10, 0)
))</f>
        <v/>
      </c>
      <c r="CF62" s="5" t="n"/>
      <c r="CG62" s="5" t="n"/>
      <c r="CH62" s="5" t="n"/>
      <c r="CI62" s="5" t="n"/>
      <c r="CJ62" s="5" t="n"/>
      <c r="CK62" s="5" t="n"/>
      <c r="CL62" s="5" t="n"/>
      <c r="CM62" s="5" t="n"/>
      <c r="CN62" s="5" t="n"/>
      <c r="CO62" s="5" t="n"/>
      <c r="CP62" s="5" t="n"/>
      <c r="CQ62" s="5" t="n"/>
      <c r="CR62" s="5">
        <f>COUNTIF(CJ62:CQ62,"FAIL")</f>
        <v/>
      </c>
      <c r="CS62" s="5">
        <f>COUNTIF(CJ62:CQ62,"PARTIAL")</f>
        <v/>
      </c>
      <c r="CT62" s="5">
        <f>COUNTIF(CJ62:CQ62,"MISSING")</f>
        <v/>
      </c>
      <c r="CU62" s="5">
        <f>MIN(100,
  CR62*15
  + CS62*6
  + CT62*3
  + IFERROR(_xlfn.XLOOKUP(CW62,'Lookup Tables'!$M$21:$M$25,'Lookup Tables'!$N$21:$N$25,0),0)
)</f>
        <v/>
      </c>
      <c r="CV62" s="5">
        <f>IFERROR(
CHOOSE(
MATCH("FAIL",CJ62:CQ62,0),
"1-Specificity","2-Metric","3-Baseline","4-Target",
"5-Time Horizon","6-Scope","7-Verification","8-Consistency"
),
IFERROR(
CHOOSE(
MATCH("PARTIAL",CJ62:CQ62,0),
"1-Specificity","2-Metric","3-Baseline","4-Target",
"5-Time Horizon","6-Scope","7-Verification","8-Consistency"
),
"No failures"
)
)</f>
        <v/>
      </c>
      <c r="CW62" s="5" t="n"/>
      <c r="CX62" s="5" t="n"/>
      <c r="CY62" s="5" t="n"/>
      <c r="CZ62" s="5" t="n"/>
      <c r="DA62" s="5">
        <f>IF(OR(CU62&gt;=50,CW62="Material",CW62="Severe",AS62="Material",AS62="Severe",BF62="Material",BF62="Severe — Exclusion Trigger",AND(ISNUMBER(BS62),BS62&lt;30)),"Yes","No")</f>
        <v/>
      </c>
      <c r="DB62" s="5">
        <f>IF(OR(CR62&gt;=6,AW62="Confirmed Violation",AX62="Confirmed Breach"),"Yes — Automatic",IF(CW62="Severe","Yes — Requires Captain Confirmation","No"))</f>
        <v/>
      </c>
      <c r="DC62" s="5" t="n"/>
      <c r="DD62" s="5" t="n"/>
      <c r="DE62" s="5" t="n"/>
      <c r="DF62" s="5" t="n"/>
      <c r="DG62" s="5" t="n"/>
      <c r="DH62" s="5" t="n"/>
      <c r="DI62" s="5" t="n"/>
      <c r="DJ62" s="5" t="n"/>
      <c r="DK62" s="5" t="n"/>
      <c r="DL62" s="5">
        <f>IF(OR(IFERROR(VALUE(LEFT(DF62,1)),99)&lt;=2,IFERROR(VALUE(LEFT(DG62,1)),99)&lt;=2),"Flagged","Clear")</f>
        <v/>
      </c>
      <c r="DM62" s="5">
        <f>IF(OR(DA62="Yes",DB62&lt;&gt;"No",DH62="Unverified",DL62="Flagged"),"Yes","No")</f>
        <v/>
      </c>
      <c r="DN62" s="5">
        <f t="array" ref="DN62">MIN(100,
  IF(ISNUMBER(V62), _xlfn.IFS(V62&gt;=3,25, V62=2,15, V62=1,5, TRUE,0), 0)
  + IFERROR(_xlfn.IFS(VALUE(LEFT(DF62,1))=5,25, VALUE(LEFT(DF62,1))=4,20, VALUE(LEFT(DF62,1))=3,15, VALUE(LEFT(DF62,1))=2,8, TRUE,0), 15)
  + IFERROR(_xlfn.IFS(VALUE(LEFT(DG62,1))=5,25, VALUE(LEFT(DG62,1))=4,20, VALUE(LEFT(DG62,1))=3,15, VALUE(LEFT(DG62,1))=2,8, TRUE,0), 15)
  + _xlfn.IFS(DH62="Fully Verified",25, DH62="Partially Verified",12, TRUE,0)
)</f>
        <v/>
      </c>
      <c r="DO62" s="5">
        <f t="array" ref="DO62">_xlfn.IFS(
  ISBLANK(AR62), "Insufficient Evidence",
  AND(AR62&gt;=65, AJ62="Approved"), "Strong",
  AR62&gt;=65, "Adequate",
  AR62&gt;=40, "Adequate",
  AR62&gt;=20, "Weak",
  TRUE, "Insufficient Evidence"
)</f>
        <v/>
      </c>
      <c r="DP62" s="5">
        <f t="array" ref="DP62">_xlfn.IFS(
  ISBLANK(BS62), "Insufficient Evidence",
  BS62&gt;=65, "Strong",
  BS62&gt;=40, "Adequate",
  BS62&gt;=20, "Weak",
  TRUE, "Insufficient Evidence"
)</f>
        <v/>
      </c>
      <c r="DQ62" s="5">
        <f t="array" ref="DQ62">_xlfn.IFS(
  ISBLANK(BE62), "Insufficient Evidence",
  OR(AW62="Confirmed Violation", AX62="Confirmed Breach"), "Severe — Hard Trigger",
  BE62&gt;=65, "Strong",
  BE62&gt;=40, "Adequate",
  BE62&gt;=20, "Weak",
  TRUE, "Insufficient Evidence"
)</f>
        <v/>
      </c>
      <c r="DR62" s="5">
        <f t="array" ref="DR62">_xlfn.IFS(
  ISBLANK(CU62), "Insufficient Evidence",
  CU62&lt;=20, "Low Risk",
  CU62&lt;=50, "Moderate Risk",
  CU62&lt;=75, "High Risk",
  TRUE, "Very High Risk"
)</f>
        <v/>
      </c>
      <c r="DS62" s="5">
        <f t="array" ref="DS62">_xlfn.IFS(
  ISBLANK(CE62), "Insufficient Evidence",
  AND(ISNUMBER(BW62),ISNUMBER(BV62),BW62&gt;BV62), "Overclaiming Risk",
  CE62&gt;=65, "Strong",
  CE62&gt;=40, "Adequate",
  TRUE, "Weak"
)</f>
        <v/>
      </c>
      <c r="DT62" s="5">
        <f>IF(DB62="Yes — Automatic",0,ROUND((IF(ISNUMBER(AR62),AR62,0)*0.3+IF(ISNUMBER(BS62),BS62,0)*0.2+IF(ISNUMBER(BE62),BE62,0)*0.2+IF(ISNUMBER(CE62),CE62,0)*0.15+(100-IF(ISNUMBER(CU62),CU62,50))*0.15)*IF(DN62&gt;=75,1,IF(DN62&gt;=50,0.9,IF(DN62&gt;=25,0.75,0.6))),1))</f>
        <v/>
      </c>
      <c r="DU62" s="5">
        <f t="array" ref="DU62">_xlfn.IFS(
  DV62="Upgraded to Clear", "Clear",
  DV62="Downgraded to Watchlist", "Watchlist",
  DV62="Downgraded to Exclusion", "Exclusion Risk",
  DB62="Yes — Automatic", "Exclusion Risk",
  OR(AW62="Confirmed Violation", AX62="Confirmed Breach"), "Exclusion Risk",
  OR(V62=0, ISBLANK(V62), DN62&lt;20), "Insufficient Evidence",
  AND(DT62&gt;=65, DA62="No", DB62="No"), "Clear",
  OR(DT62&gt;=40, DA62="Yes"), "Watchlist",
  TRUE, "Exclusion Risk"
)</f>
        <v/>
      </c>
      <c r="DV62" s="5" t="n"/>
      <c r="DW62" s="5">
        <f t="array" ref="DW62">_xlfn.IFS(
  DU62="Exclusion Risk", "Exclude — Hard Trigger",
  DU62="Insufficient Evidence", "Watchlist — Further Evidence Needed",
  DU62="Watchlist", "Watchlist — Further Evidence Needed",
  AND(DU62="Clear", DT62&gt;=80), "Include — No Conditions",
  DU62="Clear", "Include — Monitor",
  TRUE, "Watchlist — Further Evidence Needed"
)</f>
        <v/>
      </c>
      <c r="DX62" s="5" t="n"/>
      <c r="DY62" s="5" t="n"/>
      <c r="DZ62" s="5" t="n"/>
      <c r="EA62" s="5" t="n"/>
      <c r="EB62" s="5">
        <f>IF(OR(V62=0, ISBLANK(V62)), "MISSING — No sources reviewed", "")</f>
        <v/>
      </c>
      <c r="EC62" s="5">
        <f>IF(AND(NOT(ISBLANK(DC62)), ISBLANK(DE62)), "PAGE REF MISSING", "")</f>
        <v/>
      </c>
    </row>
    <row r="63" ht="18" customHeight="1" s="60">
      <c r="A63" s="3" t="inlineStr">
        <is>
          <t>Subsea 7 SA</t>
        </is>
      </c>
      <c r="B63" s="3" t="inlineStr">
        <is>
          <t>SOC</t>
        </is>
      </c>
      <c r="C63" s="3" t="inlineStr">
        <is>
          <t>LU0075646355</t>
        </is>
      </c>
      <c r="D63" s="3" t="n"/>
      <c r="E63" s="3" t="n"/>
      <c r="F63" s="3">
        <f>IF(ISBLANK('Universe Tracker'!F59),"",'Universe Tracker'!F59)</f>
        <v/>
      </c>
      <c r="G63" s="3">
        <f>IF(ISBLANK('Universe Tracker'!G59),"",'Universe Tracker'!G59)</f>
        <v/>
      </c>
      <c r="H63" s="3" t="n"/>
      <c r="I63" s="3" t="n"/>
      <c r="J63" s="3">
        <f>IF(ISBLANK(B63),"",B63&amp;"_"&amp;C63)</f>
        <v/>
      </c>
      <c r="K63" s="3" t="n"/>
      <c r="L63" s="3" t="n"/>
      <c r="M63" s="3" t="n"/>
      <c r="N63" s="3" t="n"/>
      <c r="O63" s="3" t="inlineStr">
        <is>
          <t>Yes</t>
        </is>
      </c>
      <c r="P63" s="3" t="inlineStr">
        <is>
          <t>Yes</t>
        </is>
      </c>
      <c r="Q63" s="3" t="n"/>
      <c r="R63" s="3" t="n"/>
      <c r="S63" s="3" t="n"/>
      <c r="T63" s="3" t="n"/>
      <c r="U63" s="3" t="n"/>
      <c r="V63" s="3" t="n"/>
      <c r="W63" s="3" t="n"/>
      <c r="X63" s="3" t="n"/>
      <c r="Y63" s="3">
        <f>IF(AND(V63&gt;=2,K63="Yes",L63="Yes"),"Sufficient",IF(AND(V63&gt;=1,OR(K63="Yes",L63="Yes")),"Thin","Insufficient"))</f>
        <v/>
      </c>
      <c r="Z63" s="3" t="n"/>
      <c r="AA63" s="3" t="n"/>
      <c r="AB63" s="3" t="n"/>
      <c r="AC63" s="3" t="n"/>
      <c r="AD63" s="3" t="n"/>
      <c r="AE63" s="3" t="n"/>
      <c r="AF63" s="3" t="n"/>
      <c r="AG63" s="3" t="n"/>
      <c r="AH63" s="3" t="n"/>
      <c r="AI63" s="3" t="n"/>
      <c r="AJ63" s="3" t="inlineStr">
        <is>
          <t>Not in SBTi database (checked 2026-05-21)</t>
        </is>
      </c>
      <c r="AK63" s="3" t="inlineStr"/>
      <c r="AL63" s="3" t="n"/>
      <c r="AM63" s="3" t="n"/>
      <c r="AN63" s="3" t="n"/>
      <c r="AO63" s="3" t="n"/>
      <c r="AP63" s="3" t="n"/>
      <c r="AQ63" s="3" t="n"/>
      <c r="AR63" s="40">
        <f t="array" ref="AR63">MIN(100, MAX(0,
  IFERROR(_xlfn.XLOOKUP(AJ63,'Lookup Tables'!$A$2:$A$7,'Lookup Tables'!$B$2:$B$7,0),0)
  + IF(Z63="Yes", IF(IFERROR(_xlfn.XLOOKUP(AJ63,'Lookup Tables'!$A$2:$A$7,'Lookup Tables'!$B$2:$B$7,0),0)&lt;20, 5, 0), 0)
  + _xlfn.IFS(AB63="Yes", IF(ISNUMBER(AC63)*AND(AC63&lt;=2030),15,10), AB63="Long-term Only", 5, AB63="No", 0, TRUE, 0)
  + _xlfn.IFS(AF63="Full",10, AF63="Partial",5, AF63="Scope 2 Only",3, TRUE,0)
  + _xlfn.IFS(AG63="Yes", IF(ISNUMBER(AH63)*AND(AH63&gt;=5),10,6), AG63="Partial",4, TRUE,0)
  + _xlfn.IFS(AI63="Yes",5, AI63="Partial (material categories only)",3, TRUE,0)
  + _xlfn.IFS(AL63="Yes — Detailed",10, AL63="Yes — High Level",5, TRUE,0)
  + _xlfn.IFS(AM63="Yes — Quantified",15, AM63="Yes — Directional Only",7, TRUE,0)
  + _xlfn.IFS(AP63="Formal",5, AP63="Referenced",2, TRUE,0)
  + _xlfn.IFS(AQ63="No Issues Found",5, AQ63="Concern Identified",-5, AQ63="Severe Contradiction",-15, TRUE,0)
  + _xlfn.IFS(BC63="Reasonable Assurance",5, BC63="Limited Assurance",3, TRUE,0)
  - IF(AND(Z63="Yes", AI63="No"), 10, 0)
  - IF(AND(Z63="Yes", AM63="No"), 10, 0)
))</f>
        <v/>
      </c>
      <c r="AS63" s="3" t="n"/>
      <c r="AT63" s="3" t="n"/>
      <c r="AU63" s="3" t="n"/>
      <c r="AV63" s="3" t="n"/>
      <c r="AW63" s="3" t="n"/>
      <c r="AX63" s="3" t="n"/>
      <c r="AY63" s="3" t="n"/>
      <c r="AZ63" s="3" t="n"/>
      <c r="BA63" s="3" t="n"/>
      <c r="BB63" s="3" t="n"/>
      <c r="BC63" s="3" t="n"/>
      <c r="BD63" s="3" t="n"/>
      <c r="BE63" s="40">
        <f t="array" ref="BE63">MIN(100, MAX(0,
  IFERROR(_xlfn.XLOOKUP(AT63,'Lookup Tables'!$D$2:$D$6,'Lookup Tables'!$E$2:$E$6,0),0)
  + IFERROR(_xlfn.XLOOKUP(AV63,'Lookup Tables'!$G$2:$G$5,'Lookup Tables'!$H$2:$H$5,0),0)
  + IFERROR(_xlfn.XLOOKUP(AW63,'Lookup Tables'!$J$2:$J$5,'Lookup Tables'!$K$2:$K$5,0),0)
  + _xlfn.IFS(AX63="No Issues",10, AX63="Complaint Filed",3, AX63="Confirmed Breach",-15, TRUE,0)
  + IFERROR(_xlfn.XLOOKUP(AY63,'Lookup Tables'!$M$2:$M$6,'Lookup Tables'!$N$2:$N$6,0),0)
  + IFERROR(_xlfn.XLOOKUP(AZ63,'Lookup Tables'!$P$2:$P$6,'Lookup Tables'!$Q$2:$Q$6,0),0)
  + _xlfn.IFS(BA63="Formal Board Committee",5, BA63="Board Oversight Mentioned",2, TRUE,0)
  + _xlfn.IFS(BB63="Yes — Quantified Targets",5, BB63="Yes — Discretionary Only",2, TRUE,0)
  + _xlfn.IFS(BC63="Reasonable Assurance",5, BC63="Limited Assurance",3, BC63="Management Review Only",1, TRUE,0)
))</f>
        <v/>
      </c>
      <c r="BF63" s="3" t="n"/>
      <c r="BG63" s="3" t="n"/>
      <c r="BH63" s="3" t="n"/>
      <c r="BI63" s="3" t="n"/>
      <c r="BJ63" s="3" t="n"/>
      <c r="BK63" s="3" t="n"/>
      <c r="BL63" s="3" t="n"/>
      <c r="BM63" s="3" t="n"/>
      <c r="BN63" s="3" t="n"/>
      <c r="BO63" s="3" t="n"/>
      <c r="BP63" s="3" t="n"/>
      <c r="BQ63" s="3" t="n"/>
      <c r="BR63" s="3" t="n"/>
      <c r="BS63" s="42">
        <f t="array" ref="BS63">MIN(100, MAX(0,
  IFERROR(_xlfn.XLOOKUP(BG63,'Lookup Tables'!$A$11:$A$16,'Lookup Tables'!$B$11:$B$16,0),0)
  + IFERROR(_xlfn.XLOOKUP(BR63,'Lookup Tables'!$M$11:$M$14,'Lookup Tables'!$N$11:$N$14,0),0)
  + IFERROR(_xlfn.XLOOKUP(BQ63,'Lookup Tables'!$J$11:$J$15,'Lookup Tables'!$K$11:$K$15,0),0)
  + IFERROR(_xlfn.XLOOKUP(BH63,'Lookup Tables'!$D$11:$D$15,'Lookup Tables'!$E$11:$E$15,0),0)
  + IFERROR(_xlfn.XLOOKUP(BJ63,'Lookup Tables'!$G$11:$G$16,'Lookup Tables'!$H$11:$H$16,0),0)
  + IFERROR(_xlfn.XLOOKUP(BN63,'Lookup Tables'!$P$11:$P$15,'Lookup Tables'!$Q$11:$Q$15,0),0)
  + _xlfn.IFS(BM63="No Evidence",10, BM63="Unknown",3, BM63="Likely",0, BM63="Confirmed",-10, TRUE,3)
  + IFERROR(_xlfn.XLOOKUP(BP63,'Lookup Tables'!$J$21:$J$24,'Lookup Tables'!$K$21:$K$24,0),0)
))</f>
        <v/>
      </c>
      <c r="BT63" s="3" t="n"/>
      <c r="BU63" s="3" t="n"/>
      <c r="BV63" s="3" t="n"/>
      <c r="BW63" s="3" t="n"/>
      <c r="BX63" s="3" t="n"/>
      <c r="BY63" s="3" t="n"/>
      <c r="BZ63" s="3" t="n"/>
      <c r="CA63" s="3" t="n"/>
      <c r="CB63" s="3" t="n"/>
      <c r="CC63" s="3" t="n"/>
      <c r="CD63" s="3" t="n"/>
      <c r="CE63" s="44">
        <f t="array" ref="CE63">MIN(100, MAX(0,
  IF(ISNUMBER(BV63)*AND(BV63&gt;0), 10, 0)
  + _xlfn.IFS(BY63="Independently Verified",25, BY63="Yes",15, TRUE,0)
  + IFERROR(_xlfn.XLOOKUP(BZ63,'Lookup Tables'!$A$21:$A$24,'Lookup Tables'!$B$21:$B$24,0),0)
  + IFERROR(_xlfn.XLOOKUP(CA63,'Lookup Tables'!$D$21:$D$24,'Lookup Tables'!$E$21:$E$24,0),0)
  + _xlfn.IFS(ISNUMBER(CB63)*AND(CB63&gt;=11),15, ISNUMBER(CB63)*AND(CB63&gt;=6),10, ISNUMBER(CB63)*AND(CB63&gt;=1),5, TRUE,0)
  + IFERROR(_xlfn.XLOOKUP(CC63,'Lookup Tables'!$G$21:$G$25,'Lookup Tables'!$H$21:$H$25,0),0)
  - IF(ISNUMBER(BW63)*AND(ISNUMBER(BV63))*AND(BW63&gt;BV63), 20, 0)
  - IF(AND(BY63="Yes", ISNUMBER(BW63), BW63&gt;60), 10, 0)
))</f>
        <v/>
      </c>
      <c r="CF63" s="3" t="n"/>
      <c r="CG63" s="3" t="inlineStr">
        <is>
          <t>Net-Zero Scope 1 and 2 GHG emissions by 2050 ... through its decarbonisation plan</t>
        </is>
      </c>
      <c r="CH63" s="3" t="inlineStr">
        <is>
          <t>annual-report.pdf</t>
        </is>
      </c>
      <c r="CI63" s="3" t="n">
        <v>90</v>
      </c>
      <c r="CJ63" s="3" t="inlineStr">
        <is>
          <t>PASS</t>
        </is>
      </c>
      <c r="CK63" s="3" t="inlineStr">
        <is>
          <t>PARTIAL</t>
        </is>
      </c>
      <c r="CL63" s="3" t="inlineStr">
        <is>
          <t>MISSING</t>
        </is>
      </c>
      <c r="CM63" s="3" t="inlineStr">
        <is>
          <t>PARTIAL</t>
        </is>
      </c>
      <c r="CN63" s="3" t="inlineStr">
        <is>
          <t>PARTIAL</t>
        </is>
      </c>
      <c r="CO63" s="3" t="inlineStr">
        <is>
          <t>PASS</t>
        </is>
      </c>
      <c r="CP63" s="3" t="inlineStr">
        <is>
          <t>PARTIAL</t>
        </is>
      </c>
      <c r="CQ63" s="3" t="inlineStr">
        <is>
          <t>PARTIAL</t>
        </is>
      </c>
      <c r="CR63" s="3">
        <f>COUNTIF(CJ63:CQ63,"FAIL")</f>
        <v/>
      </c>
      <c r="CS63" s="3">
        <f>COUNTIF(CJ63:CQ63,"PARTIAL")</f>
        <v/>
      </c>
      <c r="CT63" s="3">
        <f>COUNTIF(CJ63:CQ63,"MISSING")</f>
        <v/>
      </c>
      <c r="CU63" s="3">
        <f>MIN(100,
  CR63*15
  + CS63*6
  + CT63*3
  + IFERROR(_xlfn.XLOOKUP(CW63,'Lookup Tables'!$M$21:$M$25,'Lookup Tables'!$N$21:$N$25,0),0)
)</f>
        <v/>
      </c>
      <c r="CV63" s="3">
        <f>IFERROR(
CHOOSE(
MATCH("FAIL",CJ63:CQ63,0),
"1-Specificity","2-Metric","3-Baseline","4-Target",
"5-Time Horizon","6-Scope","7-Verification","8-Consistency"
),
IFERROR(
CHOOSE(
MATCH("PARTIAL",CJ63:CQ63,0),
"1-Specificity","2-Metric","3-Baseline","4-Target",
"5-Time Horizon","6-Scope","7-Verification","8-Consistency"
),
"No failures"
)
)</f>
        <v/>
      </c>
      <c r="CW63" s="3" t="n"/>
      <c r="CX63" s="3" t="n"/>
      <c r="CY63" s="3" t="n"/>
      <c r="CZ63" s="3" t="n"/>
      <c r="DA63" s="3">
        <f>IF(OR(CU63&gt;=50,CW63="Material",CW63="Severe",AS63="Material",AS63="Severe",BF63="Material",BF63="Severe — Exclusion Trigger",AND(ISNUMBER(BS63),BS63&lt;30)),"Yes","No")</f>
        <v/>
      </c>
      <c r="DB63" s="3">
        <f>IF(OR(CR63&gt;=6,AW63="Confirmed Violation",AX63="Confirmed Breach"),"Yes — Automatic",IF(CW63="Severe","Yes — Requires Captain Confirmation","No"))</f>
        <v/>
      </c>
      <c r="DC63" s="3" t="inlineStr">
        <is>
          <t>Net-Zero Scope 1 and 2 GHG emissions by 2050 ... through its decarbonisation plan</t>
        </is>
      </c>
      <c r="DD63" s="3" t="inlineStr">
        <is>
          <t>annual-report.pdf</t>
        </is>
      </c>
      <c r="DE63" s="3" t="n">
        <v>90</v>
      </c>
      <c r="DF63" s="3" t="n">
        <v>3</v>
      </c>
      <c r="DG63" s="3" t="n">
        <v>4</v>
      </c>
      <c r="DH63" s="3" t="inlineStr">
        <is>
          <t>PENDING</t>
        </is>
      </c>
      <c r="DI63" s="3" t="n"/>
      <c r="DJ63" s="3" t="n"/>
      <c r="DK63" s="3" t="n"/>
      <c r="DL63" s="3">
        <f>IF(OR(IFERROR(VALUE(LEFT(DF63,1)),99)&lt;=2,IFERROR(VALUE(LEFT(DG63,1)),99)&lt;=2),"Flagged","Clear")</f>
        <v/>
      </c>
      <c r="DM63" s="3">
        <f>IF(OR(DA63="Yes",DB63&lt;&gt;"No",DH63="Unverified",DL63="Flagged"),"Yes","No")</f>
        <v/>
      </c>
      <c r="DN63" s="3">
        <f t="array" ref="DN63">MIN(100,
  IF(ISNUMBER(V63), _xlfn.IFS(V63&gt;=3,25, V63=2,15, V63=1,5, TRUE,0), 0)
  + IFERROR(_xlfn.IFS(VALUE(LEFT(DF63,1))=5,25, VALUE(LEFT(DF63,1))=4,20, VALUE(LEFT(DF63,1))=3,15, VALUE(LEFT(DF63,1))=2,8, TRUE,0), 15)
  + IFERROR(_xlfn.IFS(VALUE(LEFT(DG63,1))=5,25, VALUE(LEFT(DG63,1))=4,20, VALUE(LEFT(DG63,1))=3,15, VALUE(LEFT(DG63,1))=2,8, TRUE,0), 15)
  + _xlfn.IFS(DH63="Fully Verified",25, DH63="Partially Verified",12, TRUE,0)
)</f>
        <v/>
      </c>
      <c r="DO63" s="3">
        <f t="array" ref="DO63">_xlfn.IFS(
  ISBLANK(AR63), "Insufficient Evidence",
  AND(AR63&gt;=65, AJ63="Approved"), "Strong",
  AR63&gt;=65, "Adequate",
  AR63&gt;=40, "Adequate",
  AR63&gt;=20, "Weak",
  TRUE, "Insufficient Evidence"
)</f>
        <v/>
      </c>
      <c r="DP63" s="3">
        <f t="array" ref="DP63">_xlfn.IFS(
  ISBLANK(BS63), "Insufficient Evidence",
  BS63&gt;=65, "Strong",
  BS63&gt;=40, "Adequate",
  BS63&gt;=20, "Weak",
  TRUE, "Insufficient Evidence"
)</f>
        <v/>
      </c>
      <c r="DQ63" s="3">
        <f t="array" ref="DQ63">_xlfn.IFS(
  ISBLANK(BE63), "Insufficient Evidence",
  OR(AW63="Confirmed Violation", AX63="Confirmed Breach"), "Severe — Hard Trigger",
  BE63&gt;=65, "Strong",
  BE63&gt;=40, "Adequate",
  BE63&gt;=20, "Weak",
  TRUE, "Insufficient Evidence"
)</f>
        <v/>
      </c>
      <c r="DR63" s="3">
        <f t="array" ref="DR63">_xlfn.IFS(
  ISBLANK(CU63), "Insufficient Evidence",
  CU63&lt;=20, "Low Risk",
  CU63&lt;=50, "Moderate Risk",
  CU63&lt;=75, "High Risk",
  TRUE, "Very High Risk"
)</f>
        <v/>
      </c>
      <c r="DS63" s="3">
        <f t="array" ref="DS63">_xlfn.IFS(
  ISBLANK(CE63), "Insufficient Evidence",
  AND(ISNUMBER(BW63),ISNUMBER(BV63),BW63&gt;BV63), "Overclaiming Risk",
  CE63&gt;=65, "Strong",
  CE63&gt;=40, "Adequate",
  TRUE, "Weak"
)</f>
        <v/>
      </c>
      <c r="DT63" s="3">
        <f>IF(DB63="Yes — Automatic",0,ROUND((IF(ISNUMBER(AR63),AR63,0)*0.3+IF(ISNUMBER(BS63),BS63,0)*0.2+IF(ISNUMBER(BE63),BE63,0)*0.2+IF(ISNUMBER(CE63),CE63,0)*0.15+(100-IF(ISNUMBER(CU63),CU63,50))*0.15)*IF(DN63&gt;=75,1,IF(DN63&gt;=50,0.9,IF(DN63&gt;=25,0.75,0.6))),1))</f>
        <v/>
      </c>
      <c r="DU63" s="3">
        <f t="array" ref="DU63">_xlfn.IFS(
  DV63="Upgraded to Clear", "Clear",
  DV63="Downgraded to Watchlist", "Watchlist",
  DV63="Downgraded to Exclusion", "Exclusion Risk",
  DB63="Yes — Automatic", "Exclusion Risk",
  OR(AW63="Confirmed Violation", AX63="Confirmed Breach"), "Exclusion Risk",
  OR(V63=0, ISBLANK(V63), DN63&lt;20), "Insufficient Evidence",
  AND(DT63&gt;=65, DA63="No", DB63="No"), "Clear",
  OR(DT63&gt;=40, DA63="Yes"), "Watchlist",
  TRUE, "Exclusion Risk"
)</f>
        <v/>
      </c>
      <c r="DV63" s="3" t="n"/>
      <c r="DW63" s="3">
        <f t="array" ref="DW63">_xlfn.IFS(
  DU63="Exclusion Risk", "Exclude — Hard Trigger",
  DU63="Insufficient Evidence", "Watchlist — Further Evidence Needed",
  DU63="Watchlist", "Watchlist — Further Evidence Needed",
  AND(DU63="Clear", DT63&gt;=80), "Include — No Conditions",
  DU63="Clear", "Include — Monitor",
  TRUE, "Watchlist — Further Evidence Needed"
)</f>
        <v/>
      </c>
      <c r="DX63" s="3" t="inlineStr">
        <is>
          <t>Main claim: "Net-Zero Scope 1 and 2 GHG emissions by 2050 ... through its decarbonisation plan" (annual-report.pdf, p90). SBTi: no validated target in the SBTi database. 8-Test: 5 PARTIAL, 0 FAIL, 1 MISSING -&gt; PASS. Offshore-energy contractor; assessed from the annual report (no standalone sustainability report). Four MED + one MISSING reflect a 2050-only net-zero horizon, targets that SBTi explicitly does not validate for the sector (candidly...</t>
        </is>
      </c>
      <c r="DY63" s="3" t="n"/>
      <c r="DZ63" s="3" t="n"/>
      <c r="EA63" s="3" t="n"/>
      <c r="EB63" s="3">
        <f>IF(OR(V63=0, ISBLANK(V63)), "MISSING — No sources reviewed", "")</f>
        <v/>
      </c>
      <c r="EC63" s="3">
        <f>IF(AND(NOT(ISBLANK(DC63)), ISBLANK(DE63)), "PAGE REF MISSING", "")</f>
        <v/>
      </c>
    </row>
    <row r="64" ht="18" customHeight="1" s="60">
      <c r="A64" s="5" t="inlineStr">
        <is>
          <t>Poste Italiane SpA</t>
        </is>
      </c>
      <c r="B64" s="5" t="inlineStr">
        <is>
          <t>7PI</t>
        </is>
      </c>
      <c r="C64" s="5">
        <f>IF(ISBLANK('Universe Tracker'!D60),"",'Universe Tracker'!D60)</f>
        <v/>
      </c>
      <c r="D64" s="5" t="n"/>
      <c r="E64" s="5" t="n"/>
      <c r="F64" s="5">
        <f>IF(ISBLANK('Universe Tracker'!F60),"",'Universe Tracker'!F60)</f>
        <v/>
      </c>
      <c r="G64" s="5">
        <f>IF(ISBLANK('Universe Tracker'!G60),"",'Universe Tracker'!G60)</f>
        <v/>
      </c>
      <c r="H64" s="5" t="n"/>
      <c r="I64" s="5" t="n"/>
      <c r="J64" s="5">
        <f>IF(ISBLANK(B64),"",B64&amp;"_"&amp;C64)</f>
        <v/>
      </c>
      <c r="K64" s="5" t="n"/>
      <c r="L64" s="5" t="n"/>
      <c r="M64" s="5" t="n"/>
      <c r="N64" s="5" t="n"/>
      <c r="O64" s="5" t="n"/>
      <c r="P64" s="5" t="n"/>
      <c r="Q64" s="5" t="n"/>
      <c r="R64" s="5" t="n"/>
      <c r="S64" s="5" t="n"/>
      <c r="T64" s="5" t="n"/>
      <c r="U64" s="5" t="n"/>
      <c r="V64" s="5" t="n"/>
      <c r="W64" s="5" t="n"/>
      <c r="X64" s="5" t="n"/>
      <c r="Y64" s="5">
        <f>IF(AND(V64&gt;=2,K64="Yes",L64="Yes"),"Sufficient",IF(AND(V64&gt;=1,OR(K64="Yes",L64="Yes")),"Thin","Insufficient"))</f>
        <v/>
      </c>
      <c r="Z64" s="5" t="n"/>
      <c r="AA64" s="5" t="n"/>
      <c r="AB64" s="5" t="n"/>
      <c r="AC64" s="5" t="n"/>
      <c r="AD64" s="5" t="n"/>
      <c r="AE64" s="5" t="n"/>
      <c r="AF64" s="5" t="n"/>
      <c r="AG64" s="5" t="n"/>
      <c r="AH64" s="5" t="n"/>
      <c r="AI64" s="5" t="n"/>
      <c r="AJ64" s="5" t="n"/>
      <c r="AK64" s="5" t="n"/>
      <c r="AL64" s="5" t="n"/>
      <c r="AM64" s="5" t="n"/>
      <c r="AN64" s="5" t="n"/>
      <c r="AO64" s="5" t="n"/>
      <c r="AP64" s="5" t="n"/>
      <c r="AQ64" s="5" t="n"/>
      <c r="AR64" s="40">
        <f t="array" ref="AR64">MIN(100, MAX(0,
  IFERROR(_xlfn.XLOOKUP(AJ64,'Lookup Tables'!$A$2:$A$7,'Lookup Tables'!$B$2:$B$7,0),0)
  + IF(Z64="Yes", IF(IFERROR(_xlfn.XLOOKUP(AJ64,'Lookup Tables'!$A$2:$A$7,'Lookup Tables'!$B$2:$B$7,0),0)&lt;20, 5, 0), 0)
  + _xlfn.IFS(AB64="Yes", IF(ISNUMBER(AC64)*AND(AC64&lt;=2030),15,10), AB64="Long-term Only", 5, AB64="No", 0, TRUE, 0)
  + _xlfn.IFS(AF64="Full",10, AF64="Partial",5, AF64="Scope 2 Only",3, TRUE,0)
  + _xlfn.IFS(AG64="Yes", IF(ISNUMBER(AH64)*AND(AH64&gt;=5),10,6), AG64="Partial",4, TRUE,0)
  + _xlfn.IFS(AI64="Yes",5, AI64="Partial (material categories only)",3, TRUE,0)
  + _xlfn.IFS(AL64="Yes — Detailed",10, AL64="Yes — High Level",5, TRUE,0)
  + _xlfn.IFS(AM64="Yes — Quantified",15, AM64="Yes — Directional Only",7, TRUE,0)
  + _xlfn.IFS(AP64="Formal",5, AP64="Referenced",2, TRUE,0)
  + _xlfn.IFS(AQ64="No Issues Found",5, AQ64="Concern Identified",-5, AQ64="Severe Contradiction",-15, TRUE,0)
  + _xlfn.IFS(BC64="Reasonable Assurance",5, BC64="Limited Assurance",3, TRUE,0)
  - IF(AND(Z64="Yes", AI64="No"), 10, 0)
  - IF(AND(Z64="Yes", AM64="No"), 10, 0)
))</f>
        <v/>
      </c>
      <c r="AS64" s="5" t="n"/>
      <c r="AT64" s="5" t="n"/>
      <c r="AU64" s="5" t="n"/>
      <c r="AV64" s="5" t="n"/>
      <c r="AW64" s="5" t="n"/>
      <c r="AX64" s="5" t="n"/>
      <c r="AY64" s="5" t="n"/>
      <c r="AZ64" s="5" t="n"/>
      <c r="BA64" s="5" t="n"/>
      <c r="BB64" s="5" t="n"/>
      <c r="BC64" s="5" t="n"/>
      <c r="BD64" s="5" t="n"/>
      <c r="BE64" s="39">
        <f t="array" ref="BE64">MIN(100, MAX(0,
  IFERROR(_xlfn.XLOOKUP(AT64,'Lookup Tables'!$D$2:$D$6,'Lookup Tables'!$E$2:$E$6,0),0)
  + IFERROR(_xlfn.XLOOKUP(AV64,'Lookup Tables'!$G$2:$G$5,'Lookup Tables'!$H$2:$H$5,0),0)
  + IFERROR(_xlfn.XLOOKUP(AW64,'Lookup Tables'!$J$2:$J$5,'Lookup Tables'!$K$2:$K$5,0),0)
  + _xlfn.IFS(AX64="No Issues",10, AX64="Complaint Filed",3, AX64="Confirmed Breach",-15, TRUE,0)
  + IFERROR(_xlfn.XLOOKUP(AY64,'Lookup Tables'!$M$2:$M$6,'Lookup Tables'!$N$2:$N$6,0),0)
  + IFERROR(_xlfn.XLOOKUP(AZ64,'Lookup Tables'!$P$2:$P$6,'Lookup Tables'!$Q$2:$Q$6,0),0)
  + _xlfn.IFS(BA64="Formal Board Committee",5, BA64="Board Oversight Mentioned",2, TRUE,0)
  + _xlfn.IFS(BB64="Yes — Quantified Targets",5, BB64="Yes — Discretionary Only",2, TRUE,0)
  + _xlfn.IFS(BC64="Reasonable Assurance",5, BC64="Limited Assurance",3, BC64="Management Review Only",1, TRUE,0)
))</f>
        <v/>
      </c>
      <c r="BF64" s="5" t="n"/>
      <c r="BG64" s="5" t="n"/>
      <c r="BH64" s="5" t="n"/>
      <c r="BI64" s="5" t="n"/>
      <c r="BJ64" s="5" t="n"/>
      <c r="BK64" s="5" t="n"/>
      <c r="BL64" s="5" t="n"/>
      <c r="BM64" s="5" t="n"/>
      <c r="BN64" s="5" t="n"/>
      <c r="BO64" s="5" t="n"/>
      <c r="BP64" s="5" t="n"/>
      <c r="BQ64" s="5" t="n"/>
      <c r="BR64" s="5" t="n"/>
      <c r="BS64" s="41">
        <f t="array" ref="BS64">MIN(100, MAX(0,
  IFERROR(_xlfn.XLOOKUP(BG64,'Lookup Tables'!$A$11:$A$16,'Lookup Tables'!$B$11:$B$16,0),0)
  + IFERROR(_xlfn.XLOOKUP(BR64,'Lookup Tables'!$M$11:$M$14,'Lookup Tables'!$N$11:$N$14,0),0)
  + IFERROR(_xlfn.XLOOKUP(BQ64,'Lookup Tables'!$J$11:$J$15,'Lookup Tables'!$K$11:$K$15,0),0)
  + IFERROR(_xlfn.XLOOKUP(BH64,'Lookup Tables'!$D$11:$D$15,'Lookup Tables'!$E$11:$E$15,0),0)
  + IFERROR(_xlfn.XLOOKUP(BJ64,'Lookup Tables'!$G$11:$G$16,'Lookup Tables'!$H$11:$H$16,0),0)
  + IFERROR(_xlfn.XLOOKUP(BN64,'Lookup Tables'!$P$11:$P$15,'Lookup Tables'!$Q$11:$Q$15,0),0)
  + _xlfn.IFS(BM64="No Evidence",10, BM64="Unknown",3, BM64="Likely",0, BM64="Confirmed",-10, TRUE,3)
  + IFERROR(_xlfn.XLOOKUP(BP64,'Lookup Tables'!$J$21:$J$24,'Lookup Tables'!$K$21:$K$24,0),0)
))</f>
        <v/>
      </c>
      <c r="BT64" s="5" t="n"/>
      <c r="BU64" s="5" t="n"/>
      <c r="BV64" s="5" t="n"/>
      <c r="BW64" s="5" t="n"/>
      <c r="BX64" s="5" t="n"/>
      <c r="BY64" s="5" t="n"/>
      <c r="BZ64" s="5" t="n"/>
      <c r="CA64" s="5" t="n"/>
      <c r="CB64" s="5" t="n"/>
      <c r="CC64" s="5" t="n"/>
      <c r="CD64" s="5" t="n"/>
      <c r="CE64" s="43">
        <f t="array" ref="CE64">MIN(100, MAX(0,
  IF(ISNUMBER(BV64)*AND(BV64&gt;0), 10, 0)
  + _xlfn.IFS(BY64="Independently Verified",25, BY64="Yes",15, TRUE,0)
  + IFERROR(_xlfn.XLOOKUP(BZ64,'Lookup Tables'!$A$21:$A$24,'Lookup Tables'!$B$21:$B$24,0),0)
  + IFERROR(_xlfn.XLOOKUP(CA64,'Lookup Tables'!$D$21:$D$24,'Lookup Tables'!$E$21:$E$24,0),0)
  + _xlfn.IFS(ISNUMBER(CB64)*AND(CB64&gt;=11),15, ISNUMBER(CB64)*AND(CB64&gt;=6),10, ISNUMBER(CB64)*AND(CB64&gt;=1),5, TRUE,0)
  + IFERROR(_xlfn.XLOOKUP(CC64,'Lookup Tables'!$G$21:$G$25,'Lookup Tables'!$H$21:$H$25,0),0)
  - IF(ISNUMBER(BW64)*AND(ISNUMBER(BV64))*AND(BW64&gt;BV64), 20, 0)
  - IF(AND(BY64="Yes", ISNUMBER(BW64), BW64&gt;60), 10, 0)
))</f>
        <v/>
      </c>
      <c r="CF64" s="5" t="n"/>
      <c r="CG64" s="5" t="n"/>
      <c r="CH64" s="5" t="n"/>
      <c r="CI64" s="5" t="n"/>
      <c r="CJ64" s="5" t="n"/>
      <c r="CK64" s="5" t="n"/>
      <c r="CL64" s="5" t="n"/>
      <c r="CM64" s="5" t="n"/>
      <c r="CN64" s="5" t="n"/>
      <c r="CO64" s="5" t="n"/>
      <c r="CP64" s="5" t="n"/>
      <c r="CQ64" s="5" t="n"/>
      <c r="CR64" s="5">
        <f>COUNTIF(CJ64:CQ64,"FAIL")</f>
        <v/>
      </c>
      <c r="CS64" s="5">
        <f>COUNTIF(CJ64:CQ64,"PARTIAL")</f>
        <v/>
      </c>
      <c r="CT64" s="5">
        <f>COUNTIF(CJ64:CQ64,"MISSING")</f>
        <v/>
      </c>
      <c r="CU64" s="5">
        <f>MIN(100,
  CR64*15
  + CS64*6
  + CT64*3
  + IFERROR(_xlfn.XLOOKUP(CW64,'Lookup Tables'!$M$21:$M$25,'Lookup Tables'!$N$21:$N$25,0),0)
)</f>
        <v/>
      </c>
      <c r="CV64" s="5">
        <f>IFERROR(
CHOOSE(
MATCH("FAIL",CJ64:CQ64,0),
"1-Specificity","2-Metric","3-Baseline","4-Target",
"5-Time Horizon","6-Scope","7-Verification","8-Consistency"
),
IFERROR(
CHOOSE(
MATCH("PARTIAL",CJ64:CQ64,0),
"1-Specificity","2-Metric","3-Baseline","4-Target",
"5-Time Horizon","6-Scope","7-Verification","8-Consistency"
),
"No failures"
)
)</f>
        <v/>
      </c>
      <c r="CW64" s="5" t="n"/>
      <c r="CX64" s="5" t="n"/>
      <c r="CY64" s="5" t="n"/>
      <c r="CZ64" s="5" t="n"/>
      <c r="DA64" s="5">
        <f>IF(OR(CU64&gt;=50,CW64="Material",CW64="Severe",AS64="Material",AS64="Severe",BF64="Material",BF64="Severe — Exclusion Trigger",AND(ISNUMBER(BS64),BS64&lt;30)),"Yes","No")</f>
        <v/>
      </c>
      <c r="DB64" s="5">
        <f>IF(OR(CR64&gt;=6,AW64="Confirmed Violation",AX64="Confirmed Breach"),"Yes — Automatic",IF(CW64="Severe","Yes — Requires Captain Confirmation","No"))</f>
        <v/>
      </c>
      <c r="DC64" s="5" t="n"/>
      <c r="DD64" s="5" t="n"/>
      <c r="DE64" s="5" t="n"/>
      <c r="DF64" s="5" t="n"/>
      <c r="DG64" s="5" t="n"/>
      <c r="DH64" s="5" t="n"/>
      <c r="DI64" s="5" t="n"/>
      <c r="DJ64" s="5" t="n"/>
      <c r="DK64" s="5" t="n"/>
      <c r="DL64" s="5">
        <f>IF(OR(IFERROR(VALUE(LEFT(DF64,1)),99)&lt;=2,IFERROR(VALUE(LEFT(DG64,1)),99)&lt;=2),"Flagged","Clear")</f>
        <v/>
      </c>
      <c r="DM64" s="5">
        <f>IF(OR(DA64="Yes",DB64&lt;&gt;"No",DH64="Unverified",DL64="Flagged"),"Yes","No")</f>
        <v/>
      </c>
      <c r="DN64" s="5">
        <f t="array" ref="DN64">MIN(100,
  IF(ISNUMBER(V64), _xlfn.IFS(V64&gt;=3,25, V64=2,15, V64=1,5, TRUE,0), 0)
  + IFERROR(_xlfn.IFS(VALUE(LEFT(DF64,1))=5,25, VALUE(LEFT(DF64,1))=4,20, VALUE(LEFT(DF64,1))=3,15, VALUE(LEFT(DF64,1))=2,8, TRUE,0), 15)
  + IFERROR(_xlfn.IFS(VALUE(LEFT(DG64,1))=5,25, VALUE(LEFT(DG64,1))=4,20, VALUE(LEFT(DG64,1))=3,15, VALUE(LEFT(DG64,1))=2,8, TRUE,0), 15)
  + _xlfn.IFS(DH64="Fully Verified",25, DH64="Partially Verified",12, TRUE,0)
)</f>
        <v/>
      </c>
      <c r="DO64" s="5">
        <f t="array" ref="DO64">_xlfn.IFS(
  ISBLANK(AR64), "Insufficient Evidence",
  AND(AR64&gt;=65, AJ64="Approved"), "Strong",
  AR64&gt;=65, "Adequate",
  AR64&gt;=40, "Adequate",
  AR64&gt;=20, "Weak",
  TRUE, "Insufficient Evidence"
)</f>
        <v/>
      </c>
      <c r="DP64" s="5">
        <f t="array" ref="DP64">_xlfn.IFS(
  ISBLANK(BS64), "Insufficient Evidence",
  BS64&gt;=65, "Strong",
  BS64&gt;=40, "Adequate",
  BS64&gt;=20, "Weak",
  TRUE, "Insufficient Evidence"
)</f>
        <v/>
      </c>
      <c r="DQ64" s="5">
        <f t="array" ref="DQ64">_xlfn.IFS(
  ISBLANK(BE64), "Insufficient Evidence",
  OR(AW64="Confirmed Violation", AX64="Confirmed Breach"), "Severe — Hard Trigger",
  BE64&gt;=65, "Strong",
  BE64&gt;=40, "Adequate",
  BE64&gt;=20, "Weak",
  TRUE, "Insufficient Evidence"
)</f>
        <v/>
      </c>
      <c r="DR64" s="5">
        <f t="array" ref="DR64">_xlfn.IFS(
  ISBLANK(CU64), "Insufficient Evidence",
  CU64&lt;=20, "Low Risk",
  CU64&lt;=50, "Moderate Risk",
  CU64&lt;=75, "High Risk",
  TRUE, "Very High Risk"
)</f>
        <v/>
      </c>
      <c r="DS64" s="5">
        <f t="array" ref="DS64">_xlfn.IFS(
  ISBLANK(CE64), "Insufficient Evidence",
  AND(ISNUMBER(BW64),ISNUMBER(BV64),BW64&gt;BV64), "Overclaiming Risk",
  CE64&gt;=65, "Strong",
  CE64&gt;=40, "Adequate",
  TRUE, "Weak"
)</f>
        <v/>
      </c>
      <c r="DT64" s="5">
        <f>IF(DB64="Yes — Automatic",0,ROUND((IF(ISNUMBER(AR64),AR64,0)*0.3+IF(ISNUMBER(BS64),BS64,0)*0.2+IF(ISNUMBER(BE64),BE64,0)*0.2+IF(ISNUMBER(CE64),CE64,0)*0.15+(100-IF(ISNUMBER(CU64),CU64,50))*0.15)*IF(DN64&gt;=75,1,IF(DN64&gt;=50,0.9,IF(DN64&gt;=25,0.75,0.6))),1))</f>
        <v/>
      </c>
      <c r="DU64" s="5">
        <f t="array" ref="DU64">_xlfn.IFS(
  DV64="Upgraded to Clear", "Clear",
  DV64="Downgraded to Watchlist", "Watchlist",
  DV64="Downgraded to Exclusion", "Exclusion Risk",
  DB64="Yes — Automatic", "Exclusion Risk",
  OR(AW64="Confirmed Violation", AX64="Confirmed Breach"), "Exclusion Risk",
  OR(V64=0, ISBLANK(V64), DN64&lt;20), "Insufficient Evidence",
  AND(DT64&gt;=65, DA64="No", DB64="No"), "Clear",
  OR(DT64&gt;=40, DA64="Yes"), "Watchlist",
  TRUE, "Exclusion Risk"
)</f>
        <v/>
      </c>
      <c r="DV64" s="5" t="n"/>
      <c r="DW64" s="5">
        <f t="array" ref="DW64">_xlfn.IFS(
  DU64="Exclusion Risk", "Exclude — Hard Trigger",
  DU64="Insufficient Evidence", "Watchlist — Further Evidence Needed",
  DU64="Watchlist", "Watchlist — Further Evidence Needed",
  AND(DU64="Clear", DT64&gt;=80), "Include — No Conditions",
  DU64="Clear", "Include — Monitor",
  TRUE, "Watchlist — Further Evidence Needed"
)</f>
        <v/>
      </c>
      <c r="DX64" s="5" t="n"/>
      <c r="DY64" s="5" t="n"/>
      <c r="DZ64" s="5" t="n"/>
      <c r="EA64" s="5" t="n"/>
      <c r="EB64" s="5">
        <f>IF(OR(V64=0, ISBLANK(V64)), "MISSING — No sources reviewed", "")</f>
        <v/>
      </c>
      <c r="EC64" s="5">
        <f>IF(AND(NOT(ISBLANK(DC64)), ISBLANK(DE64)), "PAGE REF MISSING", "")</f>
        <v/>
      </c>
    </row>
    <row r="65" ht="18" customHeight="1" s="60">
      <c r="A65" s="3" t="inlineStr">
        <is>
          <t>Acciona SA</t>
        </is>
      </c>
      <c r="B65" s="3" t="inlineStr">
        <is>
          <t>AJ3</t>
        </is>
      </c>
      <c r="C65" s="3">
        <f>IF(ISBLANK('Universe Tracker'!D61),"",'Universe Tracker'!D61)</f>
        <v/>
      </c>
      <c r="D65" s="3" t="n"/>
      <c r="E65" s="3" t="n"/>
      <c r="F65" s="3">
        <f>IF(ISBLANK('Universe Tracker'!F61),"",'Universe Tracker'!F61)</f>
        <v/>
      </c>
      <c r="G65" s="3">
        <f>IF(ISBLANK('Universe Tracker'!G61),"",'Universe Tracker'!G61)</f>
        <v/>
      </c>
      <c r="H65" s="3" t="n"/>
      <c r="I65" s="3" t="n"/>
      <c r="J65" s="3">
        <f>IF(ISBLANK(B65),"",B65&amp;"_"&amp;C65)</f>
        <v/>
      </c>
      <c r="K65" s="3" t="n"/>
      <c r="L65" s="3" t="n"/>
      <c r="M65" s="3" t="n"/>
      <c r="N65" s="3" t="n"/>
      <c r="O65" s="3" t="n"/>
      <c r="P65" s="3" t="n"/>
      <c r="Q65" s="3" t="n"/>
      <c r="R65" s="3" t="n"/>
      <c r="S65" s="3" t="n"/>
      <c r="T65" s="3" t="n"/>
      <c r="U65" s="3" t="n"/>
      <c r="V65" s="3" t="n"/>
      <c r="W65" s="3" t="n"/>
      <c r="X65" s="3" t="n"/>
      <c r="Y65" s="3">
        <f>IF(AND(V65&gt;=2,K65="Yes",L65="Yes"),"Sufficient",IF(AND(V65&gt;=1,OR(K65="Yes",L65="Yes")),"Thin","Insufficient"))</f>
        <v/>
      </c>
      <c r="Z65" s="3" t="n"/>
      <c r="AA65" s="3" t="n"/>
      <c r="AB65" s="3" t="n"/>
      <c r="AC65" s="3" t="n"/>
      <c r="AD65" s="3" t="n"/>
      <c r="AE65" s="3" t="n"/>
      <c r="AF65" s="3" t="n"/>
      <c r="AG65" s="3" t="n"/>
      <c r="AH65" s="3" t="n"/>
      <c r="AI65" s="3" t="n"/>
      <c r="AJ65" s="3" t="n"/>
      <c r="AK65" s="3" t="n"/>
      <c r="AL65" s="3" t="n"/>
      <c r="AM65" s="3" t="n"/>
      <c r="AN65" s="3" t="n"/>
      <c r="AO65" s="3" t="n"/>
      <c r="AP65" s="3" t="n"/>
      <c r="AQ65" s="3" t="n"/>
      <c r="AR65" s="40">
        <f t="array" ref="AR65">MIN(100, MAX(0,
  IFERROR(_xlfn.XLOOKUP(AJ65,'Lookup Tables'!$A$2:$A$7,'Lookup Tables'!$B$2:$B$7,0),0)
  + IF(Z65="Yes", IF(IFERROR(_xlfn.XLOOKUP(AJ65,'Lookup Tables'!$A$2:$A$7,'Lookup Tables'!$B$2:$B$7,0),0)&lt;20, 5, 0), 0)
  + _xlfn.IFS(AB65="Yes", IF(ISNUMBER(AC65)*AND(AC65&lt;=2030),15,10), AB65="Long-term Only", 5, AB65="No", 0, TRUE, 0)
  + _xlfn.IFS(AF65="Full",10, AF65="Partial",5, AF65="Scope 2 Only",3, TRUE,0)
  + _xlfn.IFS(AG65="Yes", IF(ISNUMBER(AH65)*AND(AH65&gt;=5),10,6), AG65="Partial",4, TRUE,0)
  + _xlfn.IFS(AI65="Yes",5, AI65="Partial (material categories only)",3, TRUE,0)
  + _xlfn.IFS(AL65="Yes — Detailed",10, AL65="Yes — High Level",5, TRUE,0)
  + _xlfn.IFS(AM65="Yes — Quantified",15, AM65="Yes — Directional Only",7, TRUE,0)
  + _xlfn.IFS(AP65="Formal",5, AP65="Referenced",2, TRUE,0)
  + _xlfn.IFS(AQ65="No Issues Found",5, AQ65="Concern Identified",-5, AQ65="Severe Contradiction",-15, TRUE,0)
  + _xlfn.IFS(BC65="Reasonable Assurance",5, BC65="Limited Assurance",3, TRUE,0)
  - IF(AND(Z65="Yes", AI65="No"), 10, 0)
  - IF(AND(Z65="Yes", AM65="No"), 10, 0)
))</f>
        <v/>
      </c>
      <c r="AS65" s="3" t="n"/>
      <c r="AT65" s="3" t="n"/>
      <c r="AU65" s="3" t="n"/>
      <c r="AV65" s="3" t="n"/>
      <c r="AW65" s="3" t="n"/>
      <c r="AX65" s="3" t="n"/>
      <c r="AY65" s="3" t="n"/>
      <c r="AZ65" s="3" t="n"/>
      <c r="BA65" s="3" t="n"/>
      <c r="BB65" s="3" t="n"/>
      <c r="BC65" s="3" t="n"/>
      <c r="BD65" s="3" t="n"/>
      <c r="BE65" s="40">
        <f t="array" ref="BE65">MIN(100, MAX(0,
  IFERROR(_xlfn.XLOOKUP(AT65,'Lookup Tables'!$D$2:$D$6,'Lookup Tables'!$E$2:$E$6,0),0)
  + IFERROR(_xlfn.XLOOKUP(AV65,'Lookup Tables'!$G$2:$G$5,'Lookup Tables'!$H$2:$H$5,0),0)
  + IFERROR(_xlfn.XLOOKUP(AW65,'Lookup Tables'!$J$2:$J$5,'Lookup Tables'!$K$2:$K$5,0),0)
  + _xlfn.IFS(AX65="No Issues",10, AX65="Complaint Filed",3, AX65="Confirmed Breach",-15, TRUE,0)
  + IFERROR(_xlfn.XLOOKUP(AY65,'Lookup Tables'!$M$2:$M$6,'Lookup Tables'!$N$2:$N$6,0),0)
  + IFERROR(_xlfn.XLOOKUP(AZ65,'Lookup Tables'!$P$2:$P$6,'Lookup Tables'!$Q$2:$Q$6,0),0)
  + _xlfn.IFS(BA65="Formal Board Committee",5, BA65="Board Oversight Mentioned",2, TRUE,0)
  + _xlfn.IFS(BB65="Yes — Quantified Targets",5, BB65="Yes — Discretionary Only",2, TRUE,0)
  + _xlfn.IFS(BC65="Reasonable Assurance",5, BC65="Limited Assurance",3, BC65="Management Review Only",1, TRUE,0)
))</f>
        <v/>
      </c>
      <c r="BF65" s="3" t="n"/>
      <c r="BG65" s="3" t="n"/>
      <c r="BH65" s="3" t="n"/>
      <c r="BI65" s="3" t="n"/>
      <c r="BJ65" s="3" t="n"/>
      <c r="BK65" s="3" t="n"/>
      <c r="BL65" s="3" t="n"/>
      <c r="BM65" s="3" t="n"/>
      <c r="BN65" s="3" t="n"/>
      <c r="BO65" s="3" t="n"/>
      <c r="BP65" s="3" t="n"/>
      <c r="BQ65" s="3" t="n"/>
      <c r="BR65" s="3" t="n"/>
      <c r="BS65" s="42">
        <f t="array" ref="BS65">MIN(100, MAX(0,
  IFERROR(_xlfn.XLOOKUP(BG65,'Lookup Tables'!$A$11:$A$16,'Lookup Tables'!$B$11:$B$16,0),0)
  + IFERROR(_xlfn.XLOOKUP(BR65,'Lookup Tables'!$M$11:$M$14,'Lookup Tables'!$N$11:$N$14,0),0)
  + IFERROR(_xlfn.XLOOKUP(BQ65,'Lookup Tables'!$J$11:$J$15,'Lookup Tables'!$K$11:$K$15,0),0)
  + IFERROR(_xlfn.XLOOKUP(BH65,'Lookup Tables'!$D$11:$D$15,'Lookup Tables'!$E$11:$E$15,0),0)
  + IFERROR(_xlfn.XLOOKUP(BJ65,'Lookup Tables'!$G$11:$G$16,'Lookup Tables'!$H$11:$H$16,0),0)
  + IFERROR(_xlfn.XLOOKUP(BN65,'Lookup Tables'!$P$11:$P$15,'Lookup Tables'!$Q$11:$Q$15,0),0)
  + _xlfn.IFS(BM65="No Evidence",10, BM65="Unknown",3, BM65="Likely",0, BM65="Confirmed",-10, TRUE,3)
  + IFERROR(_xlfn.XLOOKUP(BP65,'Lookup Tables'!$J$21:$J$24,'Lookup Tables'!$K$21:$K$24,0),0)
))</f>
        <v/>
      </c>
      <c r="BT65" s="3" t="n"/>
      <c r="BU65" s="3" t="n"/>
      <c r="BV65" s="3" t="n"/>
      <c r="BW65" s="3" t="n"/>
      <c r="BX65" s="3" t="n"/>
      <c r="BY65" s="3" t="n"/>
      <c r="BZ65" s="3" t="n"/>
      <c r="CA65" s="3" t="n"/>
      <c r="CB65" s="3" t="n"/>
      <c r="CC65" s="3" t="n"/>
      <c r="CD65" s="3" t="n"/>
      <c r="CE65" s="44">
        <f t="array" ref="CE65">MIN(100, MAX(0,
  IF(ISNUMBER(BV65)*AND(BV65&gt;0), 10, 0)
  + _xlfn.IFS(BY65="Independently Verified",25, BY65="Yes",15, TRUE,0)
  + IFERROR(_xlfn.XLOOKUP(BZ65,'Lookup Tables'!$A$21:$A$24,'Lookup Tables'!$B$21:$B$24,0),0)
  + IFERROR(_xlfn.XLOOKUP(CA65,'Lookup Tables'!$D$21:$D$24,'Lookup Tables'!$E$21:$E$24,0),0)
  + _xlfn.IFS(ISNUMBER(CB65)*AND(CB65&gt;=11),15, ISNUMBER(CB65)*AND(CB65&gt;=6),10, ISNUMBER(CB65)*AND(CB65&gt;=1),5, TRUE,0)
  + IFERROR(_xlfn.XLOOKUP(CC65,'Lookup Tables'!$G$21:$G$25,'Lookup Tables'!$H$21:$H$25,0),0)
  - IF(ISNUMBER(BW65)*AND(ISNUMBER(BV65))*AND(BW65&gt;BV65), 20, 0)
  - IF(AND(BY65="Yes", ISNUMBER(BW65), BW65&gt;60), 10, 0)
))</f>
        <v/>
      </c>
      <c r="CF65" s="3" t="n"/>
      <c r="CG65" s="3" t="n"/>
      <c r="CH65" s="3" t="n"/>
      <c r="CI65" s="3" t="n"/>
      <c r="CJ65" s="3" t="n"/>
      <c r="CK65" s="3" t="n"/>
      <c r="CL65" s="3" t="n"/>
      <c r="CM65" s="3" t="n"/>
      <c r="CN65" s="3" t="n"/>
      <c r="CO65" s="3" t="n"/>
      <c r="CP65" s="3" t="n"/>
      <c r="CQ65" s="3" t="n"/>
      <c r="CR65" s="3">
        <f>COUNTIF(CJ65:CQ65,"FAIL")</f>
        <v/>
      </c>
      <c r="CS65" s="3">
        <f>COUNTIF(CJ65:CQ65,"PARTIAL")</f>
        <v/>
      </c>
      <c r="CT65" s="3">
        <f>COUNTIF(CJ65:CQ65,"MISSING")</f>
        <v/>
      </c>
      <c r="CU65" s="3">
        <f>MIN(100,
  CR65*15
  + CS65*6
  + CT65*3
  + IFERROR(_xlfn.XLOOKUP(CW65,'Lookup Tables'!$M$21:$M$25,'Lookup Tables'!$N$21:$N$25,0),0)
)</f>
        <v/>
      </c>
      <c r="CV65" s="3">
        <f>IFERROR(
CHOOSE(
MATCH("FAIL",CJ65:CQ65,0),
"1-Specificity","2-Metric","3-Baseline","4-Target",
"5-Time Horizon","6-Scope","7-Verification","8-Consistency"
),
IFERROR(
CHOOSE(
MATCH("PARTIAL",CJ65:CQ65,0),
"1-Specificity","2-Metric","3-Baseline","4-Target",
"5-Time Horizon","6-Scope","7-Verification","8-Consistency"
),
"No failures"
)
)</f>
        <v/>
      </c>
      <c r="CW65" s="3" t="n"/>
      <c r="CX65" s="3" t="n"/>
      <c r="CY65" s="3" t="n"/>
      <c r="CZ65" s="3" t="n"/>
      <c r="DA65" s="3">
        <f>IF(OR(CU65&gt;=50,CW65="Material",CW65="Severe",AS65="Material",AS65="Severe",BF65="Material",BF65="Severe — Exclusion Trigger",AND(ISNUMBER(BS65),BS65&lt;30)),"Yes","No")</f>
        <v/>
      </c>
      <c r="DB65" s="3">
        <f>IF(OR(CR65&gt;=6,AW65="Confirmed Violation",AX65="Confirmed Breach"),"Yes — Automatic",IF(CW65="Severe","Yes — Requires Captain Confirmation","No"))</f>
        <v/>
      </c>
      <c r="DC65" s="3" t="n"/>
      <c r="DD65" s="3" t="n"/>
      <c r="DE65" s="3" t="n"/>
      <c r="DF65" s="3" t="n"/>
      <c r="DG65" s="3" t="n"/>
      <c r="DH65" s="3" t="n"/>
      <c r="DI65" s="3" t="n"/>
      <c r="DJ65" s="3" t="n"/>
      <c r="DK65" s="3" t="n"/>
      <c r="DL65" s="3">
        <f>IF(OR(IFERROR(VALUE(LEFT(DF65,1)),99)&lt;=2,IFERROR(VALUE(LEFT(DG65,1)),99)&lt;=2),"Flagged","Clear")</f>
        <v/>
      </c>
      <c r="DM65" s="3">
        <f>IF(OR(DA65="Yes",DB65&lt;&gt;"No",DH65="Unverified",DL65="Flagged"),"Yes","No")</f>
        <v/>
      </c>
      <c r="DN65" s="3">
        <f t="array" ref="DN65">MIN(100,
  IF(ISNUMBER(V65), _xlfn.IFS(V65&gt;=3,25, V65=2,15, V65=1,5, TRUE,0), 0)
  + IFERROR(_xlfn.IFS(VALUE(LEFT(DF65,1))=5,25, VALUE(LEFT(DF65,1))=4,20, VALUE(LEFT(DF65,1))=3,15, VALUE(LEFT(DF65,1))=2,8, TRUE,0), 15)
  + IFERROR(_xlfn.IFS(VALUE(LEFT(DG65,1))=5,25, VALUE(LEFT(DG65,1))=4,20, VALUE(LEFT(DG65,1))=3,15, VALUE(LEFT(DG65,1))=2,8, TRUE,0), 15)
  + _xlfn.IFS(DH65="Fully Verified",25, DH65="Partially Verified",12, TRUE,0)
)</f>
        <v/>
      </c>
      <c r="DO65" s="3">
        <f t="array" ref="DO65">_xlfn.IFS(
  ISBLANK(AR65), "Insufficient Evidence",
  AND(AR65&gt;=65, AJ65="Approved"), "Strong",
  AR65&gt;=65, "Adequate",
  AR65&gt;=40, "Adequate",
  AR65&gt;=20, "Weak",
  TRUE, "Insufficient Evidence"
)</f>
        <v/>
      </c>
      <c r="DP65" s="3">
        <f t="array" ref="DP65">_xlfn.IFS(
  ISBLANK(BS65), "Insufficient Evidence",
  BS65&gt;=65, "Strong",
  BS65&gt;=40, "Adequate",
  BS65&gt;=20, "Weak",
  TRUE, "Insufficient Evidence"
)</f>
        <v/>
      </c>
      <c r="DQ65" s="3">
        <f t="array" ref="DQ65">_xlfn.IFS(
  ISBLANK(BE65), "Insufficient Evidence",
  OR(AW65="Confirmed Violation", AX65="Confirmed Breach"), "Severe — Hard Trigger",
  BE65&gt;=65, "Strong",
  BE65&gt;=40, "Adequate",
  BE65&gt;=20, "Weak",
  TRUE, "Insufficient Evidence"
)</f>
        <v/>
      </c>
      <c r="DR65" s="3">
        <f t="array" ref="DR65">_xlfn.IFS(
  ISBLANK(CU65), "Insufficient Evidence",
  CU65&lt;=20, "Low Risk",
  CU65&lt;=50, "Moderate Risk",
  CU65&lt;=75, "High Risk",
  TRUE, "Very High Risk"
)</f>
        <v/>
      </c>
      <c r="DS65" s="3">
        <f t="array" ref="DS65">_xlfn.IFS(
  ISBLANK(CE65), "Insufficient Evidence",
  AND(ISNUMBER(BW65),ISNUMBER(BV65),BW65&gt;BV65), "Overclaiming Risk",
  CE65&gt;=65, "Strong",
  CE65&gt;=40, "Adequate",
  TRUE, "Weak"
)</f>
        <v/>
      </c>
      <c r="DT65" s="3">
        <f>IF(DB65="Yes — Automatic",0,ROUND((IF(ISNUMBER(AR65),AR65,0)*0.3+IF(ISNUMBER(BS65),BS65,0)*0.2+IF(ISNUMBER(BE65),BE65,0)*0.2+IF(ISNUMBER(CE65),CE65,0)*0.15+(100-IF(ISNUMBER(CU65),CU65,50))*0.15)*IF(DN65&gt;=75,1,IF(DN65&gt;=50,0.9,IF(DN65&gt;=25,0.75,0.6))),1))</f>
        <v/>
      </c>
      <c r="DU65" s="3">
        <f t="array" ref="DU65">_xlfn.IFS(
  DV65="Upgraded to Clear", "Clear",
  DV65="Downgraded to Watchlist", "Watchlist",
  DV65="Downgraded to Exclusion", "Exclusion Risk",
  DB65="Yes — Automatic", "Exclusion Risk",
  OR(AW65="Confirmed Violation", AX65="Confirmed Breach"), "Exclusion Risk",
  OR(V65=0, ISBLANK(V65), DN65&lt;20), "Insufficient Evidence",
  AND(DT65&gt;=65, DA65="No", DB65="No"), "Clear",
  OR(DT65&gt;=40, DA65="Yes"), "Watchlist",
  TRUE, "Exclusion Risk"
)</f>
        <v/>
      </c>
      <c r="DV65" s="3" t="n"/>
      <c r="DW65" s="3">
        <f t="array" ref="DW65">_xlfn.IFS(
  DU65="Exclusion Risk", "Exclude — Hard Trigger",
  DU65="Insufficient Evidence", "Watchlist — Further Evidence Needed",
  DU65="Watchlist", "Watchlist — Further Evidence Needed",
  AND(DU65="Clear", DT65&gt;=80), "Include — No Conditions",
  DU65="Clear", "Include — Monitor",
  TRUE, "Watchlist — Further Evidence Needed"
)</f>
        <v/>
      </c>
      <c r="DX65" s="3" t="n"/>
      <c r="DY65" s="3" t="n"/>
      <c r="DZ65" s="3" t="n"/>
      <c r="EA65" s="3" t="n"/>
      <c r="EB65" s="3">
        <f>IF(OR(V65=0, ISBLANK(V65)), "MISSING — No sources reviewed", "")</f>
        <v/>
      </c>
      <c r="EC65" s="3">
        <f>IF(AND(NOT(ISBLANK(DC65)), ISBLANK(DE65)), "PAGE REF MISSING", "")</f>
        <v/>
      </c>
    </row>
    <row r="66" ht="18" customHeight="1" s="60">
      <c r="A66" s="5" t="inlineStr">
        <is>
          <t>Schneider Electric SE</t>
        </is>
      </c>
      <c r="B66" s="5" t="inlineStr">
        <is>
          <t>SND</t>
        </is>
      </c>
      <c r="C66" s="5">
        <f>IF(ISBLANK('Universe Tracker'!D62),"",'Universe Tracker'!D62)</f>
        <v/>
      </c>
      <c r="D66" s="5" t="n"/>
      <c r="E66" s="5" t="n"/>
      <c r="F66" s="5">
        <f>IF(ISBLANK('Universe Tracker'!F62),"",'Universe Tracker'!F62)</f>
        <v/>
      </c>
      <c r="G66" s="5">
        <f>IF(ISBLANK('Universe Tracker'!G62),"",'Universe Tracker'!G62)</f>
        <v/>
      </c>
      <c r="H66" s="5" t="n"/>
      <c r="I66" s="5" t="n"/>
      <c r="J66" s="5">
        <f>IF(ISBLANK(B66),"",B66&amp;"_"&amp;C66)</f>
        <v/>
      </c>
      <c r="K66" s="5" t="n"/>
      <c r="L66" s="5" t="n"/>
      <c r="M66" s="5" t="n"/>
      <c r="N66" s="5" t="n"/>
      <c r="O66" s="5" t="n"/>
      <c r="P66" s="5" t="n"/>
      <c r="Q66" s="5" t="n"/>
      <c r="R66" s="5" t="n"/>
      <c r="S66" s="5" t="n"/>
      <c r="T66" s="5" t="n"/>
      <c r="U66" s="5" t="n"/>
      <c r="V66" s="5" t="n"/>
      <c r="W66" s="5" t="n"/>
      <c r="X66" s="5" t="n"/>
      <c r="Y66" s="5">
        <f>IF(AND(V66&gt;=2,K66="Yes",L66="Yes"),"Sufficient",IF(AND(V66&gt;=1,OR(K66="Yes",L66="Yes")),"Thin","Insufficient"))</f>
        <v/>
      </c>
      <c r="Z66" s="5" t="n"/>
      <c r="AA66" s="5" t="n"/>
      <c r="AB66" s="5" t="n"/>
      <c r="AC66" s="5" t="n"/>
      <c r="AD66" s="5" t="n"/>
      <c r="AE66" s="5" t="n"/>
      <c r="AF66" s="5" t="n"/>
      <c r="AG66" s="5" t="n"/>
      <c r="AH66" s="5" t="n"/>
      <c r="AI66" s="5" t="n"/>
      <c r="AJ66" s="5" t="n"/>
      <c r="AK66" s="5" t="n"/>
      <c r="AL66" s="5" t="n"/>
      <c r="AM66" s="5" t="n"/>
      <c r="AN66" s="5" t="n"/>
      <c r="AO66" s="5" t="n"/>
      <c r="AP66" s="5" t="n"/>
      <c r="AQ66" s="5" t="n"/>
      <c r="AR66" s="40">
        <f t="array" ref="AR66">MIN(100, MAX(0,
  IFERROR(_xlfn.XLOOKUP(AJ66,'Lookup Tables'!$A$2:$A$7,'Lookup Tables'!$B$2:$B$7,0),0)
  + IF(Z66="Yes", IF(IFERROR(_xlfn.XLOOKUP(AJ66,'Lookup Tables'!$A$2:$A$7,'Lookup Tables'!$B$2:$B$7,0),0)&lt;20, 5, 0), 0)
  + _xlfn.IFS(AB66="Yes", IF(ISNUMBER(AC66)*AND(AC66&lt;=2030),15,10), AB66="Long-term Only", 5, AB66="No", 0, TRUE, 0)
  + _xlfn.IFS(AF66="Full",10, AF66="Partial",5, AF66="Scope 2 Only",3, TRUE,0)
  + _xlfn.IFS(AG66="Yes", IF(ISNUMBER(AH66)*AND(AH66&gt;=5),10,6), AG66="Partial",4, TRUE,0)
  + _xlfn.IFS(AI66="Yes",5, AI66="Partial (material categories only)",3, TRUE,0)
  + _xlfn.IFS(AL66="Yes — Detailed",10, AL66="Yes — High Level",5, TRUE,0)
  + _xlfn.IFS(AM66="Yes — Quantified",15, AM66="Yes — Directional Only",7, TRUE,0)
  + _xlfn.IFS(AP66="Formal",5, AP66="Referenced",2, TRUE,0)
  + _xlfn.IFS(AQ66="No Issues Found",5, AQ66="Concern Identified",-5, AQ66="Severe Contradiction",-15, TRUE,0)
  + _xlfn.IFS(BC66="Reasonable Assurance",5, BC66="Limited Assurance",3, TRUE,0)
  - IF(AND(Z66="Yes", AI66="No"), 10, 0)
  - IF(AND(Z66="Yes", AM66="No"), 10, 0)
))</f>
        <v/>
      </c>
      <c r="AS66" s="5" t="n"/>
      <c r="AT66" s="5" t="n"/>
      <c r="AU66" s="5" t="n"/>
      <c r="AV66" s="5" t="n"/>
      <c r="AW66" s="5" t="n"/>
      <c r="AX66" s="5" t="n"/>
      <c r="AY66" s="5" t="n"/>
      <c r="AZ66" s="5" t="n"/>
      <c r="BA66" s="5" t="n"/>
      <c r="BB66" s="5" t="n"/>
      <c r="BC66" s="5" t="n"/>
      <c r="BD66" s="5" t="n"/>
      <c r="BE66" s="39">
        <f t="array" ref="BE66">MIN(100, MAX(0,
  IFERROR(_xlfn.XLOOKUP(AT66,'Lookup Tables'!$D$2:$D$6,'Lookup Tables'!$E$2:$E$6,0),0)
  + IFERROR(_xlfn.XLOOKUP(AV66,'Lookup Tables'!$G$2:$G$5,'Lookup Tables'!$H$2:$H$5,0),0)
  + IFERROR(_xlfn.XLOOKUP(AW66,'Lookup Tables'!$J$2:$J$5,'Lookup Tables'!$K$2:$K$5,0),0)
  + _xlfn.IFS(AX66="No Issues",10, AX66="Complaint Filed",3, AX66="Confirmed Breach",-15, TRUE,0)
  + IFERROR(_xlfn.XLOOKUP(AY66,'Lookup Tables'!$M$2:$M$6,'Lookup Tables'!$N$2:$N$6,0),0)
  + IFERROR(_xlfn.XLOOKUP(AZ66,'Lookup Tables'!$P$2:$P$6,'Lookup Tables'!$Q$2:$Q$6,0),0)
  + _xlfn.IFS(BA66="Formal Board Committee",5, BA66="Board Oversight Mentioned",2, TRUE,0)
  + _xlfn.IFS(BB66="Yes — Quantified Targets",5, BB66="Yes — Discretionary Only",2, TRUE,0)
  + _xlfn.IFS(BC66="Reasonable Assurance",5, BC66="Limited Assurance",3, BC66="Management Review Only",1, TRUE,0)
))</f>
        <v/>
      </c>
      <c r="BF66" s="5" t="n"/>
      <c r="BG66" s="5" t="n"/>
      <c r="BH66" s="5" t="n"/>
      <c r="BI66" s="5" t="n"/>
      <c r="BJ66" s="5" t="n"/>
      <c r="BK66" s="5" t="n"/>
      <c r="BL66" s="5" t="n"/>
      <c r="BM66" s="5" t="n"/>
      <c r="BN66" s="5" t="n"/>
      <c r="BO66" s="5" t="n"/>
      <c r="BP66" s="5" t="n"/>
      <c r="BQ66" s="5" t="n"/>
      <c r="BR66" s="5" t="n"/>
      <c r="BS66" s="41">
        <f t="array" ref="BS66">MIN(100, MAX(0,
  IFERROR(_xlfn.XLOOKUP(BG66,'Lookup Tables'!$A$11:$A$16,'Lookup Tables'!$B$11:$B$16,0),0)
  + IFERROR(_xlfn.XLOOKUP(BR66,'Lookup Tables'!$M$11:$M$14,'Lookup Tables'!$N$11:$N$14,0),0)
  + IFERROR(_xlfn.XLOOKUP(BQ66,'Lookup Tables'!$J$11:$J$15,'Lookup Tables'!$K$11:$K$15,0),0)
  + IFERROR(_xlfn.XLOOKUP(BH66,'Lookup Tables'!$D$11:$D$15,'Lookup Tables'!$E$11:$E$15,0),0)
  + IFERROR(_xlfn.XLOOKUP(BJ66,'Lookup Tables'!$G$11:$G$16,'Lookup Tables'!$H$11:$H$16,0),0)
  + IFERROR(_xlfn.XLOOKUP(BN66,'Lookup Tables'!$P$11:$P$15,'Lookup Tables'!$Q$11:$Q$15,0),0)
  + _xlfn.IFS(BM66="No Evidence",10, BM66="Unknown",3, BM66="Likely",0, BM66="Confirmed",-10, TRUE,3)
  + IFERROR(_xlfn.XLOOKUP(BP66,'Lookup Tables'!$J$21:$J$24,'Lookup Tables'!$K$21:$K$24,0),0)
))</f>
        <v/>
      </c>
      <c r="BT66" s="5" t="n"/>
      <c r="BU66" s="5" t="n"/>
      <c r="BV66" s="5" t="n"/>
      <c r="BW66" s="5" t="n"/>
      <c r="BX66" s="5" t="n"/>
      <c r="BY66" s="5" t="n"/>
      <c r="BZ66" s="5" t="n"/>
      <c r="CA66" s="5" t="n"/>
      <c r="CB66" s="5" t="n"/>
      <c r="CC66" s="5" t="n"/>
      <c r="CD66" s="5" t="n"/>
      <c r="CE66" s="43">
        <f t="array" ref="CE66">MIN(100, MAX(0,
  IF(ISNUMBER(BV66)*AND(BV66&gt;0), 10, 0)
  + _xlfn.IFS(BY66="Independently Verified",25, BY66="Yes",15, TRUE,0)
  + IFERROR(_xlfn.XLOOKUP(BZ66,'Lookup Tables'!$A$21:$A$24,'Lookup Tables'!$B$21:$B$24,0),0)
  + IFERROR(_xlfn.XLOOKUP(CA66,'Lookup Tables'!$D$21:$D$24,'Lookup Tables'!$E$21:$E$24,0),0)
  + _xlfn.IFS(ISNUMBER(CB66)*AND(CB66&gt;=11),15, ISNUMBER(CB66)*AND(CB66&gt;=6),10, ISNUMBER(CB66)*AND(CB66&gt;=1),5, TRUE,0)
  + IFERROR(_xlfn.XLOOKUP(CC66,'Lookup Tables'!$G$21:$G$25,'Lookup Tables'!$H$21:$H$25,0),0)
  - IF(ISNUMBER(BW66)*AND(ISNUMBER(BV66))*AND(BW66&gt;BV66), 20, 0)
  - IF(AND(BY66="Yes", ISNUMBER(BW66), BW66&gt;60), 10, 0)
))</f>
        <v/>
      </c>
      <c r="CF66" s="5" t="n"/>
      <c r="CG66" s="5" t="n"/>
      <c r="CH66" s="5" t="n"/>
      <c r="CI66" s="5" t="n"/>
      <c r="CJ66" s="5" t="n"/>
      <c r="CK66" s="5" t="n"/>
      <c r="CL66" s="5" t="n"/>
      <c r="CM66" s="5" t="n"/>
      <c r="CN66" s="5" t="n"/>
      <c r="CO66" s="5" t="n"/>
      <c r="CP66" s="5" t="n"/>
      <c r="CQ66" s="5" t="n"/>
      <c r="CR66" s="5">
        <f>COUNTIF(CJ66:CQ66,"FAIL")</f>
        <v/>
      </c>
      <c r="CS66" s="5">
        <f>COUNTIF(CJ66:CQ66,"PARTIAL")</f>
        <v/>
      </c>
      <c r="CT66" s="5">
        <f>COUNTIF(CJ66:CQ66,"MISSING")</f>
        <v/>
      </c>
      <c r="CU66" s="5">
        <f>MIN(100,
  CR66*15
  + CS66*6
  + CT66*3
  + IFERROR(_xlfn.XLOOKUP(CW66,'Lookup Tables'!$M$21:$M$25,'Lookup Tables'!$N$21:$N$25,0),0)
)</f>
        <v/>
      </c>
      <c r="CV66" s="5">
        <f>IFERROR(
CHOOSE(
MATCH("FAIL",CJ66:CQ66,0),
"1-Specificity","2-Metric","3-Baseline","4-Target",
"5-Time Horizon","6-Scope","7-Verification","8-Consistency"
),
IFERROR(
CHOOSE(
MATCH("PARTIAL",CJ66:CQ66,0),
"1-Specificity","2-Metric","3-Baseline","4-Target",
"5-Time Horizon","6-Scope","7-Verification","8-Consistency"
),
"No failures"
)
)</f>
        <v/>
      </c>
      <c r="CW66" s="5" t="n"/>
      <c r="CX66" s="5" t="n"/>
      <c r="CY66" s="5" t="n"/>
      <c r="CZ66" s="5" t="n"/>
      <c r="DA66" s="5">
        <f>IF(OR(CU66&gt;=50,CW66="Material",CW66="Severe",AS66="Material",AS66="Severe",BF66="Material",BF66="Severe — Exclusion Trigger",AND(ISNUMBER(BS66),BS66&lt;30)),"Yes","No")</f>
        <v/>
      </c>
      <c r="DB66" s="5">
        <f>IF(OR(CR66&gt;=6,AW66="Confirmed Violation",AX66="Confirmed Breach"),"Yes — Automatic",IF(CW66="Severe","Yes — Requires Captain Confirmation","No"))</f>
        <v/>
      </c>
      <c r="DC66" s="5" t="n"/>
      <c r="DD66" s="5" t="n"/>
      <c r="DE66" s="5" t="n"/>
      <c r="DF66" s="5" t="n"/>
      <c r="DG66" s="5" t="n"/>
      <c r="DH66" s="5" t="n"/>
      <c r="DI66" s="5" t="n"/>
      <c r="DJ66" s="5" t="n"/>
      <c r="DK66" s="5" t="n"/>
      <c r="DL66" s="5">
        <f>IF(OR(IFERROR(VALUE(LEFT(DF66,1)),99)&lt;=2,IFERROR(VALUE(LEFT(DG66,1)),99)&lt;=2),"Flagged","Clear")</f>
        <v/>
      </c>
      <c r="DM66" s="5">
        <f>IF(OR(DA66="Yes",DB66&lt;&gt;"No",DH66="Unverified",DL66="Flagged"),"Yes","No")</f>
        <v/>
      </c>
      <c r="DN66" s="5">
        <f t="array" ref="DN66">MIN(100,
  IF(ISNUMBER(V66), _xlfn.IFS(V66&gt;=3,25, V66=2,15, V66=1,5, TRUE,0), 0)
  + IFERROR(_xlfn.IFS(VALUE(LEFT(DF66,1))=5,25, VALUE(LEFT(DF66,1))=4,20, VALUE(LEFT(DF66,1))=3,15, VALUE(LEFT(DF66,1))=2,8, TRUE,0), 15)
  + IFERROR(_xlfn.IFS(VALUE(LEFT(DG66,1))=5,25, VALUE(LEFT(DG66,1))=4,20, VALUE(LEFT(DG66,1))=3,15, VALUE(LEFT(DG66,1))=2,8, TRUE,0), 15)
  + _xlfn.IFS(DH66="Fully Verified",25, DH66="Partially Verified",12, TRUE,0)
)</f>
        <v/>
      </c>
      <c r="DO66" s="5">
        <f t="array" ref="DO66">_xlfn.IFS(
  ISBLANK(AR66), "Insufficient Evidence",
  AND(AR66&gt;=65, AJ66="Approved"), "Strong",
  AR66&gt;=65, "Adequate",
  AR66&gt;=40, "Adequate",
  AR66&gt;=20, "Weak",
  TRUE, "Insufficient Evidence"
)</f>
        <v/>
      </c>
      <c r="DP66" s="5">
        <f t="array" ref="DP66">_xlfn.IFS(
  ISBLANK(BS66), "Insufficient Evidence",
  BS66&gt;=65, "Strong",
  BS66&gt;=40, "Adequate",
  BS66&gt;=20, "Weak",
  TRUE, "Insufficient Evidence"
)</f>
        <v/>
      </c>
      <c r="DQ66" s="5">
        <f t="array" ref="DQ66">_xlfn.IFS(
  ISBLANK(BE66), "Insufficient Evidence",
  OR(AW66="Confirmed Violation", AX66="Confirmed Breach"), "Severe — Hard Trigger",
  BE66&gt;=65, "Strong",
  BE66&gt;=40, "Adequate",
  BE66&gt;=20, "Weak",
  TRUE, "Insufficient Evidence"
)</f>
        <v/>
      </c>
      <c r="DR66" s="5">
        <f t="array" ref="DR66">_xlfn.IFS(
  ISBLANK(CU66), "Insufficient Evidence",
  CU66&lt;=20, "Low Risk",
  CU66&lt;=50, "Moderate Risk",
  CU66&lt;=75, "High Risk",
  TRUE, "Very High Risk"
)</f>
        <v/>
      </c>
      <c r="DS66" s="5">
        <f t="array" ref="DS66">_xlfn.IFS(
  ISBLANK(CE66), "Insufficient Evidence",
  AND(ISNUMBER(BW66),ISNUMBER(BV66),BW66&gt;BV66), "Overclaiming Risk",
  CE66&gt;=65, "Strong",
  CE66&gt;=40, "Adequate",
  TRUE, "Weak"
)</f>
        <v/>
      </c>
      <c r="DT66" s="5">
        <f>IF(DB66="Yes — Automatic",0,ROUND((IF(ISNUMBER(AR66),AR66,0)*0.3+IF(ISNUMBER(BS66),BS66,0)*0.2+IF(ISNUMBER(BE66),BE66,0)*0.2+IF(ISNUMBER(CE66),CE66,0)*0.15+(100-IF(ISNUMBER(CU66),CU66,50))*0.15)*IF(DN66&gt;=75,1,IF(DN66&gt;=50,0.9,IF(DN66&gt;=25,0.75,0.6))),1))</f>
        <v/>
      </c>
      <c r="DU66" s="5">
        <f t="array" ref="DU66">_xlfn.IFS(
  DV66="Upgraded to Clear", "Clear",
  DV66="Downgraded to Watchlist", "Watchlist",
  DV66="Downgraded to Exclusion", "Exclusion Risk",
  DB66="Yes — Automatic", "Exclusion Risk",
  OR(AW66="Confirmed Violation", AX66="Confirmed Breach"), "Exclusion Risk",
  OR(V66=0, ISBLANK(V66), DN66&lt;20), "Insufficient Evidence",
  AND(DT66&gt;=65, DA66="No", DB66="No"), "Clear",
  OR(DT66&gt;=40, DA66="Yes"), "Watchlist",
  TRUE, "Exclusion Risk"
)</f>
        <v/>
      </c>
      <c r="DV66" s="5" t="n"/>
      <c r="DW66" s="5">
        <f t="array" ref="DW66">_xlfn.IFS(
  DU66="Exclusion Risk", "Exclude — Hard Trigger",
  DU66="Insufficient Evidence", "Watchlist — Further Evidence Needed",
  DU66="Watchlist", "Watchlist — Further Evidence Needed",
  AND(DU66="Clear", DT66&gt;=80), "Include — No Conditions",
  DU66="Clear", "Include — Monitor",
  TRUE, "Watchlist — Further Evidence Needed"
)</f>
        <v/>
      </c>
      <c r="DX66" s="5" t="n"/>
      <c r="DY66" s="5" t="n"/>
      <c r="DZ66" s="5" t="n"/>
      <c r="EA66" s="5" t="n"/>
      <c r="EB66" s="5">
        <f>IF(OR(V66=0, ISBLANK(V66)), "MISSING — No sources reviewed", "")</f>
        <v/>
      </c>
      <c r="EC66" s="5">
        <f>IF(AND(NOT(ISBLANK(DC66)), ISBLANK(DE66)), "PAGE REF MISSING", "")</f>
        <v/>
      </c>
    </row>
    <row r="67" ht="18" customHeight="1" s="60">
      <c r="A67" s="3" t="inlineStr">
        <is>
          <t>Standard Chartered PLC</t>
        </is>
      </c>
      <c r="B67" s="3" t="inlineStr">
        <is>
          <t>STD</t>
        </is>
      </c>
      <c r="C67" s="3">
        <f>IF(ISBLANK('Universe Tracker'!D63),"",'Universe Tracker'!D63)</f>
        <v/>
      </c>
      <c r="D67" s="3" t="n"/>
      <c r="E67" s="3" t="n"/>
      <c r="F67" s="3">
        <f>IF(ISBLANK('Universe Tracker'!F63),"",'Universe Tracker'!F63)</f>
        <v/>
      </c>
      <c r="G67" s="3">
        <f>IF(ISBLANK('Universe Tracker'!G63),"",'Universe Tracker'!G63)</f>
        <v/>
      </c>
      <c r="H67" s="3" t="n"/>
      <c r="I67" s="3" t="n"/>
      <c r="J67" s="3">
        <f>IF(ISBLANK(B67),"",B67&amp;"_"&amp;C67)</f>
        <v/>
      </c>
      <c r="K67" s="3" t="n"/>
      <c r="L67" s="3" t="n"/>
      <c r="M67" s="3" t="n"/>
      <c r="N67" s="3" t="n"/>
      <c r="O67" s="3" t="n"/>
      <c r="P67" s="3" t="n"/>
      <c r="Q67" s="3" t="n"/>
      <c r="R67" s="3" t="n"/>
      <c r="S67" s="3" t="n"/>
      <c r="T67" s="3" t="n"/>
      <c r="U67" s="3" t="n"/>
      <c r="V67" s="3" t="n"/>
      <c r="W67" s="3" t="n"/>
      <c r="X67" s="3" t="n"/>
      <c r="Y67" s="3">
        <f>IF(AND(V67&gt;=2,K67="Yes",L67="Yes"),"Sufficient",IF(AND(V67&gt;=1,OR(K67="Yes",L67="Yes")),"Thin","Insufficient"))</f>
        <v/>
      </c>
      <c r="Z67" s="3" t="n"/>
      <c r="AA67" s="3" t="n"/>
      <c r="AB67" s="3" t="n"/>
      <c r="AC67" s="3" t="n"/>
      <c r="AD67" s="3" t="n"/>
      <c r="AE67" s="3" t="n"/>
      <c r="AF67" s="3" t="n"/>
      <c r="AG67" s="3" t="n"/>
      <c r="AH67" s="3" t="n"/>
      <c r="AI67" s="3" t="n"/>
      <c r="AJ67" s="3" t="n"/>
      <c r="AK67" s="3" t="n"/>
      <c r="AL67" s="3" t="n"/>
      <c r="AM67" s="3" t="n"/>
      <c r="AN67" s="3" t="n"/>
      <c r="AO67" s="3" t="n"/>
      <c r="AP67" s="3" t="n"/>
      <c r="AQ67" s="3" t="n"/>
      <c r="AR67" s="40">
        <f t="array" ref="AR67">MIN(100, MAX(0,
  IFERROR(_xlfn.XLOOKUP(AJ67,'Lookup Tables'!$A$2:$A$7,'Lookup Tables'!$B$2:$B$7,0),0)
  + IF(Z67="Yes", IF(IFERROR(_xlfn.XLOOKUP(AJ67,'Lookup Tables'!$A$2:$A$7,'Lookup Tables'!$B$2:$B$7,0),0)&lt;20, 5, 0), 0)
  + _xlfn.IFS(AB67="Yes", IF(ISNUMBER(AC67)*AND(AC67&lt;=2030),15,10), AB67="Long-term Only", 5, AB67="No", 0, TRUE, 0)
  + _xlfn.IFS(AF67="Full",10, AF67="Partial",5, AF67="Scope 2 Only",3, TRUE,0)
  + _xlfn.IFS(AG67="Yes", IF(ISNUMBER(AH67)*AND(AH67&gt;=5),10,6), AG67="Partial",4, TRUE,0)
  + _xlfn.IFS(AI67="Yes",5, AI67="Partial (material categories only)",3, TRUE,0)
  + _xlfn.IFS(AL67="Yes — Detailed",10, AL67="Yes — High Level",5, TRUE,0)
  + _xlfn.IFS(AM67="Yes — Quantified",15, AM67="Yes — Directional Only",7, TRUE,0)
  + _xlfn.IFS(AP67="Formal",5, AP67="Referenced",2, TRUE,0)
  + _xlfn.IFS(AQ67="No Issues Found",5, AQ67="Concern Identified",-5, AQ67="Severe Contradiction",-15, TRUE,0)
  + _xlfn.IFS(BC67="Reasonable Assurance",5, BC67="Limited Assurance",3, TRUE,0)
  - IF(AND(Z67="Yes", AI67="No"), 10, 0)
  - IF(AND(Z67="Yes", AM67="No"), 10, 0)
))</f>
        <v/>
      </c>
      <c r="AS67" s="3" t="n"/>
      <c r="AT67" s="3" t="n"/>
      <c r="AU67" s="3" t="n"/>
      <c r="AV67" s="3" t="n"/>
      <c r="AW67" s="3" t="n"/>
      <c r="AX67" s="3" t="n"/>
      <c r="AY67" s="3" t="n"/>
      <c r="AZ67" s="3" t="n"/>
      <c r="BA67" s="3" t="n"/>
      <c r="BB67" s="3" t="n"/>
      <c r="BC67" s="3" t="n"/>
      <c r="BD67" s="3" t="n"/>
      <c r="BE67" s="40">
        <f t="array" ref="BE67">MIN(100, MAX(0,
  IFERROR(_xlfn.XLOOKUP(AT67,'Lookup Tables'!$D$2:$D$6,'Lookup Tables'!$E$2:$E$6,0),0)
  + IFERROR(_xlfn.XLOOKUP(AV67,'Lookup Tables'!$G$2:$G$5,'Lookup Tables'!$H$2:$H$5,0),0)
  + IFERROR(_xlfn.XLOOKUP(AW67,'Lookup Tables'!$J$2:$J$5,'Lookup Tables'!$K$2:$K$5,0),0)
  + _xlfn.IFS(AX67="No Issues",10, AX67="Complaint Filed",3, AX67="Confirmed Breach",-15, TRUE,0)
  + IFERROR(_xlfn.XLOOKUP(AY67,'Lookup Tables'!$M$2:$M$6,'Lookup Tables'!$N$2:$N$6,0),0)
  + IFERROR(_xlfn.XLOOKUP(AZ67,'Lookup Tables'!$P$2:$P$6,'Lookup Tables'!$Q$2:$Q$6,0),0)
  + _xlfn.IFS(BA67="Formal Board Committee",5, BA67="Board Oversight Mentioned",2, TRUE,0)
  + _xlfn.IFS(BB67="Yes — Quantified Targets",5, BB67="Yes — Discretionary Only",2, TRUE,0)
  + _xlfn.IFS(BC67="Reasonable Assurance",5, BC67="Limited Assurance",3, BC67="Management Review Only",1, TRUE,0)
))</f>
        <v/>
      </c>
      <c r="BF67" s="3" t="n"/>
      <c r="BG67" s="3" t="n"/>
      <c r="BH67" s="3" t="n"/>
      <c r="BI67" s="3" t="n"/>
      <c r="BJ67" s="3" t="n"/>
      <c r="BK67" s="3" t="n"/>
      <c r="BL67" s="3" t="n"/>
      <c r="BM67" s="3" t="n"/>
      <c r="BN67" s="3" t="n"/>
      <c r="BO67" s="3" t="n"/>
      <c r="BP67" s="3" t="n"/>
      <c r="BQ67" s="3" t="n"/>
      <c r="BR67" s="3" t="n"/>
      <c r="BS67" s="42">
        <f t="array" ref="BS67">MIN(100, MAX(0,
  IFERROR(_xlfn.XLOOKUP(BG67,'Lookup Tables'!$A$11:$A$16,'Lookup Tables'!$B$11:$B$16,0),0)
  + IFERROR(_xlfn.XLOOKUP(BR67,'Lookup Tables'!$M$11:$M$14,'Lookup Tables'!$N$11:$N$14,0),0)
  + IFERROR(_xlfn.XLOOKUP(BQ67,'Lookup Tables'!$J$11:$J$15,'Lookup Tables'!$K$11:$K$15,0),0)
  + IFERROR(_xlfn.XLOOKUP(BH67,'Lookup Tables'!$D$11:$D$15,'Lookup Tables'!$E$11:$E$15,0),0)
  + IFERROR(_xlfn.XLOOKUP(BJ67,'Lookup Tables'!$G$11:$G$16,'Lookup Tables'!$H$11:$H$16,0),0)
  + IFERROR(_xlfn.XLOOKUP(BN67,'Lookup Tables'!$P$11:$P$15,'Lookup Tables'!$Q$11:$Q$15,0),0)
  + _xlfn.IFS(BM67="No Evidence",10, BM67="Unknown",3, BM67="Likely",0, BM67="Confirmed",-10, TRUE,3)
  + IFERROR(_xlfn.XLOOKUP(BP67,'Lookup Tables'!$J$21:$J$24,'Lookup Tables'!$K$21:$K$24,0),0)
))</f>
        <v/>
      </c>
      <c r="BT67" s="3" t="n"/>
      <c r="BU67" s="3" t="n"/>
      <c r="BV67" s="3" t="n"/>
      <c r="BW67" s="3" t="n"/>
      <c r="BX67" s="3" t="n"/>
      <c r="BY67" s="3" t="n"/>
      <c r="BZ67" s="3" t="n"/>
      <c r="CA67" s="3" t="n"/>
      <c r="CB67" s="3" t="n"/>
      <c r="CC67" s="3" t="n"/>
      <c r="CD67" s="3" t="n"/>
      <c r="CE67" s="44">
        <f t="array" ref="CE67">MIN(100, MAX(0,
  IF(ISNUMBER(BV67)*AND(BV67&gt;0), 10, 0)
  + _xlfn.IFS(BY67="Independently Verified",25, BY67="Yes",15, TRUE,0)
  + IFERROR(_xlfn.XLOOKUP(BZ67,'Lookup Tables'!$A$21:$A$24,'Lookup Tables'!$B$21:$B$24,0),0)
  + IFERROR(_xlfn.XLOOKUP(CA67,'Lookup Tables'!$D$21:$D$24,'Lookup Tables'!$E$21:$E$24,0),0)
  + _xlfn.IFS(ISNUMBER(CB67)*AND(CB67&gt;=11),15, ISNUMBER(CB67)*AND(CB67&gt;=6),10, ISNUMBER(CB67)*AND(CB67&gt;=1),5, TRUE,0)
  + IFERROR(_xlfn.XLOOKUP(CC67,'Lookup Tables'!$G$21:$G$25,'Lookup Tables'!$H$21:$H$25,0),0)
  - IF(ISNUMBER(BW67)*AND(ISNUMBER(BV67))*AND(BW67&gt;BV67), 20, 0)
  - IF(AND(BY67="Yes", ISNUMBER(BW67), BW67&gt;60), 10, 0)
))</f>
        <v/>
      </c>
      <c r="CF67" s="3" t="n"/>
      <c r="CG67" s="3" t="n"/>
      <c r="CH67" s="3" t="n"/>
      <c r="CI67" s="3" t="n"/>
      <c r="CJ67" s="3" t="n"/>
      <c r="CK67" s="3" t="n"/>
      <c r="CL67" s="3" t="n"/>
      <c r="CM67" s="3" t="n"/>
      <c r="CN67" s="3" t="n"/>
      <c r="CO67" s="3" t="n"/>
      <c r="CP67" s="3" t="n"/>
      <c r="CQ67" s="3" t="n"/>
      <c r="CR67" s="3">
        <f>COUNTIF(CJ67:CQ67,"FAIL")</f>
        <v/>
      </c>
      <c r="CS67" s="3">
        <f>COUNTIF(CJ67:CQ67,"PARTIAL")</f>
        <v/>
      </c>
      <c r="CT67" s="3">
        <f>COUNTIF(CJ67:CQ67,"MISSING")</f>
        <v/>
      </c>
      <c r="CU67" s="3">
        <f>MIN(100,
  CR67*15
  + CS67*6
  + CT67*3
  + IFERROR(_xlfn.XLOOKUP(CW67,'Lookup Tables'!$M$21:$M$25,'Lookup Tables'!$N$21:$N$25,0),0)
)</f>
        <v/>
      </c>
      <c r="CV67" s="3">
        <f>IFERROR(
CHOOSE(
MATCH("FAIL",CJ67:CQ67,0),
"1-Specificity","2-Metric","3-Baseline","4-Target",
"5-Time Horizon","6-Scope","7-Verification","8-Consistency"
),
IFERROR(
CHOOSE(
MATCH("PARTIAL",CJ67:CQ67,0),
"1-Specificity","2-Metric","3-Baseline","4-Target",
"5-Time Horizon","6-Scope","7-Verification","8-Consistency"
),
"No failures"
)
)</f>
        <v/>
      </c>
      <c r="CW67" s="3" t="n"/>
      <c r="CX67" s="3" t="n"/>
      <c r="CY67" s="3" t="n"/>
      <c r="CZ67" s="3" t="n"/>
      <c r="DA67" s="3">
        <f>IF(OR(CU67&gt;=50,CW67="Material",CW67="Severe",AS67="Material",AS67="Severe",BF67="Material",BF67="Severe — Exclusion Trigger",AND(ISNUMBER(BS67),BS67&lt;30)),"Yes","No")</f>
        <v/>
      </c>
      <c r="DB67" s="3">
        <f>IF(OR(CR67&gt;=6,AW67="Confirmed Violation",AX67="Confirmed Breach"),"Yes — Automatic",IF(CW67="Severe","Yes — Requires Captain Confirmation","No"))</f>
        <v/>
      </c>
      <c r="DC67" s="3" t="n"/>
      <c r="DD67" s="3" t="n"/>
      <c r="DE67" s="3" t="n"/>
      <c r="DF67" s="3" t="n"/>
      <c r="DG67" s="3" t="n"/>
      <c r="DH67" s="3" t="n"/>
      <c r="DI67" s="3" t="n"/>
      <c r="DJ67" s="3" t="n"/>
      <c r="DK67" s="3" t="n"/>
      <c r="DL67" s="3">
        <f>IF(OR(IFERROR(VALUE(LEFT(DF67,1)),99)&lt;=2,IFERROR(VALUE(LEFT(DG67,1)),99)&lt;=2),"Flagged","Clear")</f>
        <v/>
      </c>
      <c r="DM67" s="3">
        <f>IF(OR(DA67="Yes",DB67&lt;&gt;"No",DH67="Unverified",DL67="Flagged"),"Yes","No")</f>
        <v/>
      </c>
      <c r="DN67" s="3">
        <f t="array" ref="DN67">MIN(100,
  IF(ISNUMBER(V67), _xlfn.IFS(V67&gt;=3,25, V67=2,15, V67=1,5, TRUE,0), 0)
  + IFERROR(_xlfn.IFS(VALUE(LEFT(DF67,1))=5,25, VALUE(LEFT(DF67,1))=4,20, VALUE(LEFT(DF67,1))=3,15, VALUE(LEFT(DF67,1))=2,8, TRUE,0), 15)
  + IFERROR(_xlfn.IFS(VALUE(LEFT(DG67,1))=5,25, VALUE(LEFT(DG67,1))=4,20, VALUE(LEFT(DG67,1))=3,15, VALUE(LEFT(DG67,1))=2,8, TRUE,0), 15)
  + _xlfn.IFS(DH67="Fully Verified",25, DH67="Partially Verified",12, TRUE,0)
)</f>
        <v/>
      </c>
      <c r="DO67" s="3">
        <f t="array" ref="DO67">_xlfn.IFS(
  ISBLANK(AR67), "Insufficient Evidence",
  AND(AR67&gt;=65, AJ67="Approved"), "Strong",
  AR67&gt;=65, "Adequate",
  AR67&gt;=40, "Adequate",
  AR67&gt;=20, "Weak",
  TRUE, "Insufficient Evidence"
)</f>
        <v/>
      </c>
      <c r="DP67" s="3">
        <f t="array" ref="DP67">_xlfn.IFS(
  ISBLANK(BS67), "Insufficient Evidence",
  BS67&gt;=65, "Strong",
  BS67&gt;=40, "Adequate",
  BS67&gt;=20, "Weak",
  TRUE, "Insufficient Evidence"
)</f>
        <v/>
      </c>
      <c r="DQ67" s="3">
        <f t="array" ref="DQ67">_xlfn.IFS(
  ISBLANK(BE67), "Insufficient Evidence",
  OR(AW67="Confirmed Violation", AX67="Confirmed Breach"), "Severe — Hard Trigger",
  BE67&gt;=65, "Strong",
  BE67&gt;=40, "Adequate",
  BE67&gt;=20, "Weak",
  TRUE, "Insufficient Evidence"
)</f>
        <v/>
      </c>
      <c r="DR67" s="3">
        <f t="array" ref="DR67">_xlfn.IFS(
  ISBLANK(CU67), "Insufficient Evidence",
  CU67&lt;=20, "Low Risk",
  CU67&lt;=50, "Moderate Risk",
  CU67&lt;=75, "High Risk",
  TRUE, "Very High Risk"
)</f>
        <v/>
      </c>
      <c r="DS67" s="3">
        <f t="array" ref="DS67">_xlfn.IFS(
  ISBLANK(CE67), "Insufficient Evidence",
  AND(ISNUMBER(BW67),ISNUMBER(BV67),BW67&gt;BV67), "Overclaiming Risk",
  CE67&gt;=65, "Strong",
  CE67&gt;=40, "Adequate",
  TRUE, "Weak"
)</f>
        <v/>
      </c>
      <c r="DT67" s="3">
        <f>IF(DB67="Yes — Automatic",0,ROUND((IF(ISNUMBER(AR67),AR67,0)*0.3+IF(ISNUMBER(BS67),BS67,0)*0.2+IF(ISNUMBER(BE67),BE67,0)*0.2+IF(ISNUMBER(CE67),CE67,0)*0.15+(100-IF(ISNUMBER(CU67),CU67,50))*0.15)*IF(DN67&gt;=75,1,IF(DN67&gt;=50,0.9,IF(DN67&gt;=25,0.75,0.6))),1))</f>
        <v/>
      </c>
      <c r="DU67" s="3">
        <f t="array" ref="DU67">_xlfn.IFS(
  DV67="Upgraded to Clear", "Clear",
  DV67="Downgraded to Watchlist", "Watchlist",
  DV67="Downgraded to Exclusion", "Exclusion Risk",
  DB67="Yes — Automatic", "Exclusion Risk",
  OR(AW67="Confirmed Violation", AX67="Confirmed Breach"), "Exclusion Risk",
  OR(V67=0, ISBLANK(V67), DN67&lt;20), "Insufficient Evidence",
  AND(DT67&gt;=65, DA67="No", DB67="No"), "Clear",
  OR(DT67&gt;=40, DA67="Yes"), "Watchlist",
  TRUE, "Exclusion Risk"
)</f>
        <v/>
      </c>
      <c r="DV67" s="3" t="n"/>
      <c r="DW67" s="3">
        <f t="array" ref="DW67">_xlfn.IFS(
  DU67="Exclusion Risk", "Exclude — Hard Trigger",
  DU67="Insufficient Evidence", "Watchlist — Further Evidence Needed",
  DU67="Watchlist", "Watchlist — Further Evidence Needed",
  AND(DU67="Clear", DT67&gt;=80), "Include — No Conditions",
  DU67="Clear", "Include — Monitor",
  TRUE, "Watchlist — Further Evidence Needed"
)</f>
        <v/>
      </c>
      <c r="DX67" s="3" t="n"/>
      <c r="DY67" s="3" t="n"/>
      <c r="DZ67" s="3" t="n"/>
      <c r="EA67" s="3" t="n"/>
      <c r="EB67" s="3">
        <f>IF(OR(V67=0, ISBLANK(V67)), "MISSING — No sources reviewed", "")</f>
        <v/>
      </c>
      <c r="EC67" s="3">
        <f>IF(AND(NOT(ISBLANK(DC67)), ISBLANK(DE67)), "PAGE REF MISSING", "")</f>
        <v/>
      </c>
    </row>
    <row r="68" ht="18" customHeight="1" s="60">
      <c r="A68" s="5" t="inlineStr">
        <is>
          <t>Sandvik AB</t>
        </is>
      </c>
      <c r="B68" s="5" t="inlineStr">
        <is>
          <t>SVKB</t>
        </is>
      </c>
      <c r="C68" s="5">
        <f>IF(ISBLANK('Universe Tracker'!D64),"",'Universe Tracker'!D64)</f>
        <v/>
      </c>
      <c r="D68" s="5" t="n"/>
      <c r="E68" s="5" t="n"/>
      <c r="F68" s="5">
        <f>IF(ISBLANK('Universe Tracker'!F64),"",'Universe Tracker'!F64)</f>
        <v/>
      </c>
      <c r="G68" s="5">
        <f>IF(ISBLANK('Universe Tracker'!G64),"",'Universe Tracker'!G64)</f>
        <v/>
      </c>
      <c r="H68" s="5" t="n"/>
      <c r="I68" s="5" t="n"/>
      <c r="J68" s="5">
        <f>IF(ISBLANK(B68),"",B68&amp;"_"&amp;C68)</f>
        <v/>
      </c>
      <c r="K68" s="5" t="n"/>
      <c r="L68" s="5" t="n"/>
      <c r="M68" s="5" t="n"/>
      <c r="N68" s="5" t="n"/>
      <c r="O68" s="5" t="n"/>
      <c r="P68" s="5" t="n"/>
      <c r="Q68" s="5" t="n"/>
      <c r="R68" s="5" t="n"/>
      <c r="S68" s="5" t="n"/>
      <c r="T68" s="5" t="n"/>
      <c r="U68" s="5" t="n"/>
      <c r="V68" s="5" t="n"/>
      <c r="W68" s="5" t="n"/>
      <c r="X68" s="5" t="n"/>
      <c r="Y68" s="5">
        <f>IF(AND(V68&gt;=2,K68="Yes",L68="Yes"),"Sufficient",IF(AND(V68&gt;=1,OR(K68="Yes",L68="Yes")),"Thin","Insufficient"))</f>
        <v/>
      </c>
      <c r="Z68" s="5" t="n"/>
      <c r="AA68" s="5" t="n"/>
      <c r="AB68" s="5" t="n"/>
      <c r="AC68" s="5" t="n"/>
      <c r="AD68" s="5" t="n"/>
      <c r="AE68" s="5" t="n"/>
      <c r="AF68" s="5" t="n"/>
      <c r="AG68" s="5" t="n"/>
      <c r="AH68" s="5" t="n"/>
      <c r="AI68" s="5" t="n"/>
      <c r="AJ68" s="5" t="n"/>
      <c r="AK68" s="5" t="n"/>
      <c r="AL68" s="5" t="n"/>
      <c r="AM68" s="5" t="n"/>
      <c r="AN68" s="5" t="n"/>
      <c r="AO68" s="5" t="n"/>
      <c r="AP68" s="5" t="n"/>
      <c r="AQ68" s="5" t="n"/>
      <c r="AR68" s="40">
        <f t="array" ref="AR68">MIN(100, MAX(0,
  IFERROR(_xlfn.XLOOKUP(AJ68,'Lookup Tables'!$A$2:$A$7,'Lookup Tables'!$B$2:$B$7,0),0)
  + IF(Z68="Yes", IF(IFERROR(_xlfn.XLOOKUP(AJ68,'Lookup Tables'!$A$2:$A$7,'Lookup Tables'!$B$2:$B$7,0),0)&lt;20, 5, 0), 0)
  + _xlfn.IFS(AB68="Yes", IF(ISNUMBER(AC68)*AND(AC68&lt;=2030),15,10), AB68="Long-term Only", 5, AB68="No", 0, TRUE, 0)
  + _xlfn.IFS(AF68="Full",10, AF68="Partial",5, AF68="Scope 2 Only",3, TRUE,0)
  + _xlfn.IFS(AG68="Yes", IF(ISNUMBER(AH68)*AND(AH68&gt;=5),10,6), AG68="Partial",4, TRUE,0)
  + _xlfn.IFS(AI68="Yes",5, AI68="Partial (material categories only)",3, TRUE,0)
  + _xlfn.IFS(AL68="Yes — Detailed",10, AL68="Yes — High Level",5, TRUE,0)
  + _xlfn.IFS(AM68="Yes — Quantified",15, AM68="Yes — Directional Only",7, TRUE,0)
  + _xlfn.IFS(AP68="Formal",5, AP68="Referenced",2, TRUE,0)
  + _xlfn.IFS(AQ68="No Issues Found",5, AQ68="Concern Identified",-5, AQ68="Severe Contradiction",-15, TRUE,0)
  + _xlfn.IFS(BC68="Reasonable Assurance",5, BC68="Limited Assurance",3, TRUE,0)
  - IF(AND(Z68="Yes", AI68="No"), 10, 0)
  - IF(AND(Z68="Yes", AM68="No"), 10, 0)
))</f>
        <v/>
      </c>
      <c r="AS68" s="5" t="n"/>
      <c r="AT68" s="5" t="n"/>
      <c r="AU68" s="5" t="n"/>
      <c r="AV68" s="5" t="n"/>
      <c r="AW68" s="5" t="n"/>
      <c r="AX68" s="5" t="n"/>
      <c r="AY68" s="5" t="n"/>
      <c r="AZ68" s="5" t="n"/>
      <c r="BA68" s="5" t="n"/>
      <c r="BB68" s="5" t="n"/>
      <c r="BC68" s="5" t="n"/>
      <c r="BD68" s="5" t="n"/>
      <c r="BE68" s="39">
        <f t="array" ref="BE68">MIN(100, MAX(0,
  IFERROR(_xlfn.XLOOKUP(AT68,'Lookup Tables'!$D$2:$D$6,'Lookup Tables'!$E$2:$E$6,0),0)
  + IFERROR(_xlfn.XLOOKUP(AV68,'Lookup Tables'!$G$2:$G$5,'Lookup Tables'!$H$2:$H$5,0),0)
  + IFERROR(_xlfn.XLOOKUP(AW68,'Lookup Tables'!$J$2:$J$5,'Lookup Tables'!$K$2:$K$5,0),0)
  + _xlfn.IFS(AX68="No Issues",10, AX68="Complaint Filed",3, AX68="Confirmed Breach",-15, TRUE,0)
  + IFERROR(_xlfn.XLOOKUP(AY68,'Lookup Tables'!$M$2:$M$6,'Lookup Tables'!$N$2:$N$6,0),0)
  + IFERROR(_xlfn.XLOOKUP(AZ68,'Lookup Tables'!$P$2:$P$6,'Lookup Tables'!$Q$2:$Q$6,0),0)
  + _xlfn.IFS(BA68="Formal Board Committee",5, BA68="Board Oversight Mentioned",2, TRUE,0)
  + _xlfn.IFS(BB68="Yes — Quantified Targets",5, BB68="Yes — Discretionary Only",2, TRUE,0)
  + _xlfn.IFS(BC68="Reasonable Assurance",5, BC68="Limited Assurance",3, BC68="Management Review Only",1, TRUE,0)
))</f>
        <v/>
      </c>
      <c r="BF68" s="5" t="n"/>
      <c r="BG68" s="5" t="n"/>
      <c r="BH68" s="5" t="n"/>
      <c r="BI68" s="5" t="n"/>
      <c r="BJ68" s="5" t="n"/>
      <c r="BK68" s="5" t="n"/>
      <c r="BL68" s="5" t="n"/>
      <c r="BM68" s="5" t="n"/>
      <c r="BN68" s="5" t="n"/>
      <c r="BO68" s="5" t="n"/>
      <c r="BP68" s="5" t="n"/>
      <c r="BQ68" s="5" t="n"/>
      <c r="BR68" s="5" t="n"/>
      <c r="BS68" s="41">
        <f t="array" ref="BS68">MIN(100, MAX(0,
  IFERROR(_xlfn.XLOOKUP(BG68,'Lookup Tables'!$A$11:$A$16,'Lookup Tables'!$B$11:$B$16,0),0)
  + IFERROR(_xlfn.XLOOKUP(BR68,'Lookup Tables'!$M$11:$M$14,'Lookup Tables'!$N$11:$N$14,0),0)
  + IFERROR(_xlfn.XLOOKUP(BQ68,'Lookup Tables'!$J$11:$J$15,'Lookup Tables'!$K$11:$K$15,0),0)
  + IFERROR(_xlfn.XLOOKUP(BH68,'Lookup Tables'!$D$11:$D$15,'Lookup Tables'!$E$11:$E$15,0),0)
  + IFERROR(_xlfn.XLOOKUP(BJ68,'Lookup Tables'!$G$11:$G$16,'Lookup Tables'!$H$11:$H$16,0),0)
  + IFERROR(_xlfn.XLOOKUP(BN68,'Lookup Tables'!$P$11:$P$15,'Lookup Tables'!$Q$11:$Q$15,0),0)
  + _xlfn.IFS(BM68="No Evidence",10, BM68="Unknown",3, BM68="Likely",0, BM68="Confirmed",-10, TRUE,3)
  + IFERROR(_xlfn.XLOOKUP(BP68,'Lookup Tables'!$J$21:$J$24,'Lookup Tables'!$K$21:$K$24,0),0)
))</f>
        <v/>
      </c>
      <c r="BT68" s="5" t="n"/>
      <c r="BU68" s="5" t="n"/>
      <c r="BV68" s="5" t="n"/>
      <c r="BW68" s="5" t="n"/>
      <c r="BX68" s="5" t="n"/>
      <c r="BY68" s="5" t="n"/>
      <c r="BZ68" s="5" t="n"/>
      <c r="CA68" s="5" t="n"/>
      <c r="CB68" s="5" t="n"/>
      <c r="CC68" s="5" t="n"/>
      <c r="CD68" s="5" t="n"/>
      <c r="CE68" s="43">
        <f t="array" ref="CE68">MIN(100, MAX(0,
  IF(ISNUMBER(BV68)*AND(BV68&gt;0), 10, 0)
  + _xlfn.IFS(BY68="Independently Verified",25, BY68="Yes",15, TRUE,0)
  + IFERROR(_xlfn.XLOOKUP(BZ68,'Lookup Tables'!$A$21:$A$24,'Lookup Tables'!$B$21:$B$24,0),0)
  + IFERROR(_xlfn.XLOOKUP(CA68,'Lookup Tables'!$D$21:$D$24,'Lookup Tables'!$E$21:$E$24,0),0)
  + _xlfn.IFS(ISNUMBER(CB68)*AND(CB68&gt;=11),15, ISNUMBER(CB68)*AND(CB68&gt;=6),10, ISNUMBER(CB68)*AND(CB68&gt;=1),5, TRUE,0)
  + IFERROR(_xlfn.XLOOKUP(CC68,'Lookup Tables'!$G$21:$G$25,'Lookup Tables'!$H$21:$H$25,0),0)
  - IF(ISNUMBER(BW68)*AND(ISNUMBER(BV68))*AND(BW68&gt;BV68), 20, 0)
  - IF(AND(BY68="Yes", ISNUMBER(BW68), BW68&gt;60), 10, 0)
))</f>
        <v/>
      </c>
      <c r="CF68" s="5" t="n"/>
      <c r="CG68" s="5" t="n"/>
      <c r="CH68" s="5" t="n"/>
      <c r="CI68" s="5" t="n"/>
      <c r="CJ68" s="5" t="n"/>
      <c r="CK68" s="5" t="n"/>
      <c r="CL68" s="5" t="n"/>
      <c r="CM68" s="5" t="n"/>
      <c r="CN68" s="5" t="n"/>
      <c r="CO68" s="5" t="n"/>
      <c r="CP68" s="5" t="n"/>
      <c r="CQ68" s="5" t="n"/>
      <c r="CR68" s="5">
        <f>COUNTIF(CJ68:CQ68,"FAIL")</f>
        <v/>
      </c>
      <c r="CS68" s="5">
        <f>COUNTIF(CJ68:CQ68,"PARTIAL")</f>
        <v/>
      </c>
      <c r="CT68" s="5">
        <f>COUNTIF(CJ68:CQ68,"MISSING")</f>
        <v/>
      </c>
      <c r="CU68" s="5">
        <f>MIN(100,
  CR68*15
  + CS68*6
  + CT68*3
  + IFERROR(_xlfn.XLOOKUP(CW68,'Lookup Tables'!$M$21:$M$25,'Lookup Tables'!$N$21:$N$25,0),0)
)</f>
        <v/>
      </c>
      <c r="CV68" s="5">
        <f>IFERROR(
CHOOSE(
MATCH("FAIL",CJ68:CQ68,0),
"1-Specificity","2-Metric","3-Baseline","4-Target",
"5-Time Horizon","6-Scope","7-Verification","8-Consistency"
),
IFERROR(
CHOOSE(
MATCH("PARTIAL",CJ68:CQ68,0),
"1-Specificity","2-Metric","3-Baseline","4-Target",
"5-Time Horizon","6-Scope","7-Verification","8-Consistency"
),
"No failures"
)
)</f>
        <v/>
      </c>
      <c r="CW68" s="5" t="n"/>
      <c r="CX68" s="5" t="n"/>
      <c r="CY68" s="5" t="n"/>
      <c r="CZ68" s="5" t="n"/>
      <c r="DA68" s="5">
        <f>IF(OR(CU68&gt;=50,CW68="Material",CW68="Severe",AS68="Material",AS68="Severe",BF68="Material",BF68="Severe — Exclusion Trigger",AND(ISNUMBER(BS68),BS68&lt;30)),"Yes","No")</f>
        <v/>
      </c>
      <c r="DB68" s="5">
        <f>IF(OR(CR68&gt;=6,AW68="Confirmed Violation",AX68="Confirmed Breach"),"Yes — Automatic",IF(CW68="Severe","Yes — Requires Captain Confirmation","No"))</f>
        <v/>
      </c>
      <c r="DC68" s="5" t="n"/>
      <c r="DD68" s="5" t="n"/>
      <c r="DE68" s="5" t="n"/>
      <c r="DF68" s="5" t="n"/>
      <c r="DG68" s="5" t="n"/>
      <c r="DH68" s="5" t="n"/>
      <c r="DI68" s="5" t="n"/>
      <c r="DJ68" s="5" t="n"/>
      <c r="DK68" s="5" t="n"/>
      <c r="DL68" s="5">
        <f>IF(OR(IFERROR(VALUE(LEFT(DF68,1)),99)&lt;=2,IFERROR(VALUE(LEFT(DG68,1)),99)&lt;=2),"Flagged","Clear")</f>
        <v/>
      </c>
      <c r="DM68" s="5">
        <f>IF(OR(DA68="Yes",DB68&lt;&gt;"No",DH68="Unverified",DL68="Flagged"),"Yes","No")</f>
        <v/>
      </c>
      <c r="DN68" s="5">
        <f t="array" ref="DN68">MIN(100,
  IF(ISNUMBER(V68), _xlfn.IFS(V68&gt;=3,25, V68=2,15, V68=1,5, TRUE,0), 0)
  + IFERROR(_xlfn.IFS(VALUE(LEFT(DF68,1))=5,25, VALUE(LEFT(DF68,1))=4,20, VALUE(LEFT(DF68,1))=3,15, VALUE(LEFT(DF68,1))=2,8, TRUE,0), 15)
  + IFERROR(_xlfn.IFS(VALUE(LEFT(DG68,1))=5,25, VALUE(LEFT(DG68,1))=4,20, VALUE(LEFT(DG68,1))=3,15, VALUE(LEFT(DG68,1))=2,8, TRUE,0), 15)
  + _xlfn.IFS(DH68="Fully Verified",25, DH68="Partially Verified",12, TRUE,0)
)</f>
        <v/>
      </c>
      <c r="DO68" s="5">
        <f t="array" ref="DO68">_xlfn.IFS(
  ISBLANK(AR68), "Insufficient Evidence",
  AND(AR68&gt;=65, AJ68="Approved"), "Strong",
  AR68&gt;=65, "Adequate",
  AR68&gt;=40, "Adequate",
  AR68&gt;=20, "Weak",
  TRUE, "Insufficient Evidence"
)</f>
        <v/>
      </c>
      <c r="DP68" s="5">
        <f t="array" ref="DP68">_xlfn.IFS(
  ISBLANK(BS68), "Insufficient Evidence",
  BS68&gt;=65, "Strong",
  BS68&gt;=40, "Adequate",
  BS68&gt;=20, "Weak",
  TRUE, "Insufficient Evidence"
)</f>
        <v/>
      </c>
      <c r="DQ68" s="5">
        <f t="array" ref="DQ68">_xlfn.IFS(
  ISBLANK(BE68), "Insufficient Evidence",
  OR(AW68="Confirmed Violation", AX68="Confirmed Breach"), "Severe — Hard Trigger",
  BE68&gt;=65, "Strong",
  BE68&gt;=40, "Adequate",
  BE68&gt;=20, "Weak",
  TRUE, "Insufficient Evidence"
)</f>
        <v/>
      </c>
      <c r="DR68" s="5">
        <f t="array" ref="DR68">_xlfn.IFS(
  ISBLANK(CU68), "Insufficient Evidence",
  CU68&lt;=20, "Low Risk",
  CU68&lt;=50, "Moderate Risk",
  CU68&lt;=75, "High Risk",
  TRUE, "Very High Risk"
)</f>
        <v/>
      </c>
      <c r="DS68" s="5">
        <f t="array" ref="DS68">_xlfn.IFS(
  ISBLANK(CE68), "Insufficient Evidence",
  AND(ISNUMBER(BW68),ISNUMBER(BV68),BW68&gt;BV68), "Overclaiming Risk",
  CE68&gt;=65, "Strong",
  CE68&gt;=40, "Adequate",
  TRUE, "Weak"
)</f>
        <v/>
      </c>
      <c r="DT68" s="5">
        <f>IF(DB68="Yes — Automatic",0,ROUND((IF(ISNUMBER(AR68),AR68,0)*0.3+IF(ISNUMBER(BS68),BS68,0)*0.2+IF(ISNUMBER(BE68),BE68,0)*0.2+IF(ISNUMBER(CE68),CE68,0)*0.15+(100-IF(ISNUMBER(CU68),CU68,50))*0.15)*IF(DN68&gt;=75,1,IF(DN68&gt;=50,0.9,IF(DN68&gt;=25,0.75,0.6))),1))</f>
        <v/>
      </c>
      <c r="DU68" s="5">
        <f t="array" ref="DU68">_xlfn.IFS(
  DV68="Upgraded to Clear", "Clear",
  DV68="Downgraded to Watchlist", "Watchlist",
  DV68="Downgraded to Exclusion", "Exclusion Risk",
  DB68="Yes — Automatic", "Exclusion Risk",
  OR(AW68="Confirmed Violation", AX68="Confirmed Breach"), "Exclusion Risk",
  OR(V68=0, ISBLANK(V68), DN68&lt;20), "Insufficient Evidence",
  AND(DT68&gt;=65, DA68="No", DB68="No"), "Clear",
  OR(DT68&gt;=40, DA68="Yes"), "Watchlist",
  TRUE, "Exclusion Risk"
)</f>
        <v/>
      </c>
      <c r="DV68" s="5" t="n"/>
      <c r="DW68" s="5">
        <f t="array" ref="DW68">_xlfn.IFS(
  DU68="Exclusion Risk", "Exclude — Hard Trigger",
  DU68="Insufficient Evidence", "Watchlist — Further Evidence Needed",
  DU68="Watchlist", "Watchlist — Further Evidence Needed",
  AND(DU68="Clear", DT68&gt;=80), "Include — No Conditions",
  DU68="Clear", "Include — Monitor",
  TRUE, "Watchlist — Further Evidence Needed"
)</f>
        <v/>
      </c>
      <c r="DX68" s="5" t="n"/>
      <c r="DY68" s="5" t="n"/>
      <c r="DZ68" s="5" t="n"/>
      <c r="EA68" s="5" t="n"/>
      <c r="EB68" s="5">
        <f>IF(OR(V68=0, ISBLANK(V68)), "MISSING — No sources reviewed", "")</f>
        <v/>
      </c>
      <c r="EC68" s="5">
        <f>IF(AND(NOT(ISBLANK(DC68)), ISBLANK(DE68)), "PAGE REF MISSING", "")</f>
        <v/>
      </c>
    </row>
    <row r="69" ht="18" customHeight="1" s="60">
      <c r="A69" s="3" t="inlineStr">
        <is>
          <t>Zurich Insurance Group AG</t>
        </is>
      </c>
      <c r="B69" s="3" t="inlineStr">
        <is>
          <t>ZFIN</t>
        </is>
      </c>
      <c r="C69" s="3">
        <f>IF(ISBLANK('Universe Tracker'!D65),"",'Universe Tracker'!D65)</f>
        <v/>
      </c>
      <c r="D69" s="3" t="n"/>
      <c r="E69" s="3" t="n"/>
      <c r="F69" s="3">
        <f>IF(ISBLANK('Universe Tracker'!F65),"",'Universe Tracker'!F65)</f>
        <v/>
      </c>
      <c r="G69" s="3">
        <f>IF(ISBLANK('Universe Tracker'!G65),"",'Universe Tracker'!G65)</f>
        <v/>
      </c>
      <c r="H69" s="3" t="n"/>
      <c r="I69" s="3" t="n"/>
      <c r="J69" s="3">
        <f>IF(ISBLANK(B69),"",B69&amp;"_"&amp;C69)</f>
        <v/>
      </c>
      <c r="K69" s="3" t="n"/>
      <c r="L69" s="3" t="n"/>
      <c r="M69" s="3" t="n"/>
      <c r="N69" s="3" t="n"/>
      <c r="O69" s="3" t="n"/>
      <c r="P69" s="3" t="n"/>
      <c r="Q69" s="3" t="n"/>
      <c r="R69" s="3" t="n"/>
      <c r="S69" s="3" t="n"/>
      <c r="T69" s="3" t="n"/>
      <c r="U69" s="3" t="n"/>
      <c r="V69" s="3" t="n"/>
      <c r="W69" s="3" t="n"/>
      <c r="X69" s="3" t="n"/>
      <c r="Y69" s="3">
        <f>IF(AND(V69&gt;=2,K69="Yes",L69="Yes"),"Sufficient",IF(AND(V69&gt;=1,OR(K69="Yes",L69="Yes")),"Thin","Insufficient"))</f>
        <v/>
      </c>
      <c r="Z69" s="3" t="n"/>
      <c r="AA69" s="3" t="n"/>
      <c r="AB69" s="3" t="n"/>
      <c r="AC69" s="3" t="n"/>
      <c r="AD69" s="3" t="n"/>
      <c r="AE69" s="3" t="n"/>
      <c r="AF69" s="3" t="n"/>
      <c r="AG69" s="3" t="n"/>
      <c r="AH69" s="3" t="n"/>
      <c r="AI69" s="3" t="n"/>
      <c r="AJ69" s="3" t="n"/>
      <c r="AK69" s="3" t="n"/>
      <c r="AL69" s="3" t="n"/>
      <c r="AM69" s="3" t="n"/>
      <c r="AN69" s="3" t="n"/>
      <c r="AO69" s="3" t="n"/>
      <c r="AP69" s="3" t="n"/>
      <c r="AQ69" s="3" t="n"/>
      <c r="AR69" s="40">
        <f t="array" ref="AR69">MIN(100, MAX(0,
  IFERROR(_xlfn.XLOOKUP(AJ69,'Lookup Tables'!$A$2:$A$7,'Lookup Tables'!$B$2:$B$7,0),0)
  + IF(Z69="Yes", IF(IFERROR(_xlfn.XLOOKUP(AJ69,'Lookup Tables'!$A$2:$A$7,'Lookup Tables'!$B$2:$B$7,0),0)&lt;20, 5, 0), 0)
  + _xlfn.IFS(AB69="Yes", IF(ISNUMBER(AC69)*AND(AC69&lt;=2030),15,10), AB69="Long-term Only", 5, AB69="No", 0, TRUE, 0)
  + _xlfn.IFS(AF69="Full",10, AF69="Partial",5, AF69="Scope 2 Only",3, TRUE,0)
  + _xlfn.IFS(AG69="Yes", IF(ISNUMBER(AH69)*AND(AH69&gt;=5),10,6), AG69="Partial",4, TRUE,0)
  + _xlfn.IFS(AI69="Yes",5, AI69="Partial (material categories only)",3, TRUE,0)
  + _xlfn.IFS(AL69="Yes — Detailed",10, AL69="Yes — High Level",5, TRUE,0)
  + _xlfn.IFS(AM69="Yes — Quantified",15, AM69="Yes — Directional Only",7, TRUE,0)
  + _xlfn.IFS(AP69="Formal",5, AP69="Referenced",2, TRUE,0)
  + _xlfn.IFS(AQ69="No Issues Found",5, AQ69="Concern Identified",-5, AQ69="Severe Contradiction",-15, TRUE,0)
  + _xlfn.IFS(BC69="Reasonable Assurance",5, BC69="Limited Assurance",3, TRUE,0)
  - IF(AND(Z69="Yes", AI69="No"), 10, 0)
  - IF(AND(Z69="Yes", AM69="No"), 10, 0)
))</f>
        <v/>
      </c>
      <c r="AS69" s="3" t="n"/>
      <c r="AT69" s="3" t="n"/>
      <c r="AU69" s="3" t="n"/>
      <c r="AV69" s="3" t="n"/>
      <c r="AW69" s="3" t="n"/>
      <c r="AX69" s="3" t="n"/>
      <c r="AY69" s="3" t="n"/>
      <c r="AZ69" s="3" t="n"/>
      <c r="BA69" s="3" t="n"/>
      <c r="BB69" s="3" t="n"/>
      <c r="BC69" s="3" t="n"/>
      <c r="BD69" s="3" t="n"/>
      <c r="BE69" s="40">
        <f t="array" ref="BE69">MIN(100, MAX(0,
  IFERROR(_xlfn.XLOOKUP(AT69,'Lookup Tables'!$D$2:$D$6,'Lookup Tables'!$E$2:$E$6,0),0)
  + IFERROR(_xlfn.XLOOKUP(AV69,'Lookup Tables'!$G$2:$G$5,'Lookup Tables'!$H$2:$H$5,0),0)
  + IFERROR(_xlfn.XLOOKUP(AW69,'Lookup Tables'!$J$2:$J$5,'Lookup Tables'!$K$2:$K$5,0),0)
  + _xlfn.IFS(AX69="No Issues",10, AX69="Complaint Filed",3, AX69="Confirmed Breach",-15, TRUE,0)
  + IFERROR(_xlfn.XLOOKUP(AY69,'Lookup Tables'!$M$2:$M$6,'Lookup Tables'!$N$2:$N$6,0),0)
  + IFERROR(_xlfn.XLOOKUP(AZ69,'Lookup Tables'!$P$2:$P$6,'Lookup Tables'!$Q$2:$Q$6,0),0)
  + _xlfn.IFS(BA69="Formal Board Committee",5, BA69="Board Oversight Mentioned",2, TRUE,0)
  + _xlfn.IFS(BB69="Yes — Quantified Targets",5, BB69="Yes — Discretionary Only",2, TRUE,0)
  + _xlfn.IFS(BC69="Reasonable Assurance",5, BC69="Limited Assurance",3, BC69="Management Review Only",1, TRUE,0)
))</f>
        <v/>
      </c>
      <c r="BF69" s="3" t="n"/>
      <c r="BG69" s="3" t="n"/>
      <c r="BH69" s="3" t="n"/>
      <c r="BI69" s="3" t="n"/>
      <c r="BJ69" s="3" t="n"/>
      <c r="BK69" s="3" t="n"/>
      <c r="BL69" s="3" t="n"/>
      <c r="BM69" s="3" t="n"/>
      <c r="BN69" s="3" t="n"/>
      <c r="BO69" s="3" t="n"/>
      <c r="BP69" s="3" t="n"/>
      <c r="BQ69" s="3" t="n"/>
      <c r="BR69" s="3" t="n"/>
      <c r="BS69" s="42">
        <f t="array" ref="BS69">MIN(100, MAX(0,
  IFERROR(_xlfn.XLOOKUP(BG69,'Lookup Tables'!$A$11:$A$16,'Lookup Tables'!$B$11:$B$16,0),0)
  + IFERROR(_xlfn.XLOOKUP(BR69,'Lookup Tables'!$M$11:$M$14,'Lookup Tables'!$N$11:$N$14,0),0)
  + IFERROR(_xlfn.XLOOKUP(BQ69,'Lookup Tables'!$J$11:$J$15,'Lookup Tables'!$K$11:$K$15,0),0)
  + IFERROR(_xlfn.XLOOKUP(BH69,'Lookup Tables'!$D$11:$D$15,'Lookup Tables'!$E$11:$E$15,0),0)
  + IFERROR(_xlfn.XLOOKUP(BJ69,'Lookup Tables'!$G$11:$G$16,'Lookup Tables'!$H$11:$H$16,0),0)
  + IFERROR(_xlfn.XLOOKUP(BN69,'Lookup Tables'!$P$11:$P$15,'Lookup Tables'!$Q$11:$Q$15,0),0)
  + _xlfn.IFS(BM69="No Evidence",10, BM69="Unknown",3, BM69="Likely",0, BM69="Confirmed",-10, TRUE,3)
  + IFERROR(_xlfn.XLOOKUP(BP69,'Lookup Tables'!$J$21:$J$24,'Lookup Tables'!$K$21:$K$24,0),0)
))</f>
        <v/>
      </c>
      <c r="BT69" s="3" t="n"/>
      <c r="BU69" s="3" t="n"/>
      <c r="BV69" s="3" t="n"/>
      <c r="BW69" s="3" t="n"/>
      <c r="BX69" s="3" t="n"/>
      <c r="BY69" s="3" t="n"/>
      <c r="BZ69" s="3" t="n"/>
      <c r="CA69" s="3" t="n"/>
      <c r="CB69" s="3" t="n"/>
      <c r="CC69" s="3" t="n"/>
      <c r="CD69" s="3" t="n"/>
      <c r="CE69" s="44">
        <f t="array" ref="CE69">MIN(100, MAX(0,
  IF(ISNUMBER(BV69)*AND(BV69&gt;0), 10, 0)
  + _xlfn.IFS(BY69="Independently Verified",25, BY69="Yes",15, TRUE,0)
  + IFERROR(_xlfn.XLOOKUP(BZ69,'Lookup Tables'!$A$21:$A$24,'Lookup Tables'!$B$21:$B$24,0),0)
  + IFERROR(_xlfn.XLOOKUP(CA69,'Lookup Tables'!$D$21:$D$24,'Lookup Tables'!$E$21:$E$24,0),0)
  + _xlfn.IFS(ISNUMBER(CB69)*AND(CB69&gt;=11),15, ISNUMBER(CB69)*AND(CB69&gt;=6),10, ISNUMBER(CB69)*AND(CB69&gt;=1),5, TRUE,0)
  + IFERROR(_xlfn.XLOOKUP(CC69,'Lookup Tables'!$G$21:$G$25,'Lookup Tables'!$H$21:$H$25,0),0)
  - IF(ISNUMBER(BW69)*AND(ISNUMBER(BV69))*AND(BW69&gt;BV69), 20, 0)
  - IF(AND(BY69="Yes", ISNUMBER(BW69), BW69&gt;60), 10, 0)
))</f>
        <v/>
      </c>
      <c r="CF69" s="3" t="n"/>
      <c r="CG69" s="3" t="n"/>
      <c r="CH69" s="3" t="n"/>
      <c r="CI69" s="3" t="n"/>
      <c r="CJ69" s="3" t="n"/>
      <c r="CK69" s="3" t="n"/>
      <c r="CL69" s="3" t="n"/>
      <c r="CM69" s="3" t="n"/>
      <c r="CN69" s="3" t="n"/>
      <c r="CO69" s="3" t="n"/>
      <c r="CP69" s="3" t="n"/>
      <c r="CQ69" s="3" t="n"/>
      <c r="CR69" s="3">
        <f>COUNTIF(CJ69:CQ69,"FAIL")</f>
        <v/>
      </c>
      <c r="CS69" s="3">
        <f>COUNTIF(CJ69:CQ69,"PARTIAL")</f>
        <v/>
      </c>
      <c r="CT69" s="3">
        <f>COUNTIF(CJ69:CQ69,"MISSING")</f>
        <v/>
      </c>
      <c r="CU69" s="3">
        <f>MIN(100,
  CR69*15
  + CS69*6
  + CT69*3
  + IFERROR(_xlfn.XLOOKUP(CW69,'Lookup Tables'!$M$21:$M$25,'Lookup Tables'!$N$21:$N$25,0),0)
)</f>
        <v/>
      </c>
      <c r="CV69" s="3">
        <f>IFERROR(
CHOOSE(
MATCH("FAIL",CJ69:CQ69,0),
"1-Specificity","2-Metric","3-Baseline","4-Target",
"5-Time Horizon","6-Scope","7-Verification","8-Consistency"
),
IFERROR(
CHOOSE(
MATCH("PARTIAL",CJ69:CQ69,0),
"1-Specificity","2-Metric","3-Baseline","4-Target",
"5-Time Horizon","6-Scope","7-Verification","8-Consistency"
),
"No failures"
)
)</f>
        <v/>
      </c>
      <c r="CW69" s="3" t="n"/>
      <c r="CX69" s="3" t="n"/>
      <c r="CY69" s="3" t="n"/>
      <c r="CZ69" s="3" t="n"/>
      <c r="DA69" s="3">
        <f>IF(OR(CU69&gt;=50,CW69="Material",CW69="Severe",AS69="Material",AS69="Severe",BF69="Material",BF69="Severe — Exclusion Trigger",AND(ISNUMBER(BS69),BS69&lt;30)),"Yes","No")</f>
        <v/>
      </c>
      <c r="DB69" s="3">
        <f>IF(OR(CR69&gt;=6,AW69="Confirmed Violation",AX69="Confirmed Breach"),"Yes — Automatic",IF(CW69="Severe","Yes — Requires Captain Confirmation","No"))</f>
        <v/>
      </c>
      <c r="DC69" s="3" t="n"/>
      <c r="DD69" s="3" t="n"/>
      <c r="DE69" s="3" t="n"/>
      <c r="DF69" s="3" t="n"/>
      <c r="DG69" s="3" t="n"/>
      <c r="DH69" s="3" t="n"/>
      <c r="DI69" s="3" t="n"/>
      <c r="DJ69" s="3" t="n"/>
      <c r="DK69" s="3" t="n"/>
      <c r="DL69" s="3">
        <f>IF(OR(IFERROR(VALUE(LEFT(DF69,1)),99)&lt;=2,IFERROR(VALUE(LEFT(DG69,1)),99)&lt;=2),"Flagged","Clear")</f>
        <v/>
      </c>
      <c r="DM69" s="3">
        <f>IF(OR(DA69="Yes",DB69&lt;&gt;"No",DH69="Unverified",DL69="Flagged"),"Yes","No")</f>
        <v/>
      </c>
      <c r="DN69" s="3">
        <f t="array" ref="DN69">MIN(100,
  IF(ISNUMBER(V69), _xlfn.IFS(V69&gt;=3,25, V69=2,15, V69=1,5, TRUE,0), 0)
  + IFERROR(_xlfn.IFS(VALUE(LEFT(DF69,1))=5,25, VALUE(LEFT(DF69,1))=4,20, VALUE(LEFT(DF69,1))=3,15, VALUE(LEFT(DF69,1))=2,8, TRUE,0), 15)
  + IFERROR(_xlfn.IFS(VALUE(LEFT(DG69,1))=5,25, VALUE(LEFT(DG69,1))=4,20, VALUE(LEFT(DG69,1))=3,15, VALUE(LEFT(DG69,1))=2,8, TRUE,0), 15)
  + _xlfn.IFS(DH69="Fully Verified",25, DH69="Partially Verified",12, TRUE,0)
)</f>
        <v/>
      </c>
      <c r="DO69" s="3">
        <f t="array" ref="DO69">_xlfn.IFS(
  ISBLANK(AR69), "Insufficient Evidence",
  AND(AR69&gt;=65, AJ69="Approved"), "Strong",
  AR69&gt;=65, "Adequate",
  AR69&gt;=40, "Adequate",
  AR69&gt;=20, "Weak",
  TRUE, "Insufficient Evidence"
)</f>
        <v/>
      </c>
      <c r="DP69" s="3">
        <f t="array" ref="DP69">_xlfn.IFS(
  ISBLANK(BS69), "Insufficient Evidence",
  BS69&gt;=65, "Strong",
  BS69&gt;=40, "Adequate",
  BS69&gt;=20, "Weak",
  TRUE, "Insufficient Evidence"
)</f>
        <v/>
      </c>
      <c r="DQ69" s="3">
        <f t="array" ref="DQ69">_xlfn.IFS(
  ISBLANK(BE69), "Insufficient Evidence",
  OR(AW69="Confirmed Violation", AX69="Confirmed Breach"), "Severe — Hard Trigger",
  BE69&gt;=65, "Strong",
  BE69&gt;=40, "Adequate",
  BE69&gt;=20, "Weak",
  TRUE, "Insufficient Evidence"
)</f>
        <v/>
      </c>
      <c r="DR69" s="3">
        <f t="array" ref="DR69">_xlfn.IFS(
  ISBLANK(CU69), "Insufficient Evidence",
  CU69&lt;=20, "Low Risk",
  CU69&lt;=50, "Moderate Risk",
  CU69&lt;=75, "High Risk",
  TRUE, "Very High Risk"
)</f>
        <v/>
      </c>
      <c r="DS69" s="3">
        <f t="array" ref="DS69">_xlfn.IFS(
  ISBLANK(CE69), "Insufficient Evidence",
  AND(ISNUMBER(BW69),ISNUMBER(BV69),BW69&gt;BV69), "Overclaiming Risk",
  CE69&gt;=65, "Strong",
  CE69&gt;=40, "Adequate",
  TRUE, "Weak"
)</f>
        <v/>
      </c>
      <c r="DT69" s="3">
        <f>IF(DB69="Yes — Automatic",0,ROUND((IF(ISNUMBER(AR69),AR69,0)*0.3+IF(ISNUMBER(BS69),BS69,0)*0.2+IF(ISNUMBER(BE69),BE69,0)*0.2+IF(ISNUMBER(CE69),CE69,0)*0.15+(100-IF(ISNUMBER(CU69),CU69,50))*0.15)*IF(DN69&gt;=75,1,IF(DN69&gt;=50,0.9,IF(DN69&gt;=25,0.75,0.6))),1))</f>
        <v/>
      </c>
      <c r="DU69" s="3">
        <f t="array" ref="DU69">_xlfn.IFS(
  DV69="Upgraded to Clear", "Clear",
  DV69="Downgraded to Watchlist", "Watchlist",
  DV69="Downgraded to Exclusion", "Exclusion Risk",
  DB69="Yes — Automatic", "Exclusion Risk",
  OR(AW69="Confirmed Violation", AX69="Confirmed Breach"), "Exclusion Risk",
  OR(V69=0, ISBLANK(V69), DN69&lt;20), "Insufficient Evidence",
  AND(DT69&gt;=65, DA69="No", DB69="No"), "Clear",
  OR(DT69&gt;=40, DA69="Yes"), "Watchlist",
  TRUE, "Exclusion Risk"
)</f>
        <v/>
      </c>
      <c r="DV69" s="3" t="n"/>
      <c r="DW69" s="3">
        <f t="array" ref="DW69">_xlfn.IFS(
  DU69="Exclusion Risk", "Exclude — Hard Trigger",
  DU69="Insufficient Evidence", "Watchlist — Further Evidence Needed",
  DU69="Watchlist", "Watchlist — Further Evidence Needed",
  AND(DU69="Clear", DT69&gt;=80), "Include — No Conditions",
  DU69="Clear", "Include — Monitor",
  TRUE, "Watchlist — Further Evidence Needed"
)</f>
        <v/>
      </c>
      <c r="DX69" s="3" t="n"/>
      <c r="DY69" s="3" t="n"/>
      <c r="DZ69" s="3" t="n"/>
      <c r="EA69" s="3" t="n"/>
      <c r="EB69" s="3">
        <f>IF(OR(V69=0, ISBLANK(V69)), "MISSING — No sources reviewed", "")</f>
        <v/>
      </c>
      <c r="EC69" s="3">
        <f>IF(AND(NOT(ISBLANK(DC69)), ISBLANK(DE69)), "PAGE REF MISSING", "")</f>
        <v/>
      </c>
    </row>
    <row r="70" ht="18" customHeight="1" s="60">
      <c r="A70" s="5" t="inlineStr">
        <is>
          <t>Sparebanken More</t>
        </is>
      </c>
      <c r="B70" s="5" t="inlineStr">
        <is>
          <t>K5X</t>
        </is>
      </c>
      <c r="C70" s="5">
        <f>IF(ISBLANK('Universe Tracker'!D66),"",'Universe Tracker'!D66)</f>
        <v/>
      </c>
      <c r="D70" s="5" t="n"/>
      <c r="E70" s="5" t="n"/>
      <c r="F70" s="5">
        <f>IF(ISBLANK('Universe Tracker'!F66),"",'Universe Tracker'!F66)</f>
        <v/>
      </c>
      <c r="G70" s="5">
        <f>IF(ISBLANK('Universe Tracker'!G66),"",'Universe Tracker'!G66)</f>
        <v/>
      </c>
      <c r="H70" s="5" t="n"/>
      <c r="I70" s="5" t="n"/>
      <c r="J70" s="5">
        <f>IF(ISBLANK(B70),"",B70&amp;"_"&amp;C70)</f>
        <v/>
      </c>
      <c r="K70" s="5" t="n"/>
      <c r="L70" s="5" t="n"/>
      <c r="M70" s="5" t="n"/>
      <c r="N70" s="5" t="n"/>
      <c r="O70" s="5" t="n"/>
      <c r="P70" s="5" t="n"/>
      <c r="Q70" s="5" t="n"/>
      <c r="R70" s="5" t="n"/>
      <c r="S70" s="5" t="n"/>
      <c r="T70" s="5" t="n"/>
      <c r="U70" s="5" t="n"/>
      <c r="V70" s="5" t="n"/>
      <c r="W70" s="5" t="n"/>
      <c r="X70" s="5" t="n"/>
      <c r="Y70" s="5">
        <f>IF(AND(V70&gt;=2,K70="Yes",L70="Yes"),"Sufficient",IF(AND(V70&gt;=1,OR(K70="Yes",L70="Yes")),"Thin","Insufficient"))</f>
        <v/>
      </c>
      <c r="Z70" s="5" t="n"/>
      <c r="AA70" s="5" t="n"/>
      <c r="AB70" s="5" t="n"/>
      <c r="AC70" s="5" t="n"/>
      <c r="AD70" s="5" t="n"/>
      <c r="AE70" s="5" t="n"/>
      <c r="AF70" s="5" t="n"/>
      <c r="AG70" s="5" t="n"/>
      <c r="AH70" s="5" t="n"/>
      <c r="AI70" s="5" t="n"/>
      <c r="AJ70" s="5" t="n"/>
      <c r="AK70" s="5" t="n"/>
      <c r="AL70" s="5" t="n"/>
      <c r="AM70" s="5" t="n"/>
      <c r="AN70" s="5" t="n"/>
      <c r="AO70" s="5" t="n"/>
      <c r="AP70" s="5" t="n"/>
      <c r="AQ70" s="5" t="n"/>
      <c r="AR70" s="40">
        <f t="array" ref="AR70">MIN(100, MAX(0,
  IFERROR(_xlfn.XLOOKUP(AJ70,'Lookup Tables'!$A$2:$A$7,'Lookup Tables'!$B$2:$B$7,0),0)
  + IF(Z70="Yes", IF(IFERROR(_xlfn.XLOOKUP(AJ70,'Lookup Tables'!$A$2:$A$7,'Lookup Tables'!$B$2:$B$7,0),0)&lt;20, 5, 0), 0)
  + _xlfn.IFS(AB70="Yes", IF(ISNUMBER(AC70)*AND(AC70&lt;=2030),15,10), AB70="Long-term Only", 5, AB70="No", 0, TRUE, 0)
  + _xlfn.IFS(AF70="Full",10, AF70="Partial",5, AF70="Scope 2 Only",3, TRUE,0)
  + _xlfn.IFS(AG70="Yes", IF(ISNUMBER(AH70)*AND(AH70&gt;=5),10,6), AG70="Partial",4, TRUE,0)
  + _xlfn.IFS(AI70="Yes",5, AI70="Partial (material categories only)",3, TRUE,0)
  + _xlfn.IFS(AL70="Yes — Detailed",10, AL70="Yes — High Level",5, TRUE,0)
  + _xlfn.IFS(AM70="Yes — Quantified",15, AM70="Yes — Directional Only",7, TRUE,0)
  + _xlfn.IFS(AP70="Formal",5, AP70="Referenced",2, TRUE,0)
  + _xlfn.IFS(AQ70="No Issues Found",5, AQ70="Concern Identified",-5, AQ70="Severe Contradiction",-15, TRUE,0)
  + _xlfn.IFS(BC70="Reasonable Assurance",5, BC70="Limited Assurance",3, TRUE,0)
  - IF(AND(Z70="Yes", AI70="No"), 10, 0)
  - IF(AND(Z70="Yes", AM70="No"), 10, 0)
))</f>
        <v/>
      </c>
      <c r="AS70" s="5" t="n"/>
      <c r="AT70" s="5" t="n"/>
      <c r="AU70" s="5" t="n"/>
      <c r="AV70" s="5" t="n"/>
      <c r="AW70" s="5" t="n"/>
      <c r="AX70" s="5" t="n"/>
      <c r="AY70" s="5" t="n"/>
      <c r="AZ70" s="5" t="n"/>
      <c r="BA70" s="5" t="n"/>
      <c r="BB70" s="5" t="n"/>
      <c r="BC70" s="5" t="n"/>
      <c r="BD70" s="5" t="n"/>
      <c r="BE70" s="39">
        <f t="array" ref="BE70">MIN(100, MAX(0,
  IFERROR(_xlfn.XLOOKUP(AT70,'Lookup Tables'!$D$2:$D$6,'Lookup Tables'!$E$2:$E$6,0),0)
  + IFERROR(_xlfn.XLOOKUP(AV70,'Lookup Tables'!$G$2:$G$5,'Lookup Tables'!$H$2:$H$5,0),0)
  + IFERROR(_xlfn.XLOOKUP(AW70,'Lookup Tables'!$J$2:$J$5,'Lookup Tables'!$K$2:$K$5,0),0)
  + _xlfn.IFS(AX70="No Issues",10, AX70="Complaint Filed",3, AX70="Confirmed Breach",-15, TRUE,0)
  + IFERROR(_xlfn.XLOOKUP(AY70,'Lookup Tables'!$M$2:$M$6,'Lookup Tables'!$N$2:$N$6,0),0)
  + IFERROR(_xlfn.XLOOKUP(AZ70,'Lookup Tables'!$P$2:$P$6,'Lookup Tables'!$Q$2:$Q$6,0),0)
  + _xlfn.IFS(BA70="Formal Board Committee",5, BA70="Board Oversight Mentioned",2, TRUE,0)
  + _xlfn.IFS(BB70="Yes — Quantified Targets",5, BB70="Yes — Discretionary Only",2, TRUE,0)
  + _xlfn.IFS(BC70="Reasonable Assurance",5, BC70="Limited Assurance",3, BC70="Management Review Only",1, TRUE,0)
))</f>
        <v/>
      </c>
      <c r="BF70" s="5" t="n"/>
      <c r="BG70" s="5" t="n"/>
      <c r="BH70" s="5" t="n"/>
      <c r="BI70" s="5" t="n"/>
      <c r="BJ70" s="5" t="n"/>
      <c r="BK70" s="5" t="n"/>
      <c r="BL70" s="5" t="n"/>
      <c r="BM70" s="5" t="n"/>
      <c r="BN70" s="5" t="n"/>
      <c r="BO70" s="5" t="n"/>
      <c r="BP70" s="5" t="n"/>
      <c r="BQ70" s="5" t="n"/>
      <c r="BR70" s="5" t="n"/>
      <c r="BS70" s="41">
        <f t="array" ref="BS70">MIN(100, MAX(0,
  IFERROR(_xlfn.XLOOKUP(BG70,'Lookup Tables'!$A$11:$A$16,'Lookup Tables'!$B$11:$B$16,0),0)
  + IFERROR(_xlfn.XLOOKUP(BR70,'Lookup Tables'!$M$11:$M$14,'Lookup Tables'!$N$11:$N$14,0),0)
  + IFERROR(_xlfn.XLOOKUP(BQ70,'Lookup Tables'!$J$11:$J$15,'Lookup Tables'!$K$11:$K$15,0),0)
  + IFERROR(_xlfn.XLOOKUP(BH70,'Lookup Tables'!$D$11:$D$15,'Lookup Tables'!$E$11:$E$15,0),0)
  + IFERROR(_xlfn.XLOOKUP(BJ70,'Lookup Tables'!$G$11:$G$16,'Lookup Tables'!$H$11:$H$16,0),0)
  + IFERROR(_xlfn.XLOOKUP(BN70,'Lookup Tables'!$P$11:$P$15,'Lookup Tables'!$Q$11:$Q$15,0),0)
  + _xlfn.IFS(BM70="No Evidence",10, BM70="Unknown",3, BM70="Likely",0, BM70="Confirmed",-10, TRUE,3)
  + IFERROR(_xlfn.XLOOKUP(BP70,'Lookup Tables'!$J$21:$J$24,'Lookup Tables'!$K$21:$K$24,0),0)
))</f>
        <v/>
      </c>
      <c r="BT70" s="5" t="n"/>
      <c r="BU70" s="5" t="n"/>
      <c r="BV70" s="5" t="n"/>
      <c r="BW70" s="5" t="n"/>
      <c r="BX70" s="5" t="n"/>
      <c r="BY70" s="5" t="n"/>
      <c r="BZ70" s="5" t="n"/>
      <c r="CA70" s="5" t="n"/>
      <c r="CB70" s="5" t="n"/>
      <c r="CC70" s="5" t="n"/>
      <c r="CD70" s="5" t="n"/>
      <c r="CE70" s="43">
        <f t="array" ref="CE70">MIN(100, MAX(0,
  IF(ISNUMBER(BV70)*AND(BV70&gt;0), 10, 0)
  + _xlfn.IFS(BY70="Independently Verified",25, BY70="Yes",15, TRUE,0)
  + IFERROR(_xlfn.XLOOKUP(BZ70,'Lookup Tables'!$A$21:$A$24,'Lookup Tables'!$B$21:$B$24,0),0)
  + IFERROR(_xlfn.XLOOKUP(CA70,'Lookup Tables'!$D$21:$D$24,'Lookup Tables'!$E$21:$E$24,0),0)
  + _xlfn.IFS(ISNUMBER(CB70)*AND(CB70&gt;=11),15, ISNUMBER(CB70)*AND(CB70&gt;=6),10, ISNUMBER(CB70)*AND(CB70&gt;=1),5, TRUE,0)
  + IFERROR(_xlfn.XLOOKUP(CC70,'Lookup Tables'!$G$21:$G$25,'Lookup Tables'!$H$21:$H$25,0),0)
  - IF(ISNUMBER(BW70)*AND(ISNUMBER(BV70))*AND(BW70&gt;BV70), 20, 0)
  - IF(AND(BY70="Yes", ISNUMBER(BW70), BW70&gt;60), 10, 0)
))</f>
        <v/>
      </c>
      <c r="CF70" s="5" t="n"/>
      <c r="CG70" s="5" t="n"/>
      <c r="CH70" s="5" t="n"/>
      <c r="CI70" s="5" t="n"/>
      <c r="CJ70" s="5" t="n"/>
      <c r="CK70" s="5" t="n"/>
      <c r="CL70" s="5" t="n"/>
      <c r="CM70" s="5" t="n"/>
      <c r="CN70" s="5" t="n"/>
      <c r="CO70" s="5" t="n"/>
      <c r="CP70" s="5" t="n"/>
      <c r="CQ70" s="5" t="n"/>
      <c r="CR70" s="5">
        <f>COUNTIF(CJ70:CQ70,"FAIL")</f>
        <v/>
      </c>
      <c r="CS70" s="5">
        <f>COUNTIF(CJ70:CQ70,"PARTIAL")</f>
        <v/>
      </c>
      <c r="CT70" s="5">
        <f>COUNTIF(CJ70:CQ70,"MISSING")</f>
        <v/>
      </c>
      <c r="CU70" s="5">
        <f>MIN(100,
  CR70*15
  + CS70*6
  + CT70*3
  + IFERROR(_xlfn.XLOOKUP(CW70,'Lookup Tables'!$M$21:$M$25,'Lookup Tables'!$N$21:$N$25,0),0)
)</f>
        <v/>
      </c>
      <c r="CV70" s="5">
        <f>IFERROR(
CHOOSE(
MATCH("FAIL",CJ70:CQ70,0),
"1-Specificity","2-Metric","3-Baseline","4-Target",
"5-Time Horizon","6-Scope","7-Verification","8-Consistency"
),
IFERROR(
CHOOSE(
MATCH("PARTIAL",CJ70:CQ70,0),
"1-Specificity","2-Metric","3-Baseline","4-Target",
"5-Time Horizon","6-Scope","7-Verification","8-Consistency"
),
"No failures"
)
)</f>
        <v/>
      </c>
      <c r="CW70" s="5" t="n"/>
      <c r="CX70" s="5" t="n"/>
      <c r="CY70" s="5" t="n"/>
      <c r="CZ70" s="5" t="n"/>
      <c r="DA70" s="5">
        <f>IF(OR(CU70&gt;=50,CW70="Material",CW70="Severe",AS70="Material",AS70="Severe",BF70="Material",BF70="Severe — Exclusion Trigger",AND(ISNUMBER(BS70),BS70&lt;30)),"Yes","No")</f>
        <v/>
      </c>
      <c r="DB70" s="5">
        <f>IF(OR(CR70&gt;=6,AW70="Confirmed Violation",AX70="Confirmed Breach"),"Yes — Automatic",IF(CW70="Severe","Yes — Requires Captain Confirmation","No"))</f>
        <v/>
      </c>
      <c r="DC70" s="5" t="n"/>
      <c r="DD70" s="5" t="n"/>
      <c r="DE70" s="5" t="n"/>
      <c r="DF70" s="5" t="n"/>
      <c r="DG70" s="5" t="n"/>
      <c r="DH70" s="5" t="n"/>
      <c r="DI70" s="5" t="n"/>
      <c r="DJ70" s="5" t="n"/>
      <c r="DK70" s="5" t="n"/>
      <c r="DL70" s="5">
        <f>IF(OR(IFERROR(VALUE(LEFT(DF70,1)),99)&lt;=2,IFERROR(VALUE(LEFT(DG70,1)),99)&lt;=2),"Flagged","Clear")</f>
        <v/>
      </c>
      <c r="DM70" s="5">
        <f>IF(OR(DA70="Yes",DB70&lt;&gt;"No",DH70="Unverified",DL70="Flagged"),"Yes","No")</f>
        <v/>
      </c>
      <c r="DN70" s="5">
        <f t="array" ref="DN70">MIN(100,
  IF(ISNUMBER(V70), _xlfn.IFS(V70&gt;=3,25, V70=2,15, V70=1,5, TRUE,0), 0)
  + IFERROR(_xlfn.IFS(VALUE(LEFT(DF70,1))=5,25, VALUE(LEFT(DF70,1))=4,20, VALUE(LEFT(DF70,1))=3,15, VALUE(LEFT(DF70,1))=2,8, TRUE,0), 15)
  + IFERROR(_xlfn.IFS(VALUE(LEFT(DG70,1))=5,25, VALUE(LEFT(DG70,1))=4,20, VALUE(LEFT(DG70,1))=3,15, VALUE(LEFT(DG70,1))=2,8, TRUE,0), 15)
  + _xlfn.IFS(DH70="Fully Verified",25, DH70="Partially Verified",12, TRUE,0)
)</f>
        <v/>
      </c>
      <c r="DO70" s="5">
        <f t="array" ref="DO70">_xlfn.IFS(
  ISBLANK(AR70), "Insufficient Evidence",
  AND(AR70&gt;=65, AJ70="Approved"), "Strong",
  AR70&gt;=65, "Adequate",
  AR70&gt;=40, "Adequate",
  AR70&gt;=20, "Weak",
  TRUE, "Insufficient Evidence"
)</f>
        <v/>
      </c>
      <c r="DP70" s="5">
        <f t="array" ref="DP70">_xlfn.IFS(
  ISBLANK(BS70), "Insufficient Evidence",
  BS70&gt;=65, "Strong",
  BS70&gt;=40, "Adequate",
  BS70&gt;=20, "Weak",
  TRUE, "Insufficient Evidence"
)</f>
        <v/>
      </c>
      <c r="DQ70" s="5">
        <f t="array" ref="DQ70">_xlfn.IFS(
  ISBLANK(BE70), "Insufficient Evidence",
  OR(AW70="Confirmed Violation", AX70="Confirmed Breach"), "Severe — Hard Trigger",
  BE70&gt;=65, "Strong",
  BE70&gt;=40, "Adequate",
  BE70&gt;=20, "Weak",
  TRUE, "Insufficient Evidence"
)</f>
        <v/>
      </c>
      <c r="DR70" s="5">
        <f t="array" ref="DR70">_xlfn.IFS(
  ISBLANK(CU70), "Insufficient Evidence",
  CU70&lt;=20, "Low Risk",
  CU70&lt;=50, "Moderate Risk",
  CU70&lt;=75, "High Risk",
  TRUE, "Very High Risk"
)</f>
        <v/>
      </c>
      <c r="DS70" s="5">
        <f t="array" ref="DS70">_xlfn.IFS(
  ISBLANK(CE70), "Insufficient Evidence",
  AND(ISNUMBER(BW70),ISNUMBER(BV70),BW70&gt;BV70), "Overclaiming Risk",
  CE70&gt;=65, "Strong",
  CE70&gt;=40, "Adequate",
  TRUE, "Weak"
)</f>
        <v/>
      </c>
      <c r="DT70" s="5">
        <f>IF(DB70="Yes — Automatic",0,ROUND((IF(ISNUMBER(AR70),AR70,0)*0.3+IF(ISNUMBER(BS70),BS70,0)*0.2+IF(ISNUMBER(BE70),BE70,0)*0.2+IF(ISNUMBER(CE70),CE70,0)*0.15+(100-IF(ISNUMBER(CU70),CU70,50))*0.15)*IF(DN70&gt;=75,1,IF(DN70&gt;=50,0.9,IF(DN70&gt;=25,0.75,0.6))),1))</f>
        <v/>
      </c>
      <c r="DU70" s="5">
        <f t="array" ref="DU70">_xlfn.IFS(
  DV70="Upgraded to Clear", "Clear",
  DV70="Downgraded to Watchlist", "Watchlist",
  DV70="Downgraded to Exclusion", "Exclusion Risk",
  DB70="Yes — Automatic", "Exclusion Risk",
  OR(AW70="Confirmed Violation", AX70="Confirmed Breach"), "Exclusion Risk",
  OR(V70=0, ISBLANK(V70), DN70&lt;20), "Insufficient Evidence",
  AND(DT70&gt;=65, DA70="No", DB70="No"), "Clear",
  OR(DT70&gt;=40, DA70="Yes"), "Watchlist",
  TRUE, "Exclusion Risk"
)</f>
        <v/>
      </c>
      <c r="DV70" s="5" t="n"/>
      <c r="DW70" s="5">
        <f t="array" ref="DW70">_xlfn.IFS(
  DU70="Exclusion Risk", "Exclude — Hard Trigger",
  DU70="Insufficient Evidence", "Watchlist — Further Evidence Needed",
  DU70="Watchlist", "Watchlist — Further Evidence Needed",
  AND(DU70="Clear", DT70&gt;=80), "Include — No Conditions",
  DU70="Clear", "Include — Monitor",
  TRUE, "Watchlist — Further Evidence Needed"
)</f>
        <v/>
      </c>
      <c r="DX70" s="5" t="n"/>
      <c r="DY70" s="5" t="n"/>
      <c r="DZ70" s="5" t="n"/>
      <c r="EA70" s="5" t="n"/>
      <c r="EB70" s="5">
        <f>IF(OR(V70=0, ISBLANK(V70)), "MISSING — No sources reviewed", "")</f>
        <v/>
      </c>
      <c r="EC70" s="5">
        <f>IF(AND(NOT(ISBLANK(DC70)), ISBLANK(DE70)), "PAGE REF MISSING", "")</f>
        <v/>
      </c>
    </row>
    <row r="71" ht="18" customHeight="1" s="60">
      <c r="A71" s="3" t="inlineStr">
        <is>
          <t>Elia Group SA/NV</t>
        </is>
      </c>
      <c r="B71" s="3" t="inlineStr">
        <is>
          <t>E4S</t>
        </is>
      </c>
      <c r="C71" s="3">
        <f>IF(ISBLANK('Universe Tracker'!D67),"",'Universe Tracker'!D67)</f>
        <v/>
      </c>
      <c r="D71" s="3" t="n"/>
      <c r="E71" s="3" t="n"/>
      <c r="F71" s="3">
        <f>IF(ISBLANK('Universe Tracker'!F67),"",'Universe Tracker'!F67)</f>
        <v/>
      </c>
      <c r="G71" s="3">
        <f>IF(ISBLANK('Universe Tracker'!G67),"",'Universe Tracker'!G67)</f>
        <v/>
      </c>
      <c r="H71" s="3" t="n"/>
      <c r="I71" s="3" t="n"/>
      <c r="J71" s="3">
        <f>IF(ISBLANK(B71),"",B71&amp;"_"&amp;C71)</f>
        <v/>
      </c>
      <c r="K71" s="3" t="n"/>
      <c r="L71" s="3" t="n"/>
      <c r="M71" s="3" t="n"/>
      <c r="N71" s="3" t="n"/>
      <c r="O71" s="3" t="n"/>
      <c r="P71" s="3" t="n"/>
      <c r="Q71" s="3" t="n"/>
      <c r="R71" s="3" t="n"/>
      <c r="S71" s="3" t="n"/>
      <c r="T71" s="3" t="n"/>
      <c r="U71" s="3" t="n"/>
      <c r="V71" s="3" t="n"/>
      <c r="W71" s="3" t="n"/>
      <c r="X71" s="3" t="n"/>
      <c r="Y71" s="3">
        <f>IF(AND(V71&gt;=2,K71="Yes",L71="Yes"),"Sufficient",IF(AND(V71&gt;=1,OR(K71="Yes",L71="Yes")),"Thin","Insufficient"))</f>
        <v/>
      </c>
      <c r="Z71" s="3" t="n"/>
      <c r="AA71" s="3" t="n"/>
      <c r="AB71" s="3" t="n"/>
      <c r="AC71" s="3" t="n"/>
      <c r="AD71" s="3" t="n"/>
      <c r="AE71" s="3" t="n"/>
      <c r="AF71" s="3" t="n"/>
      <c r="AG71" s="3" t="n"/>
      <c r="AH71" s="3" t="n"/>
      <c r="AI71" s="3" t="n"/>
      <c r="AJ71" s="3" t="n"/>
      <c r="AK71" s="3" t="n"/>
      <c r="AL71" s="3" t="n"/>
      <c r="AM71" s="3" t="n"/>
      <c r="AN71" s="3" t="n"/>
      <c r="AO71" s="3" t="n"/>
      <c r="AP71" s="3" t="n"/>
      <c r="AQ71" s="3" t="n"/>
      <c r="AR71" s="40">
        <f t="array" ref="AR71">MIN(100, MAX(0,
  IFERROR(_xlfn.XLOOKUP(AJ71,'Lookup Tables'!$A$2:$A$7,'Lookup Tables'!$B$2:$B$7,0),0)
  + IF(Z71="Yes", IF(IFERROR(_xlfn.XLOOKUP(AJ71,'Lookup Tables'!$A$2:$A$7,'Lookup Tables'!$B$2:$B$7,0),0)&lt;20, 5, 0), 0)
  + _xlfn.IFS(AB71="Yes", IF(ISNUMBER(AC71)*AND(AC71&lt;=2030),15,10), AB71="Long-term Only", 5, AB71="No", 0, TRUE, 0)
  + _xlfn.IFS(AF71="Full",10, AF71="Partial",5, AF71="Scope 2 Only",3, TRUE,0)
  + _xlfn.IFS(AG71="Yes", IF(ISNUMBER(AH71)*AND(AH71&gt;=5),10,6), AG71="Partial",4, TRUE,0)
  + _xlfn.IFS(AI71="Yes",5, AI71="Partial (material categories only)",3, TRUE,0)
  + _xlfn.IFS(AL71="Yes — Detailed",10, AL71="Yes — High Level",5, TRUE,0)
  + _xlfn.IFS(AM71="Yes — Quantified",15, AM71="Yes — Directional Only",7, TRUE,0)
  + _xlfn.IFS(AP71="Formal",5, AP71="Referenced",2, TRUE,0)
  + _xlfn.IFS(AQ71="No Issues Found",5, AQ71="Concern Identified",-5, AQ71="Severe Contradiction",-15, TRUE,0)
  + _xlfn.IFS(BC71="Reasonable Assurance",5, BC71="Limited Assurance",3, TRUE,0)
  - IF(AND(Z71="Yes", AI71="No"), 10, 0)
  - IF(AND(Z71="Yes", AM71="No"), 10, 0)
))</f>
        <v/>
      </c>
      <c r="AS71" s="3" t="n"/>
      <c r="AT71" s="3" t="n"/>
      <c r="AU71" s="3" t="n"/>
      <c r="AV71" s="3" t="n"/>
      <c r="AW71" s="3" t="n"/>
      <c r="AX71" s="3" t="n"/>
      <c r="AY71" s="3" t="n"/>
      <c r="AZ71" s="3" t="n"/>
      <c r="BA71" s="3" t="n"/>
      <c r="BB71" s="3" t="n"/>
      <c r="BC71" s="3" t="n"/>
      <c r="BD71" s="3" t="n"/>
      <c r="BE71" s="40">
        <f t="array" ref="BE71">MIN(100, MAX(0,
  IFERROR(_xlfn.XLOOKUP(AT71,'Lookup Tables'!$D$2:$D$6,'Lookup Tables'!$E$2:$E$6,0),0)
  + IFERROR(_xlfn.XLOOKUP(AV71,'Lookup Tables'!$G$2:$G$5,'Lookup Tables'!$H$2:$H$5,0),0)
  + IFERROR(_xlfn.XLOOKUP(AW71,'Lookup Tables'!$J$2:$J$5,'Lookup Tables'!$K$2:$K$5,0),0)
  + _xlfn.IFS(AX71="No Issues",10, AX71="Complaint Filed",3, AX71="Confirmed Breach",-15, TRUE,0)
  + IFERROR(_xlfn.XLOOKUP(AY71,'Lookup Tables'!$M$2:$M$6,'Lookup Tables'!$N$2:$N$6,0),0)
  + IFERROR(_xlfn.XLOOKUP(AZ71,'Lookup Tables'!$P$2:$P$6,'Lookup Tables'!$Q$2:$Q$6,0),0)
  + _xlfn.IFS(BA71="Formal Board Committee",5, BA71="Board Oversight Mentioned",2, TRUE,0)
  + _xlfn.IFS(BB71="Yes — Quantified Targets",5, BB71="Yes — Discretionary Only",2, TRUE,0)
  + _xlfn.IFS(BC71="Reasonable Assurance",5, BC71="Limited Assurance",3, BC71="Management Review Only",1, TRUE,0)
))</f>
        <v/>
      </c>
      <c r="BF71" s="3" t="n"/>
      <c r="BG71" s="3" t="n"/>
      <c r="BH71" s="3" t="n"/>
      <c r="BI71" s="3" t="n"/>
      <c r="BJ71" s="3" t="n"/>
      <c r="BK71" s="3" t="n"/>
      <c r="BL71" s="3" t="n"/>
      <c r="BM71" s="3" t="n"/>
      <c r="BN71" s="3" t="n"/>
      <c r="BO71" s="3" t="n"/>
      <c r="BP71" s="3" t="n"/>
      <c r="BQ71" s="3" t="n"/>
      <c r="BR71" s="3" t="n"/>
      <c r="BS71" s="42">
        <f t="array" ref="BS71">MIN(100, MAX(0,
  IFERROR(_xlfn.XLOOKUP(BG71,'Lookup Tables'!$A$11:$A$16,'Lookup Tables'!$B$11:$B$16,0),0)
  + IFERROR(_xlfn.XLOOKUP(BR71,'Lookup Tables'!$M$11:$M$14,'Lookup Tables'!$N$11:$N$14,0),0)
  + IFERROR(_xlfn.XLOOKUP(BQ71,'Lookup Tables'!$J$11:$J$15,'Lookup Tables'!$K$11:$K$15,0),0)
  + IFERROR(_xlfn.XLOOKUP(BH71,'Lookup Tables'!$D$11:$D$15,'Lookup Tables'!$E$11:$E$15,0),0)
  + IFERROR(_xlfn.XLOOKUP(BJ71,'Lookup Tables'!$G$11:$G$16,'Lookup Tables'!$H$11:$H$16,0),0)
  + IFERROR(_xlfn.XLOOKUP(BN71,'Lookup Tables'!$P$11:$P$15,'Lookup Tables'!$Q$11:$Q$15,0),0)
  + _xlfn.IFS(BM71="No Evidence",10, BM71="Unknown",3, BM71="Likely",0, BM71="Confirmed",-10, TRUE,3)
  + IFERROR(_xlfn.XLOOKUP(BP71,'Lookup Tables'!$J$21:$J$24,'Lookup Tables'!$K$21:$K$24,0),0)
))</f>
        <v/>
      </c>
      <c r="BT71" s="3" t="n"/>
      <c r="BU71" s="3" t="n"/>
      <c r="BV71" s="3" t="n"/>
      <c r="BW71" s="3" t="n"/>
      <c r="BX71" s="3" t="n"/>
      <c r="BY71" s="3" t="n"/>
      <c r="BZ71" s="3" t="n"/>
      <c r="CA71" s="3" t="n"/>
      <c r="CB71" s="3" t="n"/>
      <c r="CC71" s="3" t="n"/>
      <c r="CD71" s="3" t="n"/>
      <c r="CE71" s="44">
        <f t="array" ref="CE71">MIN(100, MAX(0,
  IF(ISNUMBER(BV71)*AND(BV71&gt;0), 10, 0)
  + _xlfn.IFS(BY71="Independently Verified",25, BY71="Yes",15, TRUE,0)
  + IFERROR(_xlfn.XLOOKUP(BZ71,'Lookup Tables'!$A$21:$A$24,'Lookup Tables'!$B$21:$B$24,0),0)
  + IFERROR(_xlfn.XLOOKUP(CA71,'Lookup Tables'!$D$21:$D$24,'Lookup Tables'!$E$21:$E$24,0),0)
  + _xlfn.IFS(ISNUMBER(CB71)*AND(CB71&gt;=11),15, ISNUMBER(CB71)*AND(CB71&gt;=6),10, ISNUMBER(CB71)*AND(CB71&gt;=1),5, TRUE,0)
  + IFERROR(_xlfn.XLOOKUP(CC71,'Lookup Tables'!$G$21:$G$25,'Lookup Tables'!$H$21:$H$25,0),0)
  - IF(ISNUMBER(BW71)*AND(ISNUMBER(BV71))*AND(BW71&gt;BV71), 20, 0)
  - IF(AND(BY71="Yes", ISNUMBER(BW71), BW71&gt;60), 10, 0)
))</f>
        <v/>
      </c>
      <c r="CF71" s="3" t="n"/>
      <c r="CG71" s="3" t="n"/>
      <c r="CH71" s="3" t="n"/>
      <c r="CI71" s="3" t="n"/>
      <c r="CJ71" s="3" t="n"/>
      <c r="CK71" s="3" t="n"/>
      <c r="CL71" s="3" t="n"/>
      <c r="CM71" s="3" t="n"/>
      <c r="CN71" s="3" t="n"/>
      <c r="CO71" s="3" t="n"/>
      <c r="CP71" s="3" t="n"/>
      <c r="CQ71" s="3" t="n"/>
      <c r="CR71" s="3">
        <f>COUNTIF(CJ71:CQ71,"FAIL")</f>
        <v/>
      </c>
      <c r="CS71" s="3">
        <f>COUNTIF(CJ71:CQ71,"PARTIAL")</f>
        <v/>
      </c>
      <c r="CT71" s="3">
        <f>COUNTIF(CJ71:CQ71,"MISSING")</f>
        <v/>
      </c>
      <c r="CU71" s="3">
        <f>MIN(100,
  CR71*15
  + CS71*6
  + CT71*3
  + IFERROR(_xlfn.XLOOKUP(CW71,'Lookup Tables'!$M$21:$M$25,'Lookup Tables'!$N$21:$N$25,0),0)
)</f>
        <v/>
      </c>
      <c r="CV71" s="3">
        <f>IFERROR(
CHOOSE(
MATCH("FAIL",CJ71:CQ71,0),
"1-Specificity","2-Metric","3-Baseline","4-Target",
"5-Time Horizon","6-Scope","7-Verification","8-Consistency"
),
IFERROR(
CHOOSE(
MATCH("PARTIAL",CJ71:CQ71,0),
"1-Specificity","2-Metric","3-Baseline","4-Target",
"5-Time Horizon","6-Scope","7-Verification","8-Consistency"
),
"No failures"
)
)</f>
        <v/>
      </c>
      <c r="CW71" s="3" t="n"/>
      <c r="CX71" s="3" t="n"/>
      <c r="CY71" s="3" t="n"/>
      <c r="CZ71" s="3" t="n"/>
      <c r="DA71" s="3">
        <f>IF(OR(CU71&gt;=50,CW71="Material",CW71="Severe",AS71="Material",AS71="Severe",BF71="Material",BF71="Severe — Exclusion Trigger",AND(ISNUMBER(BS71),BS71&lt;30)),"Yes","No")</f>
        <v/>
      </c>
      <c r="DB71" s="3">
        <f>IF(OR(CR71&gt;=6,AW71="Confirmed Violation",AX71="Confirmed Breach"),"Yes — Automatic",IF(CW71="Severe","Yes — Requires Captain Confirmation","No"))</f>
        <v/>
      </c>
      <c r="DC71" s="3" t="n"/>
      <c r="DD71" s="3" t="n"/>
      <c r="DE71" s="3" t="n"/>
      <c r="DF71" s="3" t="n"/>
      <c r="DG71" s="3" t="n"/>
      <c r="DH71" s="3" t="n"/>
      <c r="DI71" s="3" t="n"/>
      <c r="DJ71" s="3" t="n"/>
      <c r="DK71" s="3" t="n"/>
      <c r="DL71" s="3">
        <f>IF(OR(IFERROR(VALUE(LEFT(DF71,1)),99)&lt;=2,IFERROR(VALUE(LEFT(DG71,1)),99)&lt;=2),"Flagged","Clear")</f>
        <v/>
      </c>
      <c r="DM71" s="3">
        <f>IF(OR(DA71="Yes",DB71&lt;&gt;"No",DH71="Unverified",DL71="Flagged"),"Yes","No")</f>
        <v/>
      </c>
      <c r="DN71" s="3">
        <f t="array" ref="DN71">MIN(100,
  IF(ISNUMBER(V71), _xlfn.IFS(V71&gt;=3,25, V71=2,15, V71=1,5, TRUE,0), 0)
  + IFERROR(_xlfn.IFS(VALUE(LEFT(DF71,1))=5,25, VALUE(LEFT(DF71,1))=4,20, VALUE(LEFT(DF71,1))=3,15, VALUE(LEFT(DF71,1))=2,8, TRUE,0), 15)
  + IFERROR(_xlfn.IFS(VALUE(LEFT(DG71,1))=5,25, VALUE(LEFT(DG71,1))=4,20, VALUE(LEFT(DG71,1))=3,15, VALUE(LEFT(DG71,1))=2,8, TRUE,0), 15)
  + _xlfn.IFS(DH71="Fully Verified",25, DH71="Partially Verified",12, TRUE,0)
)</f>
        <v/>
      </c>
      <c r="DO71" s="3">
        <f t="array" ref="DO71">_xlfn.IFS(
  ISBLANK(AR71), "Insufficient Evidence",
  AND(AR71&gt;=65, AJ71="Approved"), "Strong",
  AR71&gt;=65, "Adequate",
  AR71&gt;=40, "Adequate",
  AR71&gt;=20, "Weak",
  TRUE, "Insufficient Evidence"
)</f>
        <v/>
      </c>
      <c r="DP71" s="3">
        <f t="array" ref="DP71">_xlfn.IFS(
  ISBLANK(BS71), "Insufficient Evidence",
  BS71&gt;=65, "Strong",
  BS71&gt;=40, "Adequate",
  BS71&gt;=20, "Weak",
  TRUE, "Insufficient Evidence"
)</f>
        <v/>
      </c>
      <c r="DQ71" s="3">
        <f t="array" ref="DQ71">_xlfn.IFS(
  ISBLANK(BE71), "Insufficient Evidence",
  OR(AW71="Confirmed Violation", AX71="Confirmed Breach"), "Severe — Hard Trigger",
  BE71&gt;=65, "Strong",
  BE71&gt;=40, "Adequate",
  BE71&gt;=20, "Weak",
  TRUE, "Insufficient Evidence"
)</f>
        <v/>
      </c>
      <c r="DR71" s="3">
        <f t="array" ref="DR71">_xlfn.IFS(
  ISBLANK(CU71), "Insufficient Evidence",
  CU71&lt;=20, "Low Risk",
  CU71&lt;=50, "Moderate Risk",
  CU71&lt;=75, "High Risk",
  TRUE, "Very High Risk"
)</f>
        <v/>
      </c>
      <c r="DS71" s="3">
        <f t="array" ref="DS71">_xlfn.IFS(
  ISBLANK(CE71), "Insufficient Evidence",
  AND(ISNUMBER(BW71),ISNUMBER(BV71),BW71&gt;BV71), "Overclaiming Risk",
  CE71&gt;=65, "Strong",
  CE71&gt;=40, "Adequate",
  TRUE, "Weak"
)</f>
        <v/>
      </c>
      <c r="DT71" s="3">
        <f>IF(DB71="Yes — Automatic",0,ROUND((IF(ISNUMBER(AR71),AR71,0)*0.3+IF(ISNUMBER(BS71),BS71,0)*0.2+IF(ISNUMBER(BE71),BE71,0)*0.2+IF(ISNUMBER(CE71),CE71,0)*0.15+(100-IF(ISNUMBER(CU71),CU71,50))*0.15)*IF(DN71&gt;=75,1,IF(DN71&gt;=50,0.9,IF(DN71&gt;=25,0.75,0.6))),1))</f>
        <v/>
      </c>
      <c r="DU71" s="3">
        <f t="array" ref="DU71">_xlfn.IFS(
  DV71="Upgraded to Clear", "Clear",
  DV71="Downgraded to Watchlist", "Watchlist",
  DV71="Downgraded to Exclusion", "Exclusion Risk",
  DB71="Yes — Automatic", "Exclusion Risk",
  OR(AW71="Confirmed Violation", AX71="Confirmed Breach"), "Exclusion Risk",
  OR(V71=0, ISBLANK(V71), DN71&lt;20), "Insufficient Evidence",
  AND(DT71&gt;=65, DA71="No", DB71="No"), "Clear",
  OR(DT71&gt;=40, DA71="Yes"), "Watchlist",
  TRUE, "Exclusion Risk"
)</f>
        <v/>
      </c>
      <c r="DV71" s="3" t="n"/>
      <c r="DW71" s="3">
        <f t="array" ref="DW71">_xlfn.IFS(
  DU71="Exclusion Risk", "Exclude — Hard Trigger",
  DU71="Insufficient Evidence", "Watchlist — Further Evidence Needed",
  DU71="Watchlist", "Watchlist — Further Evidence Needed",
  AND(DU71="Clear", DT71&gt;=80), "Include — No Conditions",
  DU71="Clear", "Include — Monitor",
  TRUE, "Watchlist — Further Evidence Needed"
)</f>
        <v/>
      </c>
      <c r="DX71" s="3" t="n"/>
      <c r="DY71" s="3" t="n"/>
      <c r="DZ71" s="3" t="n"/>
      <c r="EA71" s="3" t="n"/>
      <c r="EB71" s="3">
        <f>IF(OR(V71=0, ISBLANK(V71)), "MISSING — No sources reviewed", "")</f>
        <v/>
      </c>
      <c r="EC71" s="3">
        <f>IF(AND(NOT(ISBLANK(DC71)), ISBLANK(DE71)), "PAGE REF MISSING", "")</f>
        <v/>
      </c>
    </row>
    <row r="72" ht="18" customHeight="1" s="60">
      <c r="A72" s="5" t="inlineStr">
        <is>
          <t>Swedish Orphan Biovitrum AB</t>
        </is>
      </c>
      <c r="B72" s="5" t="inlineStr">
        <is>
          <t>B6E</t>
        </is>
      </c>
      <c r="C72" s="5">
        <f>IF(ISBLANK('Universe Tracker'!D68),"",'Universe Tracker'!D68)</f>
        <v/>
      </c>
      <c r="D72" s="5" t="n"/>
      <c r="E72" s="5" t="n"/>
      <c r="F72" s="5">
        <f>IF(ISBLANK('Universe Tracker'!F68),"",'Universe Tracker'!F68)</f>
        <v/>
      </c>
      <c r="G72" s="5">
        <f>IF(ISBLANK('Universe Tracker'!G68),"",'Universe Tracker'!G68)</f>
        <v/>
      </c>
      <c r="H72" s="5" t="n"/>
      <c r="I72" s="5" t="n"/>
      <c r="J72" s="5">
        <f>IF(ISBLANK(B72),"",B72&amp;"_"&amp;C72)</f>
        <v/>
      </c>
      <c r="K72" s="5" t="n"/>
      <c r="L72" s="5" t="n"/>
      <c r="M72" s="5" t="n"/>
      <c r="N72" s="5" t="n"/>
      <c r="O72" s="5" t="n"/>
      <c r="P72" s="5" t="n"/>
      <c r="Q72" s="5" t="n"/>
      <c r="R72" s="5" t="n"/>
      <c r="S72" s="5" t="n"/>
      <c r="T72" s="5" t="n"/>
      <c r="U72" s="5" t="n"/>
      <c r="V72" s="5" t="n"/>
      <c r="W72" s="5" t="n"/>
      <c r="X72" s="5" t="n"/>
      <c r="Y72" s="5">
        <f>IF(AND(V72&gt;=2,K72="Yes",L72="Yes"),"Sufficient",IF(AND(V72&gt;=1,OR(K72="Yes",L72="Yes")),"Thin","Insufficient"))</f>
        <v/>
      </c>
      <c r="Z72" s="5" t="n"/>
      <c r="AA72" s="5" t="n"/>
      <c r="AB72" s="5" t="n"/>
      <c r="AC72" s="5" t="n"/>
      <c r="AD72" s="5" t="n"/>
      <c r="AE72" s="5" t="n"/>
      <c r="AF72" s="5" t="n"/>
      <c r="AG72" s="5" t="n"/>
      <c r="AH72" s="5" t="n"/>
      <c r="AI72" s="5" t="n"/>
      <c r="AJ72" s="5" t="n"/>
      <c r="AK72" s="5" t="n"/>
      <c r="AL72" s="5" t="n"/>
      <c r="AM72" s="5" t="n"/>
      <c r="AN72" s="5" t="n"/>
      <c r="AO72" s="5" t="n"/>
      <c r="AP72" s="5" t="n"/>
      <c r="AQ72" s="5" t="n"/>
      <c r="AR72" s="40">
        <f t="array" ref="AR72">MIN(100, MAX(0,
  IFERROR(_xlfn.XLOOKUP(AJ72,'Lookup Tables'!$A$2:$A$7,'Lookup Tables'!$B$2:$B$7,0),0)
  + IF(Z72="Yes", IF(IFERROR(_xlfn.XLOOKUP(AJ72,'Lookup Tables'!$A$2:$A$7,'Lookup Tables'!$B$2:$B$7,0),0)&lt;20, 5, 0), 0)
  + _xlfn.IFS(AB72="Yes", IF(ISNUMBER(AC72)*AND(AC72&lt;=2030),15,10), AB72="Long-term Only", 5, AB72="No", 0, TRUE, 0)
  + _xlfn.IFS(AF72="Full",10, AF72="Partial",5, AF72="Scope 2 Only",3, TRUE,0)
  + _xlfn.IFS(AG72="Yes", IF(ISNUMBER(AH72)*AND(AH72&gt;=5),10,6), AG72="Partial",4, TRUE,0)
  + _xlfn.IFS(AI72="Yes",5, AI72="Partial (material categories only)",3, TRUE,0)
  + _xlfn.IFS(AL72="Yes — Detailed",10, AL72="Yes — High Level",5, TRUE,0)
  + _xlfn.IFS(AM72="Yes — Quantified",15, AM72="Yes — Directional Only",7, TRUE,0)
  + _xlfn.IFS(AP72="Formal",5, AP72="Referenced",2, TRUE,0)
  + _xlfn.IFS(AQ72="No Issues Found",5, AQ72="Concern Identified",-5, AQ72="Severe Contradiction",-15, TRUE,0)
  + _xlfn.IFS(BC72="Reasonable Assurance",5, BC72="Limited Assurance",3, TRUE,0)
  - IF(AND(Z72="Yes", AI72="No"), 10, 0)
  - IF(AND(Z72="Yes", AM72="No"), 10, 0)
))</f>
        <v/>
      </c>
      <c r="AS72" s="5" t="n"/>
      <c r="AT72" s="5" t="n"/>
      <c r="AU72" s="5" t="n"/>
      <c r="AV72" s="5" t="n"/>
      <c r="AW72" s="5" t="n"/>
      <c r="AX72" s="5" t="n"/>
      <c r="AY72" s="5" t="n"/>
      <c r="AZ72" s="5" t="n"/>
      <c r="BA72" s="5" t="n"/>
      <c r="BB72" s="5" t="n"/>
      <c r="BC72" s="5" t="n"/>
      <c r="BD72" s="5" t="n"/>
      <c r="BE72" s="39">
        <f t="array" ref="BE72">MIN(100, MAX(0,
  IFERROR(_xlfn.XLOOKUP(AT72,'Lookup Tables'!$D$2:$D$6,'Lookup Tables'!$E$2:$E$6,0),0)
  + IFERROR(_xlfn.XLOOKUP(AV72,'Lookup Tables'!$G$2:$G$5,'Lookup Tables'!$H$2:$H$5,0),0)
  + IFERROR(_xlfn.XLOOKUP(AW72,'Lookup Tables'!$J$2:$J$5,'Lookup Tables'!$K$2:$K$5,0),0)
  + _xlfn.IFS(AX72="No Issues",10, AX72="Complaint Filed",3, AX72="Confirmed Breach",-15, TRUE,0)
  + IFERROR(_xlfn.XLOOKUP(AY72,'Lookup Tables'!$M$2:$M$6,'Lookup Tables'!$N$2:$N$6,0),0)
  + IFERROR(_xlfn.XLOOKUP(AZ72,'Lookup Tables'!$P$2:$P$6,'Lookup Tables'!$Q$2:$Q$6,0),0)
  + _xlfn.IFS(BA72="Formal Board Committee",5, BA72="Board Oversight Mentioned",2, TRUE,0)
  + _xlfn.IFS(BB72="Yes — Quantified Targets",5, BB72="Yes — Discretionary Only",2, TRUE,0)
  + _xlfn.IFS(BC72="Reasonable Assurance",5, BC72="Limited Assurance",3, BC72="Management Review Only",1, TRUE,0)
))</f>
        <v/>
      </c>
      <c r="BF72" s="5" t="n"/>
      <c r="BG72" s="5" t="n"/>
      <c r="BH72" s="5" t="n"/>
      <c r="BI72" s="5" t="n"/>
      <c r="BJ72" s="5" t="n"/>
      <c r="BK72" s="5" t="n"/>
      <c r="BL72" s="5" t="n"/>
      <c r="BM72" s="5" t="n"/>
      <c r="BN72" s="5" t="n"/>
      <c r="BO72" s="5" t="n"/>
      <c r="BP72" s="5" t="n"/>
      <c r="BQ72" s="5" t="n"/>
      <c r="BR72" s="5" t="n"/>
      <c r="BS72" s="41">
        <f t="array" ref="BS72">MIN(100, MAX(0,
  IFERROR(_xlfn.XLOOKUP(BG72,'Lookup Tables'!$A$11:$A$16,'Lookup Tables'!$B$11:$B$16,0),0)
  + IFERROR(_xlfn.XLOOKUP(BR72,'Lookup Tables'!$M$11:$M$14,'Lookup Tables'!$N$11:$N$14,0),0)
  + IFERROR(_xlfn.XLOOKUP(BQ72,'Lookup Tables'!$J$11:$J$15,'Lookup Tables'!$K$11:$K$15,0),0)
  + IFERROR(_xlfn.XLOOKUP(BH72,'Lookup Tables'!$D$11:$D$15,'Lookup Tables'!$E$11:$E$15,0),0)
  + IFERROR(_xlfn.XLOOKUP(BJ72,'Lookup Tables'!$G$11:$G$16,'Lookup Tables'!$H$11:$H$16,0),0)
  + IFERROR(_xlfn.XLOOKUP(BN72,'Lookup Tables'!$P$11:$P$15,'Lookup Tables'!$Q$11:$Q$15,0),0)
  + _xlfn.IFS(BM72="No Evidence",10, BM72="Unknown",3, BM72="Likely",0, BM72="Confirmed",-10, TRUE,3)
  + IFERROR(_xlfn.XLOOKUP(BP72,'Lookup Tables'!$J$21:$J$24,'Lookup Tables'!$K$21:$K$24,0),0)
))</f>
        <v/>
      </c>
      <c r="BT72" s="5" t="n"/>
      <c r="BU72" s="5" t="n"/>
      <c r="BV72" s="5" t="n"/>
      <c r="BW72" s="5" t="n"/>
      <c r="BX72" s="5" t="n"/>
      <c r="BY72" s="5" t="n"/>
      <c r="BZ72" s="5" t="n"/>
      <c r="CA72" s="5" t="n"/>
      <c r="CB72" s="5" t="n"/>
      <c r="CC72" s="5" t="n"/>
      <c r="CD72" s="5" t="n"/>
      <c r="CE72" s="43">
        <f t="array" ref="CE72">MIN(100, MAX(0,
  IF(ISNUMBER(BV72)*AND(BV72&gt;0), 10, 0)
  + _xlfn.IFS(BY72="Independently Verified",25, BY72="Yes",15, TRUE,0)
  + IFERROR(_xlfn.XLOOKUP(BZ72,'Lookup Tables'!$A$21:$A$24,'Lookup Tables'!$B$21:$B$24,0),0)
  + IFERROR(_xlfn.XLOOKUP(CA72,'Lookup Tables'!$D$21:$D$24,'Lookup Tables'!$E$21:$E$24,0),0)
  + _xlfn.IFS(ISNUMBER(CB72)*AND(CB72&gt;=11),15, ISNUMBER(CB72)*AND(CB72&gt;=6),10, ISNUMBER(CB72)*AND(CB72&gt;=1),5, TRUE,0)
  + IFERROR(_xlfn.XLOOKUP(CC72,'Lookup Tables'!$G$21:$G$25,'Lookup Tables'!$H$21:$H$25,0),0)
  - IF(ISNUMBER(BW72)*AND(ISNUMBER(BV72))*AND(BW72&gt;BV72), 20, 0)
  - IF(AND(BY72="Yes", ISNUMBER(BW72), BW72&gt;60), 10, 0)
))</f>
        <v/>
      </c>
      <c r="CF72" s="5" t="n"/>
      <c r="CG72" s="5" t="n"/>
      <c r="CH72" s="5" t="n"/>
      <c r="CI72" s="5" t="n"/>
      <c r="CJ72" s="5" t="n"/>
      <c r="CK72" s="5" t="n"/>
      <c r="CL72" s="5" t="n"/>
      <c r="CM72" s="5" t="n"/>
      <c r="CN72" s="5" t="n"/>
      <c r="CO72" s="5" t="n"/>
      <c r="CP72" s="5" t="n"/>
      <c r="CQ72" s="5" t="n"/>
      <c r="CR72" s="5">
        <f>COUNTIF(CJ72:CQ72,"FAIL")</f>
        <v/>
      </c>
      <c r="CS72" s="5">
        <f>COUNTIF(CJ72:CQ72,"PARTIAL")</f>
        <v/>
      </c>
      <c r="CT72" s="5">
        <f>COUNTIF(CJ72:CQ72,"MISSING")</f>
        <v/>
      </c>
      <c r="CU72" s="5">
        <f>MIN(100,
  CR72*15
  + CS72*6
  + CT72*3
  + IFERROR(_xlfn.XLOOKUP(CW72,'Lookup Tables'!$M$21:$M$25,'Lookup Tables'!$N$21:$N$25,0),0)
)</f>
        <v/>
      </c>
      <c r="CV72" s="5">
        <f>IFERROR(
  CHOOSE(
    MATCH("FAIL",CJ72:CQ72,0),
    "1-Specificity","2-Metric","3-Baseline","4-Target",
    "5-Time Horizon","6-Scope","7-Verification","8-Consistency"
  ),
  IFERROR(
    CHOOSE(
      MATCH("PARTIAL",CJ72:CQ72,0),
      "1-Specificity","2-Metric","3-Baseline","4-Target",
      "5-Time Horizon","6-Scope","7-Verification","8-Consistency"
    ),
    "No failures"
  )
)</f>
        <v/>
      </c>
      <c r="CW72" s="5" t="n"/>
      <c r="CX72" s="5" t="n"/>
      <c r="CY72" s="5" t="n"/>
      <c r="CZ72" s="5" t="n"/>
      <c r="DA72" s="5">
        <f>IF(OR(CU72&gt;=50,CW72="Material",CW72="Severe",AS72="Material",AS72="Severe",BF72="Material",BF72="Severe — Exclusion Trigger",AND(ISNUMBER(BS72),BS72&lt;30)),"Yes","No")</f>
        <v/>
      </c>
      <c r="DB72" s="5">
        <f>IF(OR(CR72&gt;=6,AW72="Confirmed Violation",AX72="Confirmed Breach"),"Yes — Automatic",IF(CW72="Severe","Yes — Requires Captain Confirmation","No"))</f>
        <v/>
      </c>
      <c r="DC72" s="5" t="n"/>
      <c r="DD72" s="5" t="n"/>
      <c r="DE72" s="5" t="n"/>
      <c r="DF72" s="5" t="n"/>
      <c r="DG72" s="5" t="n"/>
      <c r="DH72" s="5" t="n"/>
      <c r="DI72" s="5" t="n"/>
      <c r="DJ72" s="5" t="n"/>
      <c r="DK72" s="5" t="n"/>
      <c r="DL72" s="5">
        <f>IF(OR(IFERROR(VALUE(LEFT(DF72,1)),99)&lt;=2,IFERROR(VALUE(LEFT(DG72,1)),99)&lt;=2),"Flagged","Clear")</f>
        <v/>
      </c>
      <c r="DM72" s="5">
        <f>IF(OR(DA72="Yes",DB72&lt;&gt;"No",DH72="Unverified",DL72="Flagged"),"Yes","No")</f>
        <v/>
      </c>
      <c r="DN72" s="5">
        <f t="array" ref="DN72">MIN(100,
  IF(ISNUMBER(V72), _xlfn.IFS(V72&gt;=3,25, V72=2,15, V72=1,5, TRUE,0), 0)
  + IFERROR(_xlfn.IFS(VALUE(LEFT(DF72,1))=5,25, VALUE(LEFT(DF72,1))=4,20, VALUE(LEFT(DF72,1))=3,15, VALUE(LEFT(DF72,1))=2,8, TRUE,0), 15)
  + IFERROR(_xlfn.IFS(VALUE(LEFT(DG72,1))=5,25, VALUE(LEFT(DG72,1))=4,20, VALUE(LEFT(DG72,1))=3,15, VALUE(LEFT(DG72,1))=2,8, TRUE,0), 15)
  + _xlfn.IFS(DH72="Fully Verified",25, DH72="Partially Verified",12, TRUE,0)
)</f>
        <v/>
      </c>
      <c r="DO72" s="5">
        <f t="array" ref="DO72">_xlfn.IFS(
  ISBLANK(AR72), "Insufficient Evidence",
  AND(AR72&gt;=65, AJ72="Approved"), "Strong",
  AR72&gt;=65, "Adequate",
  AR72&gt;=40, "Adequate",
  AR72&gt;=20, "Weak",
  TRUE, "Insufficient Evidence"
)</f>
        <v/>
      </c>
      <c r="DP72" s="5">
        <f t="array" ref="DP72">_xlfn.IFS(
  ISBLANK(BS72), "Insufficient Evidence",
  BS72&gt;=65, "Strong",
  BS72&gt;=40, "Adequate",
  BS72&gt;=20, "Weak",
  TRUE, "Insufficient Evidence"
)</f>
        <v/>
      </c>
      <c r="DQ72" s="5">
        <f t="array" ref="DQ72">_xlfn.IFS(
  ISBLANK(BE72), "Insufficient Evidence",
  OR(AW72="Confirmed Violation", AX72="Confirmed Breach"), "Severe — Hard Trigger",
  BE72&gt;=65, "Strong",
  BE72&gt;=40, "Adequate",
  BE72&gt;=20, "Weak",
  TRUE, "Insufficient Evidence"
)</f>
        <v/>
      </c>
      <c r="DR72" s="5">
        <f t="array" ref="DR72">_xlfn.IFS(
  ISBLANK(CU72), "Insufficient Evidence",
  CU72&lt;=20, "Low Risk",
  CU72&lt;=50, "Moderate Risk",
  CU72&lt;=75, "High Risk",
  TRUE, "Very High Risk"
)</f>
        <v/>
      </c>
      <c r="DS72" s="5">
        <f t="array" ref="DS72">_xlfn.IFS(
  ISBLANK(CE72), "Insufficient Evidence",
  AND(ISNUMBER(BW72),ISNUMBER(BV72),BW72&gt;BV72), "Overclaiming Risk",
  CE72&gt;=65, "Strong",
  CE72&gt;=40, "Adequate",
  TRUE, "Weak"
)</f>
        <v/>
      </c>
      <c r="DT72" s="5">
        <f>IF(DB72="Yes — Automatic",0,ROUND((IF(ISNUMBER(AR72),AR72,0)*0.3+IF(ISNUMBER(BS72),BS72,0)*0.2+IF(ISNUMBER(BE72),BE72,0)*0.2+IF(ISNUMBER(CE72),CE72,0)*0.15+(100-IF(ISNUMBER(CU72),CU72,50))*0.15)*IF(DN72&gt;=75,1,IF(DN72&gt;=50,0.9,IF(DN72&gt;=25,0.75,0.6))),1))</f>
        <v/>
      </c>
      <c r="DU72" s="5">
        <f t="array" ref="DU72">_xlfn.IFS(
  DV72="Upgraded to Clear", "Clear",
  DV72="Downgraded to Watchlist", "Watchlist",
  DV72="Downgraded to Exclusion", "Exclusion Risk",
  DB72="Yes — Automatic", "Exclusion Risk",
  OR(AW72="Confirmed Violation", AX72="Confirmed Breach"), "Exclusion Risk",
  OR(V72=0, ISBLANK(V72), DN72&lt;20), "Insufficient Evidence",
  AND(DT72&gt;=65, DA72="No", DB72="No"), "Clear",
  OR(DT72&gt;=40, DA72="Yes"), "Watchlist",
  TRUE, "Exclusion Risk"
)</f>
        <v/>
      </c>
      <c r="DV72" s="5" t="n"/>
      <c r="DW72" s="5">
        <f t="array" ref="DW72">_xlfn.IFS(
  DU72="Exclusion Risk", "Exclude — Hard Trigger",
  DU72="Insufficient Evidence", "Watchlist — Further Evidence Needed",
  DU72="Watchlist", "Watchlist — Further Evidence Needed",
  AND(DU72="Clear", DT72&gt;=80), "Include — No Conditions",
  DU72="Clear", "Include — Monitor",
  TRUE, "Watchlist — Further Evidence Needed"
)</f>
        <v/>
      </c>
      <c r="DX72" s="5" t="n"/>
      <c r="DY72" s="5" t="n"/>
      <c r="DZ72" s="5" t="n"/>
      <c r="EA72" s="5" t="n"/>
      <c r="EB72" s="5">
        <f>IF(OR(V72=0, ISBLANK(V72)), "MISSING — No sources reviewed", "")</f>
        <v/>
      </c>
      <c r="EC72" s="5">
        <f>IF(AND(NOT(ISBLANK(DC72)), ISBLANK(DE72)), "PAGE REF MISSING", "")</f>
        <v/>
      </c>
    </row>
    <row r="73" ht="18" customHeight="1" s="60">
      <c r="A73" s="3" t="inlineStr">
        <is>
          <t>Siemens AG</t>
        </is>
      </c>
      <c r="B73" s="3" t="inlineStr">
        <is>
          <t>SIE</t>
        </is>
      </c>
      <c r="C73" s="3">
        <f>IF(ISBLANK('Universe Tracker'!D69),"",'Universe Tracker'!D69)</f>
        <v/>
      </c>
      <c r="D73" s="3" t="n"/>
      <c r="E73" s="3" t="n"/>
      <c r="F73" s="3">
        <f>IF(ISBLANK('Universe Tracker'!F69),"",'Universe Tracker'!F69)</f>
        <v/>
      </c>
      <c r="G73" s="3">
        <f>IF(ISBLANK('Universe Tracker'!G69),"",'Universe Tracker'!G69)</f>
        <v/>
      </c>
      <c r="H73" s="3" t="n"/>
      <c r="I73" s="3" t="n"/>
      <c r="J73" s="3">
        <f>IF(ISBLANK(B73),"",B73&amp;"_"&amp;C73)</f>
        <v/>
      </c>
      <c r="K73" s="3" t="n"/>
      <c r="L73" s="3" t="n"/>
      <c r="M73" s="3" t="n"/>
      <c r="N73" s="3" t="n"/>
      <c r="O73" s="3" t="n"/>
      <c r="P73" s="3" t="n"/>
      <c r="Q73" s="3" t="n"/>
      <c r="R73" s="3" t="n"/>
      <c r="S73" s="3" t="n"/>
      <c r="T73" s="3" t="n"/>
      <c r="U73" s="3" t="n"/>
      <c r="V73" s="3" t="n"/>
      <c r="W73" s="3" t="n"/>
      <c r="X73" s="3" t="n"/>
      <c r="Y73" s="3">
        <f>IF(AND(V73&gt;=2,K73="Yes",L73="Yes"),"Sufficient",IF(AND(V73&gt;=1,OR(K73="Yes",L73="Yes")),"Thin","Insufficient"))</f>
        <v/>
      </c>
      <c r="Z73" s="3" t="n"/>
      <c r="AA73" s="3" t="n"/>
      <c r="AB73" s="3" t="n"/>
      <c r="AC73" s="3" t="n"/>
      <c r="AD73" s="3" t="n"/>
      <c r="AE73" s="3" t="n"/>
      <c r="AF73" s="3" t="n"/>
      <c r="AG73" s="3" t="n"/>
      <c r="AH73" s="3" t="n"/>
      <c r="AI73" s="3" t="n"/>
      <c r="AJ73" s="3" t="n"/>
      <c r="AK73" s="3" t="n"/>
      <c r="AL73" s="3" t="n"/>
      <c r="AM73" s="3" t="n"/>
      <c r="AN73" s="3" t="n"/>
      <c r="AO73" s="3" t="n"/>
      <c r="AP73" s="3" t="n"/>
      <c r="AQ73" s="3" t="n"/>
      <c r="AR73" s="40">
        <f t="array" ref="AR73">MIN(100, MAX(0,
  IFERROR(_xlfn.XLOOKUP(AJ73,'Lookup Tables'!$A$2:$A$7,'Lookup Tables'!$B$2:$B$7,0),0)
  + IF(Z73="Yes", IF(IFERROR(_xlfn.XLOOKUP(AJ73,'Lookup Tables'!$A$2:$A$7,'Lookup Tables'!$B$2:$B$7,0),0)&lt;20, 5, 0), 0)
  + _xlfn.IFS(AB73="Yes", IF(ISNUMBER(AC73)*AND(AC73&lt;=2030),15,10), AB73="Long-term Only", 5, AB73="No", 0, TRUE, 0)
  + _xlfn.IFS(AF73="Full",10, AF73="Partial",5, AF73="Scope 2 Only",3, TRUE,0)
  + _xlfn.IFS(AG73="Yes", IF(ISNUMBER(AH73)*AND(AH73&gt;=5),10,6), AG73="Partial",4, TRUE,0)
  + _xlfn.IFS(AI73="Yes",5, AI73="Partial (material categories only)",3, TRUE,0)
  + _xlfn.IFS(AL73="Yes — Detailed",10, AL73="Yes — High Level",5, TRUE,0)
  + _xlfn.IFS(AM73="Yes — Quantified",15, AM73="Yes — Directional Only",7, TRUE,0)
  + _xlfn.IFS(AP73="Formal",5, AP73="Referenced",2, TRUE,0)
  + _xlfn.IFS(AQ73="No Issues Found",5, AQ73="Concern Identified",-5, AQ73="Severe Contradiction",-15, TRUE,0)
  + _xlfn.IFS(BC73="Reasonable Assurance",5, BC73="Limited Assurance",3, TRUE,0)
  - IF(AND(Z73="Yes", AI73="No"), 10, 0)
  - IF(AND(Z73="Yes", AM73="No"), 10, 0)
))</f>
        <v/>
      </c>
      <c r="AS73" s="3" t="n"/>
      <c r="AT73" s="3" t="n"/>
      <c r="AU73" s="3" t="n"/>
      <c r="AV73" s="3" t="n"/>
      <c r="AW73" s="3" t="n"/>
      <c r="AX73" s="3" t="n"/>
      <c r="AY73" s="3" t="n"/>
      <c r="AZ73" s="3" t="n"/>
      <c r="BA73" s="3" t="n"/>
      <c r="BB73" s="3" t="n"/>
      <c r="BC73" s="3" t="n"/>
      <c r="BD73" s="3" t="n"/>
      <c r="BE73" s="40">
        <f t="array" ref="BE73">MIN(100, MAX(0,
  IFERROR(_xlfn.XLOOKUP(AT73,'Lookup Tables'!$D$2:$D$6,'Lookup Tables'!$E$2:$E$6,0),0)
  + IFERROR(_xlfn.XLOOKUP(AV73,'Lookup Tables'!$G$2:$G$5,'Lookup Tables'!$H$2:$H$5,0),0)
  + IFERROR(_xlfn.XLOOKUP(AW73,'Lookup Tables'!$J$2:$J$5,'Lookup Tables'!$K$2:$K$5,0),0)
  + _xlfn.IFS(AX73="No Issues",10, AX73="Complaint Filed",3, AX73="Confirmed Breach",-15, TRUE,0)
  + IFERROR(_xlfn.XLOOKUP(AY73,'Lookup Tables'!$M$2:$M$6,'Lookup Tables'!$N$2:$N$6,0),0)
  + IFERROR(_xlfn.XLOOKUP(AZ73,'Lookup Tables'!$P$2:$P$6,'Lookup Tables'!$Q$2:$Q$6,0),0)
  + _xlfn.IFS(BA73="Formal Board Committee",5, BA73="Board Oversight Mentioned",2, TRUE,0)
  + _xlfn.IFS(BB73="Yes — Quantified Targets",5, BB73="Yes — Discretionary Only",2, TRUE,0)
  + _xlfn.IFS(BC73="Reasonable Assurance",5, BC73="Limited Assurance",3, BC73="Management Review Only",1, TRUE,0)
))</f>
        <v/>
      </c>
      <c r="BF73" s="3" t="n"/>
      <c r="BG73" s="3" t="n"/>
      <c r="BH73" s="3" t="n"/>
      <c r="BI73" s="3" t="n"/>
      <c r="BJ73" s="3" t="n"/>
      <c r="BK73" s="3" t="n"/>
      <c r="BL73" s="3" t="n"/>
      <c r="BM73" s="3" t="n"/>
      <c r="BN73" s="3" t="n"/>
      <c r="BO73" s="3" t="n"/>
      <c r="BP73" s="3" t="n"/>
      <c r="BQ73" s="3" t="n"/>
      <c r="BR73" s="3" t="n"/>
      <c r="BS73" s="42">
        <f t="array" ref="BS73">MIN(100, MAX(0,
  IFERROR(_xlfn.XLOOKUP(BG73,'Lookup Tables'!$A$11:$A$16,'Lookup Tables'!$B$11:$B$16,0),0)
  + IFERROR(_xlfn.XLOOKUP(BR73,'Lookup Tables'!$M$11:$M$14,'Lookup Tables'!$N$11:$N$14,0),0)
  + IFERROR(_xlfn.XLOOKUP(BQ73,'Lookup Tables'!$J$11:$J$15,'Lookup Tables'!$K$11:$K$15,0),0)
  + IFERROR(_xlfn.XLOOKUP(BH73,'Lookup Tables'!$D$11:$D$15,'Lookup Tables'!$E$11:$E$15,0),0)
  + IFERROR(_xlfn.XLOOKUP(BJ73,'Lookup Tables'!$G$11:$G$16,'Lookup Tables'!$H$11:$H$16,0),0)
  + IFERROR(_xlfn.XLOOKUP(BN73,'Lookup Tables'!$P$11:$P$15,'Lookup Tables'!$Q$11:$Q$15,0),0)
  + _xlfn.IFS(BM73="No Evidence",10, BM73="Unknown",3, BM73="Likely",0, BM73="Confirmed",-10, TRUE,3)
  + IFERROR(_xlfn.XLOOKUP(BP73,'Lookup Tables'!$J$21:$J$24,'Lookup Tables'!$K$21:$K$24,0),0)
))</f>
        <v/>
      </c>
      <c r="BT73" s="3" t="n"/>
      <c r="BU73" s="3" t="n"/>
      <c r="BV73" s="3" t="n"/>
      <c r="BW73" s="3" t="n"/>
      <c r="BX73" s="3" t="n"/>
      <c r="BY73" s="3" t="n"/>
      <c r="BZ73" s="3" t="n"/>
      <c r="CA73" s="3" t="n"/>
      <c r="CB73" s="3" t="n"/>
      <c r="CC73" s="3" t="n"/>
      <c r="CD73" s="3" t="n"/>
      <c r="CE73" s="44">
        <f t="array" ref="CE73">MIN(100, MAX(0,
  IF(ISNUMBER(BV73)*AND(BV73&gt;0), 10, 0)
  + _xlfn.IFS(BY73="Independently Verified",25, BY73="Yes",15, TRUE,0)
  + IFERROR(_xlfn.XLOOKUP(BZ73,'Lookup Tables'!$A$21:$A$24,'Lookup Tables'!$B$21:$B$24,0),0)
  + IFERROR(_xlfn.XLOOKUP(CA73,'Lookup Tables'!$D$21:$D$24,'Lookup Tables'!$E$21:$E$24,0),0)
  + _xlfn.IFS(ISNUMBER(CB73)*AND(CB73&gt;=11),15, ISNUMBER(CB73)*AND(CB73&gt;=6),10, ISNUMBER(CB73)*AND(CB73&gt;=1),5, TRUE,0)
  + IFERROR(_xlfn.XLOOKUP(CC73,'Lookup Tables'!$G$21:$G$25,'Lookup Tables'!$H$21:$H$25,0),0)
  - IF(ISNUMBER(BW73)*AND(ISNUMBER(BV73))*AND(BW73&gt;BV73), 20, 0)
  - IF(AND(BY73="Yes", ISNUMBER(BW73), BW73&gt;60), 10, 0)
))</f>
        <v/>
      </c>
      <c r="CF73" s="3" t="n"/>
      <c r="CG73" s="3" t="n"/>
      <c r="CH73" s="3" t="n"/>
      <c r="CI73" s="3" t="n"/>
      <c r="CJ73" s="3" t="n"/>
      <c r="CK73" s="3" t="n"/>
      <c r="CL73" s="3" t="n"/>
      <c r="CM73" s="3" t="n"/>
      <c r="CN73" s="3" t="n"/>
      <c r="CO73" s="3" t="n"/>
      <c r="CP73" s="3" t="n"/>
      <c r="CQ73" s="3" t="n"/>
      <c r="CR73" s="3">
        <f>COUNTIF(CJ73:CQ73,"FAIL")</f>
        <v/>
      </c>
      <c r="CS73" s="3">
        <f>COUNTIF(CJ73:CQ73,"PARTIAL")</f>
        <v/>
      </c>
      <c r="CT73" s="3">
        <f>COUNTIF(CJ73:CQ73,"MISSING")</f>
        <v/>
      </c>
      <c r="CU73" s="3">
        <f>MIN(100,
  CR73*15
  + CS73*6
  + CT73*3
  + IFERROR(_xlfn.XLOOKUP(CW73,'Lookup Tables'!$M$21:$M$25,'Lookup Tables'!$N$21:$N$25,0),0)
)</f>
        <v/>
      </c>
      <c r="CV73" s="3">
        <f>IFERROR(
CHOOSE(
MATCH("FAIL",CJ73:CQ73,0),
"1-Specificity","2-Metric","3-Baseline","4-Target",
"5-Time Horizon","6-Scope","7-Verification","8-Consistency"
),
IFERROR(
CHOOSE(
MATCH("PARTIAL",CJ73:CQ73,0),
"1-Specificity","2-Metric","3-Baseline","4-Target",
"5-Time Horizon","6-Scope","7-Verification","8-Consistency"
),
"No failures"
)
)</f>
        <v/>
      </c>
      <c r="CW73" s="3" t="n"/>
      <c r="CX73" s="3" t="n"/>
      <c r="CY73" s="3" t="n"/>
      <c r="CZ73" s="3" t="n"/>
      <c r="DA73" s="3">
        <f>IF(OR(CU73&gt;=50,CW73="Material",CW73="Severe",AS73="Material",AS73="Severe",BF73="Material",BF73="Severe — Exclusion Trigger",AND(ISNUMBER(BS73),BS73&lt;30)),"Yes","No")</f>
        <v/>
      </c>
      <c r="DB73" s="3">
        <f>IF(OR(CR73&gt;=6,AW73="Confirmed Violation",AX73="Confirmed Breach"),"Yes — Automatic",IF(CW73="Severe","Yes — Requires Captain Confirmation","No"))</f>
        <v/>
      </c>
      <c r="DC73" s="3" t="n"/>
      <c r="DD73" s="3" t="n"/>
      <c r="DE73" s="3" t="n"/>
      <c r="DF73" s="3" t="n"/>
      <c r="DG73" s="3" t="n"/>
      <c r="DH73" s="3" t="n"/>
      <c r="DI73" s="3" t="n"/>
      <c r="DJ73" s="3" t="n"/>
      <c r="DK73" s="3" t="n"/>
      <c r="DL73" s="3">
        <f>IF(OR(IFERROR(VALUE(LEFT(DF73,1)),99)&lt;=2,IFERROR(VALUE(LEFT(DG73,1)),99)&lt;=2),"Flagged","Clear")</f>
        <v/>
      </c>
      <c r="DM73" s="3">
        <f>IF(OR(DA73="Yes",DB73&lt;&gt;"No",DH73="Unverified",DL73="Flagged"),"Yes","No")</f>
        <v/>
      </c>
      <c r="DN73" s="3">
        <f t="array" ref="DN73">MIN(100,
  IF(ISNUMBER(V73), _xlfn.IFS(V73&gt;=3,25, V73=2,15, V73=1,5, TRUE,0), 0)
  + IFERROR(_xlfn.IFS(VALUE(LEFT(DF73,1))=5,25, VALUE(LEFT(DF73,1))=4,20, VALUE(LEFT(DF73,1))=3,15, VALUE(LEFT(DF73,1))=2,8, TRUE,0), 15)
  + IFERROR(_xlfn.IFS(VALUE(LEFT(DG73,1))=5,25, VALUE(LEFT(DG73,1))=4,20, VALUE(LEFT(DG73,1))=3,15, VALUE(LEFT(DG73,1))=2,8, TRUE,0), 15)
  + _xlfn.IFS(DH73="Fully Verified",25, DH73="Partially Verified",12, TRUE,0)
)</f>
        <v/>
      </c>
      <c r="DO73" s="3">
        <f t="array" ref="DO73">_xlfn.IFS(
  ISBLANK(AR73), "Insufficient Evidence",
  AND(AR73&gt;=65, AJ73="Approved"), "Strong",
  AR73&gt;=65, "Adequate",
  AR73&gt;=40, "Adequate",
  AR73&gt;=20, "Weak",
  TRUE, "Insufficient Evidence"
)</f>
        <v/>
      </c>
      <c r="DP73" s="3">
        <f t="array" ref="DP73">_xlfn.IFS(
  ISBLANK(BS73), "Insufficient Evidence",
  BS73&gt;=65, "Strong",
  BS73&gt;=40, "Adequate",
  BS73&gt;=20, "Weak",
  TRUE, "Insufficient Evidence"
)</f>
        <v/>
      </c>
      <c r="DQ73" s="3">
        <f t="array" ref="DQ73">_xlfn.IFS(
  ISBLANK(BE73), "Insufficient Evidence",
  OR(AW73="Confirmed Violation", AX73="Confirmed Breach"), "Severe — Hard Trigger",
  BE73&gt;=65, "Strong",
  BE73&gt;=40, "Adequate",
  BE73&gt;=20, "Weak",
  TRUE, "Insufficient Evidence"
)</f>
        <v/>
      </c>
      <c r="DR73" s="3">
        <f t="array" ref="DR73">_xlfn.IFS(
  ISBLANK(CU73), "Insufficient Evidence",
  CU73&lt;=20, "Low Risk",
  CU73&lt;=50, "Moderate Risk",
  CU73&lt;=75, "High Risk",
  TRUE, "Very High Risk"
)</f>
        <v/>
      </c>
      <c r="DS73" s="3">
        <f t="array" ref="DS73">_xlfn.IFS(
  ISBLANK(CE73), "Insufficient Evidence",
  AND(ISNUMBER(BW73),ISNUMBER(BV73),BW73&gt;BV73), "Overclaiming Risk",
  CE73&gt;=65, "Strong",
  CE73&gt;=40, "Adequate",
  TRUE, "Weak"
)</f>
        <v/>
      </c>
      <c r="DT73" s="3">
        <f>IF(DB73="Yes — Automatic",0,ROUND((IF(ISNUMBER(AR73),AR73,0)*0.3+IF(ISNUMBER(BS73),BS73,0)*0.2+IF(ISNUMBER(BE73),BE73,0)*0.2+IF(ISNUMBER(CE73),CE73,0)*0.15+(100-IF(ISNUMBER(CU73),CU73,50))*0.15)*IF(DN73&gt;=75,1,IF(DN73&gt;=50,0.9,IF(DN73&gt;=25,0.75,0.6))),1))</f>
        <v/>
      </c>
      <c r="DU73" s="3">
        <f t="array" ref="DU73">_xlfn.IFS(
  DV73="Upgraded to Clear", "Clear",
  DV73="Downgraded to Watchlist", "Watchlist",
  DV73="Downgraded to Exclusion", "Exclusion Risk",
  DB73="Yes — Automatic", "Exclusion Risk",
  OR(AW73="Confirmed Violation", AX73="Confirmed Breach"), "Exclusion Risk",
  OR(V73=0, ISBLANK(V73), DN73&lt;20), "Insufficient Evidence",
  AND(DT73&gt;=65, DA73="No", DB73="No"), "Clear",
  OR(DT73&gt;=40, DA73="Yes"), "Watchlist",
  TRUE, "Exclusion Risk"
)</f>
        <v/>
      </c>
      <c r="DV73" s="3" t="n"/>
      <c r="DW73" s="3">
        <f t="array" ref="DW73">_xlfn.IFS(
  DU73="Exclusion Risk", "Exclude — Hard Trigger",
  DU73="Insufficient Evidence", "Watchlist — Further Evidence Needed",
  DU73="Watchlist", "Watchlist — Further Evidence Needed",
  AND(DU73="Clear", DT73&gt;=80), "Include — No Conditions",
  DU73="Clear", "Include — Monitor",
  TRUE, "Watchlist — Further Evidence Needed"
)</f>
        <v/>
      </c>
      <c r="DX73" s="3" t="n"/>
      <c r="DY73" s="3" t="n"/>
      <c r="DZ73" s="3" t="n"/>
      <c r="EA73" s="3" t="n"/>
      <c r="EB73" s="3">
        <f>IF(OR(V73=0, ISBLANK(V73)), "MISSING — No sources reviewed", "")</f>
        <v/>
      </c>
      <c r="EC73" s="3">
        <f>IF(AND(NOT(ISBLANK(DC73)), ISBLANK(DE73)), "PAGE REF MISSING", "")</f>
        <v/>
      </c>
    </row>
    <row r="74" ht="18" customHeight="1" s="60">
      <c r="A74" s="5" t="inlineStr">
        <is>
          <t>ING Bank Slaski SA</t>
        </is>
      </c>
      <c r="B74" s="5" t="inlineStr">
        <is>
          <t>6GF</t>
        </is>
      </c>
      <c r="C74" s="5">
        <f>IF(ISBLANK('Universe Tracker'!D70),"",'Universe Tracker'!D70)</f>
        <v/>
      </c>
      <c r="D74" s="5" t="n"/>
      <c r="E74" s="5" t="n"/>
      <c r="F74" s="5">
        <f>IF(ISBLANK('Universe Tracker'!F70),"",'Universe Tracker'!F70)</f>
        <v/>
      </c>
      <c r="G74" s="5">
        <f>IF(ISBLANK('Universe Tracker'!G70),"",'Universe Tracker'!G70)</f>
        <v/>
      </c>
      <c r="H74" s="5" t="n"/>
      <c r="I74" s="5" t="n"/>
      <c r="J74" s="5">
        <f>IF(ISBLANK(B74),"",B74&amp;"_"&amp;C74)</f>
        <v/>
      </c>
      <c r="K74" s="5" t="n"/>
      <c r="L74" s="5" t="n"/>
      <c r="M74" s="5" t="n"/>
      <c r="N74" s="5" t="n"/>
      <c r="O74" s="5" t="n"/>
      <c r="P74" s="5" t="n"/>
      <c r="Q74" s="5" t="n"/>
      <c r="R74" s="5" t="n"/>
      <c r="S74" s="5" t="n"/>
      <c r="T74" s="5" t="n"/>
      <c r="U74" s="5" t="n"/>
      <c r="V74" s="5" t="n"/>
      <c r="W74" s="5" t="n"/>
      <c r="X74" s="5" t="n"/>
      <c r="Y74" s="5">
        <f>IF(AND(V74&gt;=2,K74="Yes",L74="Yes"),"Sufficient",IF(AND(V74&gt;=1,OR(K74="Yes",L74="Yes")),"Thin","Insufficient"))</f>
        <v/>
      </c>
      <c r="Z74" s="5" t="n"/>
      <c r="AA74" s="5" t="n"/>
      <c r="AB74" s="5" t="n"/>
      <c r="AC74" s="5" t="n"/>
      <c r="AD74" s="5" t="n"/>
      <c r="AE74" s="5" t="n"/>
      <c r="AF74" s="5" t="n"/>
      <c r="AG74" s="5" t="n"/>
      <c r="AH74" s="5" t="n"/>
      <c r="AI74" s="5" t="n"/>
      <c r="AJ74" s="5" t="n"/>
      <c r="AK74" s="5" t="n"/>
      <c r="AL74" s="5" t="n"/>
      <c r="AM74" s="5" t="n"/>
      <c r="AN74" s="5" t="n"/>
      <c r="AO74" s="5" t="n"/>
      <c r="AP74" s="5" t="n"/>
      <c r="AQ74" s="5" t="n"/>
      <c r="AR74" s="40">
        <f t="array" ref="AR74">MIN(100, MAX(0,
  IFERROR(_xlfn.XLOOKUP(AJ74,'Lookup Tables'!$A$2:$A$7,'Lookup Tables'!$B$2:$B$7,0),0)
  + IF(Z74="Yes", IF(IFERROR(_xlfn.XLOOKUP(AJ74,'Lookup Tables'!$A$2:$A$7,'Lookup Tables'!$B$2:$B$7,0),0)&lt;20, 5, 0), 0)
  + _xlfn.IFS(AB74="Yes", IF(ISNUMBER(AC74)*AND(AC74&lt;=2030),15,10), AB74="Long-term Only", 5, AB74="No", 0, TRUE, 0)
  + _xlfn.IFS(AF74="Full",10, AF74="Partial",5, AF74="Scope 2 Only",3, TRUE,0)
  + _xlfn.IFS(AG74="Yes", IF(ISNUMBER(AH74)*AND(AH74&gt;=5),10,6), AG74="Partial",4, TRUE,0)
  + _xlfn.IFS(AI74="Yes",5, AI74="Partial (material categories only)",3, TRUE,0)
  + _xlfn.IFS(AL74="Yes — Detailed",10, AL74="Yes — High Level",5, TRUE,0)
  + _xlfn.IFS(AM74="Yes — Quantified",15, AM74="Yes — Directional Only",7, TRUE,0)
  + _xlfn.IFS(AP74="Formal",5, AP74="Referenced",2, TRUE,0)
  + _xlfn.IFS(AQ74="No Issues Found",5, AQ74="Concern Identified",-5, AQ74="Severe Contradiction",-15, TRUE,0)
  + _xlfn.IFS(BC74="Reasonable Assurance",5, BC74="Limited Assurance",3, TRUE,0)
  - IF(AND(Z74="Yes", AI74="No"), 10, 0)
  - IF(AND(Z74="Yes", AM74="No"), 10, 0)
))</f>
        <v/>
      </c>
      <c r="AS74" s="5" t="n"/>
      <c r="AT74" s="5" t="n"/>
      <c r="AU74" s="5" t="n"/>
      <c r="AV74" s="5" t="n"/>
      <c r="AW74" s="5" t="n"/>
      <c r="AX74" s="5" t="n"/>
      <c r="AY74" s="5" t="n"/>
      <c r="AZ74" s="5" t="n"/>
      <c r="BA74" s="5" t="n"/>
      <c r="BB74" s="5" t="n"/>
      <c r="BC74" s="5" t="n"/>
      <c r="BD74" s="5" t="n"/>
      <c r="BE74" s="39">
        <f t="array" ref="BE74">MIN(100, MAX(0,
  IFERROR(_xlfn.XLOOKUP(AT74,'Lookup Tables'!$D$2:$D$6,'Lookup Tables'!$E$2:$E$6,0),0)
  + IFERROR(_xlfn.XLOOKUP(AV74,'Lookup Tables'!$G$2:$G$5,'Lookup Tables'!$H$2:$H$5,0),0)
  + IFERROR(_xlfn.XLOOKUP(AW74,'Lookup Tables'!$J$2:$J$5,'Lookup Tables'!$K$2:$K$5,0),0)
  + _xlfn.IFS(AX74="No Issues",10, AX74="Complaint Filed",3, AX74="Confirmed Breach",-15, TRUE,0)
  + IFERROR(_xlfn.XLOOKUP(AY74,'Lookup Tables'!$M$2:$M$6,'Lookup Tables'!$N$2:$N$6,0),0)
  + IFERROR(_xlfn.XLOOKUP(AZ74,'Lookup Tables'!$P$2:$P$6,'Lookup Tables'!$Q$2:$Q$6,0),0)
  + _xlfn.IFS(BA74="Formal Board Committee",5, BA74="Board Oversight Mentioned",2, TRUE,0)
  + _xlfn.IFS(BB74="Yes — Quantified Targets",5, BB74="Yes — Discretionary Only",2, TRUE,0)
  + _xlfn.IFS(BC74="Reasonable Assurance",5, BC74="Limited Assurance",3, BC74="Management Review Only",1, TRUE,0)
))</f>
        <v/>
      </c>
      <c r="BF74" s="5" t="n"/>
      <c r="BG74" s="5" t="n"/>
      <c r="BH74" s="5" t="n"/>
      <c r="BI74" s="5" t="n"/>
      <c r="BJ74" s="5" t="n"/>
      <c r="BK74" s="5" t="n"/>
      <c r="BL74" s="5" t="n"/>
      <c r="BM74" s="5" t="n"/>
      <c r="BN74" s="5" t="n"/>
      <c r="BO74" s="5" t="n"/>
      <c r="BP74" s="5" t="n"/>
      <c r="BQ74" s="5" t="n"/>
      <c r="BR74" s="5" t="n"/>
      <c r="BS74" s="41">
        <f t="array" ref="BS74">MIN(100, MAX(0,
  IFERROR(_xlfn.XLOOKUP(BG74,'Lookup Tables'!$A$11:$A$16,'Lookup Tables'!$B$11:$B$16,0),0)
  + IFERROR(_xlfn.XLOOKUP(BR74,'Lookup Tables'!$M$11:$M$14,'Lookup Tables'!$N$11:$N$14,0),0)
  + IFERROR(_xlfn.XLOOKUP(BQ74,'Lookup Tables'!$J$11:$J$15,'Lookup Tables'!$K$11:$K$15,0),0)
  + IFERROR(_xlfn.XLOOKUP(BH74,'Lookup Tables'!$D$11:$D$15,'Lookup Tables'!$E$11:$E$15,0),0)
  + IFERROR(_xlfn.XLOOKUP(BJ74,'Lookup Tables'!$G$11:$G$16,'Lookup Tables'!$H$11:$H$16,0),0)
  + IFERROR(_xlfn.XLOOKUP(BN74,'Lookup Tables'!$P$11:$P$15,'Lookup Tables'!$Q$11:$Q$15,0),0)
  + _xlfn.IFS(BM74="No Evidence",10, BM74="Unknown",3, BM74="Likely",0, BM74="Confirmed",-10, TRUE,3)
  + IFERROR(_xlfn.XLOOKUP(BP74,'Lookup Tables'!$J$21:$J$24,'Lookup Tables'!$K$21:$K$24,0),0)
))</f>
        <v/>
      </c>
      <c r="BT74" s="5" t="n"/>
      <c r="BU74" s="5" t="n"/>
      <c r="BV74" s="5" t="n"/>
      <c r="BW74" s="5" t="n"/>
      <c r="BX74" s="5" t="n"/>
      <c r="BY74" s="5" t="n"/>
      <c r="BZ74" s="5" t="n"/>
      <c r="CA74" s="5" t="n"/>
      <c r="CB74" s="5" t="n"/>
      <c r="CC74" s="5" t="n"/>
      <c r="CD74" s="5" t="n"/>
      <c r="CE74" s="43">
        <f t="array" ref="CE74">MIN(100, MAX(0,
  IF(ISNUMBER(BV74)*AND(BV74&gt;0), 10, 0)
  + _xlfn.IFS(BY74="Independently Verified",25, BY74="Yes",15, TRUE,0)
  + IFERROR(_xlfn.XLOOKUP(BZ74,'Lookup Tables'!$A$21:$A$24,'Lookup Tables'!$B$21:$B$24,0),0)
  + IFERROR(_xlfn.XLOOKUP(CA74,'Lookup Tables'!$D$21:$D$24,'Lookup Tables'!$E$21:$E$24,0),0)
  + _xlfn.IFS(ISNUMBER(CB74)*AND(CB74&gt;=11),15, ISNUMBER(CB74)*AND(CB74&gt;=6),10, ISNUMBER(CB74)*AND(CB74&gt;=1),5, TRUE,0)
  + IFERROR(_xlfn.XLOOKUP(CC74,'Lookup Tables'!$G$21:$G$25,'Lookup Tables'!$H$21:$H$25,0),0)
  - IF(ISNUMBER(BW74)*AND(ISNUMBER(BV74))*AND(BW74&gt;BV74), 20, 0)
  - IF(AND(BY74="Yes", ISNUMBER(BW74), BW74&gt;60), 10, 0)
))</f>
        <v/>
      </c>
      <c r="CF74" s="5" t="n"/>
      <c r="CG74" s="5" t="n"/>
      <c r="CH74" s="5" t="n"/>
      <c r="CI74" s="5" t="n"/>
      <c r="CJ74" s="5" t="n"/>
      <c r="CK74" s="5" t="n"/>
      <c r="CL74" s="5" t="n"/>
      <c r="CM74" s="5" t="n"/>
      <c r="CN74" s="5" t="n"/>
      <c r="CO74" s="5" t="n"/>
      <c r="CP74" s="5" t="n"/>
      <c r="CQ74" s="5" t="n"/>
      <c r="CR74" s="5">
        <f>COUNTIF(CJ74:CQ74,"FAIL")</f>
        <v/>
      </c>
      <c r="CS74" s="5">
        <f>COUNTIF(CJ74:CQ74,"PARTIAL")</f>
        <v/>
      </c>
      <c r="CT74" s="5">
        <f>COUNTIF(CJ74:CQ74,"MISSING")</f>
        <v/>
      </c>
      <c r="CU74" s="5">
        <f>MIN(100,
  CR74*15
  + CS74*6
  + CT74*3
  + IFERROR(_xlfn.XLOOKUP(CW74,'Lookup Tables'!$M$21:$M$25,'Lookup Tables'!$N$21:$N$25,0),0)
)</f>
        <v/>
      </c>
      <c r="CV74" s="5">
        <f>IFERROR(
CHOOSE(
MATCH("FAIL",CJ74:CQ74,0),
"1-Specificity","2-Metric","3-Baseline","4-Target",
"5-Time Horizon","6-Scope","7-Verification","8-Consistency"
),
IFERROR(
CHOOSE(
MATCH("PARTIAL",CJ74:CQ74,0),
"1-Specificity","2-Metric","3-Baseline","4-Target",
"5-Time Horizon","6-Scope","7-Verification","8-Consistency"
),
"No failures"
)
)</f>
        <v/>
      </c>
      <c r="CW74" s="5" t="n"/>
      <c r="CX74" s="5" t="n"/>
      <c r="CY74" s="5" t="n"/>
      <c r="CZ74" s="5" t="n"/>
      <c r="DA74" s="5">
        <f>IF(OR(CU74&gt;=50,CW74="Material",CW74="Severe",AS74="Material",AS74="Severe",BF74="Material",BF74="Severe — Exclusion Trigger",AND(ISNUMBER(BS74),BS74&lt;30)),"Yes","No")</f>
        <v/>
      </c>
      <c r="DB74" s="5">
        <f>IF(OR(CR74&gt;=6,AW74="Confirmed Violation",AX74="Confirmed Breach"),"Yes — Automatic",IF(CW74="Severe","Yes — Requires Captain Confirmation","No"))</f>
        <v/>
      </c>
      <c r="DC74" s="5" t="n"/>
      <c r="DD74" s="5" t="n"/>
      <c r="DE74" s="5" t="n"/>
      <c r="DF74" s="5" t="n"/>
      <c r="DG74" s="5" t="n"/>
      <c r="DH74" s="5" t="n"/>
      <c r="DI74" s="5" t="n"/>
      <c r="DJ74" s="5" t="n"/>
      <c r="DK74" s="5" t="n"/>
      <c r="DL74" s="5">
        <f>IF(OR(IFERROR(VALUE(LEFT(DF74,1)),99)&lt;=2,IFERROR(VALUE(LEFT(DG74,1)),99)&lt;=2),"Flagged","Clear")</f>
        <v/>
      </c>
      <c r="DM74" s="5">
        <f>IF(OR(DA74="Yes",DB74&lt;&gt;"No",DH74="Unverified",DL74="Flagged"),"Yes","No")</f>
        <v/>
      </c>
      <c r="DN74" s="5">
        <f t="array" ref="DN74">MIN(100,
  IF(ISNUMBER(V74), _xlfn.IFS(V74&gt;=3,25, V74=2,15, V74=1,5, TRUE,0), 0)
  + IFERROR(_xlfn.IFS(VALUE(LEFT(DF74,1))=5,25, VALUE(LEFT(DF74,1))=4,20, VALUE(LEFT(DF74,1))=3,15, VALUE(LEFT(DF74,1))=2,8, TRUE,0), 15)
  + IFERROR(_xlfn.IFS(VALUE(LEFT(DG74,1))=5,25, VALUE(LEFT(DG74,1))=4,20, VALUE(LEFT(DG74,1))=3,15, VALUE(LEFT(DG74,1))=2,8, TRUE,0), 15)
  + _xlfn.IFS(DH74="Fully Verified",25, DH74="Partially Verified",12, TRUE,0)
)</f>
        <v/>
      </c>
      <c r="DO74" s="5">
        <f t="array" ref="DO74">_xlfn.IFS(
  ISBLANK(AR74), "Insufficient Evidence",
  AND(AR74&gt;=65, AJ74="Approved"), "Strong",
  AR74&gt;=65, "Adequate",
  AR74&gt;=40, "Adequate",
  AR74&gt;=20, "Weak",
  TRUE, "Insufficient Evidence"
)</f>
        <v/>
      </c>
      <c r="DP74" s="5">
        <f t="array" ref="DP74">_xlfn.IFS(
  ISBLANK(BS74), "Insufficient Evidence",
  BS74&gt;=65, "Strong",
  BS74&gt;=40, "Adequate",
  BS74&gt;=20, "Weak",
  TRUE, "Insufficient Evidence"
)</f>
        <v/>
      </c>
      <c r="DQ74" s="5">
        <f t="array" ref="DQ74">_xlfn.IFS(
  ISBLANK(BE74), "Insufficient Evidence",
  OR(AW74="Confirmed Violation", AX74="Confirmed Breach"), "Severe — Hard Trigger",
  BE74&gt;=65, "Strong",
  BE74&gt;=40, "Adequate",
  BE74&gt;=20, "Weak",
  TRUE, "Insufficient Evidence"
)</f>
        <v/>
      </c>
      <c r="DR74" s="5">
        <f t="array" ref="DR74">_xlfn.IFS(
  ISBLANK(CU74), "Insufficient Evidence",
  CU74&lt;=20, "Low Risk",
  CU74&lt;=50, "Moderate Risk",
  CU74&lt;=75, "High Risk",
  TRUE, "Very High Risk"
)</f>
        <v/>
      </c>
      <c r="DS74" s="5">
        <f t="array" ref="DS74">_xlfn.IFS(
  ISBLANK(CE74), "Insufficient Evidence",
  AND(ISNUMBER(BW74),ISNUMBER(BV74),BW74&gt;BV74), "Overclaiming Risk",
  CE74&gt;=65, "Strong",
  CE74&gt;=40, "Adequate",
  TRUE, "Weak"
)</f>
        <v/>
      </c>
      <c r="DT74" s="5">
        <f>IF(DB74="Yes — Automatic",0,ROUND((IF(ISNUMBER(AR74),AR74,0)*0.3+IF(ISNUMBER(BS74),BS74,0)*0.2+IF(ISNUMBER(BE74),BE74,0)*0.2+IF(ISNUMBER(CE74),CE74,0)*0.15+(100-IF(ISNUMBER(CU74),CU74,50))*0.15)*IF(DN74&gt;=75,1,IF(DN74&gt;=50,0.9,IF(DN74&gt;=25,0.75,0.6))),1))</f>
        <v/>
      </c>
      <c r="DU74" s="5">
        <f t="array" ref="DU74">_xlfn.IFS(
  DV74="Upgraded to Clear", "Clear",
  DV74="Downgraded to Watchlist", "Watchlist",
  DV74="Downgraded to Exclusion", "Exclusion Risk",
  DB74="Yes — Automatic", "Exclusion Risk",
  OR(AW74="Confirmed Violation", AX74="Confirmed Breach"), "Exclusion Risk",
  OR(V74=0, ISBLANK(V74), DN74&lt;20), "Insufficient Evidence",
  AND(DT74&gt;=65, DA74="No", DB74="No"), "Clear",
  OR(DT74&gt;=40, DA74="Yes"), "Watchlist",
  TRUE, "Exclusion Risk"
)</f>
        <v/>
      </c>
      <c r="DV74" s="5" t="n"/>
      <c r="DW74" s="5">
        <f t="array" ref="DW74">_xlfn.IFS(
  DU74="Exclusion Risk", "Exclude — Hard Trigger",
  DU74="Insufficient Evidence", "Watchlist — Further Evidence Needed",
  DU74="Watchlist", "Watchlist — Further Evidence Needed",
  AND(DU74="Clear", DT74&gt;=80), "Include — No Conditions",
  DU74="Clear", "Include — Monitor",
  TRUE, "Watchlist — Further Evidence Needed"
)</f>
        <v/>
      </c>
      <c r="DX74" s="5" t="n"/>
      <c r="DY74" s="5" t="n"/>
      <c r="DZ74" s="5" t="n"/>
      <c r="EA74" s="5" t="n"/>
      <c r="EB74" s="5">
        <f>IF(OR(V74=0, ISBLANK(V74)), "MISSING — No sources reviewed", "")</f>
        <v/>
      </c>
      <c r="EC74" s="5">
        <f>IF(AND(NOT(ISBLANK(DC74)), ISBLANK(DE74)), "PAGE REF MISSING", "")</f>
        <v/>
      </c>
    </row>
    <row r="75" ht="18" customHeight="1" s="60">
      <c r="A75" s="3" t="inlineStr">
        <is>
          <t>Mycronic AB</t>
        </is>
      </c>
      <c r="B75" s="3" t="inlineStr">
        <is>
          <t>MLT</t>
        </is>
      </c>
      <c r="C75" s="3">
        <f>IF(ISBLANK('Universe Tracker'!D71),"",'Universe Tracker'!D71)</f>
        <v/>
      </c>
      <c r="D75" s="3" t="n"/>
      <c r="E75" s="3" t="n"/>
      <c r="F75" s="3">
        <f>IF(ISBLANK('Universe Tracker'!F71),"",'Universe Tracker'!F71)</f>
        <v/>
      </c>
      <c r="G75" s="3">
        <f>IF(ISBLANK('Universe Tracker'!G71),"",'Universe Tracker'!G71)</f>
        <v/>
      </c>
      <c r="H75" s="3" t="n"/>
      <c r="I75" s="3" t="n"/>
      <c r="J75" s="3">
        <f>IF(ISBLANK(B75),"",B75&amp;"_"&amp;C75)</f>
        <v/>
      </c>
      <c r="K75" s="3" t="n"/>
      <c r="L75" s="3" t="n"/>
      <c r="M75" s="3" t="n"/>
      <c r="N75" s="3" t="n"/>
      <c r="O75" s="3" t="n"/>
      <c r="P75" s="3" t="n"/>
      <c r="Q75" s="3" t="n"/>
      <c r="R75" s="3" t="n"/>
      <c r="S75" s="3" t="n"/>
      <c r="T75" s="3" t="n"/>
      <c r="U75" s="3" t="n"/>
      <c r="V75" s="3" t="n"/>
      <c r="W75" s="3" t="n"/>
      <c r="X75" s="3" t="n"/>
      <c r="Y75" s="3">
        <f>IF(AND(V75&gt;=2,K75="Yes",L75="Yes"),"Sufficient",IF(AND(V75&gt;=1,OR(K75="Yes",L75="Yes")),"Thin","Insufficient"))</f>
        <v/>
      </c>
      <c r="Z75" s="3" t="n"/>
      <c r="AA75" s="3" t="n"/>
      <c r="AB75" s="3" t="n"/>
      <c r="AC75" s="3" t="n"/>
      <c r="AD75" s="3" t="n"/>
      <c r="AE75" s="3" t="n"/>
      <c r="AF75" s="3" t="n"/>
      <c r="AG75" s="3" t="n"/>
      <c r="AH75" s="3" t="n"/>
      <c r="AI75" s="3" t="n"/>
      <c r="AJ75" s="3" t="n"/>
      <c r="AK75" s="3" t="n"/>
      <c r="AL75" s="3" t="n"/>
      <c r="AM75" s="3" t="n"/>
      <c r="AN75" s="3" t="n"/>
      <c r="AO75" s="3" t="n"/>
      <c r="AP75" s="3" t="n"/>
      <c r="AQ75" s="3" t="n"/>
      <c r="AR75" s="40">
        <f t="array" ref="AR75">MIN(100, MAX(0,
  IFERROR(_xlfn.XLOOKUP(AJ75,'Lookup Tables'!$A$2:$A$7,'Lookup Tables'!$B$2:$B$7,0),0)
  + IF(Z75="Yes", IF(IFERROR(_xlfn.XLOOKUP(AJ75,'Lookup Tables'!$A$2:$A$7,'Lookup Tables'!$B$2:$B$7,0),0)&lt;20, 5, 0), 0)
  + _xlfn.IFS(AB75="Yes", IF(ISNUMBER(AC75)*AND(AC75&lt;=2030),15,10), AB75="Long-term Only", 5, AB75="No", 0, TRUE, 0)
  + _xlfn.IFS(AF75="Full",10, AF75="Partial",5, AF75="Scope 2 Only",3, TRUE,0)
  + _xlfn.IFS(AG75="Yes", IF(ISNUMBER(AH75)*AND(AH75&gt;=5),10,6), AG75="Partial",4, TRUE,0)
  + _xlfn.IFS(AI75="Yes",5, AI75="Partial (material categories only)",3, TRUE,0)
  + _xlfn.IFS(AL75="Yes — Detailed",10, AL75="Yes — High Level",5, TRUE,0)
  + _xlfn.IFS(AM75="Yes — Quantified",15, AM75="Yes — Directional Only",7, TRUE,0)
  + _xlfn.IFS(AP75="Formal",5, AP75="Referenced",2, TRUE,0)
  + _xlfn.IFS(AQ75="No Issues Found",5, AQ75="Concern Identified",-5, AQ75="Severe Contradiction",-15, TRUE,0)
  + _xlfn.IFS(BC75="Reasonable Assurance",5, BC75="Limited Assurance",3, TRUE,0)
  - IF(AND(Z75="Yes", AI75="No"), 10, 0)
  - IF(AND(Z75="Yes", AM75="No"), 10, 0)
))</f>
        <v/>
      </c>
      <c r="AS75" s="3" t="n"/>
      <c r="AT75" s="3" t="n"/>
      <c r="AU75" s="3" t="n"/>
      <c r="AV75" s="3" t="n"/>
      <c r="AW75" s="3" t="n"/>
      <c r="AX75" s="3" t="n"/>
      <c r="AY75" s="3" t="n"/>
      <c r="AZ75" s="3" t="n"/>
      <c r="BA75" s="3" t="n"/>
      <c r="BB75" s="3" t="n"/>
      <c r="BC75" s="3" t="n"/>
      <c r="BD75" s="3" t="n"/>
      <c r="BE75" s="40">
        <f t="array" ref="BE75">MIN(100, MAX(0,
  IFERROR(_xlfn.XLOOKUP(AT75,'Lookup Tables'!$D$2:$D$6,'Lookup Tables'!$E$2:$E$6,0),0)
  + IFERROR(_xlfn.XLOOKUP(AV75,'Lookup Tables'!$G$2:$G$5,'Lookup Tables'!$H$2:$H$5,0),0)
  + IFERROR(_xlfn.XLOOKUP(AW75,'Lookup Tables'!$J$2:$J$5,'Lookup Tables'!$K$2:$K$5,0),0)
  + _xlfn.IFS(AX75="No Issues",10, AX75="Complaint Filed",3, AX75="Confirmed Breach",-15, TRUE,0)
  + IFERROR(_xlfn.XLOOKUP(AY75,'Lookup Tables'!$M$2:$M$6,'Lookup Tables'!$N$2:$N$6,0),0)
  + IFERROR(_xlfn.XLOOKUP(AZ75,'Lookup Tables'!$P$2:$P$6,'Lookup Tables'!$Q$2:$Q$6,0),0)
  + _xlfn.IFS(BA75="Formal Board Committee",5, BA75="Board Oversight Mentioned",2, TRUE,0)
  + _xlfn.IFS(BB75="Yes — Quantified Targets",5, BB75="Yes — Discretionary Only",2, TRUE,0)
  + _xlfn.IFS(BC75="Reasonable Assurance",5, BC75="Limited Assurance",3, BC75="Management Review Only",1, TRUE,0)
))</f>
        <v/>
      </c>
      <c r="BF75" s="3" t="n"/>
      <c r="BG75" s="3" t="n"/>
      <c r="BH75" s="3" t="n"/>
      <c r="BI75" s="3" t="n"/>
      <c r="BJ75" s="3" t="n"/>
      <c r="BK75" s="3" t="n"/>
      <c r="BL75" s="3" t="n"/>
      <c r="BM75" s="3" t="n"/>
      <c r="BN75" s="3" t="n"/>
      <c r="BO75" s="3" t="n"/>
      <c r="BP75" s="3" t="n"/>
      <c r="BQ75" s="3" t="n"/>
      <c r="BR75" s="3" t="n"/>
      <c r="BS75" s="42">
        <f t="array" ref="BS75">MIN(100, MAX(0,
  IFERROR(_xlfn.XLOOKUP(BG75,'Lookup Tables'!$A$11:$A$16,'Lookup Tables'!$B$11:$B$16,0),0)
  + IFERROR(_xlfn.XLOOKUP(BR75,'Lookup Tables'!$M$11:$M$14,'Lookup Tables'!$N$11:$N$14,0),0)
  + IFERROR(_xlfn.XLOOKUP(BQ75,'Lookup Tables'!$J$11:$J$15,'Lookup Tables'!$K$11:$K$15,0),0)
  + IFERROR(_xlfn.XLOOKUP(BH75,'Lookup Tables'!$D$11:$D$15,'Lookup Tables'!$E$11:$E$15,0),0)
  + IFERROR(_xlfn.XLOOKUP(BJ75,'Lookup Tables'!$G$11:$G$16,'Lookup Tables'!$H$11:$H$16,0),0)
  + IFERROR(_xlfn.XLOOKUP(BN75,'Lookup Tables'!$P$11:$P$15,'Lookup Tables'!$Q$11:$Q$15,0),0)
  + _xlfn.IFS(BM75="No Evidence",10, BM75="Unknown",3, BM75="Likely",0, BM75="Confirmed",-10, TRUE,3)
  + IFERROR(_xlfn.XLOOKUP(BP75,'Lookup Tables'!$J$21:$J$24,'Lookup Tables'!$K$21:$K$24,0),0)
))</f>
        <v/>
      </c>
      <c r="BT75" s="3" t="n"/>
      <c r="BU75" s="3" t="n"/>
      <c r="BV75" s="3" t="n"/>
      <c r="BW75" s="3" t="n"/>
      <c r="BX75" s="3" t="n"/>
      <c r="BY75" s="3" t="n"/>
      <c r="BZ75" s="3" t="n"/>
      <c r="CA75" s="3" t="n"/>
      <c r="CB75" s="3" t="n"/>
      <c r="CC75" s="3" t="n"/>
      <c r="CD75" s="3" t="n"/>
      <c r="CE75" s="44">
        <f t="array" ref="CE75">MIN(100, MAX(0,
  IF(ISNUMBER(BV75)*AND(BV75&gt;0), 10, 0)
  + _xlfn.IFS(BY75="Independently Verified",25, BY75="Yes",15, TRUE,0)
  + IFERROR(_xlfn.XLOOKUP(BZ75,'Lookup Tables'!$A$21:$A$24,'Lookup Tables'!$B$21:$B$24,0),0)
  + IFERROR(_xlfn.XLOOKUP(CA75,'Lookup Tables'!$D$21:$D$24,'Lookup Tables'!$E$21:$E$24,0),0)
  + _xlfn.IFS(ISNUMBER(CB75)*AND(CB75&gt;=11),15, ISNUMBER(CB75)*AND(CB75&gt;=6),10, ISNUMBER(CB75)*AND(CB75&gt;=1),5, TRUE,0)
  + IFERROR(_xlfn.XLOOKUP(CC75,'Lookup Tables'!$G$21:$G$25,'Lookup Tables'!$H$21:$H$25,0),0)
  - IF(ISNUMBER(BW75)*AND(ISNUMBER(BV75))*AND(BW75&gt;BV75), 20, 0)
  - IF(AND(BY75="Yes", ISNUMBER(BW75), BW75&gt;60), 10, 0)
))</f>
        <v/>
      </c>
      <c r="CF75" s="3" t="n"/>
      <c r="CG75" s="3" t="n"/>
      <c r="CH75" s="3" t="n"/>
      <c r="CI75" s="3" t="n"/>
      <c r="CJ75" s="3" t="n"/>
      <c r="CK75" s="3" t="n"/>
      <c r="CL75" s="3" t="n"/>
      <c r="CM75" s="3" t="n"/>
      <c r="CN75" s="3" t="n"/>
      <c r="CO75" s="3" t="n"/>
      <c r="CP75" s="3" t="n"/>
      <c r="CQ75" s="3" t="n"/>
      <c r="CR75" s="3">
        <f>COUNTIF(CJ75:CQ75,"FAIL")</f>
        <v/>
      </c>
      <c r="CS75" s="3">
        <f>COUNTIF(CJ75:CQ75,"PARTIAL")</f>
        <v/>
      </c>
      <c r="CT75" s="3">
        <f>COUNTIF(CJ75:CQ75,"MISSING")</f>
        <v/>
      </c>
      <c r="CU75" s="3">
        <f>MIN(100,
  CR75*15
  + CS75*6
  + CT75*3
  + IFERROR(_xlfn.XLOOKUP(CW75,'Lookup Tables'!$M$21:$M$25,'Lookup Tables'!$N$21:$N$25,0),0)
)</f>
        <v/>
      </c>
      <c r="CV75" s="3">
        <f>IFERROR(
CHOOSE(
MATCH("FAIL",CJ75:CQ75,0),
"1-Specificity","2-Metric","3-Baseline","4-Target",
"5-Time Horizon","6-Scope","7-Verification","8-Consistency"
),
IFERROR(
CHOOSE(
MATCH("PARTIAL",CJ75:CQ75,0),
"1-Specificity","2-Metric","3-Baseline","4-Target",
"5-Time Horizon","6-Scope","7-Verification","8-Consistency"
),
"No failures"
)
)</f>
        <v/>
      </c>
      <c r="CW75" s="3" t="n"/>
      <c r="CX75" s="3" t="n"/>
      <c r="CY75" s="3" t="n"/>
      <c r="CZ75" s="3" t="n"/>
      <c r="DA75" s="3">
        <f>IF(OR(CU75&gt;=50,CW75="Material",CW75="Severe",AS75="Material",AS75="Severe",BF75="Material",BF75="Severe — Exclusion Trigger",AND(ISNUMBER(BS75),BS75&lt;30)),"Yes","No")</f>
        <v/>
      </c>
      <c r="DB75" s="3">
        <f>IF(OR(CR75&gt;=6,AW75="Confirmed Violation",AX75="Confirmed Breach"),"Yes — Automatic",IF(CW75="Severe","Yes — Requires Captain Confirmation","No"))</f>
        <v/>
      </c>
      <c r="DC75" s="3" t="n"/>
      <c r="DD75" s="3" t="n"/>
      <c r="DE75" s="3" t="n"/>
      <c r="DF75" s="3" t="n"/>
      <c r="DG75" s="3" t="n"/>
      <c r="DH75" s="3" t="n"/>
      <c r="DI75" s="3" t="n"/>
      <c r="DJ75" s="3" t="n"/>
      <c r="DK75" s="3" t="n"/>
      <c r="DL75" s="3">
        <f>IF(OR(IFERROR(VALUE(LEFT(DF75,1)),99)&lt;=2,IFERROR(VALUE(LEFT(DG75,1)),99)&lt;=2),"Flagged","Clear")</f>
        <v/>
      </c>
      <c r="DM75" s="3">
        <f>IF(OR(DA75="Yes",DB75&lt;&gt;"No",DH75="Unverified",DL75="Flagged"),"Yes","No")</f>
        <v/>
      </c>
      <c r="DN75" s="3">
        <f t="array" ref="DN75">MIN(100,
  IF(ISNUMBER(V75), _xlfn.IFS(V75&gt;=3,25, V75=2,15, V75=1,5, TRUE,0), 0)
  + IFERROR(_xlfn.IFS(VALUE(LEFT(DF75,1))=5,25, VALUE(LEFT(DF75,1))=4,20, VALUE(LEFT(DF75,1))=3,15, VALUE(LEFT(DF75,1))=2,8, TRUE,0), 15)
  + IFERROR(_xlfn.IFS(VALUE(LEFT(DG75,1))=5,25, VALUE(LEFT(DG75,1))=4,20, VALUE(LEFT(DG75,1))=3,15, VALUE(LEFT(DG75,1))=2,8, TRUE,0), 15)
  + _xlfn.IFS(DH75="Fully Verified",25, DH75="Partially Verified",12, TRUE,0)
)</f>
        <v/>
      </c>
      <c r="DO75" s="3">
        <f t="array" ref="DO75">_xlfn.IFS(
  ISBLANK(AR75), "Insufficient Evidence",
  AND(AR75&gt;=65, AJ75="Approved"), "Strong",
  AR75&gt;=65, "Adequate",
  AR75&gt;=40, "Adequate",
  AR75&gt;=20, "Weak",
  TRUE, "Insufficient Evidence"
)</f>
        <v/>
      </c>
      <c r="DP75" s="3">
        <f t="array" ref="DP75">_xlfn.IFS(
  ISBLANK(BS75), "Insufficient Evidence",
  BS75&gt;=65, "Strong",
  BS75&gt;=40, "Adequate",
  BS75&gt;=20, "Weak",
  TRUE, "Insufficient Evidence"
)</f>
        <v/>
      </c>
      <c r="DQ75" s="3">
        <f t="array" ref="DQ75">_xlfn.IFS(
  ISBLANK(BE75), "Insufficient Evidence",
  OR(AW75="Confirmed Violation", AX75="Confirmed Breach"), "Severe — Hard Trigger",
  BE75&gt;=65, "Strong",
  BE75&gt;=40, "Adequate",
  BE75&gt;=20, "Weak",
  TRUE, "Insufficient Evidence"
)</f>
        <v/>
      </c>
      <c r="DR75" s="3">
        <f t="array" ref="DR75">_xlfn.IFS(
  ISBLANK(CU75), "Insufficient Evidence",
  CU75&lt;=20, "Low Risk",
  CU75&lt;=50, "Moderate Risk",
  CU75&lt;=75, "High Risk",
  TRUE, "Very High Risk"
)</f>
        <v/>
      </c>
      <c r="DS75" s="3">
        <f t="array" ref="DS75">_xlfn.IFS(
  ISBLANK(CE75), "Insufficient Evidence",
  AND(ISNUMBER(BW75),ISNUMBER(BV75),BW75&gt;BV75), "Overclaiming Risk",
  CE75&gt;=65, "Strong",
  CE75&gt;=40, "Adequate",
  TRUE, "Weak"
)</f>
        <v/>
      </c>
      <c r="DT75" s="3">
        <f>IF(DB75="Yes — Automatic",0,ROUND((IF(ISNUMBER(AR75),AR75,0)*0.3+IF(ISNUMBER(BS75),BS75,0)*0.2+IF(ISNUMBER(BE75),BE75,0)*0.2+IF(ISNUMBER(CE75),CE75,0)*0.15+(100-IF(ISNUMBER(CU75),CU75,50))*0.15)*IF(DN75&gt;=75,1,IF(DN75&gt;=50,0.9,IF(DN75&gt;=25,0.75,0.6))),1))</f>
        <v/>
      </c>
      <c r="DU75" s="3">
        <f t="array" ref="DU75">_xlfn.IFS(
  DV75="Upgraded to Clear", "Clear",
  DV75="Downgraded to Watchlist", "Watchlist",
  DV75="Downgraded to Exclusion", "Exclusion Risk",
  DB75="Yes — Automatic", "Exclusion Risk",
  OR(AW75="Confirmed Violation", AX75="Confirmed Breach"), "Exclusion Risk",
  OR(V75=0, ISBLANK(V75), DN75&lt;20), "Insufficient Evidence",
  AND(DT75&gt;=65, DA75="No", DB75="No"), "Clear",
  OR(DT75&gt;=40, DA75="Yes"), "Watchlist",
  TRUE, "Exclusion Risk"
)</f>
        <v/>
      </c>
      <c r="DV75" s="3" t="n"/>
      <c r="DW75" s="3">
        <f t="array" ref="DW75">_xlfn.IFS(
  DU75="Exclusion Risk", "Exclude — Hard Trigger",
  DU75="Insufficient Evidence", "Watchlist — Further Evidence Needed",
  DU75="Watchlist", "Watchlist — Further Evidence Needed",
  AND(DU75="Clear", DT75&gt;=80), "Include — No Conditions",
  DU75="Clear", "Include — Monitor",
  TRUE, "Watchlist — Further Evidence Needed"
)</f>
        <v/>
      </c>
      <c r="DX75" s="3" t="n"/>
      <c r="DY75" s="3" t="n"/>
      <c r="DZ75" s="3" t="n"/>
      <c r="EA75" s="3" t="n"/>
      <c r="EB75" s="3">
        <f>IF(OR(V75=0, ISBLANK(V75)), "MISSING — No sources reviewed", "")</f>
        <v/>
      </c>
      <c r="EC75" s="3">
        <f>IF(AND(NOT(ISBLANK(DC75)), ISBLANK(DE75)), "PAGE REF MISSING", "")</f>
        <v/>
      </c>
    </row>
    <row r="76" ht="18" customHeight="1" s="60">
      <c r="A76" s="5" t="inlineStr">
        <is>
          <t>DNB Bank ASA</t>
        </is>
      </c>
      <c r="B76" s="5" t="inlineStr">
        <is>
          <t>D1NC</t>
        </is>
      </c>
      <c r="C76" s="5">
        <f>IF(ISBLANK('Universe Tracker'!D72),"",'Universe Tracker'!D72)</f>
        <v/>
      </c>
      <c r="D76" s="5" t="n"/>
      <c r="E76" s="5" t="n"/>
      <c r="F76" s="5">
        <f>IF(ISBLANK('Universe Tracker'!F72),"",'Universe Tracker'!F72)</f>
        <v/>
      </c>
      <c r="G76" s="5">
        <f>IF(ISBLANK('Universe Tracker'!G72),"",'Universe Tracker'!G72)</f>
        <v/>
      </c>
      <c r="H76" s="5" t="n"/>
      <c r="I76" s="5" t="n"/>
      <c r="J76" s="5">
        <f>IF(ISBLANK(B76),"",B76&amp;"_"&amp;C76)</f>
        <v/>
      </c>
      <c r="K76" s="5" t="n"/>
      <c r="L76" s="5" t="n"/>
      <c r="M76" s="5" t="n"/>
      <c r="N76" s="5" t="n"/>
      <c r="O76" s="5" t="n"/>
      <c r="P76" s="5" t="n"/>
      <c r="Q76" s="5" t="n"/>
      <c r="R76" s="5" t="n"/>
      <c r="S76" s="5" t="n"/>
      <c r="T76" s="5" t="n"/>
      <c r="U76" s="5" t="n"/>
      <c r="V76" s="5" t="n"/>
      <c r="W76" s="5" t="n"/>
      <c r="X76" s="5" t="n"/>
      <c r="Y76" s="5">
        <f>IF(AND(V76&gt;=2,K76="Yes",L76="Yes"),"Sufficient",IF(AND(V76&gt;=1,OR(K76="Yes",L76="Yes")),"Thin","Insufficient"))</f>
        <v/>
      </c>
      <c r="Z76" s="5" t="n"/>
      <c r="AA76" s="5" t="n"/>
      <c r="AB76" s="5" t="n"/>
      <c r="AC76" s="5" t="n"/>
      <c r="AD76" s="5" t="n"/>
      <c r="AE76" s="5" t="n"/>
      <c r="AF76" s="5" t="n"/>
      <c r="AG76" s="5" t="n"/>
      <c r="AH76" s="5" t="n"/>
      <c r="AI76" s="5" t="n"/>
      <c r="AJ76" s="5" t="n"/>
      <c r="AK76" s="5" t="n"/>
      <c r="AL76" s="5" t="n"/>
      <c r="AM76" s="5" t="n"/>
      <c r="AN76" s="5" t="n"/>
      <c r="AO76" s="5" t="n"/>
      <c r="AP76" s="5" t="n"/>
      <c r="AQ76" s="5" t="n"/>
      <c r="AR76" s="40">
        <f t="array" ref="AR76">MIN(100, MAX(0,
  IFERROR(_xlfn.XLOOKUP(AJ76,'Lookup Tables'!$A$2:$A$7,'Lookup Tables'!$B$2:$B$7,0),0)
  + IF(Z76="Yes", IF(IFERROR(_xlfn.XLOOKUP(AJ76,'Lookup Tables'!$A$2:$A$7,'Lookup Tables'!$B$2:$B$7,0),0)&lt;20, 5, 0), 0)
  + _xlfn.IFS(AB76="Yes", IF(ISNUMBER(AC76)*AND(AC76&lt;=2030),15,10), AB76="Long-term Only", 5, AB76="No", 0, TRUE, 0)
  + _xlfn.IFS(AF76="Full",10, AF76="Partial",5, AF76="Scope 2 Only",3, TRUE,0)
  + _xlfn.IFS(AG76="Yes", IF(ISNUMBER(AH76)*AND(AH76&gt;=5),10,6), AG76="Partial",4, TRUE,0)
  + _xlfn.IFS(AI76="Yes",5, AI76="Partial (material categories only)",3, TRUE,0)
  + _xlfn.IFS(AL76="Yes — Detailed",10, AL76="Yes — High Level",5, TRUE,0)
  + _xlfn.IFS(AM76="Yes — Quantified",15, AM76="Yes — Directional Only",7, TRUE,0)
  + _xlfn.IFS(AP76="Formal",5, AP76="Referenced",2, TRUE,0)
  + _xlfn.IFS(AQ76="No Issues Found",5, AQ76="Concern Identified",-5, AQ76="Severe Contradiction",-15, TRUE,0)
  + _xlfn.IFS(BC76="Reasonable Assurance",5, BC76="Limited Assurance",3, TRUE,0)
  - IF(AND(Z76="Yes", AI76="No"), 10, 0)
  - IF(AND(Z76="Yes", AM76="No"), 10, 0)
))</f>
        <v/>
      </c>
      <c r="AS76" s="5" t="n"/>
      <c r="AT76" s="5" t="n"/>
      <c r="AU76" s="5" t="n"/>
      <c r="AV76" s="5" t="n"/>
      <c r="AW76" s="5" t="n"/>
      <c r="AX76" s="5" t="n"/>
      <c r="AY76" s="5" t="n"/>
      <c r="AZ76" s="5" t="n"/>
      <c r="BA76" s="5" t="n"/>
      <c r="BB76" s="5" t="n"/>
      <c r="BC76" s="5" t="n"/>
      <c r="BD76" s="5" t="n"/>
      <c r="BE76" s="39">
        <f t="array" ref="BE76">MIN(100, MAX(0,
  IFERROR(_xlfn.XLOOKUP(AT76,'Lookup Tables'!$D$2:$D$6,'Lookup Tables'!$E$2:$E$6,0),0)
  + IFERROR(_xlfn.XLOOKUP(AV76,'Lookup Tables'!$G$2:$G$5,'Lookup Tables'!$H$2:$H$5,0),0)
  + IFERROR(_xlfn.XLOOKUP(AW76,'Lookup Tables'!$J$2:$J$5,'Lookup Tables'!$K$2:$K$5,0),0)
  + _xlfn.IFS(AX76="No Issues",10, AX76="Complaint Filed",3, AX76="Confirmed Breach",-15, TRUE,0)
  + IFERROR(_xlfn.XLOOKUP(AY76,'Lookup Tables'!$M$2:$M$6,'Lookup Tables'!$N$2:$N$6,0),0)
  + IFERROR(_xlfn.XLOOKUP(AZ76,'Lookup Tables'!$P$2:$P$6,'Lookup Tables'!$Q$2:$Q$6,0),0)
  + _xlfn.IFS(BA76="Formal Board Committee",5, BA76="Board Oversight Mentioned",2, TRUE,0)
  + _xlfn.IFS(BB76="Yes — Quantified Targets",5, BB76="Yes — Discretionary Only",2, TRUE,0)
  + _xlfn.IFS(BC76="Reasonable Assurance",5, BC76="Limited Assurance",3, BC76="Management Review Only",1, TRUE,0)
))</f>
        <v/>
      </c>
      <c r="BF76" s="5" t="n"/>
      <c r="BG76" s="5" t="n"/>
      <c r="BH76" s="5" t="n"/>
      <c r="BI76" s="5" t="n"/>
      <c r="BJ76" s="5" t="n"/>
      <c r="BK76" s="5" t="n"/>
      <c r="BL76" s="5" t="n"/>
      <c r="BM76" s="5" t="n"/>
      <c r="BN76" s="5" t="n"/>
      <c r="BO76" s="5" t="n"/>
      <c r="BP76" s="5" t="n"/>
      <c r="BQ76" s="5" t="n"/>
      <c r="BR76" s="5" t="n"/>
      <c r="BS76" s="41">
        <f t="array" ref="BS76">MIN(100, MAX(0,
  IFERROR(_xlfn.XLOOKUP(BG76,'Lookup Tables'!$A$11:$A$16,'Lookup Tables'!$B$11:$B$16,0),0)
  + IFERROR(_xlfn.XLOOKUP(BR76,'Lookup Tables'!$M$11:$M$14,'Lookup Tables'!$N$11:$N$14,0),0)
  + IFERROR(_xlfn.XLOOKUP(BQ76,'Lookup Tables'!$J$11:$J$15,'Lookup Tables'!$K$11:$K$15,0),0)
  + IFERROR(_xlfn.XLOOKUP(BH76,'Lookup Tables'!$D$11:$D$15,'Lookup Tables'!$E$11:$E$15,0),0)
  + IFERROR(_xlfn.XLOOKUP(BJ76,'Lookup Tables'!$G$11:$G$16,'Lookup Tables'!$H$11:$H$16,0),0)
  + IFERROR(_xlfn.XLOOKUP(BN76,'Lookup Tables'!$P$11:$P$15,'Lookup Tables'!$Q$11:$Q$15,0),0)
  + _xlfn.IFS(BM76="No Evidence",10, BM76="Unknown",3, BM76="Likely",0, BM76="Confirmed",-10, TRUE,3)
  + IFERROR(_xlfn.XLOOKUP(BP76,'Lookup Tables'!$J$21:$J$24,'Lookup Tables'!$K$21:$K$24,0),0)
))</f>
        <v/>
      </c>
      <c r="BT76" s="5" t="n"/>
      <c r="BU76" s="5" t="n"/>
      <c r="BV76" s="5" t="n"/>
      <c r="BW76" s="5" t="n"/>
      <c r="BX76" s="5" t="n"/>
      <c r="BY76" s="5" t="n"/>
      <c r="BZ76" s="5" t="n"/>
      <c r="CA76" s="5" t="n"/>
      <c r="CB76" s="5" t="n"/>
      <c r="CC76" s="5" t="n"/>
      <c r="CD76" s="5" t="n"/>
      <c r="CE76" s="43">
        <f t="array" ref="CE76">MIN(100, MAX(0,
  IF(ISNUMBER(BV76)*AND(BV76&gt;0), 10, 0)
  + _xlfn.IFS(BY76="Independently Verified",25, BY76="Yes",15, TRUE,0)
  + IFERROR(_xlfn.XLOOKUP(BZ76,'Lookup Tables'!$A$21:$A$24,'Lookup Tables'!$B$21:$B$24,0),0)
  + IFERROR(_xlfn.XLOOKUP(CA76,'Lookup Tables'!$D$21:$D$24,'Lookup Tables'!$E$21:$E$24,0),0)
  + _xlfn.IFS(ISNUMBER(CB76)*AND(CB76&gt;=11),15, ISNUMBER(CB76)*AND(CB76&gt;=6),10, ISNUMBER(CB76)*AND(CB76&gt;=1),5, TRUE,0)
  + IFERROR(_xlfn.XLOOKUP(CC76,'Lookup Tables'!$G$21:$G$25,'Lookup Tables'!$H$21:$H$25,0),0)
  - IF(ISNUMBER(BW76)*AND(ISNUMBER(BV76))*AND(BW76&gt;BV76), 20, 0)
  - IF(AND(BY76="Yes", ISNUMBER(BW76), BW76&gt;60), 10, 0)
))</f>
        <v/>
      </c>
      <c r="CF76" s="5" t="n"/>
      <c r="CG76" s="5" t="n"/>
      <c r="CH76" s="5" t="n"/>
      <c r="CI76" s="5" t="n"/>
      <c r="CJ76" s="5" t="n"/>
      <c r="CK76" s="5" t="n"/>
      <c r="CL76" s="5" t="n"/>
      <c r="CM76" s="5" t="n"/>
      <c r="CN76" s="5" t="n"/>
      <c r="CO76" s="5" t="n"/>
      <c r="CP76" s="5" t="n"/>
      <c r="CQ76" s="5" t="n"/>
      <c r="CR76" s="5">
        <f>COUNTIF(CJ76:CQ76,"FAIL")</f>
        <v/>
      </c>
      <c r="CS76" s="5">
        <f>COUNTIF(CJ76:CQ76,"PARTIAL")</f>
        <v/>
      </c>
      <c r="CT76" s="5">
        <f>COUNTIF(CJ76:CQ76,"MISSING")</f>
        <v/>
      </c>
      <c r="CU76" s="5">
        <f>MIN(100,
  CR76*15
  + CS76*6
  + CT76*3
  + IFERROR(_xlfn.XLOOKUP(CW76,'Lookup Tables'!$M$21:$M$25,'Lookup Tables'!$N$21:$N$25,0),0)
)</f>
        <v/>
      </c>
      <c r="CV76" s="5">
        <f>IFERROR(
CHOOSE(
MATCH("FAIL",CJ76:CQ76,0),
"1-Specificity","2-Metric","3-Baseline","4-Target",
"5-Time Horizon","6-Scope","7-Verification","8-Consistency"
),
IFERROR(
CHOOSE(
MATCH("PARTIAL",CJ76:CQ76,0),
"1-Specificity","2-Metric","3-Baseline","4-Target",
"5-Time Horizon","6-Scope","7-Verification","8-Consistency"
),
"No failures"
)
)</f>
        <v/>
      </c>
      <c r="CW76" s="5" t="n"/>
      <c r="CX76" s="5" t="n"/>
      <c r="CY76" s="5" t="n"/>
      <c r="CZ76" s="5" t="n"/>
      <c r="DA76" s="5">
        <f>IF(OR(CU76&gt;=50,CW76="Material",CW76="Severe",AS76="Material",AS76="Severe",BF76="Material",BF76="Severe — Exclusion Trigger",AND(ISNUMBER(BS76),BS76&lt;30)),"Yes","No")</f>
        <v/>
      </c>
      <c r="DB76" s="5">
        <f>IF(OR(CR76&gt;=6,AW76="Confirmed Violation",AX76="Confirmed Breach"),"Yes — Automatic",IF(CW76="Severe","Yes — Requires Captain Confirmation","No"))</f>
        <v/>
      </c>
      <c r="DC76" s="5" t="n"/>
      <c r="DD76" s="5" t="n"/>
      <c r="DE76" s="5" t="n"/>
      <c r="DF76" s="5" t="n"/>
      <c r="DG76" s="5" t="n"/>
      <c r="DH76" s="5" t="n"/>
      <c r="DI76" s="5" t="n"/>
      <c r="DJ76" s="5" t="n"/>
      <c r="DK76" s="5" t="n"/>
      <c r="DL76" s="5">
        <f>IF(OR(IFERROR(VALUE(LEFT(DF76,1)),99)&lt;=2,IFERROR(VALUE(LEFT(DG76,1)),99)&lt;=2),"Flagged","Clear")</f>
        <v/>
      </c>
      <c r="DM76" s="5">
        <f>IF(OR(DA76="Yes",DB76&lt;&gt;"No",DH76="Unverified",DL76="Flagged"),"Yes","No")</f>
        <v/>
      </c>
      <c r="DN76" s="5">
        <f t="array" ref="DN76">MIN(100,
  IF(ISNUMBER(V76), _xlfn.IFS(V76&gt;=3,25, V76=2,15, V76=1,5, TRUE,0), 0)
  + IFERROR(_xlfn.IFS(VALUE(LEFT(DF76,1))=5,25, VALUE(LEFT(DF76,1))=4,20, VALUE(LEFT(DF76,1))=3,15, VALUE(LEFT(DF76,1))=2,8, TRUE,0), 15)
  + IFERROR(_xlfn.IFS(VALUE(LEFT(DG76,1))=5,25, VALUE(LEFT(DG76,1))=4,20, VALUE(LEFT(DG76,1))=3,15, VALUE(LEFT(DG76,1))=2,8, TRUE,0), 15)
  + _xlfn.IFS(DH76="Fully Verified",25, DH76="Partially Verified",12, TRUE,0)
)</f>
        <v/>
      </c>
      <c r="DO76" s="5">
        <f t="array" ref="DO76">_xlfn.IFS(
  ISBLANK(AR76), "Insufficient Evidence",
  AND(AR76&gt;=65, AJ76="Approved"), "Strong",
  AR76&gt;=65, "Adequate",
  AR76&gt;=40, "Adequate",
  AR76&gt;=20, "Weak",
  TRUE, "Insufficient Evidence"
)</f>
        <v/>
      </c>
      <c r="DP76" s="5">
        <f t="array" ref="DP76">_xlfn.IFS(
  ISBLANK(BS76), "Insufficient Evidence",
  BS76&gt;=65, "Strong",
  BS76&gt;=40, "Adequate",
  BS76&gt;=20, "Weak",
  TRUE, "Insufficient Evidence"
)</f>
        <v/>
      </c>
      <c r="DQ76" s="5">
        <f t="array" ref="DQ76">_xlfn.IFS(
  ISBLANK(BE76), "Insufficient Evidence",
  OR(AW76="Confirmed Violation", AX76="Confirmed Breach"), "Severe — Hard Trigger",
  BE76&gt;=65, "Strong",
  BE76&gt;=40, "Adequate",
  BE76&gt;=20, "Weak",
  TRUE, "Insufficient Evidence"
)</f>
        <v/>
      </c>
      <c r="DR76" s="5">
        <f t="array" ref="DR76">_xlfn.IFS(
  ISBLANK(CU76), "Insufficient Evidence",
  CU76&lt;=20, "Low Risk",
  CU76&lt;=50, "Moderate Risk",
  CU76&lt;=75, "High Risk",
  TRUE, "Very High Risk"
)</f>
        <v/>
      </c>
      <c r="DS76" s="5">
        <f t="array" ref="DS76">_xlfn.IFS(
  ISBLANK(CE76), "Insufficient Evidence",
  AND(ISNUMBER(BW76),ISNUMBER(BV76),BW76&gt;BV76), "Overclaiming Risk",
  CE76&gt;=65, "Strong",
  CE76&gt;=40, "Adequate",
  TRUE, "Weak"
)</f>
        <v/>
      </c>
      <c r="DT76" s="5">
        <f>IF(DB76="Yes — Automatic",0,ROUND((IF(ISNUMBER(AR76),AR76,0)*0.3+IF(ISNUMBER(BS76),BS76,0)*0.2+IF(ISNUMBER(BE76),BE76,0)*0.2+IF(ISNUMBER(CE76),CE76,0)*0.15+(100-IF(ISNUMBER(CU76),CU76,50))*0.15)*IF(DN76&gt;=75,1,IF(DN76&gt;=50,0.9,IF(DN76&gt;=25,0.75,0.6))),1))</f>
        <v/>
      </c>
      <c r="DU76" s="5">
        <f t="array" ref="DU76">_xlfn.IFS(
  DV76="Upgraded to Clear", "Clear",
  DV76="Downgraded to Watchlist", "Watchlist",
  DV76="Downgraded to Exclusion", "Exclusion Risk",
  DB76="Yes — Automatic", "Exclusion Risk",
  OR(AW76="Confirmed Violation", AX76="Confirmed Breach"), "Exclusion Risk",
  OR(V76=0, ISBLANK(V76), DN76&lt;20), "Insufficient Evidence",
  AND(DT76&gt;=65, DA76="No", DB76="No"), "Clear",
  OR(DT76&gt;=40, DA76="Yes"), "Watchlist",
  TRUE, "Exclusion Risk"
)</f>
        <v/>
      </c>
      <c r="DV76" s="5" t="n"/>
      <c r="DW76" s="5">
        <f t="array" ref="DW76">_xlfn.IFS(
  DU76="Exclusion Risk", "Exclude — Hard Trigger",
  DU76="Insufficient Evidence", "Watchlist — Further Evidence Needed",
  DU76="Watchlist", "Watchlist — Further Evidence Needed",
  AND(DU76="Clear", DT76&gt;=80), "Include — No Conditions",
  DU76="Clear", "Include — Monitor",
  TRUE, "Watchlist — Further Evidence Needed"
)</f>
        <v/>
      </c>
      <c r="DX76" s="5" t="n"/>
      <c r="DY76" s="5" t="n"/>
      <c r="DZ76" s="5" t="n"/>
      <c r="EA76" s="5" t="n"/>
      <c r="EB76" s="5">
        <f>IF(OR(V76=0, ISBLANK(V76)), "MISSING — No sources reviewed", "")</f>
        <v/>
      </c>
      <c r="EC76" s="5">
        <f>IF(AND(NOT(ISBLANK(DC76)), ISBLANK(DE76)), "PAGE REF MISSING", "")</f>
        <v/>
      </c>
    </row>
    <row r="77" ht="18" customHeight="1" s="60">
      <c r="A77" s="3" t="inlineStr">
        <is>
          <t>VAT Group AG</t>
        </is>
      </c>
      <c r="B77" s="3" t="inlineStr">
        <is>
          <t>19V</t>
        </is>
      </c>
      <c r="C77" s="3">
        <f>IF(ISBLANK('Universe Tracker'!D73),"",'Universe Tracker'!D73)</f>
        <v/>
      </c>
      <c r="D77" s="3" t="n"/>
      <c r="E77" s="3" t="n"/>
      <c r="F77" s="3">
        <f>IF(ISBLANK('Universe Tracker'!F73),"",'Universe Tracker'!F73)</f>
        <v/>
      </c>
      <c r="G77" s="3">
        <f>IF(ISBLANK('Universe Tracker'!G73),"",'Universe Tracker'!G73)</f>
        <v/>
      </c>
      <c r="H77" s="3" t="n"/>
      <c r="I77" s="3" t="n"/>
      <c r="J77" s="3">
        <f>IF(ISBLANK(B77),"",B77&amp;"_"&amp;C77)</f>
        <v/>
      </c>
      <c r="K77" s="3" t="n"/>
      <c r="L77" s="3" t="n"/>
      <c r="M77" s="3" t="n"/>
      <c r="N77" s="3" t="n"/>
      <c r="O77" s="3" t="n"/>
      <c r="P77" s="3" t="n"/>
      <c r="Q77" s="3" t="n"/>
      <c r="R77" s="3" t="n"/>
      <c r="S77" s="3" t="n"/>
      <c r="T77" s="3" t="n"/>
      <c r="U77" s="3" t="n"/>
      <c r="V77" s="3" t="n"/>
      <c r="W77" s="3" t="n"/>
      <c r="X77" s="3" t="n"/>
      <c r="Y77" s="3">
        <f>IF(AND(V77&gt;=2,K77="Yes",L77="Yes"),"Sufficient",IF(AND(V77&gt;=1,OR(K77="Yes",L77="Yes")),"Thin","Insufficient"))</f>
        <v/>
      </c>
      <c r="Z77" s="3" t="n"/>
      <c r="AA77" s="3" t="n"/>
      <c r="AB77" s="3" t="n"/>
      <c r="AC77" s="3" t="n"/>
      <c r="AD77" s="3" t="n"/>
      <c r="AE77" s="3" t="n"/>
      <c r="AF77" s="3" t="n"/>
      <c r="AG77" s="3" t="n"/>
      <c r="AH77" s="3" t="n"/>
      <c r="AI77" s="3" t="n"/>
      <c r="AJ77" s="3" t="n"/>
      <c r="AK77" s="3" t="n"/>
      <c r="AL77" s="3" t="n"/>
      <c r="AM77" s="3" t="n"/>
      <c r="AN77" s="3" t="n"/>
      <c r="AO77" s="3" t="n"/>
      <c r="AP77" s="3" t="n"/>
      <c r="AQ77" s="3" t="n"/>
      <c r="AR77" s="40">
        <f t="array" ref="AR77">MIN(100, MAX(0,
  IFERROR(_xlfn.XLOOKUP(AJ77,'Lookup Tables'!$A$2:$A$7,'Lookup Tables'!$B$2:$B$7,0),0)
  + IF(Z77="Yes", IF(IFERROR(_xlfn.XLOOKUP(AJ77,'Lookup Tables'!$A$2:$A$7,'Lookup Tables'!$B$2:$B$7,0),0)&lt;20, 5, 0), 0)
  + _xlfn.IFS(AB77="Yes", IF(ISNUMBER(AC77)*AND(AC77&lt;=2030),15,10), AB77="Long-term Only", 5, AB77="No", 0, TRUE, 0)
  + _xlfn.IFS(AF77="Full",10, AF77="Partial",5, AF77="Scope 2 Only",3, TRUE,0)
  + _xlfn.IFS(AG77="Yes", IF(ISNUMBER(AH77)*AND(AH77&gt;=5),10,6), AG77="Partial",4, TRUE,0)
  + _xlfn.IFS(AI77="Yes",5, AI77="Partial (material categories only)",3, TRUE,0)
  + _xlfn.IFS(AL77="Yes — Detailed",10, AL77="Yes — High Level",5, TRUE,0)
  + _xlfn.IFS(AM77="Yes — Quantified",15, AM77="Yes — Directional Only",7, TRUE,0)
  + _xlfn.IFS(AP77="Formal",5, AP77="Referenced",2, TRUE,0)
  + _xlfn.IFS(AQ77="No Issues Found",5, AQ77="Concern Identified",-5, AQ77="Severe Contradiction",-15, TRUE,0)
  + _xlfn.IFS(BC77="Reasonable Assurance",5, BC77="Limited Assurance",3, TRUE,0)
  - IF(AND(Z77="Yes", AI77="No"), 10, 0)
  - IF(AND(Z77="Yes", AM77="No"), 10, 0)
))</f>
        <v/>
      </c>
      <c r="AS77" s="3" t="n"/>
      <c r="AT77" s="3" t="n"/>
      <c r="AU77" s="3" t="n"/>
      <c r="AV77" s="3" t="n"/>
      <c r="AW77" s="3" t="n"/>
      <c r="AX77" s="3" t="n"/>
      <c r="AY77" s="3" t="n"/>
      <c r="AZ77" s="3" t="n"/>
      <c r="BA77" s="3" t="n"/>
      <c r="BB77" s="3" t="n"/>
      <c r="BC77" s="3" t="n"/>
      <c r="BD77" s="3" t="n"/>
      <c r="BE77" s="40">
        <f t="array" ref="BE77">MIN(100, MAX(0,
  IFERROR(_xlfn.XLOOKUP(AT77,'Lookup Tables'!$D$2:$D$6,'Lookup Tables'!$E$2:$E$6,0),0)
  + IFERROR(_xlfn.XLOOKUP(AV77,'Lookup Tables'!$G$2:$G$5,'Lookup Tables'!$H$2:$H$5,0),0)
  + IFERROR(_xlfn.XLOOKUP(AW77,'Lookup Tables'!$J$2:$J$5,'Lookup Tables'!$K$2:$K$5,0),0)
  + _xlfn.IFS(AX77="No Issues",10, AX77="Complaint Filed",3, AX77="Confirmed Breach",-15, TRUE,0)
  + IFERROR(_xlfn.XLOOKUP(AY77,'Lookup Tables'!$M$2:$M$6,'Lookup Tables'!$N$2:$N$6,0),0)
  + IFERROR(_xlfn.XLOOKUP(AZ77,'Lookup Tables'!$P$2:$P$6,'Lookup Tables'!$Q$2:$Q$6,0),0)
  + _xlfn.IFS(BA77="Formal Board Committee",5, BA77="Board Oversight Mentioned",2, TRUE,0)
  + _xlfn.IFS(BB77="Yes — Quantified Targets",5, BB77="Yes — Discretionary Only",2, TRUE,0)
  + _xlfn.IFS(BC77="Reasonable Assurance",5, BC77="Limited Assurance",3, BC77="Management Review Only",1, TRUE,0)
))</f>
        <v/>
      </c>
      <c r="BF77" s="3" t="n"/>
      <c r="BG77" s="3" t="n"/>
      <c r="BH77" s="3" t="n"/>
      <c r="BI77" s="3" t="n"/>
      <c r="BJ77" s="3" t="n"/>
      <c r="BK77" s="3" t="n"/>
      <c r="BL77" s="3" t="n"/>
      <c r="BM77" s="3" t="n"/>
      <c r="BN77" s="3" t="n"/>
      <c r="BO77" s="3" t="n"/>
      <c r="BP77" s="3" t="n"/>
      <c r="BQ77" s="3" t="n"/>
      <c r="BR77" s="3" t="n"/>
      <c r="BS77" s="42">
        <f t="array" ref="BS77">MIN(100, MAX(0,
  IFERROR(_xlfn.XLOOKUP(BG77,'Lookup Tables'!$A$11:$A$16,'Lookup Tables'!$B$11:$B$16,0),0)
  + IFERROR(_xlfn.XLOOKUP(BR77,'Lookup Tables'!$M$11:$M$14,'Lookup Tables'!$N$11:$N$14,0),0)
  + IFERROR(_xlfn.XLOOKUP(BQ77,'Lookup Tables'!$J$11:$J$15,'Lookup Tables'!$K$11:$K$15,0),0)
  + IFERROR(_xlfn.XLOOKUP(BH77,'Lookup Tables'!$D$11:$D$15,'Lookup Tables'!$E$11:$E$15,0),0)
  + IFERROR(_xlfn.XLOOKUP(BJ77,'Lookup Tables'!$G$11:$G$16,'Lookup Tables'!$H$11:$H$16,0),0)
  + IFERROR(_xlfn.XLOOKUP(BN77,'Lookup Tables'!$P$11:$P$15,'Lookup Tables'!$Q$11:$Q$15,0),0)
  + _xlfn.IFS(BM77="No Evidence",10, BM77="Unknown",3, BM77="Likely",0, BM77="Confirmed",-10, TRUE,3)
  + IFERROR(_xlfn.XLOOKUP(BP77,'Lookup Tables'!$J$21:$J$24,'Lookup Tables'!$K$21:$K$24,0),0)
))</f>
        <v/>
      </c>
      <c r="BT77" s="3" t="n"/>
      <c r="BU77" s="3" t="n"/>
      <c r="BV77" s="3" t="n"/>
      <c r="BW77" s="3" t="n"/>
      <c r="BX77" s="3" t="n"/>
      <c r="BY77" s="3" t="n"/>
      <c r="BZ77" s="3" t="n"/>
      <c r="CA77" s="3" t="n"/>
      <c r="CB77" s="3" t="n"/>
      <c r="CC77" s="3" t="n"/>
      <c r="CD77" s="3" t="n"/>
      <c r="CE77" s="44">
        <f t="array" ref="CE77">MIN(100, MAX(0,
  IF(ISNUMBER(BV77)*AND(BV77&gt;0), 10, 0)
  + _xlfn.IFS(BY77="Independently Verified",25, BY77="Yes",15, TRUE,0)
  + IFERROR(_xlfn.XLOOKUP(BZ77,'Lookup Tables'!$A$21:$A$24,'Lookup Tables'!$B$21:$B$24,0),0)
  + IFERROR(_xlfn.XLOOKUP(CA77,'Lookup Tables'!$D$21:$D$24,'Lookup Tables'!$E$21:$E$24,0),0)
  + _xlfn.IFS(ISNUMBER(CB77)*AND(CB77&gt;=11),15, ISNUMBER(CB77)*AND(CB77&gt;=6),10, ISNUMBER(CB77)*AND(CB77&gt;=1),5, TRUE,0)
  + IFERROR(_xlfn.XLOOKUP(CC77,'Lookup Tables'!$G$21:$G$25,'Lookup Tables'!$H$21:$H$25,0),0)
  - IF(ISNUMBER(BW77)*AND(ISNUMBER(BV77))*AND(BW77&gt;BV77), 20, 0)
  - IF(AND(BY77="Yes", ISNUMBER(BW77), BW77&gt;60), 10, 0)
))</f>
        <v/>
      </c>
      <c r="CF77" s="3" t="n"/>
      <c r="CG77" s="3" t="n"/>
      <c r="CH77" s="3" t="n"/>
      <c r="CI77" s="3" t="n"/>
      <c r="CJ77" s="3" t="n"/>
      <c r="CK77" s="3" t="n"/>
      <c r="CL77" s="3" t="n"/>
      <c r="CM77" s="3" t="n"/>
      <c r="CN77" s="3" t="n"/>
      <c r="CO77" s="3" t="n"/>
      <c r="CP77" s="3" t="n"/>
      <c r="CQ77" s="3" t="n"/>
      <c r="CR77" s="3">
        <f>COUNTIF(CJ77:CQ77,"FAIL")</f>
        <v/>
      </c>
      <c r="CS77" s="3">
        <f>COUNTIF(CJ77:CQ77,"PARTIAL")</f>
        <v/>
      </c>
      <c r="CT77" s="3">
        <f>COUNTIF(CJ77:CQ77,"MISSING")</f>
        <v/>
      </c>
      <c r="CU77" s="3">
        <f>MIN(100,
  CR77*15
  + CS77*6
  + CT77*3
  + IFERROR(_xlfn.XLOOKUP(CW77,'Lookup Tables'!$M$21:$M$25,'Lookup Tables'!$N$21:$N$25,0),0)
)</f>
        <v/>
      </c>
      <c r="CV77" s="3">
        <f>IFERROR(
CHOOSE(
MATCH("FAIL",CJ77:CQ77,0),
"1-Specificity","2-Metric","3-Baseline","4-Target",
"5-Time Horizon","6-Scope","7-Verification","8-Consistency"
),
IFERROR(
CHOOSE(
MATCH("PARTIAL",CJ77:CQ77,0),
"1-Specificity","2-Metric","3-Baseline","4-Target",
"5-Time Horizon","6-Scope","7-Verification","8-Consistency"
),
"No failures"
)
)</f>
        <v/>
      </c>
      <c r="CW77" s="3" t="n"/>
      <c r="CX77" s="3" t="n"/>
      <c r="CY77" s="3" t="n"/>
      <c r="CZ77" s="3" t="n"/>
      <c r="DA77" s="3">
        <f>IF(OR(CU77&gt;=50,CW77="Material",CW77="Severe",AS77="Material",AS77="Severe",BF77="Material",BF77="Severe — Exclusion Trigger",AND(ISNUMBER(BS77),BS77&lt;30)),"Yes","No")</f>
        <v/>
      </c>
      <c r="DB77" s="3">
        <f>IF(OR(CR77&gt;=6,AW77="Confirmed Violation",AX77="Confirmed Breach"),"Yes — Automatic",IF(CW77="Severe","Yes — Requires Captain Confirmation","No"))</f>
        <v/>
      </c>
      <c r="DC77" s="3" t="n"/>
      <c r="DD77" s="3" t="n"/>
      <c r="DE77" s="3" t="n"/>
      <c r="DF77" s="3" t="n"/>
      <c r="DG77" s="3" t="n"/>
      <c r="DH77" s="3" t="n"/>
      <c r="DI77" s="3" t="n"/>
      <c r="DJ77" s="3" t="n"/>
      <c r="DK77" s="3" t="n"/>
      <c r="DL77" s="3">
        <f>IF(OR(IFERROR(VALUE(LEFT(DF77,1)),99)&lt;=2,IFERROR(VALUE(LEFT(DG77,1)),99)&lt;=2),"Flagged","Clear")</f>
        <v/>
      </c>
      <c r="DM77" s="3">
        <f>IF(OR(DA77="Yes",DB77&lt;&gt;"No",DH77="Unverified",DL77="Flagged"),"Yes","No")</f>
        <v/>
      </c>
      <c r="DN77" s="3">
        <f t="array" ref="DN77">MIN(100,
  IF(ISNUMBER(V77), _xlfn.IFS(V77&gt;=3,25, V77=2,15, V77=1,5, TRUE,0), 0)
  + IFERROR(_xlfn.IFS(VALUE(LEFT(DF77,1))=5,25, VALUE(LEFT(DF77,1))=4,20, VALUE(LEFT(DF77,1))=3,15, VALUE(LEFT(DF77,1))=2,8, TRUE,0), 15)
  + IFERROR(_xlfn.IFS(VALUE(LEFT(DG77,1))=5,25, VALUE(LEFT(DG77,1))=4,20, VALUE(LEFT(DG77,1))=3,15, VALUE(LEFT(DG77,1))=2,8, TRUE,0), 15)
  + _xlfn.IFS(DH77="Fully Verified",25, DH77="Partially Verified",12, TRUE,0)
)</f>
        <v/>
      </c>
      <c r="DO77" s="3">
        <f t="array" ref="DO77">_xlfn.IFS(
  ISBLANK(AR77), "Insufficient Evidence",
  AND(AR77&gt;=65, AJ77="Approved"), "Strong",
  AR77&gt;=65, "Adequate",
  AR77&gt;=40, "Adequate",
  AR77&gt;=20, "Weak",
  TRUE, "Insufficient Evidence"
)</f>
        <v/>
      </c>
      <c r="DP77" s="3">
        <f t="array" ref="DP77">_xlfn.IFS(
  ISBLANK(BS77), "Insufficient Evidence",
  BS77&gt;=65, "Strong",
  BS77&gt;=40, "Adequate",
  BS77&gt;=20, "Weak",
  TRUE, "Insufficient Evidence"
)</f>
        <v/>
      </c>
      <c r="DQ77" s="3">
        <f t="array" ref="DQ77">_xlfn.IFS(
  ISBLANK(BE77), "Insufficient Evidence",
  OR(AW77="Confirmed Violation", AX77="Confirmed Breach"), "Severe — Hard Trigger",
  BE77&gt;=65, "Strong",
  BE77&gt;=40, "Adequate",
  BE77&gt;=20, "Weak",
  TRUE, "Insufficient Evidence"
)</f>
        <v/>
      </c>
      <c r="DR77" s="3">
        <f t="array" ref="DR77">_xlfn.IFS(
  ISBLANK(CU77), "Insufficient Evidence",
  CU77&lt;=20, "Low Risk",
  CU77&lt;=50, "Moderate Risk",
  CU77&lt;=75, "High Risk",
  TRUE, "Very High Risk"
)</f>
        <v/>
      </c>
      <c r="DS77" s="3">
        <f t="array" ref="DS77">_xlfn.IFS(
  ISBLANK(CE77), "Insufficient Evidence",
  AND(ISNUMBER(BW77),ISNUMBER(BV77),BW77&gt;BV77), "Overclaiming Risk",
  CE77&gt;=65, "Strong",
  CE77&gt;=40, "Adequate",
  TRUE, "Weak"
)</f>
        <v/>
      </c>
      <c r="DT77" s="3">
        <f>IF(DB77="Yes — Automatic",0,ROUND((IF(ISNUMBER(AR77),AR77,0)*0.3+IF(ISNUMBER(BS77),BS77,0)*0.2+IF(ISNUMBER(BE77),BE77,0)*0.2+IF(ISNUMBER(CE77),CE77,0)*0.15+(100-IF(ISNUMBER(CU77),CU77,50))*0.15)*IF(DN77&gt;=75,1,IF(DN77&gt;=50,0.9,IF(DN77&gt;=25,0.75,0.6))),1))</f>
        <v/>
      </c>
      <c r="DU77" s="3">
        <f t="array" ref="DU77">_xlfn.IFS(
  DV77="Upgraded to Clear", "Clear",
  DV77="Downgraded to Watchlist", "Watchlist",
  DV77="Downgraded to Exclusion", "Exclusion Risk",
  DB77="Yes — Automatic", "Exclusion Risk",
  OR(AW77="Confirmed Violation", AX77="Confirmed Breach"), "Exclusion Risk",
  OR(V77=0, ISBLANK(V77), DN77&lt;20), "Insufficient Evidence",
  AND(DT77&gt;=65, DA77="No", DB77="No"), "Clear",
  OR(DT77&gt;=40, DA77="Yes"), "Watchlist",
  TRUE, "Exclusion Risk"
)</f>
        <v/>
      </c>
      <c r="DV77" s="3" t="n"/>
      <c r="DW77" s="3">
        <f t="array" ref="DW77">_xlfn.IFS(
  DU77="Exclusion Risk", "Exclude — Hard Trigger",
  DU77="Insufficient Evidence", "Watchlist — Further Evidence Needed",
  DU77="Watchlist", "Watchlist — Further Evidence Needed",
  AND(DU77="Clear", DT77&gt;=80), "Include — No Conditions",
  DU77="Clear", "Include — Monitor",
  TRUE, "Watchlist — Further Evidence Needed"
)</f>
        <v/>
      </c>
      <c r="DX77" s="3" t="n"/>
      <c r="DY77" s="3" t="n"/>
      <c r="DZ77" s="3" t="n"/>
      <c r="EA77" s="3" t="n"/>
      <c r="EB77" s="3">
        <f>IF(OR(V77=0, ISBLANK(V77)), "MISSING — No sources reviewed", "")</f>
        <v/>
      </c>
      <c r="EC77" s="3">
        <f>IF(AND(NOT(ISBLANK(DC77)), ISBLANK(DE77)), "PAGE REF MISSING", "")</f>
        <v/>
      </c>
    </row>
    <row r="78" ht="18" customHeight="1" s="60">
      <c r="A78" s="5" t="inlineStr">
        <is>
          <t>Banco Santander SA</t>
        </is>
      </c>
      <c r="B78" s="5" t="inlineStr">
        <is>
          <t>BSD2</t>
        </is>
      </c>
      <c r="C78" s="5">
        <f>IF(ISBLANK('Universe Tracker'!D74),"",'Universe Tracker'!D74)</f>
        <v/>
      </c>
      <c r="D78" s="5" t="n"/>
      <c r="E78" s="5" t="n"/>
      <c r="F78" s="5">
        <f>IF(ISBLANK('Universe Tracker'!F74),"",'Universe Tracker'!F74)</f>
        <v/>
      </c>
      <c r="G78" s="5">
        <f>IF(ISBLANK('Universe Tracker'!G74),"",'Universe Tracker'!G74)</f>
        <v/>
      </c>
      <c r="H78" s="5" t="n"/>
      <c r="I78" s="5" t="n"/>
      <c r="J78" s="5">
        <f>IF(ISBLANK(B78),"",B78&amp;"_"&amp;C78)</f>
        <v/>
      </c>
      <c r="K78" s="5" t="n"/>
      <c r="L78" s="5" t="n"/>
      <c r="M78" s="5" t="n"/>
      <c r="N78" s="5" t="n"/>
      <c r="O78" s="5" t="n"/>
      <c r="P78" s="5" t="n"/>
      <c r="Q78" s="5" t="n"/>
      <c r="R78" s="5" t="n"/>
      <c r="S78" s="5" t="n"/>
      <c r="T78" s="5" t="n"/>
      <c r="U78" s="5" t="n"/>
      <c r="V78" s="5" t="n"/>
      <c r="W78" s="5" t="n"/>
      <c r="X78" s="5" t="n"/>
      <c r="Y78" s="5">
        <f>IF(AND(V78&gt;=2,K78="Yes",L78="Yes"),"Sufficient",IF(AND(V78&gt;=1,OR(K78="Yes",L78="Yes")),"Thin","Insufficient"))</f>
        <v/>
      </c>
      <c r="Z78" s="5" t="n"/>
      <c r="AA78" s="5" t="n"/>
      <c r="AB78" s="5" t="n"/>
      <c r="AC78" s="5" t="n"/>
      <c r="AD78" s="5" t="n"/>
      <c r="AE78" s="5" t="n"/>
      <c r="AF78" s="5" t="n"/>
      <c r="AG78" s="5" t="n"/>
      <c r="AH78" s="5" t="n"/>
      <c r="AI78" s="5" t="n"/>
      <c r="AJ78" s="5" t="n"/>
      <c r="AK78" s="5" t="n"/>
      <c r="AL78" s="5" t="n"/>
      <c r="AM78" s="5" t="n"/>
      <c r="AN78" s="5" t="n"/>
      <c r="AO78" s="5" t="n"/>
      <c r="AP78" s="5" t="n"/>
      <c r="AQ78" s="5" t="n"/>
      <c r="AR78" s="40">
        <f t="array" ref="AR78">MIN(100, MAX(0,
  IFERROR(_xlfn.XLOOKUP(AJ78,'Lookup Tables'!$A$2:$A$7,'Lookup Tables'!$B$2:$B$7,0),0)
  + IF(Z78="Yes", IF(IFERROR(_xlfn.XLOOKUP(AJ78,'Lookup Tables'!$A$2:$A$7,'Lookup Tables'!$B$2:$B$7,0),0)&lt;20, 5, 0), 0)
  + _xlfn.IFS(AB78="Yes", IF(ISNUMBER(AC78)*AND(AC78&lt;=2030),15,10), AB78="Long-term Only", 5, AB78="No", 0, TRUE, 0)
  + _xlfn.IFS(AF78="Full",10, AF78="Partial",5, AF78="Scope 2 Only",3, TRUE,0)
  + _xlfn.IFS(AG78="Yes", IF(ISNUMBER(AH78)*AND(AH78&gt;=5),10,6), AG78="Partial",4, TRUE,0)
  + _xlfn.IFS(AI78="Yes",5, AI78="Partial (material categories only)",3, TRUE,0)
  + _xlfn.IFS(AL78="Yes — Detailed",10, AL78="Yes — High Level",5, TRUE,0)
  + _xlfn.IFS(AM78="Yes — Quantified",15, AM78="Yes — Directional Only",7, TRUE,0)
  + _xlfn.IFS(AP78="Formal",5, AP78="Referenced",2, TRUE,0)
  + _xlfn.IFS(AQ78="No Issues Found",5, AQ78="Concern Identified",-5, AQ78="Severe Contradiction",-15, TRUE,0)
  + _xlfn.IFS(BC78="Reasonable Assurance",5, BC78="Limited Assurance",3, TRUE,0)
  - IF(AND(Z78="Yes", AI78="No"), 10, 0)
  - IF(AND(Z78="Yes", AM78="No"), 10, 0)
))</f>
        <v/>
      </c>
      <c r="AS78" s="5" t="n"/>
      <c r="AT78" s="5" t="n"/>
      <c r="AU78" s="5" t="n"/>
      <c r="AV78" s="5" t="n"/>
      <c r="AW78" s="5" t="n"/>
      <c r="AX78" s="5" t="n"/>
      <c r="AY78" s="5" t="n"/>
      <c r="AZ78" s="5" t="n"/>
      <c r="BA78" s="5" t="n"/>
      <c r="BB78" s="5" t="n"/>
      <c r="BC78" s="5" t="n"/>
      <c r="BD78" s="5" t="n"/>
      <c r="BE78" s="39">
        <f t="array" ref="BE78">MIN(100, MAX(0,
  IFERROR(_xlfn.XLOOKUP(AT78,'Lookup Tables'!$D$2:$D$6,'Lookup Tables'!$E$2:$E$6,0),0)
  + IFERROR(_xlfn.XLOOKUP(AV78,'Lookup Tables'!$G$2:$G$5,'Lookup Tables'!$H$2:$H$5,0),0)
  + IFERROR(_xlfn.XLOOKUP(AW78,'Lookup Tables'!$J$2:$J$5,'Lookup Tables'!$K$2:$K$5,0),0)
  + _xlfn.IFS(AX78="No Issues",10, AX78="Complaint Filed",3, AX78="Confirmed Breach",-15, TRUE,0)
  + IFERROR(_xlfn.XLOOKUP(AY78,'Lookup Tables'!$M$2:$M$6,'Lookup Tables'!$N$2:$N$6,0),0)
  + IFERROR(_xlfn.XLOOKUP(AZ78,'Lookup Tables'!$P$2:$P$6,'Lookup Tables'!$Q$2:$Q$6,0),0)
  + _xlfn.IFS(BA78="Formal Board Committee",5, BA78="Board Oversight Mentioned",2, TRUE,0)
  + _xlfn.IFS(BB78="Yes — Quantified Targets",5, BB78="Yes — Discretionary Only",2, TRUE,0)
  + _xlfn.IFS(BC78="Reasonable Assurance",5, BC78="Limited Assurance",3, BC78="Management Review Only",1, TRUE,0)
))</f>
        <v/>
      </c>
      <c r="BF78" s="5" t="n"/>
      <c r="BG78" s="5" t="n"/>
      <c r="BH78" s="5" t="n"/>
      <c r="BI78" s="5" t="n"/>
      <c r="BJ78" s="5" t="n"/>
      <c r="BK78" s="5" t="n"/>
      <c r="BL78" s="5" t="n"/>
      <c r="BM78" s="5" t="n"/>
      <c r="BN78" s="5" t="n"/>
      <c r="BO78" s="5" t="n"/>
      <c r="BP78" s="5" t="n"/>
      <c r="BQ78" s="5" t="n"/>
      <c r="BR78" s="5" t="n"/>
      <c r="BS78" s="41">
        <f t="array" ref="BS78">MIN(100, MAX(0,
  IFERROR(_xlfn.XLOOKUP(BG78,'Lookup Tables'!$A$11:$A$16,'Lookup Tables'!$B$11:$B$16,0),0)
  + IFERROR(_xlfn.XLOOKUP(BR78,'Lookup Tables'!$M$11:$M$14,'Lookup Tables'!$N$11:$N$14,0),0)
  + IFERROR(_xlfn.XLOOKUP(BQ78,'Lookup Tables'!$J$11:$J$15,'Lookup Tables'!$K$11:$K$15,0),0)
  + IFERROR(_xlfn.XLOOKUP(BH78,'Lookup Tables'!$D$11:$D$15,'Lookup Tables'!$E$11:$E$15,0),0)
  + IFERROR(_xlfn.XLOOKUP(BJ78,'Lookup Tables'!$G$11:$G$16,'Lookup Tables'!$H$11:$H$16,0),0)
  + IFERROR(_xlfn.XLOOKUP(BN78,'Lookup Tables'!$P$11:$P$15,'Lookup Tables'!$Q$11:$Q$15,0),0)
  + _xlfn.IFS(BM78="No Evidence",10, BM78="Unknown",3, BM78="Likely",0, BM78="Confirmed",-10, TRUE,3)
  + IFERROR(_xlfn.XLOOKUP(BP78,'Lookup Tables'!$J$21:$J$24,'Lookup Tables'!$K$21:$K$24,0),0)
))</f>
        <v/>
      </c>
      <c r="BT78" s="5" t="n"/>
      <c r="BU78" s="5" t="n"/>
      <c r="BV78" s="5" t="n"/>
      <c r="BW78" s="5" t="n"/>
      <c r="BX78" s="5" t="n"/>
      <c r="BY78" s="5" t="n"/>
      <c r="BZ78" s="5" t="n"/>
      <c r="CA78" s="5" t="n"/>
      <c r="CB78" s="5" t="n"/>
      <c r="CC78" s="5" t="n"/>
      <c r="CD78" s="5" t="n"/>
      <c r="CE78" s="43">
        <f t="array" ref="CE78">MIN(100, MAX(0,
  IF(ISNUMBER(BV78)*AND(BV78&gt;0), 10, 0)
  + _xlfn.IFS(BY78="Independently Verified",25, BY78="Yes",15, TRUE,0)
  + IFERROR(_xlfn.XLOOKUP(BZ78,'Lookup Tables'!$A$21:$A$24,'Lookup Tables'!$B$21:$B$24,0),0)
  + IFERROR(_xlfn.XLOOKUP(CA78,'Lookup Tables'!$D$21:$D$24,'Lookup Tables'!$E$21:$E$24,0),0)
  + _xlfn.IFS(ISNUMBER(CB78)*AND(CB78&gt;=11),15, ISNUMBER(CB78)*AND(CB78&gt;=6),10, ISNUMBER(CB78)*AND(CB78&gt;=1),5, TRUE,0)
  + IFERROR(_xlfn.XLOOKUP(CC78,'Lookup Tables'!$G$21:$G$25,'Lookup Tables'!$H$21:$H$25,0),0)
  - IF(ISNUMBER(BW78)*AND(ISNUMBER(BV78))*AND(BW78&gt;BV78), 20, 0)
  - IF(AND(BY78="Yes", ISNUMBER(BW78), BW78&gt;60), 10, 0)
))</f>
        <v/>
      </c>
      <c r="CF78" s="5" t="n"/>
      <c r="CG78" s="5" t="n"/>
      <c r="CH78" s="5" t="n"/>
      <c r="CI78" s="5" t="n"/>
      <c r="CJ78" s="5" t="n"/>
      <c r="CK78" s="5" t="n"/>
      <c r="CL78" s="5" t="n"/>
      <c r="CM78" s="5" t="n"/>
      <c r="CN78" s="5" t="n"/>
      <c r="CO78" s="5" t="n"/>
      <c r="CP78" s="5" t="n"/>
      <c r="CQ78" s="5" t="n"/>
      <c r="CR78" s="5">
        <f>COUNTIF(CJ78:CQ78,"FAIL")</f>
        <v/>
      </c>
      <c r="CS78" s="5">
        <f>COUNTIF(CJ78:CQ78,"PARTIAL")</f>
        <v/>
      </c>
      <c r="CT78" s="5">
        <f>COUNTIF(CJ78:CQ78,"MISSING")</f>
        <v/>
      </c>
      <c r="CU78" s="5">
        <f>MIN(100,
  CR78*15
  + CS78*6
  + CT78*3
  + IFERROR(_xlfn.XLOOKUP(CW78,'Lookup Tables'!$M$21:$M$25,'Lookup Tables'!$N$21:$N$25,0),0)
)</f>
        <v/>
      </c>
      <c r="CV78" s="5">
        <f>IFERROR(
CHOOSE(
MATCH("FAIL",CJ78:CQ78,0),
"1-Specificity","2-Metric","3-Baseline","4-Target",
"5-Time Horizon","6-Scope","7-Verification","8-Consistency"
),
IFERROR(
CHOOSE(
MATCH("PARTIAL",CJ78:CQ78,0),
"1-Specificity","2-Metric","3-Baseline","4-Target",
"5-Time Horizon","6-Scope","7-Verification","8-Consistency"
),
"No failures"
)
)</f>
        <v/>
      </c>
      <c r="CW78" s="5" t="n"/>
      <c r="CX78" s="5" t="n"/>
      <c r="CY78" s="5" t="n"/>
      <c r="CZ78" s="5" t="n"/>
      <c r="DA78" s="5">
        <f>IF(OR(CU78&gt;=50,CW78="Material",CW78="Severe",AS78="Material",AS78="Severe",BF78="Material",BF78="Severe — Exclusion Trigger",AND(ISNUMBER(BS78),BS78&lt;30)),"Yes","No")</f>
        <v/>
      </c>
      <c r="DB78" s="5">
        <f>IF(OR(CR78&gt;=6,AW78="Confirmed Violation",AX78="Confirmed Breach"),"Yes — Automatic",IF(CW78="Severe","Yes — Requires Captain Confirmation","No"))</f>
        <v/>
      </c>
      <c r="DC78" s="5" t="n"/>
      <c r="DD78" s="5" t="n"/>
      <c r="DE78" s="5" t="n"/>
      <c r="DF78" s="5" t="n"/>
      <c r="DG78" s="5" t="n"/>
      <c r="DH78" s="5" t="n"/>
      <c r="DI78" s="5" t="n"/>
      <c r="DJ78" s="5" t="n"/>
      <c r="DK78" s="5" t="n"/>
      <c r="DL78" s="5">
        <f>IF(OR(IFERROR(VALUE(LEFT(DF78,1)),99)&lt;=2,IFERROR(VALUE(LEFT(DG78,1)),99)&lt;=2),"Flagged","Clear")</f>
        <v/>
      </c>
      <c r="DM78" s="5">
        <f>IF(OR(DA78="Yes",DB78&lt;&gt;"No",DH78="Unverified",DL78="Flagged"),"Yes","No")</f>
        <v/>
      </c>
      <c r="DN78" s="5">
        <f t="array" ref="DN78">MIN(100,
  IF(ISNUMBER(V78), _xlfn.IFS(V78&gt;=3,25, V78=2,15, V78=1,5, TRUE,0), 0)
  + IFERROR(_xlfn.IFS(VALUE(LEFT(DF78,1))=5,25, VALUE(LEFT(DF78,1))=4,20, VALUE(LEFT(DF78,1))=3,15, VALUE(LEFT(DF78,1))=2,8, TRUE,0), 15)
  + IFERROR(_xlfn.IFS(VALUE(LEFT(DG78,1))=5,25, VALUE(LEFT(DG78,1))=4,20, VALUE(LEFT(DG78,1))=3,15, VALUE(LEFT(DG78,1))=2,8, TRUE,0), 15)
  + _xlfn.IFS(DH78="Fully Verified",25, DH78="Partially Verified",12, TRUE,0)
)</f>
        <v/>
      </c>
      <c r="DO78" s="5">
        <f t="array" ref="DO78">_xlfn.IFS(
  ISBLANK(AR78), "Insufficient Evidence",
  AND(AR78&gt;=65, AJ78="Approved"), "Strong",
  AR78&gt;=65, "Adequate",
  AR78&gt;=40, "Adequate",
  AR78&gt;=20, "Weak",
  TRUE, "Insufficient Evidence"
)</f>
        <v/>
      </c>
      <c r="DP78" s="5">
        <f t="array" ref="DP78">_xlfn.IFS(
  ISBLANK(BS78), "Insufficient Evidence",
  BS78&gt;=65, "Strong",
  BS78&gt;=40, "Adequate",
  BS78&gt;=20, "Weak",
  TRUE, "Insufficient Evidence"
)</f>
        <v/>
      </c>
      <c r="DQ78" s="5">
        <f t="array" ref="DQ78">_xlfn.IFS(
  ISBLANK(BE78), "Insufficient Evidence",
  OR(AW78="Confirmed Violation", AX78="Confirmed Breach"), "Severe — Hard Trigger",
  BE78&gt;=65, "Strong",
  BE78&gt;=40, "Adequate",
  BE78&gt;=20, "Weak",
  TRUE, "Insufficient Evidence"
)</f>
        <v/>
      </c>
      <c r="DR78" s="5">
        <f t="array" ref="DR78">_xlfn.IFS(
  ISBLANK(CU78), "Insufficient Evidence",
  CU78&lt;=20, "Low Risk",
  CU78&lt;=50, "Moderate Risk",
  CU78&lt;=75, "High Risk",
  TRUE, "Very High Risk"
)</f>
        <v/>
      </c>
      <c r="DS78" s="5">
        <f t="array" ref="DS78">_xlfn.IFS(
  ISBLANK(CE78), "Insufficient Evidence",
  AND(ISNUMBER(BW78),ISNUMBER(BV78),BW78&gt;BV78), "Overclaiming Risk",
  CE78&gt;=65, "Strong",
  CE78&gt;=40, "Adequate",
  TRUE, "Weak"
)</f>
        <v/>
      </c>
      <c r="DT78" s="5">
        <f>IF(DB78="Yes — Automatic",0,ROUND((IF(ISNUMBER(AR78),AR78,0)*0.3+IF(ISNUMBER(BS78),BS78,0)*0.2+IF(ISNUMBER(BE78),BE78,0)*0.2+IF(ISNUMBER(CE78),CE78,0)*0.15+(100-IF(ISNUMBER(CU78),CU78,50))*0.15)*IF(DN78&gt;=75,1,IF(DN78&gt;=50,0.9,IF(DN78&gt;=25,0.75,0.6))),1))</f>
        <v/>
      </c>
      <c r="DU78" s="5">
        <f t="array" ref="DU78">_xlfn.IFS(
  DV78="Upgraded to Clear", "Clear",
  DV78="Downgraded to Watchlist", "Watchlist",
  DV78="Downgraded to Exclusion", "Exclusion Risk",
  DB78="Yes — Automatic", "Exclusion Risk",
  OR(AW78="Confirmed Violation", AX78="Confirmed Breach"), "Exclusion Risk",
  OR(V78=0, ISBLANK(V78), DN78&lt;20), "Insufficient Evidence",
  AND(DT78&gt;=65, DA78="No", DB78="No"), "Clear",
  OR(DT78&gt;=40, DA78="Yes"), "Watchlist",
  TRUE, "Exclusion Risk"
)</f>
        <v/>
      </c>
      <c r="DV78" s="5" t="n"/>
      <c r="DW78" s="5">
        <f t="array" ref="DW78">_xlfn.IFS(
  DU78="Exclusion Risk", "Exclude — Hard Trigger",
  DU78="Insufficient Evidence", "Watchlist — Further Evidence Needed",
  DU78="Watchlist", "Watchlist — Further Evidence Needed",
  AND(DU78="Clear", DT78&gt;=80), "Include — No Conditions",
  DU78="Clear", "Include — Monitor",
  TRUE, "Watchlist — Further Evidence Needed"
)</f>
        <v/>
      </c>
      <c r="DX78" s="5" t="n"/>
      <c r="DY78" s="5" t="n"/>
      <c r="DZ78" s="5" t="n"/>
      <c r="EA78" s="5" t="n"/>
      <c r="EB78" s="5">
        <f>IF(OR(V78=0, ISBLANK(V78)), "MISSING — No sources reviewed", "")</f>
        <v/>
      </c>
      <c r="EC78" s="5">
        <f>IF(AND(NOT(ISBLANK(DC78)), ISBLANK(DE78)), "PAGE REF MISSING", "")</f>
        <v/>
      </c>
    </row>
    <row r="79" ht="18" customHeight="1" s="60">
      <c r="A79" s="3" t="inlineStr">
        <is>
          <t>Tesco PLC</t>
        </is>
      </c>
      <c r="B79" s="3" t="inlineStr">
        <is>
          <t>TCO0</t>
        </is>
      </c>
      <c r="C79" s="3">
        <f>IF(ISBLANK('Universe Tracker'!D75),"",'Universe Tracker'!D75)</f>
        <v/>
      </c>
      <c r="D79" s="3" t="n"/>
      <c r="E79" s="3" t="n"/>
      <c r="F79" s="3">
        <f>IF(ISBLANK('Universe Tracker'!F75),"",'Universe Tracker'!F75)</f>
        <v/>
      </c>
      <c r="G79" s="3">
        <f>IF(ISBLANK('Universe Tracker'!G75),"",'Universe Tracker'!G75)</f>
        <v/>
      </c>
      <c r="H79" s="3" t="n"/>
      <c r="I79" s="3" t="n"/>
      <c r="J79" s="3">
        <f>IF(ISBLANK(B79),"",B79&amp;"_"&amp;C79)</f>
        <v/>
      </c>
      <c r="K79" s="3" t="n"/>
      <c r="L79" s="3" t="n"/>
      <c r="M79" s="3" t="n"/>
      <c r="N79" s="3" t="n"/>
      <c r="O79" s="3" t="n"/>
      <c r="P79" s="3" t="n"/>
      <c r="Q79" s="3" t="n"/>
      <c r="R79" s="3" t="n"/>
      <c r="S79" s="3" t="n"/>
      <c r="T79" s="3" t="n"/>
      <c r="U79" s="3" t="n"/>
      <c r="V79" s="3" t="n"/>
      <c r="W79" s="3" t="n"/>
      <c r="X79" s="3" t="n"/>
      <c r="Y79" s="3">
        <f>IF(AND(V79&gt;=2,K79="Yes",L79="Yes"),"Sufficient",IF(AND(V79&gt;=1,OR(K79="Yes",L79="Yes")),"Thin","Insufficient"))</f>
        <v/>
      </c>
      <c r="Z79" s="3" t="n"/>
      <c r="AA79" s="3" t="n"/>
      <c r="AB79" s="3" t="n"/>
      <c r="AC79" s="3" t="n"/>
      <c r="AD79" s="3" t="n"/>
      <c r="AE79" s="3" t="n"/>
      <c r="AF79" s="3" t="n"/>
      <c r="AG79" s="3" t="n"/>
      <c r="AH79" s="3" t="n"/>
      <c r="AI79" s="3" t="n"/>
      <c r="AJ79" s="3" t="n"/>
      <c r="AK79" s="3" t="n"/>
      <c r="AL79" s="3" t="n"/>
      <c r="AM79" s="3" t="n"/>
      <c r="AN79" s="3" t="n"/>
      <c r="AO79" s="3" t="n"/>
      <c r="AP79" s="3" t="n"/>
      <c r="AQ79" s="3" t="n"/>
      <c r="AR79" s="40">
        <f t="array" ref="AR79">MIN(100, MAX(0,
  IFERROR(_xlfn.XLOOKUP(AJ79,'Lookup Tables'!$A$2:$A$7,'Lookup Tables'!$B$2:$B$7,0),0)
  + IF(Z79="Yes", IF(IFERROR(_xlfn.XLOOKUP(AJ79,'Lookup Tables'!$A$2:$A$7,'Lookup Tables'!$B$2:$B$7,0),0)&lt;20, 5, 0), 0)
  + _xlfn.IFS(AB79="Yes", IF(ISNUMBER(AC79)*AND(AC79&lt;=2030),15,10), AB79="Long-term Only", 5, AB79="No", 0, TRUE, 0)
  + _xlfn.IFS(AF79="Full",10, AF79="Partial",5, AF79="Scope 2 Only",3, TRUE,0)
  + _xlfn.IFS(AG79="Yes", IF(ISNUMBER(AH79)*AND(AH79&gt;=5),10,6), AG79="Partial",4, TRUE,0)
  + _xlfn.IFS(AI79="Yes",5, AI79="Partial (material categories only)",3, TRUE,0)
  + _xlfn.IFS(AL79="Yes — Detailed",10, AL79="Yes — High Level",5, TRUE,0)
  + _xlfn.IFS(AM79="Yes — Quantified",15, AM79="Yes — Directional Only",7, TRUE,0)
  + _xlfn.IFS(AP79="Formal",5, AP79="Referenced",2, TRUE,0)
  + _xlfn.IFS(AQ79="No Issues Found",5, AQ79="Concern Identified",-5, AQ79="Severe Contradiction",-15, TRUE,0)
  + _xlfn.IFS(BC79="Reasonable Assurance",5, BC79="Limited Assurance",3, TRUE,0)
  - IF(AND(Z79="Yes", AI79="No"), 10, 0)
  - IF(AND(Z79="Yes", AM79="No"), 10, 0)
))</f>
        <v/>
      </c>
      <c r="AS79" s="3" t="n"/>
      <c r="AT79" s="3" t="n"/>
      <c r="AU79" s="3" t="n"/>
      <c r="AV79" s="3" t="n"/>
      <c r="AW79" s="3" t="n"/>
      <c r="AX79" s="3" t="n"/>
      <c r="AY79" s="3" t="n"/>
      <c r="AZ79" s="3" t="n"/>
      <c r="BA79" s="3" t="n"/>
      <c r="BB79" s="3" t="n"/>
      <c r="BC79" s="3" t="n"/>
      <c r="BD79" s="3" t="n"/>
      <c r="BE79" s="40">
        <f t="array" ref="BE79">MIN(100, MAX(0,
  IFERROR(_xlfn.XLOOKUP(AT79,'Lookup Tables'!$D$2:$D$6,'Lookup Tables'!$E$2:$E$6,0),0)
  + IFERROR(_xlfn.XLOOKUP(AV79,'Lookup Tables'!$G$2:$G$5,'Lookup Tables'!$H$2:$H$5,0),0)
  + IFERROR(_xlfn.XLOOKUP(AW79,'Lookup Tables'!$J$2:$J$5,'Lookup Tables'!$K$2:$K$5,0),0)
  + _xlfn.IFS(AX79="No Issues",10, AX79="Complaint Filed",3, AX79="Confirmed Breach",-15, TRUE,0)
  + IFERROR(_xlfn.XLOOKUP(AY79,'Lookup Tables'!$M$2:$M$6,'Lookup Tables'!$N$2:$N$6,0),0)
  + IFERROR(_xlfn.XLOOKUP(AZ79,'Lookup Tables'!$P$2:$P$6,'Lookup Tables'!$Q$2:$Q$6,0),0)
  + _xlfn.IFS(BA79="Formal Board Committee",5, BA79="Board Oversight Mentioned",2, TRUE,0)
  + _xlfn.IFS(BB79="Yes — Quantified Targets",5, BB79="Yes — Discretionary Only",2, TRUE,0)
  + _xlfn.IFS(BC79="Reasonable Assurance",5, BC79="Limited Assurance",3, BC79="Management Review Only",1, TRUE,0)
))</f>
        <v/>
      </c>
      <c r="BF79" s="3" t="n"/>
      <c r="BG79" s="3" t="n"/>
      <c r="BH79" s="3" t="n"/>
      <c r="BI79" s="3" t="n"/>
      <c r="BJ79" s="3" t="n"/>
      <c r="BK79" s="3" t="n"/>
      <c r="BL79" s="3" t="n"/>
      <c r="BM79" s="3" t="n"/>
      <c r="BN79" s="3" t="n"/>
      <c r="BO79" s="3" t="n"/>
      <c r="BP79" s="3" t="n"/>
      <c r="BQ79" s="3" t="n"/>
      <c r="BR79" s="3" t="n"/>
      <c r="BS79" s="42">
        <f t="array" ref="BS79">MIN(100, MAX(0,
  IFERROR(_xlfn.XLOOKUP(BG79,'Lookup Tables'!$A$11:$A$16,'Lookup Tables'!$B$11:$B$16,0),0)
  + IFERROR(_xlfn.XLOOKUP(BR79,'Lookup Tables'!$M$11:$M$14,'Lookup Tables'!$N$11:$N$14,0),0)
  + IFERROR(_xlfn.XLOOKUP(BQ79,'Lookup Tables'!$J$11:$J$15,'Lookup Tables'!$K$11:$K$15,0),0)
  + IFERROR(_xlfn.XLOOKUP(BH79,'Lookup Tables'!$D$11:$D$15,'Lookup Tables'!$E$11:$E$15,0),0)
  + IFERROR(_xlfn.XLOOKUP(BJ79,'Lookup Tables'!$G$11:$G$16,'Lookup Tables'!$H$11:$H$16,0),0)
  + IFERROR(_xlfn.XLOOKUP(BN79,'Lookup Tables'!$P$11:$P$15,'Lookup Tables'!$Q$11:$Q$15,0),0)
  + _xlfn.IFS(BM79="No Evidence",10, BM79="Unknown",3, BM79="Likely",0, BM79="Confirmed",-10, TRUE,3)
  + IFERROR(_xlfn.XLOOKUP(BP79,'Lookup Tables'!$J$21:$J$24,'Lookup Tables'!$K$21:$K$24,0),0)
))</f>
        <v/>
      </c>
      <c r="BT79" s="3" t="n"/>
      <c r="BU79" s="3" t="n"/>
      <c r="BV79" s="3" t="n"/>
      <c r="BW79" s="3" t="n"/>
      <c r="BX79" s="3" t="n"/>
      <c r="BY79" s="3" t="n"/>
      <c r="BZ79" s="3" t="n"/>
      <c r="CA79" s="3" t="n"/>
      <c r="CB79" s="3" t="n"/>
      <c r="CC79" s="3" t="n"/>
      <c r="CD79" s="3" t="n"/>
      <c r="CE79" s="44">
        <f t="array" ref="CE79">MIN(100, MAX(0,
  IF(ISNUMBER(BV79)*AND(BV79&gt;0), 10, 0)
  + _xlfn.IFS(BY79="Independently Verified",25, BY79="Yes",15, TRUE,0)
  + IFERROR(_xlfn.XLOOKUP(BZ79,'Lookup Tables'!$A$21:$A$24,'Lookup Tables'!$B$21:$B$24,0),0)
  + IFERROR(_xlfn.XLOOKUP(CA79,'Lookup Tables'!$D$21:$D$24,'Lookup Tables'!$E$21:$E$24,0),0)
  + _xlfn.IFS(ISNUMBER(CB79)*AND(CB79&gt;=11),15, ISNUMBER(CB79)*AND(CB79&gt;=6),10, ISNUMBER(CB79)*AND(CB79&gt;=1),5, TRUE,0)
  + IFERROR(_xlfn.XLOOKUP(CC79,'Lookup Tables'!$G$21:$G$25,'Lookup Tables'!$H$21:$H$25,0),0)
  - IF(ISNUMBER(BW79)*AND(ISNUMBER(BV79))*AND(BW79&gt;BV79), 20, 0)
  - IF(AND(BY79="Yes", ISNUMBER(BW79), BW79&gt;60), 10, 0)
))</f>
        <v/>
      </c>
      <c r="CF79" s="3" t="n"/>
      <c r="CG79" s="3" t="n"/>
      <c r="CH79" s="3" t="n"/>
      <c r="CI79" s="3" t="n"/>
      <c r="CJ79" s="3" t="n"/>
      <c r="CK79" s="3" t="n"/>
      <c r="CL79" s="3" t="n"/>
      <c r="CM79" s="3" t="n"/>
      <c r="CN79" s="3" t="n"/>
      <c r="CO79" s="3" t="n"/>
      <c r="CP79" s="3" t="n"/>
      <c r="CQ79" s="3" t="n"/>
      <c r="CR79" s="3">
        <f>COUNTIF(CJ79:CQ79,"FAIL")</f>
        <v/>
      </c>
      <c r="CS79" s="3">
        <f>COUNTIF(CJ79:CQ79,"PARTIAL")</f>
        <v/>
      </c>
      <c r="CT79" s="3">
        <f>COUNTIF(CJ79:CQ79,"MISSING")</f>
        <v/>
      </c>
      <c r="CU79" s="3">
        <f>MIN(100,
  CR79*15
  + CS79*6
  + CT79*3
  + IFERROR(_xlfn.XLOOKUP(CW79,'Lookup Tables'!$M$21:$M$25,'Lookup Tables'!$N$21:$N$25,0),0)
)</f>
        <v/>
      </c>
      <c r="CV79" s="3">
        <f>IFERROR(
CHOOSE(
MATCH("FAIL",CJ79:CQ79,0),
"1-Specificity","2-Metric","3-Baseline","4-Target",
"5-Time Horizon","6-Scope","7-Verification","8-Consistency"
),
IFERROR(
CHOOSE(
MATCH("PARTIAL",CJ79:CQ79,0),
"1-Specificity","2-Metric","3-Baseline","4-Target",
"5-Time Horizon","6-Scope","7-Verification","8-Consistency"
),
"No failures"
)
)</f>
        <v/>
      </c>
      <c r="CW79" s="3" t="n"/>
      <c r="CX79" s="3" t="n"/>
      <c r="CY79" s="3" t="n"/>
      <c r="CZ79" s="3" t="n"/>
      <c r="DA79" s="3">
        <f>IF(OR(CU79&gt;=50,CW79="Material",CW79="Severe",AS79="Material",AS79="Severe",BF79="Material",BF79="Severe — Exclusion Trigger",AND(ISNUMBER(BS79),BS79&lt;30)),"Yes","No")</f>
        <v/>
      </c>
      <c r="DB79" s="3">
        <f>IF(OR(CR79&gt;=6,AW79="Confirmed Violation",AX79="Confirmed Breach"),"Yes — Automatic",IF(CW79="Severe","Yes — Requires Captain Confirmation","No"))</f>
        <v/>
      </c>
      <c r="DC79" s="3" t="n"/>
      <c r="DD79" s="3" t="n"/>
      <c r="DE79" s="3" t="n"/>
      <c r="DF79" s="3" t="n"/>
      <c r="DG79" s="3" t="n"/>
      <c r="DH79" s="3" t="n"/>
      <c r="DI79" s="3" t="n"/>
      <c r="DJ79" s="3" t="n"/>
      <c r="DK79" s="3" t="n"/>
      <c r="DL79" s="3">
        <f>IF(OR(IFERROR(VALUE(LEFT(DF79,1)),99)&lt;=2,IFERROR(VALUE(LEFT(DG79,1)),99)&lt;=2),"Flagged","Clear")</f>
        <v/>
      </c>
      <c r="DM79" s="3">
        <f>IF(OR(DA79="Yes",DB79&lt;&gt;"No",DH79="Unverified",DL79="Flagged"),"Yes","No")</f>
        <v/>
      </c>
      <c r="DN79" s="3">
        <f t="array" ref="DN79">MIN(100,
  IF(ISNUMBER(V79), _xlfn.IFS(V79&gt;=3,25, V79=2,15, V79=1,5, TRUE,0), 0)
  + IFERROR(_xlfn.IFS(VALUE(LEFT(DF79,1))=5,25, VALUE(LEFT(DF79,1))=4,20, VALUE(LEFT(DF79,1))=3,15, VALUE(LEFT(DF79,1))=2,8, TRUE,0), 15)
  + IFERROR(_xlfn.IFS(VALUE(LEFT(DG79,1))=5,25, VALUE(LEFT(DG79,1))=4,20, VALUE(LEFT(DG79,1))=3,15, VALUE(LEFT(DG79,1))=2,8, TRUE,0), 15)
  + _xlfn.IFS(DH79="Fully Verified",25, DH79="Partially Verified",12, TRUE,0)
)</f>
        <v/>
      </c>
      <c r="DO79" s="3">
        <f t="array" ref="DO79">_xlfn.IFS(
  ISBLANK(AR79), "Insufficient Evidence",
  AND(AR79&gt;=65, AJ79="Approved"), "Strong",
  AR79&gt;=65, "Adequate",
  AR79&gt;=40, "Adequate",
  AR79&gt;=20, "Weak",
  TRUE, "Insufficient Evidence"
)</f>
        <v/>
      </c>
      <c r="DP79" s="3">
        <f t="array" ref="DP79">_xlfn.IFS(
  ISBLANK(BS79), "Insufficient Evidence",
  BS79&gt;=65, "Strong",
  BS79&gt;=40, "Adequate",
  BS79&gt;=20, "Weak",
  TRUE, "Insufficient Evidence"
)</f>
        <v/>
      </c>
      <c r="DQ79" s="3">
        <f t="array" ref="DQ79">_xlfn.IFS(
  ISBLANK(BE79), "Insufficient Evidence",
  OR(AW79="Confirmed Violation", AX79="Confirmed Breach"), "Severe — Hard Trigger",
  BE79&gt;=65, "Strong",
  BE79&gt;=40, "Adequate",
  BE79&gt;=20, "Weak",
  TRUE, "Insufficient Evidence"
)</f>
        <v/>
      </c>
      <c r="DR79" s="3">
        <f t="array" ref="DR79">_xlfn.IFS(
  ISBLANK(CU79), "Insufficient Evidence",
  CU79&lt;=20, "Low Risk",
  CU79&lt;=50, "Moderate Risk",
  CU79&lt;=75, "High Risk",
  TRUE, "Very High Risk"
)</f>
        <v/>
      </c>
      <c r="DS79" s="3">
        <f t="array" ref="DS79">_xlfn.IFS(
  ISBLANK(CE79), "Insufficient Evidence",
  AND(ISNUMBER(BW79),ISNUMBER(BV79),BW79&gt;BV79), "Overclaiming Risk",
  CE79&gt;=65, "Strong",
  CE79&gt;=40, "Adequate",
  TRUE, "Weak"
)</f>
        <v/>
      </c>
      <c r="DT79" s="3">
        <f>IF(DB79="Yes — Automatic",0,ROUND((IF(ISNUMBER(AR79),AR79,0)*0.3+IF(ISNUMBER(BS79),BS79,0)*0.2+IF(ISNUMBER(BE79),BE79,0)*0.2+IF(ISNUMBER(CE79),CE79,0)*0.15+(100-IF(ISNUMBER(CU79),CU79,50))*0.15)*IF(DN79&gt;=75,1,IF(DN79&gt;=50,0.9,IF(DN79&gt;=25,0.75,0.6))),1))</f>
        <v/>
      </c>
      <c r="DU79" s="3">
        <f t="array" ref="DU79">_xlfn.IFS(
  DV79="Upgraded to Clear", "Clear",
  DV79="Downgraded to Watchlist", "Watchlist",
  DV79="Downgraded to Exclusion", "Exclusion Risk",
  DB79="Yes — Automatic", "Exclusion Risk",
  OR(AW79="Confirmed Violation", AX79="Confirmed Breach"), "Exclusion Risk",
  OR(V79=0, ISBLANK(V79), DN79&lt;20), "Insufficient Evidence",
  AND(DT79&gt;=65, DA79="No", DB79="No"), "Clear",
  OR(DT79&gt;=40, DA79="Yes"), "Watchlist",
  TRUE, "Exclusion Risk"
)</f>
        <v/>
      </c>
      <c r="DV79" s="3" t="n"/>
      <c r="DW79" s="3">
        <f t="array" ref="DW79">_xlfn.IFS(
  DU79="Exclusion Risk", "Exclude — Hard Trigger",
  DU79="Insufficient Evidence", "Watchlist — Further Evidence Needed",
  DU79="Watchlist", "Watchlist — Further Evidence Needed",
  AND(DU79="Clear", DT79&gt;=80), "Include — No Conditions",
  DU79="Clear", "Include — Monitor",
  TRUE, "Watchlist — Further Evidence Needed"
)</f>
        <v/>
      </c>
      <c r="DX79" s="3" t="n"/>
      <c r="DY79" s="3" t="n"/>
      <c r="DZ79" s="3" t="n"/>
      <c r="EA79" s="3" t="n"/>
      <c r="EB79" s="3">
        <f>IF(OR(V79=0, ISBLANK(V79)), "MISSING — No sources reviewed", "")</f>
        <v/>
      </c>
      <c r="EC79" s="3">
        <f>IF(AND(NOT(ISBLANK(DC79)), ISBLANK(DE79)), "PAGE REF MISSING", "")</f>
        <v/>
      </c>
    </row>
    <row r="80" ht="18" customHeight="1" s="60">
      <c r="A80" s="5" t="inlineStr">
        <is>
          <t>Coca-Cola HBC AG</t>
        </is>
      </c>
      <c r="B80" s="5" t="inlineStr">
        <is>
          <t>C0Q</t>
        </is>
      </c>
      <c r="C80" s="5">
        <f>IF(ISBLANK('Universe Tracker'!D76),"",'Universe Tracker'!D76)</f>
        <v/>
      </c>
      <c r="D80" s="5" t="n"/>
      <c r="E80" s="5" t="n"/>
      <c r="F80" s="5">
        <f>IF(ISBLANK('Universe Tracker'!F76),"",'Universe Tracker'!F76)</f>
        <v/>
      </c>
      <c r="G80" s="5">
        <f>IF(ISBLANK('Universe Tracker'!G76),"",'Universe Tracker'!G76)</f>
        <v/>
      </c>
      <c r="H80" s="5" t="n"/>
      <c r="I80" s="5" t="n"/>
      <c r="J80" s="5">
        <f>IF(ISBLANK(B80),"",B80&amp;"_"&amp;C80)</f>
        <v/>
      </c>
      <c r="K80" s="5" t="n"/>
      <c r="L80" s="5" t="n"/>
      <c r="M80" s="5" t="n"/>
      <c r="N80" s="5" t="n"/>
      <c r="O80" s="5" t="n"/>
      <c r="P80" s="5" t="n"/>
      <c r="Q80" s="5" t="n"/>
      <c r="R80" s="5" t="n"/>
      <c r="S80" s="5" t="n"/>
      <c r="T80" s="5" t="n"/>
      <c r="U80" s="5" t="n"/>
      <c r="V80" s="5" t="n"/>
      <c r="W80" s="5" t="n"/>
      <c r="X80" s="5" t="n"/>
      <c r="Y80" s="5">
        <f>IF(AND(V80&gt;=2,K80="Yes",L80="Yes"),"Sufficient",IF(AND(V80&gt;=1,OR(K80="Yes",L80="Yes")),"Thin","Insufficient"))</f>
        <v/>
      </c>
      <c r="Z80" s="5" t="n"/>
      <c r="AA80" s="5" t="n"/>
      <c r="AB80" s="5" t="n"/>
      <c r="AC80" s="5" t="n"/>
      <c r="AD80" s="5" t="n"/>
      <c r="AE80" s="5" t="n"/>
      <c r="AF80" s="5" t="n"/>
      <c r="AG80" s="5" t="n"/>
      <c r="AH80" s="5" t="n"/>
      <c r="AI80" s="5" t="n"/>
      <c r="AJ80" s="5" t="n"/>
      <c r="AK80" s="5" t="n"/>
      <c r="AL80" s="5" t="n"/>
      <c r="AM80" s="5" t="n"/>
      <c r="AN80" s="5" t="n"/>
      <c r="AO80" s="5" t="n"/>
      <c r="AP80" s="5" t="n"/>
      <c r="AQ80" s="5" t="n"/>
      <c r="AR80" s="40">
        <f t="array" ref="AR80">MIN(100, MAX(0,
  IFERROR(_xlfn.XLOOKUP(AJ80,'Lookup Tables'!$A$2:$A$7,'Lookup Tables'!$B$2:$B$7,0),0)
  + IF(Z80="Yes", IF(IFERROR(_xlfn.XLOOKUP(AJ80,'Lookup Tables'!$A$2:$A$7,'Lookup Tables'!$B$2:$B$7,0),0)&lt;20, 5, 0), 0)
  + _xlfn.IFS(AB80="Yes", IF(ISNUMBER(AC80)*AND(AC80&lt;=2030),15,10), AB80="Long-term Only", 5, AB80="No", 0, TRUE, 0)
  + _xlfn.IFS(AF80="Full",10, AF80="Partial",5, AF80="Scope 2 Only",3, TRUE,0)
  + _xlfn.IFS(AG80="Yes", IF(ISNUMBER(AH80)*AND(AH80&gt;=5),10,6), AG80="Partial",4, TRUE,0)
  + _xlfn.IFS(AI80="Yes",5, AI80="Partial (material categories only)",3, TRUE,0)
  + _xlfn.IFS(AL80="Yes — Detailed",10, AL80="Yes — High Level",5, TRUE,0)
  + _xlfn.IFS(AM80="Yes — Quantified",15, AM80="Yes — Directional Only",7, TRUE,0)
  + _xlfn.IFS(AP80="Formal",5, AP80="Referenced",2, TRUE,0)
  + _xlfn.IFS(AQ80="No Issues Found",5, AQ80="Concern Identified",-5, AQ80="Severe Contradiction",-15, TRUE,0)
  + _xlfn.IFS(BC80="Reasonable Assurance",5, BC80="Limited Assurance",3, TRUE,0)
  - IF(AND(Z80="Yes", AI80="No"), 10, 0)
  - IF(AND(Z80="Yes", AM80="No"), 10, 0)
))</f>
        <v/>
      </c>
      <c r="AS80" s="5" t="n"/>
      <c r="AT80" s="5" t="n"/>
      <c r="AU80" s="5" t="n"/>
      <c r="AV80" s="5" t="n"/>
      <c r="AW80" s="5" t="n"/>
      <c r="AX80" s="5" t="n"/>
      <c r="AY80" s="5" t="n"/>
      <c r="AZ80" s="5" t="n"/>
      <c r="BA80" s="5" t="n"/>
      <c r="BB80" s="5" t="n"/>
      <c r="BC80" s="5" t="n"/>
      <c r="BD80" s="5" t="n"/>
      <c r="BE80" s="39">
        <f t="array" ref="BE80">MIN(100, MAX(0,
  IFERROR(_xlfn.XLOOKUP(AT80,'Lookup Tables'!$D$2:$D$6,'Lookup Tables'!$E$2:$E$6,0),0)
  + IFERROR(_xlfn.XLOOKUP(AV80,'Lookup Tables'!$G$2:$G$5,'Lookup Tables'!$H$2:$H$5,0),0)
  + IFERROR(_xlfn.XLOOKUP(AW80,'Lookup Tables'!$J$2:$J$5,'Lookup Tables'!$K$2:$K$5,0),0)
  + _xlfn.IFS(AX80="No Issues",10, AX80="Complaint Filed",3, AX80="Confirmed Breach",-15, TRUE,0)
  + IFERROR(_xlfn.XLOOKUP(AY80,'Lookup Tables'!$M$2:$M$6,'Lookup Tables'!$N$2:$N$6,0),0)
  + IFERROR(_xlfn.XLOOKUP(AZ80,'Lookup Tables'!$P$2:$P$6,'Lookup Tables'!$Q$2:$Q$6,0),0)
  + _xlfn.IFS(BA80="Formal Board Committee",5, BA80="Board Oversight Mentioned",2, TRUE,0)
  + _xlfn.IFS(BB80="Yes — Quantified Targets",5, BB80="Yes — Discretionary Only",2, TRUE,0)
  + _xlfn.IFS(BC80="Reasonable Assurance",5, BC80="Limited Assurance",3, BC80="Management Review Only",1, TRUE,0)
))</f>
        <v/>
      </c>
      <c r="BF80" s="5" t="n"/>
      <c r="BG80" s="5" t="n"/>
      <c r="BH80" s="5" t="n"/>
      <c r="BI80" s="5" t="n"/>
      <c r="BJ80" s="5" t="n"/>
      <c r="BK80" s="5" t="n"/>
      <c r="BL80" s="5" t="n"/>
      <c r="BM80" s="5" t="n"/>
      <c r="BN80" s="5" t="n"/>
      <c r="BO80" s="5" t="n"/>
      <c r="BP80" s="5" t="n"/>
      <c r="BQ80" s="5" t="n"/>
      <c r="BR80" s="5" t="n"/>
      <c r="BS80" s="41">
        <f t="array" ref="BS80">MIN(100, MAX(0,
  IFERROR(_xlfn.XLOOKUP(BG80,'Lookup Tables'!$A$11:$A$16,'Lookup Tables'!$B$11:$B$16,0),0)
  + IFERROR(_xlfn.XLOOKUP(BR80,'Lookup Tables'!$M$11:$M$14,'Lookup Tables'!$N$11:$N$14,0),0)
  + IFERROR(_xlfn.XLOOKUP(BQ80,'Lookup Tables'!$J$11:$J$15,'Lookup Tables'!$K$11:$K$15,0),0)
  + IFERROR(_xlfn.XLOOKUP(BH80,'Lookup Tables'!$D$11:$D$15,'Lookup Tables'!$E$11:$E$15,0),0)
  + IFERROR(_xlfn.XLOOKUP(BJ80,'Lookup Tables'!$G$11:$G$16,'Lookup Tables'!$H$11:$H$16,0),0)
  + IFERROR(_xlfn.XLOOKUP(BN80,'Lookup Tables'!$P$11:$P$15,'Lookup Tables'!$Q$11:$Q$15,0),0)
  + _xlfn.IFS(BM80="No Evidence",10, BM80="Unknown",3, BM80="Likely",0, BM80="Confirmed",-10, TRUE,3)
  + IFERROR(_xlfn.XLOOKUP(BP80,'Lookup Tables'!$J$21:$J$24,'Lookup Tables'!$K$21:$K$24,0),0)
))</f>
        <v/>
      </c>
      <c r="BT80" s="5" t="n"/>
      <c r="BU80" s="5" t="n"/>
      <c r="BV80" s="5" t="n"/>
      <c r="BW80" s="5" t="n"/>
      <c r="BX80" s="5" t="n"/>
      <c r="BY80" s="5" t="n"/>
      <c r="BZ80" s="5" t="n"/>
      <c r="CA80" s="5" t="n"/>
      <c r="CB80" s="5" t="n"/>
      <c r="CC80" s="5" t="n"/>
      <c r="CD80" s="5" t="n"/>
      <c r="CE80" s="43">
        <f t="array" ref="CE80">MIN(100, MAX(0,
  IF(ISNUMBER(BV80)*AND(BV80&gt;0), 10, 0)
  + _xlfn.IFS(BY80="Independently Verified",25, BY80="Yes",15, TRUE,0)
  + IFERROR(_xlfn.XLOOKUP(BZ80,'Lookup Tables'!$A$21:$A$24,'Lookup Tables'!$B$21:$B$24,0),0)
  + IFERROR(_xlfn.XLOOKUP(CA80,'Lookup Tables'!$D$21:$D$24,'Lookup Tables'!$E$21:$E$24,0),0)
  + _xlfn.IFS(ISNUMBER(CB80)*AND(CB80&gt;=11),15, ISNUMBER(CB80)*AND(CB80&gt;=6),10, ISNUMBER(CB80)*AND(CB80&gt;=1),5, TRUE,0)
  + IFERROR(_xlfn.XLOOKUP(CC80,'Lookup Tables'!$G$21:$G$25,'Lookup Tables'!$H$21:$H$25,0),0)
  - IF(ISNUMBER(BW80)*AND(ISNUMBER(BV80))*AND(BW80&gt;BV80), 20, 0)
  - IF(AND(BY80="Yes", ISNUMBER(BW80), BW80&gt;60), 10, 0)
))</f>
        <v/>
      </c>
      <c r="CF80" s="5" t="n"/>
      <c r="CG80" s="5" t="n"/>
      <c r="CH80" s="5" t="n"/>
      <c r="CI80" s="5" t="n"/>
      <c r="CJ80" s="5" t="n"/>
      <c r="CK80" s="5" t="n"/>
      <c r="CL80" s="5" t="n"/>
      <c r="CM80" s="5" t="n"/>
      <c r="CN80" s="5" t="n"/>
      <c r="CO80" s="5" t="n"/>
      <c r="CP80" s="5" t="n"/>
      <c r="CQ80" s="5" t="n"/>
      <c r="CR80" s="5">
        <f>COUNTIF(CJ80:CQ80,"FAIL")</f>
        <v/>
      </c>
      <c r="CS80" s="5">
        <f>COUNTIF(CJ80:CQ80,"PARTIAL")</f>
        <v/>
      </c>
      <c r="CT80" s="5">
        <f>COUNTIF(CJ80:CQ80,"MISSING")</f>
        <v/>
      </c>
      <c r="CU80" s="5">
        <f>MIN(100,
  CR80*15
  + CS80*6
  + CT80*3
  + IFERROR(_xlfn.XLOOKUP(CW80,'Lookup Tables'!$M$21:$M$25,'Lookup Tables'!$N$21:$N$25,0),0)
)</f>
        <v/>
      </c>
      <c r="CV80" s="5">
        <f>IFERROR(
CHOOSE(
MATCH("FAIL",CJ80:CQ80,0),
"1-Specificity","2-Metric","3-Baseline","4-Target",
"5-Time Horizon","6-Scope","7-Verification","8-Consistency"
),
IFERROR(
CHOOSE(
MATCH("PARTIAL",CJ80:CQ80,0),
"1-Specificity","2-Metric","3-Baseline","4-Target",
"5-Time Horizon","6-Scope","7-Verification","8-Consistency"
),
"No failures"
)
)</f>
        <v/>
      </c>
      <c r="CW80" s="5" t="n"/>
      <c r="CX80" s="5" t="n"/>
      <c r="CY80" s="5" t="n"/>
      <c r="CZ80" s="5" t="n"/>
      <c r="DA80" s="5">
        <f>IF(OR(CU80&gt;=50,CW80="Material",CW80="Severe",AS80="Material",AS80="Severe",BF80="Material",BF80="Severe — Exclusion Trigger",AND(ISNUMBER(BS80),BS80&lt;30)),"Yes","No")</f>
        <v/>
      </c>
      <c r="DB80" s="5">
        <f>IF(OR(CR80&gt;=6,AW80="Confirmed Violation",AX80="Confirmed Breach"),"Yes — Automatic",IF(CW80="Severe","Yes — Requires Captain Confirmation","No"))</f>
        <v/>
      </c>
      <c r="DC80" s="5" t="n"/>
      <c r="DD80" s="5" t="n"/>
      <c r="DE80" s="5" t="n"/>
      <c r="DF80" s="5" t="n"/>
      <c r="DG80" s="5" t="n"/>
      <c r="DH80" s="5" t="n"/>
      <c r="DI80" s="5" t="n"/>
      <c r="DJ80" s="5" t="n"/>
      <c r="DK80" s="5" t="n"/>
      <c r="DL80" s="5">
        <f>IF(OR(IFERROR(VALUE(LEFT(DF80,1)),99)&lt;=2,IFERROR(VALUE(LEFT(DG80,1)),99)&lt;=2),"Flagged","Clear")</f>
        <v/>
      </c>
      <c r="DM80" s="5">
        <f>IF(OR(DA80="Yes",DB80&lt;&gt;"No",DH80="Unverified",DL80="Flagged"),"Yes","No")</f>
        <v/>
      </c>
      <c r="DN80" s="5">
        <f t="array" ref="DN80">MIN(100,
  IF(ISNUMBER(V80), _xlfn.IFS(V80&gt;=3,25, V80=2,15, V80=1,5, TRUE,0), 0)
  + IFERROR(_xlfn.IFS(VALUE(LEFT(DF80,1))=5,25, VALUE(LEFT(DF80,1))=4,20, VALUE(LEFT(DF80,1))=3,15, VALUE(LEFT(DF80,1))=2,8, TRUE,0), 15)
  + IFERROR(_xlfn.IFS(VALUE(LEFT(DG80,1))=5,25, VALUE(LEFT(DG80,1))=4,20, VALUE(LEFT(DG80,1))=3,15, VALUE(LEFT(DG80,1))=2,8, TRUE,0), 15)
  + _xlfn.IFS(DH80="Fully Verified",25, DH80="Partially Verified",12, TRUE,0)
)</f>
        <v/>
      </c>
      <c r="DO80" s="5">
        <f t="array" ref="DO80">_xlfn.IFS(
  ISBLANK(AR80), "Insufficient Evidence",
  AND(AR80&gt;=65, AJ80="Approved"), "Strong",
  AR80&gt;=65, "Adequate",
  AR80&gt;=40, "Adequate",
  AR80&gt;=20, "Weak",
  TRUE, "Insufficient Evidence"
)</f>
        <v/>
      </c>
      <c r="DP80" s="5">
        <f t="array" ref="DP80">_xlfn.IFS(
  ISBLANK(BS80), "Insufficient Evidence",
  BS80&gt;=65, "Strong",
  BS80&gt;=40, "Adequate",
  BS80&gt;=20, "Weak",
  TRUE, "Insufficient Evidence"
)</f>
        <v/>
      </c>
      <c r="DQ80" s="5">
        <f t="array" ref="DQ80">_xlfn.IFS(
  ISBLANK(BE80), "Insufficient Evidence",
  OR(AW80="Confirmed Violation", AX80="Confirmed Breach"), "Severe — Hard Trigger",
  BE80&gt;=65, "Strong",
  BE80&gt;=40, "Adequate",
  BE80&gt;=20, "Weak",
  TRUE, "Insufficient Evidence"
)</f>
        <v/>
      </c>
      <c r="DR80" s="5">
        <f t="array" ref="DR80">_xlfn.IFS(
  ISBLANK(CU80), "Insufficient Evidence",
  CU80&lt;=20, "Low Risk",
  CU80&lt;=50, "Moderate Risk",
  CU80&lt;=75, "High Risk",
  TRUE, "Very High Risk"
)</f>
        <v/>
      </c>
      <c r="DS80" s="5">
        <f t="array" ref="DS80">_xlfn.IFS(
  ISBLANK(CE80), "Insufficient Evidence",
  AND(ISNUMBER(BW80),ISNUMBER(BV80),BW80&gt;BV80), "Overclaiming Risk",
  CE80&gt;=65, "Strong",
  CE80&gt;=40, "Adequate",
  TRUE, "Weak"
)</f>
        <v/>
      </c>
      <c r="DT80" s="5">
        <f>IF(DB80="Yes — Automatic",0,ROUND((IF(ISNUMBER(AR80),AR80,0)*0.3+IF(ISNUMBER(BS80),BS80,0)*0.2+IF(ISNUMBER(BE80),BE80,0)*0.2+IF(ISNUMBER(CE80),CE80,0)*0.15+(100-IF(ISNUMBER(CU80),CU80,50))*0.15)*IF(DN80&gt;=75,1,IF(DN80&gt;=50,0.9,IF(DN80&gt;=25,0.75,0.6))),1))</f>
        <v/>
      </c>
      <c r="DU80" s="5">
        <f t="array" ref="DU80">_xlfn.IFS(
  DV80="Upgraded to Clear", "Clear",
  DV80="Downgraded to Watchlist", "Watchlist",
  DV80="Downgraded to Exclusion", "Exclusion Risk",
  DB80="Yes — Automatic", "Exclusion Risk",
  OR(AW80="Confirmed Violation", AX80="Confirmed Breach"), "Exclusion Risk",
  OR(V80=0, ISBLANK(V80), DN80&lt;20), "Insufficient Evidence",
  AND(DT80&gt;=65, DA80="No", DB80="No"), "Clear",
  OR(DT80&gt;=40, DA80="Yes"), "Watchlist",
  TRUE, "Exclusion Risk"
)</f>
        <v/>
      </c>
      <c r="DV80" s="5" t="n"/>
      <c r="DW80" s="5">
        <f t="array" ref="DW80">_xlfn.IFS(
  DU80="Exclusion Risk", "Exclude — Hard Trigger",
  DU80="Insufficient Evidence", "Watchlist — Further Evidence Needed",
  DU80="Watchlist", "Watchlist — Further Evidence Needed",
  AND(DU80="Clear", DT80&gt;=80), "Include — No Conditions",
  DU80="Clear", "Include — Monitor",
  TRUE, "Watchlist — Further Evidence Needed"
)</f>
        <v/>
      </c>
      <c r="DX80" s="5" t="n"/>
      <c r="DY80" s="5" t="n"/>
      <c r="DZ80" s="5" t="n"/>
      <c r="EA80" s="5" t="n"/>
      <c r="EB80" s="5">
        <f>IF(OR(V80=0, ISBLANK(V80)), "MISSING — No sources reviewed", "")</f>
        <v/>
      </c>
      <c r="EC80" s="5">
        <f>IF(AND(NOT(ISBLANK(DC80)), ISBLANK(DE80)), "PAGE REF MISSING", "")</f>
        <v/>
      </c>
    </row>
    <row r="81" ht="18" customHeight="1" s="60">
      <c r="A81" s="3" t="inlineStr">
        <is>
          <t>Credit Agricole SA</t>
        </is>
      </c>
      <c r="B81" s="3" t="inlineStr">
        <is>
          <t>XCA</t>
        </is>
      </c>
      <c r="C81" s="3">
        <f>IF(ISBLANK('Universe Tracker'!D77),"",'Universe Tracker'!D77)</f>
        <v/>
      </c>
      <c r="D81" s="3" t="n"/>
      <c r="E81" s="3" t="n"/>
      <c r="F81" s="3">
        <f>IF(ISBLANK('Universe Tracker'!F77),"",'Universe Tracker'!F77)</f>
        <v/>
      </c>
      <c r="G81" s="3">
        <f>IF(ISBLANK('Universe Tracker'!G77),"",'Universe Tracker'!G77)</f>
        <v/>
      </c>
      <c r="H81" s="3" t="n"/>
      <c r="I81" s="3" t="n"/>
      <c r="J81" s="3">
        <f>IF(ISBLANK(B81),"",B81&amp;"_"&amp;C81)</f>
        <v/>
      </c>
      <c r="K81" s="3" t="n"/>
      <c r="L81" s="3" t="n"/>
      <c r="M81" s="3" t="n"/>
      <c r="N81" s="3" t="n"/>
      <c r="O81" s="3" t="n"/>
      <c r="P81" s="3" t="n"/>
      <c r="Q81" s="3" t="n"/>
      <c r="R81" s="3" t="n"/>
      <c r="S81" s="3" t="n"/>
      <c r="T81" s="3" t="n"/>
      <c r="U81" s="3" t="n"/>
      <c r="V81" s="3" t="n"/>
      <c r="W81" s="3" t="n"/>
      <c r="X81" s="3" t="n"/>
      <c r="Y81" s="3">
        <f>IF(AND(V81&gt;=2,K81="Yes",L81="Yes"),"Sufficient",IF(AND(V81&gt;=1,OR(K81="Yes",L81="Yes")),"Thin","Insufficient"))</f>
        <v/>
      </c>
      <c r="Z81" s="3" t="n"/>
      <c r="AA81" s="3" t="n"/>
      <c r="AB81" s="3" t="n"/>
      <c r="AC81" s="3" t="n"/>
      <c r="AD81" s="3" t="n"/>
      <c r="AE81" s="3" t="n"/>
      <c r="AF81" s="3" t="n"/>
      <c r="AG81" s="3" t="n"/>
      <c r="AH81" s="3" t="n"/>
      <c r="AI81" s="3" t="n"/>
      <c r="AJ81" s="3" t="n"/>
      <c r="AK81" s="3" t="n"/>
      <c r="AL81" s="3" t="n"/>
      <c r="AM81" s="3" t="n"/>
      <c r="AN81" s="3" t="n"/>
      <c r="AO81" s="3" t="n"/>
      <c r="AP81" s="3" t="n"/>
      <c r="AQ81" s="3" t="n"/>
      <c r="AR81" s="40">
        <f t="array" ref="AR81">MIN(100, MAX(0,
  IFERROR(_xlfn.XLOOKUP(AJ81,'Lookup Tables'!$A$2:$A$7,'Lookup Tables'!$B$2:$B$7,0),0)
  + IF(Z81="Yes", IF(IFERROR(_xlfn.XLOOKUP(AJ81,'Lookup Tables'!$A$2:$A$7,'Lookup Tables'!$B$2:$B$7,0),0)&lt;20, 5, 0), 0)
  + _xlfn.IFS(AB81="Yes", IF(ISNUMBER(AC81)*AND(AC81&lt;=2030),15,10), AB81="Long-term Only", 5, AB81="No", 0, TRUE, 0)
  + _xlfn.IFS(AF81="Full",10, AF81="Partial",5, AF81="Scope 2 Only",3, TRUE,0)
  + _xlfn.IFS(AG81="Yes", IF(ISNUMBER(AH81)*AND(AH81&gt;=5),10,6), AG81="Partial",4, TRUE,0)
  + _xlfn.IFS(AI81="Yes",5, AI81="Partial (material categories only)",3, TRUE,0)
  + _xlfn.IFS(AL81="Yes — Detailed",10, AL81="Yes — High Level",5, TRUE,0)
  + _xlfn.IFS(AM81="Yes — Quantified",15, AM81="Yes — Directional Only",7, TRUE,0)
  + _xlfn.IFS(AP81="Formal",5, AP81="Referenced",2, TRUE,0)
  + _xlfn.IFS(AQ81="No Issues Found",5, AQ81="Concern Identified",-5, AQ81="Severe Contradiction",-15, TRUE,0)
  + _xlfn.IFS(BC81="Reasonable Assurance",5, BC81="Limited Assurance",3, TRUE,0)
  - IF(AND(Z81="Yes", AI81="No"), 10, 0)
  - IF(AND(Z81="Yes", AM81="No"), 10, 0)
))</f>
        <v/>
      </c>
      <c r="AS81" s="3" t="n"/>
      <c r="AT81" s="3" t="n"/>
      <c r="AU81" s="3" t="n"/>
      <c r="AV81" s="3" t="n"/>
      <c r="AW81" s="3" t="n"/>
      <c r="AX81" s="3" t="n"/>
      <c r="AY81" s="3" t="n"/>
      <c r="AZ81" s="3" t="n"/>
      <c r="BA81" s="3" t="n"/>
      <c r="BB81" s="3" t="n"/>
      <c r="BC81" s="3" t="n"/>
      <c r="BD81" s="3" t="n"/>
      <c r="BE81" s="40">
        <f t="array" ref="BE81">MIN(100, MAX(0,
  IFERROR(_xlfn.XLOOKUP(AT81,'Lookup Tables'!$D$2:$D$6,'Lookup Tables'!$E$2:$E$6,0),0)
  + IFERROR(_xlfn.XLOOKUP(AV81,'Lookup Tables'!$G$2:$G$5,'Lookup Tables'!$H$2:$H$5,0),0)
  + IFERROR(_xlfn.XLOOKUP(AW81,'Lookup Tables'!$J$2:$J$5,'Lookup Tables'!$K$2:$K$5,0),0)
  + _xlfn.IFS(AX81="No Issues",10, AX81="Complaint Filed",3, AX81="Confirmed Breach",-15, TRUE,0)
  + IFERROR(_xlfn.XLOOKUP(AY81,'Lookup Tables'!$M$2:$M$6,'Lookup Tables'!$N$2:$N$6,0),0)
  + IFERROR(_xlfn.XLOOKUP(AZ81,'Lookup Tables'!$P$2:$P$6,'Lookup Tables'!$Q$2:$Q$6,0),0)
  + _xlfn.IFS(BA81="Formal Board Committee",5, BA81="Board Oversight Mentioned",2, TRUE,0)
  + _xlfn.IFS(BB81="Yes — Quantified Targets",5, BB81="Yes — Discretionary Only",2, TRUE,0)
  + _xlfn.IFS(BC81="Reasonable Assurance",5, BC81="Limited Assurance",3, BC81="Management Review Only",1, TRUE,0)
))</f>
        <v/>
      </c>
      <c r="BF81" s="3" t="n"/>
      <c r="BG81" s="3" t="n"/>
      <c r="BH81" s="3" t="n"/>
      <c r="BI81" s="3" t="n"/>
      <c r="BJ81" s="3" t="n"/>
      <c r="BK81" s="3" t="n"/>
      <c r="BL81" s="3" t="n"/>
      <c r="BM81" s="3" t="n"/>
      <c r="BN81" s="3" t="n"/>
      <c r="BO81" s="3" t="n"/>
      <c r="BP81" s="3" t="n"/>
      <c r="BQ81" s="3" t="n"/>
      <c r="BR81" s="3" t="n"/>
      <c r="BS81" s="42">
        <f t="array" ref="BS81">MIN(100, MAX(0,
  IFERROR(_xlfn.XLOOKUP(BG81,'Lookup Tables'!$A$11:$A$16,'Lookup Tables'!$B$11:$B$16,0),0)
  + IFERROR(_xlfn.XLOOKUP(BR81,'Lookup Tables'!$M$11:$M$14,'Lookup Tables'!$N$11:$N$14,0),0)
  + IFERROR(_xlfn.XLOOKUP(BQ81,'Lookup Tables'!$J$11:$J$15,'Lookup Tables'!$K$11:$K$15,0),0)
  + IFERROR(_xlfn.XLOOKUP(BH81,'Lookup Tables'!$D$11:$D$15,'Lookup Tables'!$E$11:$E$15,0),0)
  + IFERROR(_xlfn.XLOOKUP(BJ81,'Lookup Tables'!$G$11:$G$16,'Lookup Tables'!$H$11:$H$16,0),0)
  + IFERROR(_xlfn.XLOOKUP(BN81,'Lookup Tables'!$P$11:$P$15,'Lookup Tables'!$Q$11:$Q$15,0),0)
  + _xlfn.IFS(BM81="No Evidence",10, BM81="Unknown",3, BM81="Likely",0, BM81="Confirmed",-10, TRUE,3)
  + IFERROR(_xlfn.XLOOKUP(BP81,'Lookup Tables'!$J$21:$J$24,'Lookup Tables'!$K$21:$K$24,0),0)
))</f>
        <v/>
      </c>
      <c r="BT81" s="3" t="n"/>
      <c r="BU81" s="3" t="n"/>
      <c r="BV81" s="3" t="n"/>
      <c r="BW81" s="3" t="n"/>
      <c r="BX81" s="3" t="n"/>
      <c r="BY81" s="3" t="n"/>
      <c r="BZ81" s="3" t="n"/>
      <c r="CA81" s="3" t="n"/>
      <c r="CB81" s="3" t="n"/>
      <c r="CC81" s="3" t="n"/>
      <c r="CD81" s="3" t="n"/>
      <c r="CE81" s="44">
        <f t="array" ref="CE81">MIN(100, MAX(0,
  IF(ISNUMBER(BV81)*AND(BV81&gt;0), 10, 0)
  + _xlfn.IFS(BY81="Independently Verified",25, BY81="Yes",15, TRUE,0)
  + IFERROR(_xlfn.XLOOKUP(BZ81,'Lookup Tables'!$A$21:$A$24,'Lookup Tables'!$B$21:$B$24,0),0)
  + IFERROR(_xlfn.XLOOKUP(CA81,'Lookup Tables'!$D$21:$D$24,'Lookup Tables'!$E$21:$E$24,0),0)
  + _xlfn.IFS(ISNUMBER(CB81)*AND(CB81&gt;=11),15, ISNUMBER(CB81)*AND(CB81&gt;=6),10, ISNUMBER(CB81)*AND(CB81&gt;=1),5, TRUE,0)
  + IFERROR(_xlfn.XLOOKUP(CC81,'Lookup Tables'!$G$21:$G$25,'Lookup Tables'!$H$21:$H$25,0),0)
  - IF(ISNUMBER(BW81)*AND(ISNUMBER(BV81))*AND(BW81&gt;BV81), 20, 0)
  - IF(AND(BY81="Yes", ISNUMBER(BW81), BW81&gt;60), 10, 0)
))</f>
        <v/>
      </c>
      <c r="CF81" s="3" t="n"/>
      <c r="CG81" s="3" t="n"/>
      <c r="CH81" s="3" t="n"/>
      <c r="CI81" s="3" t="n"/>
      <c r="CJ81" s="3" t="n"/>
      <c r="CK81" s="3" t="n"/>
      <c r="CL81" s="3" t="n"/>
      <c r="CM81" s="3" t="n"/>
      <c r="CN81" s="3" t="n"/>
      <c r="CO81" s="3" t="n"/>
      <c r="CP81" s="3" t="n"/>
      <c r="CQ81" s="3" t="n"/>
      <c r="CR81" s="3">
        <f>COUNTIF(CJ81:CQ81,"FAIL")</f>
        <v/>
      </c>
      <c r="CS81" s="3">
        <f>COUNTIF(CJ81:CQ81,"PARTIAL")</f>
        <v/>
      </c>
      <c r="CT81" s="3">
        <f>COUNTIF(CJ81:CQ81,"MISSING")</f>
        <v/>
      </c>
      <c r="CU81" s="3">
        <f>MIN(100,
  CR81*15
  + CS81*6
  + CT81*3
  + IFERROR(_xlfn.XLOOKUP(CW81,'Lookup Tables'!$M$21:$M$25,'Lookup Tables'!$N$21:$N$25,0),0)
)</f>
        <v/>
      </c>
      <c r="CV81" s="3">
        <f>IFERROR(
CHOOSE(
MATCH("FAIL",CJ81:CQ81,0),
"1-Specificity","2-Metric","3-Baseline","4-Target",
"5-Time Horizon","6-Scope","7-Verification","8-Consistency"
),
IFERROR(
CHOOSE(
MATCH("PARTIAL",CJ81:CQ81,0),
"1-Specificity","2-Metric","3-Baseline","4-Target",
"5-Time Horizon","6-Scope","7-Verification","8-Consistency"
),
"No failures"
)
)</f>
        <v/>
      </c>
      <c r="CW81" s="3" t="n"/>
      <c r="CX81" s="3" t="n"/>
      <c r="CY81" s="3" t="n"/>
      <c r="CZ81" s="3" t="n"/>
      <c r="DA81" s="3">
        <f>IF(OR(CU81&gt;=50,CW81="Material",CW81="Severe",AS81="Material",AS81="Severe",BF81="Material",BF81="Severe — Exclusion Trigger",AND(ISNUMBER(BS81),BS81&lt;30)),"Yes","No")</f>
        <v/>
      </c>
      <c r="DB81" s="3">
        <f>IF(OR(CR81&gt;=6,AW81="Confirmed Violation",AX81="Confirmed Breach"),"Yes — Automatic",IF(CW81="Severe","Yes — Requires Captain Confirmation","No"))</f>
        <v/>
      </c>
      <c r="DC81" s="3" t="n"/>
      <c r="DD81" s="3" t="n"/>
      <c r="DE81" s="3" t="n"/>
      <c r="DF81" s="3" t="n"/>
      <c r="DG81" s="3" t="n"/>
      <c r="DH81" s="3" t="n"/>
      <c r="DI81" s="3" t="n"/>
      <c r="DJ81" s="3" t="n"/>
      <c r="DK81" s="3" t="n"/>
      <c r="DL81" s="3">
        <f>IF(OR(IFERROR(VALUE(LEFT(DF81,1)),99)&lt;=2,IFERROR(VALUE(LEFT(DG81,1)),99)&lt;=2),"Flagged","Clear")</f>
        <v/>
      </c>
      <c r="DM81" s="3">
        <f>IF(OR(DA81="Yes",DB81&lt;&gt;"No",DH81="Unverified",DL81="Flagged"),"Yes","No")</f>
        <v/>
      </c>
      <c r="DN81" s="3">
        <f t="array" ref="DN81">MIN(100,
  IF(ISNUMBER(V81), _xlfn.IFS(V81&gt;=3,25, V81=2,15, V81=1,5, TRUE,0), 0)
  + IFERROR(_xlfn.IFS(VALUE(LEFT(DF81,1))=5,25, VALUE(LEFT(DF81,1))=4,20, VALUE(LEFT(DF81,1))=3,15, VALUE(LEFT(DF81,1))=2,8, TRUE,0), 15)
  + IFERROR(_xlfn.IFS(VALUE(LEFT(DG81,1))=5,25, VALUE(LEFT(DG81,1))=4,20, VALUE(LEFT(DG81,1))=3,15, VALUE(LEFT(DG81,1))=2,8, TRUE,0), 15)
  + _xlfn.IFS(DH81="Fully Verified",25, DH81="Partially Verified",12, TRUE,0)
)</f>
        <v/>
      </c>
      <c r="DO81" s="3">
        <f t="array" ref="DO81">_xlfn.IFS(
  ISBLANK(AR81), "Insufficient Evidence",
  AND(AR81&gt;=65, AJ81="Approved"), "Strong",
  AR81&gt;=65, "Adequate",
  AR81&gt;=40, "Adequate",
  AR81&gt;=20, "Weak",
  TRUE, "Insufficient Evidence"
)</f>
        <v/>
      </c>
      <c r="DP81" s="3">
        <f t="array" ref="DP81">_xlfn.IFS(
  ISBLANK(BS81), "Insufficient Evidence",
  BS81&gt;=65, "Strong",
  BS81&gt;=40, "Adequate",
  BS81&gt;=20, "Weak",
  TRUE, "Insufficient Evidence"
)</f>
        <v/>
      </c>
      <c r="DQ81" s="3">
        <f t="array" ref="DQ81">_xlfn.IFS(
  ISBLANK(BE81), "Insufficient Evidence",
  OR(AW81="Confirmed Violation", AX81="Confirmed Breach"), "Severe — Hard Trigger",
  BE81&gt;=65, "Strong",
  BE81&gt;=40, "Adequate",
  BE81&gt;=20, "Weak",
  TRUE, "Insufficient Evidence"
)</f>
        <v/>
      </c>
      <c r="DR81" s="3">
        <f t="array" ref="DR81">_xlfn.IFS(
  ISBLANK(CU81), "Insufficient Evidence",
  CU81&lt;=20, "Low Risk",
  CU81&lt;=50, "Moderate Risk",
  CU81&lt;=75, "High Risk",
  TRUE, "Very High Risk"
)</f>
        <v/>
      </c>
      <c r="DS81" s="3">
        <f t="array" ref="DS81">_xlfn.IFS(
  ISBLANK(CE81), "Insufficient Evidence",
  AND(ISNUMBER(BW81),ISNUMBER(BV81),BW81&gt;BV81), "Overclaiming Risk",
  CE81&gt;=65, "Strong",
  CE81&gt;=40, "Adequate",
  TRUE, "Weak"
)</f>
        <v/>
      </c>
      <c r="DT81" s="3">
        <f>IF(DB81="Yes — Automatic",0,ROUND((IF(ISNUMBER(AR81),AR81,0)*0.3+IF(ISNUMBER(BS81),BS81,0)*0.2+IF(ISNUMBER(BE81),BE81,0)*0.2+IF(ISNUMBER(CE81),CE81,0)*0.15+(100-IF(ISNUMBER(CU81),CU81,50))*0.15)*IF(DN81&gt;=75,1,IF(DN81&gt;=50,0.9,IF(DN81&gt;=25,0.75,0.6))),1))</f>
        <v/>
      </c>
      <c r="DU81" s="3">
        <f t="array" ref="DU81">_xlfn.IFS(
  DV81="Upgraded to Clear", "Clear",
  DV81="Downgraded to Watchlist", "Watchlist",
  DV81="Downgraded to Exclusion", "Exclusion Risk",
  DB81="Yes — Automatic", "Exclusion Risk",
  OR(AW81="Confirmed Violation", AX81="Confirmed Breach"), "Exclusion Risk",
  OR(V81=0, ISBLANK(V81), DN81&lt;20), "Insufficient Evidence",
  AND(DT81&gt;=65, DA81="No", DB81="No"), "Clear",
  OR(DT81&gt;=40, DA81="Yes"), "Watchlist",
  TRUE, "Exclusion Risk"
)</f>
        <v/>
      </c>
      <c r="DV81" s="3" t="n"/>
      <c r="DW81" s="3">
        <f t="array" ref="DW81">_xlfn.IFS(
  DU81="Exclusion Risk", "Exclude — Hard Trigger",
  DU81="Insufficient Evidence", "Watchlist — Further Evidence Needed",
  DU81="Watchlist", "Watchlist — Further Evidence Needed",
  AND(DU81="Clear", DT81&gt;=80), "Include — No Conditions",
  DU81="Clear", "Include — Monitor",
  TRUE, "Watchlist — Further Evidence Needed"
)</f>
        <v/>
      </c>
      <c r="DX81" s="3" t="n"/>
      <c r="DY81" s="3" t="n"/>
      <c r="DZ81" s="3" t="n"/>
      <c r="EA81" s="3" t="n"/>
      <c r="EB81" s="3">
        <f>IF(OR(V81=0, ISBLANK(V81)), "MISSING — No sources reviewed", "")</f>
        <v/>
      </c>
      <c r="EC81" s="3">
        <f>IF(AND(NOT(ISBLANK(DC81)), ISBLANK(DE81)), "PAGE REF MISSING", "")</f>
        <v/>
      </c>
    </row>
    <row r="82" ht="18" customHeight="1" s="60">
      <c r="A82" s="5" t="inlineStr">
        <is>
          <t>Banco Bilbao Vizcaya Argentaria SA</t>
        </is>
      </c>
      <c r="B82" s="5" t="inlineStr">
        <is>
          <t>BOY</t>
        </is>
      </c>
      <c r="C82" s="5">
        <f>IF(ISBLANK('Universe Tracker'!D78),"",'Universe Tracker'!D78)</f>
        <v/>
      </c>
      <c r="D82" s="5" t="n"/>
      <c r="E82" s="5" t="n"/>
      <c r="F82" s="5">
        <f>IF(ISBLANK('Universe Tracker'!F78),"",'Universe Tracker'!F78)</f>
        <v/>
      </c>
      <c r="G82" s="5">
        <f>IF(ISBLANK('Universe Tracker'!G78),"",'Universe Tracker'!G78)</f>
        <v/>
      </c>
      <c r="H82" s="5" t="n"/>
      <c r="I82" s="5" t="n"/>
      <c r="J82" s="5">
        <f>IF(ISBLANK(B82),"",B82&amp;"_"&amp;C82)</f>
        <v/>
      </c>
      <c r="K82" s="5" t="n"/>
      <c r="L82" s="5" t="n"/>
      <c r="M82" s="5" t="n"/>
      <c r="N82" s="5" t="n"/>
      <c r="O82" s="5" t="n"/>
      <c r="P82" s="5" t="n"/>
      <c r="Q82" s="5" t="n"/>
      <c r="R82" s="5" t="n"/>
      <c r="S82" s="5" t="n"/>
      <c r="T82" s="5" t="n"/>
      <c r="U82" s="5" t="n"/>
      <c r="V82" s="5" t="n"/>
      <c r="W82" s="5" t="n"/>
      <c r="X82" s="5" t="n"/>
      <c r="Y82" s="5">
        <f>IF(AND(V82&gt;=2,K82="Yes",L82="Yes"),"Sufficient",IF(AND(V82&gt;=1,OR(K82="Yes",L82="Yes")),"Thin","Insufficient"))</f>
        <v/>
      </c>
      <c r="Z82" s="5" t="n"/>
      <c r="AA82" s="5" t="n"/>
      <c r="AB82" s="5" t="n"/>
      <c r="AC82" s="5" t="n"/>
      <c r="AD82" s="5" t="n"/>
      <c r="AE82" s="5" t="n"/>
      <c r="AF82" s="5" t="n"/>
      <c r="AG82" s="5" t="n"/>
      <c r="AH82" s="5" t="n"/>
      <c r="AI82" s="5" t="n"/>
      <c r="AJ82" s="5" t="n"/>
      <c r="AK82" s="5" t="n"/>
      <c r="AL82" s="5" t="n"/>
      <c r="AM82" s="5" t="n"/>
      <c r="AN82" s="5" t="n"/>
      <c r="AO82" s="5" t="n"/>
      <c r="AP82" s="5" t="n"/>
      <c r="AQ82" s="5" t="n"/>
      <c r="AR82" s="40">
        <f t="array" ref="AR82">MIN(100, MAX(0,
  IFERROR(_xlfn.XLOOKUP(AJ82,'Lookup Tables'!$A$2:$A$7,'Lookup Tables'!$B$2:$B$7,0),0)
  + IF(Z82="Yes", IF(IFERROR(_xlfn.XLOOKUP(AJ82,'Lookup Tables'!$A$2:$A$7,'Lookup Tables'!$B$2:$B$7,0),0)&lt;20, 5, 0), 0)
  + _xlfn.IFS(AB82="Yes", IF(ISNUMBER(AC82)*AND(AC82&lt;=2030),15,10), AB82="Long-term Only", 5, AB82="No", 0, TRUE, 0)
  + _xlfn.IFS(AF82="Full",10, AF82="Partial",5, AF82="Scope 2 Only",3, TRUE,0)
  + _xlfn.IFS(AG82="Yes", IF(ISNUMBER(AH82)*AND(AH82&gt;=5),10,6), AG82="Partial",4, TRUE,0)
  + _xlfn.IFS(AI82="Yes",5, AI82="Partial (material categories only)",3, TRUE,0)
  + _xlfn.IFS(AL82="Yes — Detailed",10, AL82="Yes — High Level",5, TRUE,0)
  + _xlfn.IFS(AM82="Yes — Quantified",15, AM82="Yes — Directional Only",7, TRUE,0)
  + _xlfn.IFS(AP82="Formal",5, AP82="Referenced",2, TRUE,0)
  + _xlfn.IFS(AQ82="No Issues Found",5, AQ82="Concern Identified",-5, AQ82="Severe Contradiction",-15, TRUE,0)
  + _xlfn.IFS(BC82="Reasonable Assurance",5, BC82="Limited Assurance",3, TRUE,0)
  - IF(AND(Z82="Yes", AI82="No"), 10, 0)
  - IF(AND(Z82="Yes", AM82="No"), 10, 0)
))</f>
        <v/>
      </c>
      <c r="AS82" s="5" t="n"/>
      <c r="AT82" s="5" t="n"/>
      <c r="AU82" s="5" t="n"/>
      <c r="AV82" s="5" t="n"/>
      <c r="AW82" s="5" t="n"/>
      <c r="AX82" s="5" t="n"/>
      <c r="AY82" s="5" t="n"/>
      <c r="AZ82" s="5" t="n"/>
      <c r="BA82" s="5" t="n"/>
      <c r="BB82" s="5" t="n"/>
      <c r="BC82" s="5" t="n"/>
      <c r="BD82" s="5" t="n"/>
      <c r="BE82" s="39">
        <f t="array" ref="BE82">MIN(100, MAX(0,
  IFERROR(_xlfn.XLOOKUP(AT82,'Lookup Tables'!$D$2:$D$6,'Lookup Tables'!$E$2:$E$6,0),0)
  + IFERROR(_xlfn.XLOOKUP(AV82,'Lookup Tables'!$G$2:$G$5,'Lookup Tables'!$H$2:$H$5,0),0)
  + IFERROR(_xlfn.XLOOKUP(AW82,'Lookup Tables'!$J$2:$J$5,'Lookup Tables'!$K$2:$K$5,0),0)
  + _xlfn.IFS(AX82="No Issues",10, AX82="Complaint Filed",3, AX82="Confirmed Breach",-15, TRUE,0)
  + IFERROR(_xlfn.XLOOKUP(AY82,'Lookup Tables'!$M$2:$M$6,'Lookup Tables'!$N$2:$N$6,0),0)
  + IFERROR(_xlfn.XLOOKUP(AZ82,'Lookup Tables'!$P$2:$P$6,'Lookup Tables'!$Q$2:$Q$6,0),0)
  + _xlfn.IFS(BA82="Formal Board Committee",5, BA82="Board Oversight Mentioned",2, TRUE,0)
  + _xlfn.IFS(BB82="Yes — Quantified Targets",5, BB82="Yes — Discretionary Only",2, TRUE,0)
  + _xlfn.IFS(BC82="Reasonable Assurance",5, BC82="Limited Assurance",3, BC82="Management Review Only",1, TRUE,0)
))</f>
        <v/>
      </c>
      <c r="BF82" s="5" t="n"/>
      <c r="BG82" s="5" t="n"/>
      <c r="BH82" s="5" t="n"/>
      <c r="BI82" s="5" t="n"/>
      <c r="BJ82" s="5" t="n"/>
      <c r="BK82" s="5" t="n"/>
      <c r="BL82" s="5" t="n"/>
      <c r="BM82" s="5" t="n"/>
      <c r="BN82" s="5" t="n"/>
      <c r="BO82" s="5" t="n"/>
      <c r="BP82" s="5" t="n"/>
      <c r="BQ82" s="5" t="n"/>
      <c r="BR82" s="5" t="n"/>
      <c r="BS82" s="41">
        <f t="array" ref="BS82">MIN(100, MAX(0,
  IFERROR(_xlfn.XLOOKUP(BG82,'Lookup Tables'!$A$11:$A$16,'Lookup Tables'!$B$11:$B$16,0),0)
  + IFERROR(_xlfn.XLOOKUP(BR82,'Lookup Tables'!$M$11:$M$14,'Lookup Tables'!$N$11:$N$14,0),0)
  + IFERROR(_xlfn.XLOOKUP(BQ82,'Lookup Tables'!$J$11:$J$15,'Lookup Tables'!$K$11:$K$15,0),0)
  + IFERROR(_xlfn.XLOOKUP(BH82,'Lookup Tables'!$D$11:$D$15,'Lookup Tables'!$E$11:$E$15,0),0)
  + IFERROR(_xlfn.XLOOKUP(BJ82,'Lookup Tables'!$G$11:$G$16,'Lookup Tables'!$H$11:$H$16,0),0)
  + IFERROR(_xlfn.XLOOKUP(BN82,'Lookup Tables'!$P$11:$P$15,'Lookup Tables'!$Q$11:$Q$15,0),0)
  + _xlfn.IFS(BM82="No Evidence",10, BM82="Unknown",3, BM82="Likely",0, BM82="Confirmed",-10, TRUE,3)
  + IFERROR(_xlfn.XLOOKUP(BP82,'Lookup Tables'!$J$21:$J$24,'Lookup Tables'!$K$21:$K$24,0),0)
))</f>
        <v/>
      </c>
      <c r="BT82" s="5" t="n"/>
      <c r="BU82" s="5" t="n"/>
      <c r="BV82" s="5" t="n"/>
      <c r="BW82" s="5" t="n"/>
      <c r="BX82" s="5" t="n"/>
      <c r="BY82" s="5" t="n"/>
      <c r="BZ82" s="5" t="n"/>
      <c r="CA82" s="5" t="n"/>
      <c r="CB82" s="5" t="n"/>
      <c r="CC82" s="5" t="n"/>
      <c r="CD82" s="5" t="n"/>
      <c r="CE82" s="43">
        <f t="array" ref="CE82">MIN(100, MAX(0,
  IF(ISNUMBER(BV82)*AND(BV82&gt;0), 10, 0)
  + _xlfn.IFS(BY82="Independently Verified",25, BY82="Yes",15, TRUE,0)
  + IFERROR(_xlfn.XLOOKUP(BZ82,'Lookup Tables'!$A$21:$A$24,'Lookup Tables'!$B$21:$B$24,0),0)
  + IFERROR(_xlfn.XLOOKUP(CA82,'Lookup Tables'!$D$21:$D$24,'Lookup Tables'!$E$21:$E$24,0),0)
  + _xlfn.IFS(ISNUMBER(CB82)*AND(CB82&gt;=11),15, ISNUMBER(CB82)*AND(CB82&gt;=6),10, ISNUMBER(CB82)*AND(CB82&gt;=1),5, TRUE,0)
  + IFERROR(_xlfn.XLOOKUP(CC82,'Lookup Tables'!$G$21:$G$25,'Lookup Tables'!$H$21:$H$25,0),0)
  - IF(ISNUMBER(BW82)*AND(ISNUMBER(BV82))*AND(BW82&gt;BV82), 20, 0)
  - IF(AND(BY82="Yes", ISNUMBER(BW82), BW82&gt;60), 10, 0)
))</f>
        <v/>
      </c>
      <c r="CF82" s="5" t="n"/>
      <c r="CG82" s="5" t="n"/>
      <c r="CH82" s="5" t="n"/>
      <c r="CI82" s="5" t="n"/>
      <c r="CJ82" s="5" t="n"/>
      <c r="CK82" s="5" t="n"/>
      <c r="CL82" s="5" t="n"/>
      <c r="CM82" s="5" t="n"/>
      <c r="CN82" s="5" t="n"/>
      <c r="CO82" s="5" t="n"/>
      <c r="CP82" s="5" t="n"/>
      <c r="CQ82" s="5" t="n"/>
      <c r="CR82" s="5">
        <f>COUNTIF(CJ82:CQ82,"FAIL")</f>
        <v/>
      </c>
      <c r="CS82" s="5">
        <f>COUNTIF(CJ82:CQ82,"PARTIAL")</f>
        <v/>
      </c>
      <c r="CT82" s="5">
        <f>COUNTIF(CJ82:CQ82,"MISSING")</f>
        <v/>
      </c>
      <c r="CU82" s="5">
        <f>MIN(100,
  CR82*15
  + CS82*6
  + CT82*3
  + IFERROR(_xlfn.XLOOKUP(CW82,'Lookup Tables'!$M$21:$M$25,'Lookup Tables'!$N$21:$N$25,0),0)
)</f>
        <v/>
      </c>
      <c r="CV82" s="5">
        <f>IFERROR(
CHOOSE(
MATCH("FAIL",CJ82:CQ82,0),
"1-Specificity","2-Metric","3-Baseline","4-Target",
"5-Time Horizon","6-Scope","7-Verification","8-Consistency"
),
IFERROR(
CHOOSE(
MATCH("PARTIAL",CJ82:CQ82,0),
"1-Specificity","2-Metric","3-Baseline","4-Target",
"5-Time Horizon","6-Scope","7-Verification","8-Consistency"
),
"No failures"
)
)</f>
        <v/>
      </c>
      <c r="CW82" s="5" t="n"/>
      <c r="CX82" s="5" t="n"/>
      <c r="CY82" s="5" t="n"/>
      <c r="CZ82" s="5" t="n"/>
      <c r="DA82" s="5">
        <f>IF(OR(CU82&gt;=50,CW82="Material",CW82="Severe",AS82="Material",AS82="Severe",BF82="Material",BF82="Severe — Exclusion Trigger",AND(ISNUMBER(BS82),BS82&lt;30)),"Yes","No")</f>
        <v/>
      </c>
      <c r="DB82" s="5">
        <f>IF(OR(CR82&gt;=6,AW82="Confirmed Violation",AX82="Confirmed Breach"),"Yes — Automatic",IF(CW82="Severe","Yes — Requires Captain Confirmation","No"))</f>
        <v/>
      </c>
      <c r="DC82" s="5" t="n"/>
      <c r="DD82" s="5" t="n"/>
      <c r="DE82" s="5" t="n"/>
      <c r="DF82" s="5" t="n"/>
      <c r="DG82" s="5" t="n"/>
      <c r="DH82" s="5" t="n"/>
      <c r="DI82" s="5" t="n"/>
      <c r="DJ82" s="5" t="n"/>
      <c r="DK82" s="5" t="n"/>
      <c r="DL82" s="5">
        <f>IF(OR(IFERROR(VALUE(LEFT(DF82,1)),99)&lt;=2,IFERROR(VALUE(LEFT(DG82,1)),99)&lt;=2),"Flagged","Clear")</f>
        <v/>
      </c>
      <c r="DM82" s="5">
        <f>IF(OR(DA82="Yes",DB82&lt;&gt;"No",DH82="Unverified",DL82="Flagged"),"Yes","No")</f>
        <v/>
      </c>
      <c r="DN82" s="5">
        <f t="array" ref="DN82">MIN(100,
  IF(ISNUMBER(V82), _xlfn.IFS(V82&gt;=3,25, V82=2,15, V82=1,5, TRUE,0), 0)
  + IFERROR(_xlfn.IFS(VALUE(LEFT(DF82,1))=5,25, VALUE(LEFT(DF82,1))=4,20, VALUE(LEFT(DF82,1))=3,15, VALUE(LEFT(DF82,1))=2,8, TRUE,0), 15)
  + IFERROR(_xlfn.IFS(VALUE(LEFT(DG82,1))=5,25, VALUE(LEFT(DG82,1))=4,20, VALUE(LEFT(DG82,1))=3,15, VALUE(LEFT(DG82,1))=2,8, TRUE,0), 15)
  + _xlfn.IFS(DH82="Fully Verified",25, DH82="Partially Verified",12, TRUE,0)
)</f>
        <v/>
      </c>
      <c r="DO82" s="5">
        <f t="array" ref="DO82">_xlfn.IFS(
  ISBLANK(AR82), "Insufficient Evidence",
  AND(AR82&gt;=65, AJ82="Approved"), "Strong",
  AR82&gt;=65, "Adequate",
  AR82&gt;=40, "Adequate",
  AR82&gt;=20, "Weak",
  TRUE, "Insufficient Evidence"
)</f>
        <v/>
      </c>
      <c r="DP82" s="5">
        <f t="array" ref="DP82">_xlfn.IFS(
  ISBLANK(BS82), "Insufficient Evidence",
  BS82&gt;=65, "Strong",
  BS82&gt;=40, "Adequate",
  BS82&gt;=20, "Weak",
  TRUE, "Insufficient Evidence"
)</f>
        <v/>
      </c>
      <c r="DQ82" s="5">
        <f t="array" ref="DQ82">_xlfn.IFS(
  ISBLANK(BE82), "Insufficient Evidence",
  OR(AW82="Confirmed Violation", AX82="Confirmed Breach"), "Severe — Hard Trigger",
  BE82&gt;=65, "Strong",
  BE82&gt;=40, "Adequate",
  BE82&gt;=20, "Weak",
  TRUE, "Insufficient Evidence"
)</f>
        <v/>
      </c>
      <c r="DR82" s="5">
        <f t="array" ref="DR82">_xlfn.IFS(
  ISBLANK(CU82), "Insufficient Evidence",
  CU82&lt;=20, "Low Risk",
  CU82&lt;=50, "Moderate Risk",
  CU82&lt;=75, "High Risk",
  TRUE, "Very High Risk"
)</f>
        <v/>
      </c>
      <c r="DS82" s="5">
        <f t="array" ref="DS82">_xlfn.IFS(
  ISBLANK(CE82), "Insufficient Evidence",
  AND(ISNUMBER(BW82),ISNUMBER(BV82),BW82&gt;BV82), "Overclaiming Risk",
  CE82&gt;=65, "Strong",
  CE82&gt;=40, "Adequate",
  TRUE, "Weak"
)</f>
        <v/>
      </c>
      <c r="DT82" s="5">
        <f>IF(DB82="Yes — Automatic",0,ROUND((IF(ISNUMBER(AR82),AR82,0)*0.3+IF(ISNUMBER(BS82),BS82,0)*0.2+IF(ISNUMBER(BE82),BE82,0)*0.2+IF(ISNUMBER(CE82),CE82,0)*0.15+(100-IF(ISNUMBER(CU82),CU82,50))*0.15)*IF(DN82&gt;=75,1,IF(DN82&gt;=50,0.9,IF(DN82&gt;=25,0.75,0.6))),1))</f>
        <v/>
      </c>
      <c r="DU82" s="5">
        <f t="array" ref="DU82">_xlfn.IFS(
  DV82="Upgraded to Clear", "Clear",
  DV82="Downgraded to Watchlist", "Watchlist",
  DV82="Downgraded to Exclusion", "Exclusion Risk",
  DB82="Yes — Automatic", "Exclusion Risk",
  OR(AW82="Confirmed Violation", AX82="Confirmed Breach"), "Exclusion Risk",
  OR(V82=0, ISBLANK(V82), DN82&lt;20), "Insufficient Evidence",
  AND(DT82&gt;=65, DA82="No", DB82="No"), "Clear",
  OR(DT82&gt;=40, DA82="Yes"), "Watchlist",
  TRUE, "Exclusion Risk"
)</f>
        <v/>
      </c>
      <c r="DV82" s="5" t="n"/>
      <c r="DW82" s="5">
        <f t="array" ref="DW82">_xlfn.IFS(
  DU82="Exclusion Risk", "Exclude — Hard Trigger",
  DU82="Insufficient Evidence", "Watchlist — Further Evidence Needed",
  DU82="Watchlist", "Watchlist — Further Evidence Needed",
  AND(DU82="Clear", DT82&gt;=80), "Include — No Conditions",
  DU82="Clear", "Include — Monitor",
  TRUE, "Watchlist — Further Evidence Needed"
)</f>
        <v/>
      </c>
      <c r="DX82" s="5" t="n"/>
      <c r="DY82" s="5" t="n"/>
      <c r="DZ82" s="5" t="n"/>
      <c r="EA82" s="5" t="n"/>
      <c r="EB82" s="5">
        <f>IF(OR(V82=0, ISBLANK(V82)), "MISSING — No sources reviewed", "")</f>
        <v/>
      </c>
      <c r="EC82" s="5">
        <f>IF(AND(NOT(ISBLANK(DC82)), ISBLANK(DE82)), "PAGE REF MISSING", "")</f>
        <v/>
      </c>
    </row>
    <row r="83" ht="18" customHeight="1" s="60">
      <c r="A83" s="3" t="inlineStr">
        <is>
          <t>A2A SpA</t>
        </is>
      </c>
      <c r="B83" s="3" t="inlineStr">
        <is>
          <t>EAM</t>
        </is>
      </c>
      <c r="C83" s="3">
        <f>IF(ISBLANK('Universe Tracker'!D79),"",'Universe Tracker'!D79)</f>
        <v/>
      </c>
      <c r="D83" s="3" t="n"/>
      <c r="E83" s="3" t="n"/>
      <c r="F83" s="3">
        <f>IF(ISBLANK('Universe Tracker'!F79),"",'Universe Tracker'!F79)</f>
        <v/>
      </c>
      <c r="G83" s="3">
        <f>IF(ISBLANK('Universe Tracker'!G79),"",'Universe Tracker'!G79)</f>
        <v/>
      </c>
      <c r="H83" s="3" t="n"/>
      <c r="I83" s="3" t="n"/>
      <c r="J83" s="3">
        <f>IF(ISBLANK(B83),"",B83&amp;"_"&amp;C83)</f>
        <v/>
      </c>
      <c r="K83" s="3" t="n"/>
      <c r="L83" s="3" t="n"/>
      <c r="M83" s="3" t="n"/>
      <c r="N83" s="3" t="n"/>
      <c r="O83" s="3" t="n"/>
      <c r="P83" s="3" t="n"/>
      <c r="Q83" s="3" t="n"/>
      <c r="R83" s="3" t="n"/>
      <c r="S83" s="3" t="n"/>
      <c r="T83" s="3" t="n"/>
      <c r="U83" s="3" t="n"/>
      <c r="V83" s="3" t="n"/>
      <c r="W83" s="3" t="n"/>
      <c r="X83" s="3" t="n"/>
      <c r="Y83" s="3">
        <f>IF(AND(V83&gt;=2,K83="Yes",L83="Yes"),"Sufficient",IF(AND(V83&gt;=1,OR(K83="Yes",L83="Yes")),"Thin","Insufficient"))</f>
        <v/>
      </c>
      <c r="Z83" s="3" t="n"/>
      <c r="AA83" s="3" t="n"/>
      <c r="AB83" s="3" t="n"/>
      <c r="AC83" s="3" t="n"/>
      <c r="AD83" s="3" t="n"/>
      <c r="AE83" s="3" t="n"/>
      <c r="AF83" s="3" t="n"/>
      <c r="AG83" s="3" t="n"/>
      <c r="AH83" s="3" t="n"/>
      <c r="AI83" s="3" t="n"/>
      <c r="AJ83" s="3" t="n"/>
      <c r="AK83" s="3" t="n"/>
      <c r="AL83" s="3" t="n"/>
      <c r="AM83" s="3" t="n"/>
      <c r="AN83" s="3" t="n"/>
      <c r="AO83" s="3" t="n"/>
      <c r="AP83" s="3" t="n"/>
      <c r="AQ83" s="3" t="n"/>
      <c r="AR83" s="40">
        <f t="array" ref="AR83">MIN(100, MAX(0,
  IFERROR(_xlfn.XLOOKUP(AJ83,'Lookup Tables'!$A$2:$A$7,'Lookup Tables'!$B$2:$B$7,0),0)
  + IF(Z83="Yes", IF(IFERROR(_xlfn.XLOOKUP(AJ83,'Lookup Tables'!$A$2:$A$7,'Lookup Tables'!$B$2:$B$7,0),0)&lt;20, 5, 0), 0)
  + _xlfn.IFS(AB83="Yes", IF(ISNUMBER(AC83)*AND(AC83&lt;=2030),15,10), AB83="Long-term Only", 5, AB83="No", 0, TRUE, 0)
  + _xlfn.IFS(AF83="Full",10, AF83="Partial",5, AF83="Scope 2 Only",3, TRUE,0)
  + _xlfn.IFS(AG83="Yes", IF(ISNUMBER(AH83)*AND(AH83&gt;=5),10,6), AG83="Partial",4, TRUE,0)
  + _xlfn.IFS(AI83="Yes",5, AI83="Partial (material categories only)",3, TRUE,0)
  + _xlfn.IFS(AL83="Yes — Detailed",10, AL83="Yes — High Level",5, TRUE,0)
  + _xlfn.IFS(AM83="Yes — Quantified",15, AM83="Yes — Directional Only",7, TRUE,0)
  + _xlfn.IFS(AP83="Formal",5, AP83="Referenced",2, TRUE,0)
  + _xlfn.IFS(AQ83="No Issues Found",5, AQ83="Concern Identified",-5, AQ83="Severe Contradiction",-15, TRUE,0)
  + _xlfn.IFS(BC83="Reasonable Assurance",5, BC83="Limited Assurance",3, TRUE,0)
  - IF(AND(Z83="Yes", AI83="No"), 10, 0)
  - IF(AND(Z83="Yes", AM83="No"), 10, 0)
))</f>
        <v/>
      </c>
      <c r="AS83" s="3" t="n"/>
      <c r="AT83" s="3" t="n"/>
      <c r="AU83" s="3" t="n"/>
      <c r="AV83" s="3" t="n"/>
      <c r="AW83" s="3" t="n"/>
      <c r="AX83" s="3" t="n"/>
      <c r="AY83" s="3" t="n"/>
      <c r="AZ83" s="3" t="n"/>
      <c r="BA83" s="3" t="n"/>
      <c r="BB83" s="3" t="n"/>
      <c r="BC83" s="3" t="n"/>
      <c r="BD83" s="3" t="n"/>
      <c r="BE83" s="40">
        <f t="array" ref="BE83">MIN(100, MAX(0,
  IFERROR(_xlfn.XLOOKUP(AT83,'Lookup Tables'!$D$2:$D$6,'Lookup Tables'!$E$2:$E$6,0),0)
  + IFERROR(_xlfn.XLOOKUP(AV83,'Lookup Tables'!$G$2:$G$5,'Lookup Tables'!$H$2:$H$5,0),0)
  + IFERROR(_xlfn.XLOOKUP(AW83,'Lookup Tables'!$J$2:$J$5,'Lookup Tables'!$K$2:$K$5,0),0)
  + _xlfn.IFS(AX83="No Issues",10, AX83="Complaint Filed",3, AX83="Confirmed Breach",-15, TRUE,0)
  + IFERROR(_xlfn.XLOOKUP(AY83,'Lookup Tables'!$M$2:$M$6,'Lookup Tables'!$N$2:$N$6,0),0)
  + IFERROR(_xlfn.XLOOKUP(AZ83,'Lookup Tables'!$P$2:$P$6,'Lookup Tables'!$Q$2:$Q$6,0),0)
  + _xlfn.IFS(BA83="Formal Board Committee",5, BA83="Board Oversight Mentioned",2, TRUE,0)
  + _xlfn.IFS(BB83="Yes — Quantified Targets",5, BB83="Yes — Discretionary Only",2, TRUE,0)
  + _xlfn.IFS(BC83="Reasonable Assurance",5, BC83="Limited Assurance",3, BC83="Management Review Only",1, TRUE,0)
))</f>
        <v/>
      </c>
      <c r="BF83" s="3" t="n"/>
      <c r="BG83" s="3" t="n"/>
      <c r="BH83" s="3" t="n"/>
      <c r="BI83" s="3" t="n"/>
      <c r="BJ83" s="3" t="n"/>
      <c r="BK83" s="3" t="n"/>
      <c r="BL83" s="3" t="n"/>
      <c r="BM83" s="3" t="n"/>
      <c r="BN83" s="3" t="n"/>
      <c r="BO83" s="3" t="n"/>
      <c r="BP83" s="3" t="n"/>
      <c r="BQ83" s="3" t="n"/>
      <c r="BR83" s="3" t="n"/>
      <c r="BS83" s="42">
        <f t="array" ref="BS83">MIN(100, MAX(0,
  IFERROR(_xlfn.XLOOKUP(BG83,'Lookup Tables'!$A$11:$A$16,'Lookup Tables'!$B$11:$B$16,0),0)
  + IFERROR(_xlfn.XLOOKUP(BR83,'Lookup Tables'!$M$11:$M$14,'Lookup Tables'!$N$11:$N$14,0),0)
  + IFERROR(_xlfn.XLOOKUP(BQ83,'Lookup Tables'!$J$11:$J$15,'Lookup Tables'!$K$11:$K$15,0),0)
  + IFERROR(_xlfn.XLOOKUP(BH83,'Lookup Tables'!$D$11:$D$15,'Lookup Tables'!$E$11:$E$15,0),0)
  + IFERROR(_xlfn.XLOOKUP(BJ83,'Lookup Tables'!$G$11:$G$16,'Lookup Tables'!$H$11:$H$16,0),0)
  + IFERROR(_xlfn.XLOOKUP(BN83,'Lookup Tables'!$P$11:$P$15,'Lookup Tables'!$Q$11:$Q$15,0),0)
  + _xlfn.IFS(BM83="No Evidence",10, BM83="Unknown",3, BM83="Likely",0, BM83="Confirmed",-10, TRUE,3)
  + IFERROR(_xlfn.XLOOKUP(BP83,'Lookup Tables'!$J$21:$J$24,'Lookup Tables'!$K$21:$K$24,0),0)
))</f>
        <v/>
      </c>
      <c r="BT83" s="3" t="n"/>
      <c r="BU83" s="3" t="n"/>
      <c r="BV83" s="3" t="n"/>
      <c r="BW83" s="3" t="n"/>
      <c r="BX83" s="3" t="n"/>
      <c r="BY83" s="3" t="n"/>
      <c r="BZ83" s="3" t="n"/>
      <c r="CA83" s="3" t="n"/>
      <c r="CB83" s="3" t="n"/>
      <c r="CC83" s="3" t="n"/>
      <c r="CD83" s="3" t="n"/>
      <c r="CE83" s="44">
        <f t="array" ref="CE83">MIN(100, MAX(0,
  IF(ISNUMBER(BV83)*AND(BV83&gt;0), 10, 0)
  + _xlfn.IFS(BY83="Independently Verified",25, BY83="Yes",15, TRUE,0)
  + IFERROR(_xlfn.XLOOKUP(BZ83,'Lookup Tables'!$A$21:$A$24,'Lookup Tables'!$B$21:$B$24,0),0)
  + IFERROR(_xlfn.XLOOKUP(CA83,'Lookup Tables'!$D$21:$D$24,'Lookup Tables'!$E$21:$E$24,0),0)
  + _xlfn.IFS(ISNUMBER(CB83)*AND(CB83&gt;=11),15, ISNUMBER(CB83)*AND(CB83&gt;=6),10, ISNUMBER(CB83)*AND(CB83&gt;=1),5, TRUE,0)
  + IFERROR(_xlfn.XLOOKUP(CC83,'Lookup Tables'!$G$21:$G$25,'Lookup Tables'!$H$21:$H$25,0),0)
  - IF(ISNUMBER(BW83)*AND(ISNUMBER(BV83))*AND(BW83&gt;BV83), 20, 0)
  - IF(AND(BY83="Yes", ISNUMBER(BW83), BW83&gt;60), 10, 0)
))</f>
        <v/>
      </c>
      <c r="CF83" s="3" t="n"/>
      <c r="CG83" s="3" t="n"/>
      <c r="CH83" s="3" t="n"/>
      <c r="CI83" s="3" t="n"/>
      <c r="CJ83" s="3" t="n"/>
      <c r="CK83" s="3" t="n"/>
      <c r="CL83" s="3" t="n"/>
      <c r="CM83" s="3" t="n"/>
      <c r="CN83" s="3" t="n"/>
      <c r="CO83" s="3" t="n"/>
      <c r="CP83" s="3" t="n"/>
      <c r="CQ83" s="3" t="n"/>
      <c r="CR83" s="3">
        <f>COUNTIF(CJ83:CQ83,"FAIL")</f>
        <v/>
      </c>
      <c r="CS83" s="3">
        <f>COUNTIF(CJ83:CQ83,"PARTIAL")</f>
        <v/>
      </c>
      <c r="CT83" s="3">
        <f>COUNTIF(CJ83:CQ83,"MISSING")</f>
        <v/>
      </c>
      <c r="CU83" s="3">
        <f>MIN(100,
  CR83*15
  + CS83*6
  + CT83*3
  + IFERROR(_xlfn.XLOOKUP(CW83,'Lookup Tables'!$M$21:$M$25,'Lookup Tables'!$N$21:$N$25,0),0)
)</f>
        <v/>
      </c>
      <c r="CV83" s="3">
        <f>IFERROR(
CHOOSE(
MATCH("FAIL",CJ83:CQ83,0),
"1-Specificity","2-Metric","3-Baseline","4-Target",
"5-Time Horizon","6-Scope","7-Verification","8-Consistency"
),
IFERROR(
CHOOSE(
MATCH("PARTIAL",CJ83:CQ83,0),
"1-Specificity","2-Metric","3-Baseline","4-Target",
"5-Time Horizon","6-Scope","7-Verification","8-Consistency"
),
"No failures"
)
)</f>
        <v/>
      </c>
      <c r="CW83" s="3" t="n"/>
      <c r="CX83" s="3" t="n"/>
      <c r="CY83" s="3" t="n"/>
      <c r="CZ83" s="3" t="n"/>
      <c r="DA83" s="3">
        <f>IF(OR(CU83&gt;=50,CW83="Material",CW83="Severe",AS83="Material",AS83="Severe",BF83="Material",BF83="Severe — Exclusion Trigger",AND(ISNUMBER(BS83),BS83&lt;30)),"Yes","No")</f>
        <v/>
      </c>
      <c r="DB83" s="3">
        <f>IF(OR(CR83&gt;=6,AW83="Confirmed Violation",AX83="Confirmed Breach"),"Yes — Automatic",IF(CW83="Severe","Yes — Requires Captain Confirmation","No"))</f>
        <v/>
      </c>
      <c r="DC83" s="3" t="n"/>
      <c r="DD83" s="3" t="n"/>
      <c r="DE83" s="3" t="n"/>
      <c r="DF83" s="3" t="n"/>
      <c r="DG83" s="3" t="n"/>
      <c r="DH83" s="3" t="n"/>
      <c r="DI83" s="3" t="n"/>
      <c r="DJ83" s="3" t="n"/>
      <c r="DK83" s="3" t="n"/>
      <c r="DL83" s="3">
        <f>IF(OR(IFERROR(VALUE(LEFT(DF83,1)),99)&lt;=2,IFERROR(VALUE(LEFT(DG83,1)),99)&lt;=2),"Flagged","Clear")</f>
        <v/>
      </c>
      <c r="DM83" s="3">
        <f>IF(OR(DA83="Yes",DB83&lt;&gt;"No",DH83="Unverified",DL83="Flagged"),"Yes","No")</f>
        <v/>
      </c>
      <c r="DN83" s="3">
        <f t="array" ref="DN83">MIN(100,
  IF(ISNUMBER(V83), _xlfn.IFS(V83&gt;=3,25, V83=2,15, V83=1,5, TRUE,0), 0)
  + IFERROR(_xlfn.IFS(VALUE(LEFT(DF83,1))=5,25, VALUE(LEFT(DF83,1))=4,20, VALUE(LEFT(DF83,1))=3,15, VALUE(LEFT(DF83,1))=2,8, TRUE,0), 15)
  + IFERROR(_xlfn.IFS(VALUE(LEFT(DG83,1))=5,25, VALUE(LEFT(DG83,1))=4,20, VALUE(LEFT(DG83,1))=3,15, VALUE(LEFT(DG83,1))=2,8, TRUE,0), 15)
  + _xlfn.IFS(DH83="Fully Verified",25, DH83="Partially Verified",12, TRUE,0)
)</f>
        <v/>
      </c>
      <c r="DO83" s="3">
        <f t="array" ref="DO83">_xlfn.IFS(
  ISBLANK(AR83), "Insufficient Evidence",
  AND(AR83&gt;=65, AJ83="Approved"), "Strong",
  AR83&gt;=65, "Adequate",
  AR83&gt;=40, "Adequate",
  AR83&gt;=20, "Weak",
  TRUE, "Insufficient Evidence"
)</f>
        <v/>
      </c>
      <c r="DP83" s="3">
        <f t="array" ref="DP83">_xlfn.IFS(
  ISBLANK(BS83), "Insufficient Evidence",
  BS83&gt;=65, "Strong",
  BS83&gt;=40, "Adequate",
  BS83&gt;=20, "Weak",
  TRUE, "Insufficient Evidence"
)</f>
        <v/>
      </c>
      <c r="DQ83" s="3">
        <f t="array" ref="DQ83">_xlfn.IFS(
  ISBLANK(BE83), "Insufficient Evidence",
  OR(AW83="Confirmed Violation", AX83="Confirmed Breach"), "Severe — Hard Trigger",
  BE83&gt;=65, "Strong",
  BE83&gt;=40, "Adequate",
  BE83&gt;=20, "Weak",
  TRUE, "Insufficient Evidence"
)</f>
        <v/>
      </c>
      <c r="DR83" s="3">
        <f t="array" ref="DR83">_xlfn.IFS(
  ISBLANK(CU83), "Insufficient Evidence",
  CU83&lt;=20, "Low Risk",
  CU83&lt;=50, "Moderate Risk",
  CU83&lt;=75, "High Risk",
  TRUE, "Very High Risk"
)</f>
        <v/>
      </c>
      <c r="DS83" s="3">
        <f t="array" ref="DS83">_xlfn.IFS(
  ISBLANK(CE83), "Insufficient Evidence",
  AND(ISNUMBER(BW83),ISNUMBER(BV83),BW83&gt;BV83), "Overclaiming Risk",
  CE83&gt;=65, "Strong",
  CE83&gt;=40, "Adequate",
  TRUE, "Weak"
)</f>
        <v/>
      </c>
      <c r="DT83" s="3">
        <f>IF(DB83="Yes — Automatic",0,ROUND((IF(ISNUMBER(AR83),AR83,0)*0.3+IF(ISNUMBER(BS83),BS83,0)*0.2+IF(ISNUMBER(BE83),BE83,0)*0.2+IF(ISNUMBER(CE83),CE83,0)*0.15+(100-IF(ISNUMBER(CU83),CU83,50))*0.15)*IF(DN83&gt;=75,1,IF(DN83&gt;=50,0.9,IF(DN83&gt;=25,0.75,0.6))),1))</f>
        <v/>
      </c>
      <c r="DU83" s="3">
        <f t="array" ref="DU83">_xlfn.IFS(
  DV83="Upgraded to Clear", "Clear",
  DV83="Downgraded to Watchlist", "Watchlist",
  DV83="Downgraded to Exclusion", "Exclusion Risk",
  DB83="Yes — Automatic", "Exclusion Risk",
  OR(AW83="Confirmed Violation", AX83="Confirmed Breach"), "Exclusion Risk",
  OR(V83=0, ISBLANK(V83), DN83&lt;20), "Insufficient Evidence",
  AND(DT83&gt;=65, DA83="No", DB83="No"), "Clear",
  OR(DT83&gt;=40, DA83="Yes"), "Watchlist",
  TRUE, "Exclusion Risk"
)</f>
        <v/>
      </c>
      <c r="DV83" s="3" t="n"/>
      <c r="DW83" s="3">
        <f t="array" ref="DW83">_xlfn.IFS(
  DU83="Exclusion Risk", "Exclude — Hard Trigger",
  DU83="Insufficient Evidence", "Watchlist — Further Evidence Needed",
  DU83="Watchlist", "Watchlist — Further Evidence Needed",
  AND(DU83="Clear", DT83&gt;=80), "Include — No Conditions",
  DU83="Clear", "Include — Monitor",
  TRUE, "Watchlist — Further Evidence Needed"
)</f>
        <v/>
      </c>
      <c r="DX83" s="3" t="n"/>
      <c r="DY83" s="3" t="n"/>
      <c r="DZ83" s="3" t="n"/>
      <c r="EA83" s="3" t="n"/>
      <c r="EB83" s="3">
        <f>IF(OR(V83=0, ISBLANK(V83)), "MISSING — No sources reviewed", "")</f>
        <v/>
      </c>
      <c r="EC83" s="3">
        <f>IF(AND(NOT(ISBLANK(DC83)), ISBLANK(DE83)), "PAGE REF MISSING", "")</f>
        <v/>
      </c>
    </row>
    <row r="84" ht="18" customHeight="1" s="60">
      <c r="A84" s="5" t="inlineStr">
        <is>
          <t>ALK-Abello A/S</t>
        </is>
      </c>
      <c r="B84" s="5" t="inlineStr">
        <is>
          <t>4AJ0</t>
        </is>
      </c>
      <c r="C84" s="5">
        <f>IF(ISBLANK('Universe Tracker'!D80),"",'Universe Tracker'!D80)</f>
        <v/>
      </c>
      <c r="D84" s="5" t="n"/>
      <c r="E84" s="5" t="n"/>
      <c r="F84" s="5">
        <f>IF(ISBLANK('Universe Tracker'!F80),"",'Universe Tracker'!F80)</f>
        <v/>
      </c>
      <c r="G84" s="5">
        <f>IF(ISBLANK('Universe Tracker'!G80),"",'Universe Tracker'!G80)</f>
        <v/>
      </c>
      <c r="H84" s="5" t="n"/>
      <c r="I84" s="5" t="n"/>
      <c r="J84" s="5">
        <f>IF(ISBLANK(B84),"",B84&amp;"_"&amp;C84)</f>
        <v/>
      </c>
      <c r="K84" s="5" t="n"/>
      <c r="L84" s="5" t="n"/>
      <c r="M84" s="5" t="n"/>
      <c r="N84" s="5" t="n"/>
      <c r="O84" s="5" t="n"/>
      <c r="P84" s="5" t="n"/>
      <c r="Q84" s="5" t="n"/>
      <c r="R84" s="5" t="n"/>
      <c r="S84" s="5" t="n"/>
      <c r="T84" s="5" t="n"/>
      <c r="U84" s="5" t="n"/>
      <c r="V84" s="5" t="n"/>
      <c r="W84" s="5" t="n"/>
      <c r="X84" s="5" t="n"/>
      <c r="Y84" s="5">
        <f>IF(AND(V84&gt;=2,K84="Yes",L84="Yes"),"Sufficient",IF(AND(V84&gt;=1,OR(K84="Yes",L84="Yes")),"Thin","Insufficient"))</f>
        <v/>
      </c>
      <c r="Z84" s="5" t="n"/>
      <c r="AA84" s="5" t="n"/>
      <c r="AB84" s="5" t="n"/>
      <c r="AC84" s="5" t="n"/>
      <c r="AD84" s="5" t="n"/>
      <c r="AE84" s="5" t="n"/>
      <c r="AF84" s="5" t="n"/>
      <c r="AG84" s="5" t="n"/>
      <c r="AH84" s="5" t="n"/>
      <c r="AI84" s="5" t="n"/>
      <c r="AJ84" s="5" t="n"/>
      <c r="AK84" s="5" t="n"/>
      <c r="AL84" s="5" t="n"/>
      <c r="AM84" s="5" t="n"/>
      <c r="AN84" s="5" t="n"/>
      <c r="AO84" s="5" t="n"/>
      <c r="AP84" s="5" t="n"/>
      <c r="AQ84" s="5" t="n"/>
      <c r="AR84" s="40">
        <f t="array" ref="AR84">MIN(100, MAX(0,
  IFERROR(_xlfn.XLOOKUP(AJ84,'Lookup Tables'!$A$2:$A$7,'Lookup Tables'!$B$2:$B$7,0),0)
  + IF(Z84="Yes", IF(IFERROR(_xlfn.XLOOKUP(AJ84,'Lookup Tables'!$A$2:$A$7,'Lookup Tables'!$B$2:$B$7,0),0)&lt;20, 5, 0), 0)
  + _xlfn.IFS(AB84="Yes", IF(ISNUMBER(AC84)*AND(AC84&lt;=2030),15,10), AB84="Long-term Only", 5, AB84="No", 0, TRUE, 0)
  + _xlfn.IFS(AF84="Full",10, AF84="Partial",5, AF84="Scope 2 Only",3, TRUE,0)
  + _xlfn.IFS(AG84="Yes", IF(ISNUMBER(AH84)*AND(AH84&gt;=5),10,6), AG84="Partial",4, TRUE,0)
  + _xlfn.IFS(AI84="Yes",5, AI84="Partial (material categories only)",3, TRUE,0)
  + _xlfn.IFS(AL84="Yes — Detailed",10, AL84="Yes — High Level",5, TRUE,0)
  + _xlfn.IFS(AM84="Yes — Quantified",15, AM84="Yes — Directional Only",7, TRUE,0)
  + _xlfn.IFS(AP84="Formal",5, AP84="Referenced",2, TRUE,0)
  + _xlfn.IFS(AQ84="No Issues Found",5, AQ84="Concern Identified",-5, AQ84="Severe Contradiction",-15, TRUE,0)
  + _xlfn.IFS(BC84="Reasonable Assurance",5, BC84="Limited Assurance",3, TRUE,0)
  - IF(AND(Z84="Yes", AI84="No"), 10, 0)
  - IF(AND(Z84="Yes", AM84="No"), 10, 0)
))</f>
        <v/>
      </c>
      <c r="AS84" s="5" t="n"/>
      <c r="AT84" s="5" t="n"/>
      <c r="AU84" s="5" t="n"/>
      <c r="AV84" s="5" t="n"/>
      <c r="AW84" s="5" t="n"/>
      <c r="AX84" s="5" t="n"/>
      <c r="AY84" s="5" t="n"/>
      <c r="AZ84" s="5" t="n"/>
      <c r="BA84" s="5" t="n"/>
      <c r="BB84" s="5" t="n"/>
      <c r="BC84" s="5" t="n"/>
      <c r="BD84" s="5" t="n"/>
      <c r="BE84" s="39">
        <f t="array" ref="BE84">MIN(100, MAX(0,
  IFERROR(_xlfn.XLOOKUP(AT84,'Lookup Tables'!$D$2:$D$6,'Lookup Tables'!$E$2:$E$6,0),0)
  + IFERROR(_xlfn.XLOOKUP(AV84,'Lookup Tables'!$G$2:$G$5,'Lookup Tables'!$H$2:$H$5,0),0)
  + IFERROR(_xlfn.XLOOKUP(AW84,'Lookup Tables'!$J$2:$J$5,'Lookup Tables'!$K$2:$K$5,0),0)
  + _xlfn.IFS(AX84="No Issues",10, AX84="Complaint Filed",3, AX84="Confirmed Breach",-15, TRUE,0)
  + IFERROR(_xlfn.XLOOKUP(AY84,'Lookup Tables'!$M$2:$M$6,'Lookup Tables'!$N$2:$N$6,0),0)
  + IFERROR(_xlfn.XLOOKUP(AZ84,'Lookup Tables'!$P$2:$P$6,'Lookup Tables'!$Q$2:$Q$6,0),0)
  + _xlfn.IFS(BA84="Formal Board Committee",5, BA84="Board Oversight Mentioned",2, TRUE,0)
  + _xlfn.IFS(BB84="Yes — Quantified Targets",5, BB84="Yes — Discretionary Only",2, TRUE,0)
  + _xlfn.IFS(BC84="Reasonable Assurance",5, BC84="Limited Assurance",3, BC84="Management Review Only",1, TRUE,0)
))</f>
        <v/>
      </c>
      <c r="BF84" s="5" t="n"/>
      <c r="BG84" s="5" t="n"/>
      <c r="BH84" s="5" t="n"/>
      <c r="BI84" s="5" t="n"/>
      <c r="BJ84" s="5" t="n"/>
      <c r="BK84" s="5" t="n"/>
      <c r="BL84" s="5" t="n"/>
      <c r="BM84" s="5" t="n"/>
      <c r="BN84" s="5" t="n"/>
      <c r="BO84" s="5" t="n"/>
      <c r="BP84" s="5" t="n"/>
      <c r="BQ84" s="5" t="n"/>
      <c r="BR84" s="5" t="n"/>
      <c r="BS84" s="41">
        <f t="array" ref="BS84">MIN(100, MAX(0,
  IFERROR(_xlfn.XLOOKUP(BG84,'Lookup Tables'!$A$11:$A$16,'Lookup Tables'!$B$11:$B$16,0),0)
  + IFERROR(_xlfn.XLOOKUP(BR84,'Lookup Tables'!$M$11:$M$14,'Lookup Tables'!$N$11:$N$14,0),0)
  + IFERROR(_xlfn.XLOOKUP(BQ84,'Lookup Tables'!$J$11:$J$15,'Lookup Tables'!$K$11:$K$15,0),0)
  + IFERROR(_xlfn.XLOOKUP(BH84,'Lookup Tables'!$D$11:$D$15,'Lookup Tables'!$E$11:$E$15,0),0)
  + IFERROR(_xlfn.XLOOKUP(BJ84,'Lookup Tables'!$G$11:$G$16,'Lookup Tables'!$H$11:$H$16,0),0)
  + IFERROR(_xlfn.XLOOKUP(BN84,'Lookup Tables'!$P$11:$P$15,'Lookup Tables'!$Q$11:$Q$15,0),0)
  + _xlfn.IFS(BM84="No Evidence",10, BM84="Unknown",3, BM84="Likely",0, BM84="Confirmed",-10, TRUE,3)
  + IFERROR(_xlfn.XLOOKUP(BP84,'Lookup Tables'!$J$21:$J$24,'Lookup Tables'!$K$21:$K$24,0),0)
))</f>
        <v/>
      </c>
      <c r="BT84" s="5" t="n"/>
      <c r="BU84" s="5" t="n"/>
      <c r="BV84" s="5" t="n"/>
      <c r="BW84" s="5" t="n"/>
      <c r="BX84" s="5" t="n"/>
      <c r="BY84" s="5" t="n"/>
      <c r="BZ84" s="5" t="n"/>
      <c r="CA84" s="5" t="n"/>
      <c r="CB84" s="5" t="n"/>
      <c r="CC84" s="5" t="n"/>
      <c r="CD84" s="5" t="n"/>
      <c r="CE84" s="43">
        <f t="array" ref="CE84">MIN(100, MAX(0,
  IF(ISNUMBER(BV84)*AND(BV84&gt;0), 10, 0)
  + _xlfn.IFS(BY84="Independently Verified",25, BY84="Yes",15, TRUE,0)
  + IFERROR(_xlfn.XLOOKUP(BZ84,'Lookup Tables'!$A$21:$A$24,'Lookup Tables'!$B$21:$B$24,0),0)
  + IFERROR(_xlfn.XLOOKUP(CA84,'Lookup Tables'!$D$21:$D$24,'Lookup Tables'!$E$21:$E$24,0),0)
  + _xlfn.IFS(ISNUMBER(CB84)*AND(CB84&gt;=11),15, ISNUMBER(CB84)*AND(CB84&gt;=6),10, ISNUMBER(CB84)*AND(CB84&gt;=1),5, TRUE,0)
  + IFERROR(_xlfn.XLOOKUP(CC84,'Lookup Tables'!$G$21:$G$25,'Lookup Tables'!$H$21:$H$25,0),0)
  - IF(ISNUMBER(BW84)*AND(ISNUMBER(BV84))*AND(BW84&gt;BV84), 20, 0)
  - IF(AND(BY84="Yes", ISNUMBER(BW84), BW84&gt;60), 10, 0)
))</f>
        <v/>
      </c>
      <c r="CF84" s="5" t="n"/>
      <c r="CG84" s="5" t="n"/>
      <c r="CH84" s="5" t="n"/>
      <c r="CI84" s="5" t="n"/>
      <c r="CJ84" s="5" t="n"/>
      <c r="CK84" s="5" t="n"/>
      <c r="CL84" s="5" t="n"/>
      <c r="CM84" s="5" t="n"/>
      <c r="CN84" s="5" t="n"/>
      <c r="CO84" s="5" t="n"/>
      <c r="CP84" s="5" t="n"/>
      <c r="CQ84" s="5" t="n"/>
      <c r="CR84" s="5">
        <f>COUNTIF(CJ84:CQ84,"FAIL")</f>
        <v/>
      </c>
      <c r="CS84" s="5">
        <f>COUNTIF(CJ84:CQ84,"PARTIAL")</f>
        <v/>
      </c>
      <c r="CT84" s="5">
        <f>COUNTIF(CJ84:CQ84,"MISSING")</f>
        <v/>
      </c>
      <c r="CU84" s="5">
        <f>MIN(100,
  CR84*15
  + CS84*6
  + CT84*3
  + IFERROR(_xlfn.XLOOKUP(CW84,'Lookup Tables'!$M$21:$M$25,'Lookup Tables'!$N$21:$N$25,0),0)
)</f>
        <v/>
      </c>
      <c r="CV84" s="5">
        <f>IFERROR(
CHOOSE(
MATCH("FAIL",CJ84:CQ84,0),
"1-Specificity","2-Metric","3-Baseline","4-Target",
"5-Time Horizon","6-Scope","7-Verification","8-Consistency"
),
IFERROR(
CHOOSE(
MATCH("PARTIAL",CJ84:CQ84,0),
"1-Specificity","2-Metric","3-Baseline","4-Target",
"5-Time Horizon","6-Scope","7-Verification","8-Consistency"
),
"No failures"
)
)</f>
        <v/>
      </c>
      <c r="CW84" s="5" t="n"/>
      <c r="CX84" s="5" t="n"/>
      <c r="CY84" s="5" t="n"/>
      <c r="CZ84" s="5" t="n"/>
      <c r="DA84" s="5">
        <f>IF(OR(CU84&gt;=50,CW84="Material",CW84="Severe",AS84="Material",AS84="Severe",BF84="Material",BF84="Severe — Exclusion Trigger",AND(ISNUMBER(BS84),BS84&lt;30)),"Yes","No")</f>
        <v/>
      </c>
      <c r="DB84" s="5">
        <f>IF(OR(CR84&gt;=6,AW84="Confirmed Violation",AX84="Confirmed Breach"),"Yes — Automatic",IF(CW84="Severe","Yes — Requires Captain Confirmation","No"))</f>
        <v/>
      </c>
      <c r="DC84" s="5" t="n"/>
      <c r="DD84" s="5" t="n"/>
      <c r="DE84" s="5" t="n"/>
      <c r="DF84" s="5" t="n"/>
      <c r="DG84" s="5" t="n"/>
      <c r="DH84" s="5" t="n"/>
      <c r="DI84" s="5" t="n"/>
      <c r="DJ84" s="5" t="n"/>
      <c r="DK84" s="5" t="n"/>
      <c r="DL84" s="5">
        <f>IF(OR(IFERROR(VALUE(LEFT(DF84,1)),99)&lt;=2,IFERROR(VALUE(LEFT(DG84,1)),99)&lt;=2),"Flagged","Clear")</f>
        <v/>
      </c>
      <c r="DM84" s="5">
        <f>IF(OR(DA84="Yes",DB84&lt;&gt;"No",DH84="Unverified",DL84="Flagged"),"Yes","No")</f>
        <v/>
      </c>
      <c r="DN84" s="5">
        <f t="array" ref="DN84">MIN(100,
  IF(ISNUMBER(V84), _xlfn.IFS(V84&gt;=3,25, V84=2,15, V84=1,5, TRUE,0), 0)
  + IFERROR(_xlfn.IFS(VALUE(LEFT(DF84,1))=5,25, VALUE(LEFT(DF84,1))=4,20, VALUE(LEFT(DF84,1))=3,15, VALUE(LEFT(DF84,1))=2,8, TRUE,0), 15)
  + IFERROR(_xlfn.IFS(VALUE(LEFT(DG84,1))=5,25, VALUE(LEFT(DG84,1))=4,20, VALUE(LEFT(DG84,1))=3,15, VALUE(LEFT(DG84,1))=2,8, TRUE,0), 15)
  + _xlfn.IFS(DH84="Fully Verified",25, DH84="Partially Verified",12, TRUE,0)
)</f>
        <v/>
      </c>
      <c r="DO84" s="5">
        <f t="array" ref="DO84">_xlfn.IFS(
  ISBLANK(AR84), "Insufficient Evidence",
  AND(AR84&gt;=65, AJ84="Approved"), "Strong",
  AR84&gt;=65, "Adequate",
  AR84&gt;=40, "Adequate",
  AR84&gt;=20, "Weak",
  TRUE, "Insufficient Evidence"
)</f>
        <v/>
      </c>
      <c r="DP84" s="5">
        <f t="array" ref="DP84">_xlfn.IFS(
  ISBLANK(BS84), "Insufficient Evidence",
  BS84&gt;=65, "Strong",
  BS84&gt;=40, "Adequate",
  BS84&gt;=20, "Weak",
  TRUE, "Insufficient Evidence"
)</f>
        <v/>
      </c>
      <c r="DQ84" s="5">
        <f t="array" ref="DQ84">_xlfn.IFS(
  ISBLANK(BE84), "Insufficient Evidence",
  OR(AW84="Confirmed Violation", AX84="Confirmed Breach"), "Severe — Hard Trigger",
  BE84&gt;=65, "Strong",
  BE84&gt;=40, "Adequate",
  BE84&gt;=20, "Weak",
  TRUE, "Insufficient Evidence"
)</f>
        <v/>
      </c>
      <c r="DR84" s="5">
        <f t="array" ref="DR84">_xlfn.IFS(
  ISBLANK(CU84), "Insufficient Evidence",
  CU84&lt;=20, "Low Risk",
  CU84&lt;=50, "Moderate Risk",
  CU84&lt;=75, "High Risk",
  TRUE, "Very High Risk"
)</f>
        <v/>
      </c>
      <c r="DS84" s="5">
        <f t="array" ref="DS84">_xlfn.IFS(
  ISBLANK(CE84), "Insufficient Evidence",
  AND(ISNUMBER(BW84),ISNUMBER(BV84),BW84&gt;BV84), "Overclaiming Risk",
  CE84&gt;=65, "Strong",
  CE84&gt;=40, "Adequate",
  TRUE, "Weak"
)</f>
        <v/>
      </c>
      <c r="DT84" s="5">
        <f>IF(DB84="Yes — Automatic",0,ROUND((IF(ISNUMBER(AR84),AR84,0)*0.3+IF(ISNUMBER(BS84),BS84,0)*0.2+IF(ISNUMBER(BE84),BE84,0)*0.2+IF(ISNUMBER(CE84),CE84,0)*0.15+(100-IF(ISNUMBER(CU84),CU84,50))*0.15)*IF(DN84&gt;=75,1,IF(DN84&gt;=50,0.9,IF(DN84&gt;=25,0.75,0.6))),1))</f>
        <v/>
      </c>
      <c r="DU84" s="5">
        <f t="array" ref="DU84">_xlfn.IFS(
  DV84="Upgraded to Clear", "Clear",
  DV84="Downgraded to Watchlist", "Watchlist",
  DV84="Downgraded to Exclusion", "Exclusion Risk",
  DB84="Yes — Automatic", "Exclusion Risk",
  OR(AW84="Confirmed Violation", AX84="Confirmed Breach"), "Exclusion Risk",
  OR(V84=0, ISBLANK(V84), DN84&lt;20), "Insufficient Evidence",
  AND(DT84&gt;=65, DA84="No", DB84="No"), "Clear",
  OR(DT84&gt;=40, DA84="Yes"), "Watchlist",
  TRUE, "Exclusion Risk"
)</f>
        <v/>
      </c>
      <c r="DV84" s="5" t="n"/>
      <c r="DW84" s="5">
        <f t="array" ref="DW84">_xlfn.IFS(
  DU84="Exclusion Risk", "Exclude — Hard Trigger",
  DU84="Insufficient Evidence", "Watchlist — Further Evidence Needed",
  DU84="Watchlist", "Watchlist — Further Evidence Needed",
  AND(DU84="Clear", DT84&gt;=80), "Include — No Conditions",
  DU84="Clear", "Include — Monitor",
  TRUE, "Watchlist — Further Evidence Needed"
)</f>
        <v/>
      </c>
      <c r="DX84" s="5" t="n"/>
      <c r="DY84" s="5" t="n"/>
      <c r="DZ84" s="5" t="n"/>
      <c r="EA84" s="5" t="n"/>
      <c r="EB84" s="5">
        <f>IF(OR(V84=0, ISBLANK(V84)), "MISSING — No sources reviewed", "")</f>
        <v/>
      </c>
      <c r="EC84" s="5">
        <f>IF(AND(NOT(ISBLANK(DC84)), ISBLANK(DE84)), "PAGE REF MISSING", "")</f>
        <v/>
      </c>
    </row>
    <row r="85" ht="18" customHeight="1" s="60">
      <c r="A85" s="3" t="inlineStr">
        <is>
          <t>ACS Actividades de Construccion y Servicios SA</t>
        </is>
      </c>
      <c r="B85" s="3" t="inlineStr">
        <is>
          <t>OCI1</t>
        </is>
      </c>
      <c r="C85" s="3">
        <f>IF(ISBLANK('Universe Tracker'!D81),"",'Universe Tracker'!D81)</f>
        <v/>
      </c>
      <c r="D85" s="3" t="n"/>
      <c r="E85" s="3" t="n"/>
      <c r="F85" s="3">
        <f>IF(ISBLANK('Universe Tracker'!F81),"",'Universe Tracker'!F81)</f>
        <v/>
      </c>
      <c r="G85" s="3">
        <f>IF(ISBLANK('Universe Tracker'!G81),"",'Universe Tracker'!G81)</f>
        <v/>
      </c>
      <c r="H85" s="3" t="n"/>
      <c r="I85" s="3" t="n"/>
      <c r="J85" s="3">
        <f>IF(ISBLANK(B85),"",B85&amp;"_"&amp;C85)</f>
        <v/>
      </c>
      <c r="K85" s="3" t="n"/>
      <c r="L85" s="3" t="n"/>
      <c r="M85" s="3" t="n"/>
      <c r="N85" s="3" t="n"/>
      <c r="O85" s="3" t="n"/>
      <c r="P85" s="3" t="n"/>
      <c r="Q85" s="3" t="n"/>
      <c r="R85" s="3" t="n"/>
      <c r="S85" s="3" t="n"/>
      <c r="T85" s="3" t="n"/>
      <c r="U85" s="3" t="n"/>
      <c r="V85" s="3" t="n"/>
      <c r="W85" s="3" t="n"/>
      <c r="X85" s="3" t="n"/>
      <c r="Y85" s="3">
        <f>IF(AND(V85&gt;=2,K85="Yes",L85="Yes"),"Sufficient",IF(AND(V85&gt;=1,OR(K85="Yes",L85="Yes")),"Thin","Insufficient"))</f>
        <v/>
      </c>
      <c r="Z85" s="3" t="n"/>
      <c r="AA85" s="3" t="n"/>
      <c r="AB85" s="3" t="n"/>
      <c r="AC85" s="3" t="n"/>
      <c r="AD85" s="3" t="n"/>
      <c r="AE85" s="3" t="n"/>
      <c r="AF85" s="3" t="n"/>
      <c r="AG85" s="3" t="n"/>
      <c r="AH85" s="3" t="n"/>
      <c r="AI85" s="3" t="n"/>
      <c r="AJ85" s="3" t="n"/>
      <c r="AK85" s="3" t="n"/>
      <c r="AL85" s="3" t="n"/>
      <c r="AM85" s="3" t="n"/>
      <c r="AN85" s="3" t="n"/>
      <c r="AO85" s="3" t="n"/>
      <c r="AP85" s="3" t="n"/>
      <c r="AQ85" s="3" t="n"/>
      <c r="AR85" s="40">
        <f t="array" ref="AR85">MIN(100, MAX(0,
  IFERROR(_xlfn.XLOOKUP(AJ85,'Lookup Tables'!$A$2:$A$7,'Lookup Tables'!$B$2:$B$7,0),0)
  + IF(Z85="Yes", IF(IFERROR(_xlfn.XLOOKUP(AJ85,'Lookup Tables'!$A$2:$A$7,'Lookup Tables'!$B$2:$B$7,0),0)&lt;20, 5, 0), 0)
  + _xlfn.IFS(AB85="Yes", IF(ISNUMBER(AC85)*AND(AC85&lt;=2030),15,10), AB85="Long-term Only", 5, AB85="No", 0, TRUE, 0)
  + _xlfn.IFS(AF85="Full",10, AF85="Partial",5, AF85="Scope 2 Only",3, TRUE,0)
  + _xlfn.IFS(AG85="Yes", IF(ISNUMBER(AH85)*AND(AH85&gt;=5),10,6), AG85="Partial",4, TRUE,0)
  + _xlfn.IFS(AI85="Yes",5, AI85="Partial (material categories only)",3, TRUE,0)
  + _xlfn.IFS(AL85="Yes — Detailed",10, AL85="Yes — High Level",5, TRUE,0)
  + _xlfn.IFS(AM85="Yes — Quantified",15, AM85="Yes — Directional Only",7, TRUE,0)
  + _xlfn.IFS(AP85="Formal",5, AP85="Referenced",2, TRUE,0)
  + _xlfn.IFS(AQ85="No Issues Found",5, AQ85="Concern Identified",-5, AQ85="Severe Contradiction",-15, TRUE,0)
  + _xlfn.IFS(BC85="Reasonable Assurance",5, BC85="Limited Assurance",3, TRUE,0)
  - IF(AND(Z85="Yes", AI85="No"), 10, 0)
  - IF(AND(Z85="Yes", AM85="No"), 10, 0)
))</f>
        <v/>
      </c>
      <c r="AS85" s="3" t="n"/>
      <c r="AT85" s="3" t="n"/>
      <c r="AU85" s="3" t="n"/>
      <c r="AV85" s="3" t="n"/>
      <c r="AW85" s="3" t="n"/>
      <c r="AX85" s="3" t="n"/>
      <c r="AY85" s="3" t="n"/>
      <c r="AZ85" s="3" t="n"/>
      <c r="BA85" s="3" t="n"/>
      <c r="BB85" s="3" t="n"/>
      <c r="BC85" s="3" t="n"/>
      <c r="BD85" s="3" t="n"/>
      <c r="BE85" s="40">
        <f t="array" ref="BE85">MIN(100, MAX(0,
  IFERROR(_xlfn.XLOOKUP(AT85,'Lookup Tables'!$D$2:$D$6,'Lookup Tables'!$E$2:$E$6,0),0)
  + IFERROR(_xlfn.XLOOKUP(AV85,'Lookup Tables'!$G$2:$G$5,'Lookup Tables'!$H$2:$H$5,0),0)
  + IFERROR(_xlfn.XLOOKUP(AW85,'Lookup Tables'!$J$2:$J$5,'Lookup Tables'!$K$2:$K$5,0),0)
  + _xlfn.IFS(AX85="No Issues",10, AX85="Complaint Filed",3, AX85="Confirmed Breach",-15, TRUE,0)
  + IFERROR(_xlfn.XLOOKUP(AY85,'Lookup Tables'!$M$2:$M$6,'Lookup Tables'!$N$2:$N$6,0),0)
  + IFERROR(_xlfn.XLOOKUP(AZ85,'Lookup Tables'!$P$2:$P$6,'Lookup Tables'!$Q$2:$Q$6,0),0)
  + _xlfn.IFS(BA85="Formal Board Committee",5, BA85="Board Oversight Mentioned",2, TRUE,0)
  + _xlfn.IFS(BB85="Yes — Quantified Targets",5, BB85="Yes — Discretionary Only",2, TRUE,0)
  + _xlfn.IFS(BC85="Reasonable Assurance",5, BC85="Limited Assurance",3, BC85="Management Review Only",1, TRUE,0)
))</f>
        <v/>
      </c>
      <c r="BF85" s="3" t="n"/>
      <c r="BG85" s="3" t="n"/>
      <c r="BH85" s="3" t="n"/>
      <c r="BI85" s="3" t="n"/>
      <c r="BJ85" s="3" t="n"/>
      <c r="BK85" s="3" t="n"/>
      <c r="BL85" s="3" t="n"/>
      <c r="BM85" s="3" t="n"/>
      <c r="BN85" s="3" t="n"/>
      <c r="BO85" s="3" t="n"/>
      <c r="BP85" s="3" t="n"/>
      <c r="BQ85" s="3" t="n"/>
      <c r="BR85" s="3" t="n"/>
      <c r="BS85" s="42">
        <f t="array" ref="BS85">MIN(100, MAX(0,
  IFERROR(_xlfn.XLOOKUP(BG85,'Lookup Tables'!$A$11:$A$16,'Lookup Tables'!$B$11:$B$16,0),0)
  + IFERROR(_xlfn.XLOOKUP(BR85,'Lookup Tables'!$M$11:$M$14,'Lookup Tables'!$N$11:$N$14,0),0)
  + IFERROR(_xlfn.XLOOKUP(BQ85,'Lookup Tables'!$J$11:$J$15,'Lookup Tables'!$K$11:$K$15,0),0)
  + IFERROR(_xlfn.XLOOKUP(BH85,'Lookup Tables'!$D$11:$D$15,'Lookup Tables'!$E$11:$E$15,0),0)
  + IFERROR(_xlfn.XLOOKUP(BJ85,'Lookup Tables'!$G$11:$G$16,'Lookup Tables'!$H$11:$H$16,0),0)
  + IFERROR(_xlfn.XLOOKUP(BN85,'Lookup Tables'!$P$11:$P$15,'Lookup Tables'!$Q$11:$Q$15,0),0)
  + _xlfn.IFS(BM85="No Evidence",10, BM85="Unknown",3, BM85="Likely",0, BM85="Confirmed",-10, TRUE,3)
  + IFERROR(_xlfn.XLOOKUP(BP85,'Lookup Tables'!$J$21:$J$24,'Lookup Tables'!$K$21:$K$24,0),0)
))</f>
        <v/>
      </c>
      <c r="BT85" s="3" t="n"/>
      <c r="BU85" s="3" t="n"/>
      <c r="BV85" s="3" t="n"/>
      <c r="BW85" s="3" t="n"/>
      <c r="BX85" s="3" t="n"/>
      <c r="BY85" s="3" t="n"/>
      <c r="BZ85" s="3" t="n"/>
      <c r="CA85" s="3" t="n"/>
      <c r="CB85" s="3" t="n"/>
      <c r="CC85" s="3" t="n"/>
      <c r="CD85" s="3" t="n"/>
      <c r="CE85" s="44">
        <f t="array" ref="CE85">MIN(100, MAX(0,
  IF(ISNUMBER(BV85)*AND(BV85&gt;0), 10, 0)
  + _xlfn.IFS(BY85="Independently Verified",25, BY85="Yes",15, TRUE,0)
  + IFERROR(_xlfn.XLOOKUP(BZ85,'Lookup Tables'!$A$21:$A$24,'Lookup Tables'!$B$21:$B$24,0),0)
  + IFERROR(_xlfn.XLOOKUP(CA85,'Lookup Tables'!$D$21:$D$24,'Lookup Tables'!$E$21:$E$24,0),0)
  + _xlfn.IFS(ISNUMBER(CB85)*AND(CB85&gt;=11),15, ISNUMBER(CB85)*AND(CB85&gt;=6),10, ISNUMBER(CB85)*AND(CB85&gt;=1),5, TRUE,0)
  + IFERROR(_xlfn.XLOOKUP(CC85,'Lookup Tables'!$G$21:$G$25,'Lookup Tables'!$H$21:$H$25,0),0)
  - IF(ISNUMBER(BW85)*AND(ISNUMBER(BV85))*AND(BW85&gt;BV85), 20, 0)
  - IF(AND(BY85="Yes", ISNUMBER(BW85), BW85&gt;60), 10, 0)
))</f>
        <v/>
      </c>
      <c r="CF85" s="3" t="n"/>
      <c r="CG85" s="3" t="n"/>
      <c r="CH85" s="3" t="n"/>
      <c r="CI85" s="3" t="n"/>
      <c r="CJ85" s="3" t="n"/>
      <c r="CK85" s="3" t="n"/>
      <c r="CL85" s="3" t="n"/>
      <c r="CM85" s="3" t="n"/>
      <c r="CN85" s="3" t="n"/>
      <c r="CO85" s="3" t="n"/>
      <c r="CP85" s="3" t="n"/>
      <c r="CQ85" s="3" t="n"/>
      <c r="CR85" s="3">
        <f>COUNTIF(CJ85:CQ85,"FAIL")</f>
        <v/>
      </c>
      <c r="CS85" s="3">
        <f>COUNTIF(CJ85:CQ85,"PARTIAL")</f>
        <v/>
      </c>
      <c r="CT85" s="3">
        <f>COUNTIF(CJ85:CQ85,"MISSING")</f>
        <v/>
      </c>
      <c r="CU85" s="3">
        <f>MIN(100,
  CR85*15
  + CS85*6
  + CT85*3
  + IFERROR(_xlfn.XLOOKUP(CW85,'Lookup Tables'!$M$21:$M$25,'Lookup Tables'!$N$21:$N$25,0),0)
)</f>
        <v/>
      </c>
      <c r="CV85" s="3">
        <f>IFERROR(
CHOOSE(
MATCH("FAIL",CJ85:CQ85,0),
"1-Specificity","2-Metric","3-Baseline","4-Target",
"5-Time Horizon","6-Scope","7-Verification","8-Consistency"
),
IFERROR(
CHOOSE(
MATCH("PARTIAL",CJ85:CQ85,0),
"1-Specificity","2-Metric","3-Baseline","4-Target",
"5-Time Horizon","6-Scope","7-Verification","8-Consistency"
),
"No failures"
)
)</f>
        <v/>
      </c>
      <c r="CW85" s="3" t="n"/>
      <c r="CX85" s="3" t="n"/>
      <c r="CY85" s="3" t="n"/>
      <c r="CZ85" s="3" t="n"/>
      <c r="DA85" s="3">
        <f>IF(OR(CU85&gt;=50,CW85="Material",CW85="Severe",AS85="Material",AS85="Severe",BF85="Material",BF85="Severe — Exclusion Trigger",AND(ISNUMBER(BS85),BS85&lt;30)),"Yes","No")</f>
        <v/>
      </c>
      <c r="DB85" s="3">
        <f>IF(OR(CR85&gt;=6,AW85="Confirmed Violation",AX85="Confirmed Breach"),"Yes — Automatic",IF(CW85="Severe","Yes — Requires Captain Confirmation","No"))</f>
        <v/>
      </c>
      <c r="DC85" s="3" t="n"/>
      <c r="DD85" s="3" t="n"/>
      <c r="DE85" s="3" t="n"/>
      <c r="DF85" s="3" t="n"/>
      <c r="DG85" s="3" t="n"/>
      <c r="DH85" s="3" t="n"/>
      <c r="DI85" s="3" t="n"/>
      <c r="DJ85" s="3" t="n"/>
      <c r="DK85" s="3" t="n"/>
      <c r="DL85" s="3">
        <f>IF(OR(IFERROR(VALUE(LEFT(DF85,1)),99)&lt;=2,IFERROR(VALUE(LEFT(DG85,1)),99)&lt;=2),"Flagged","Clear")</f>
        <v/>
      </c>
      <c r="DM85" s="3">
        <f>IF(OR(DA85="Yes",DB85&lt;&gt;"No",DH85="Unverified",DL85="Flagged"),"Yes","No")</f>
        <v/>
      </c>
      <c r="DN85" s="3">
        <f t="array" ref="DN85">MIN(100,
  IF(ISNUMBER(V85), _xlfn.IFS(V85&gt;=3,25, V85=2,15, V85=1,5, TRUE,0), 0)
  + IFERROR(_xlfn.IFS(VALUE(LEFT(DF85,1))=5,25, VALUE(LEFT(DF85,1))=4,20, VALUE(LEFT(DF85,1))=3,15, VALUE(LEFT(DF85,1))=2,8, TRUE,0), 15)
  + IFERROR(_xlfn.IFS(VALUE(LEFT(DG85,1))=5,25, VALUE(LEFT(DG85,1))=4,20, VALUE(LEFT(DG85,1))=3,15, VALUE(LEFT(DG85,1))=2,8, TRUE,0), 15)
  + _xlfn.IFS(DH85="Fully Verified",25, DH85="Partially Verified",12, TRUE,0)
)</f>
        <v/>
      </c>
      <c r="DO85" s="3">
        <f t="array" ref="DO85">_xlfn.IFS(
  ISBLANK(AR85), "Insufficient Evidence",
  AND(AR85&gt;=65, AJ85="Approved"), "Strong",
  AR85&gt;=65, "Adequate",
  AR85&gt;=40, "Adequate",
  AR85&gt;=20, "Weak",
  TRUE, "Insufficient Evidence"
)</f>
        <v/>
      </c>
      <c r="DP85" s="3">
        <f t="array" ref="DP85">_xlfn.IFS(
  ISBLANK(BS85), "Insufficient Evidence",
  BS85&gt;=65, "Strong",
  BS85&gt;=40, "Adequate",
  BS85&gt;=20, "Weak",
  TRUE, "Insufficient Evidence"
)</f>
        <v/>
      </c>
      <c r="DQ85" s="3">
        <f t="array" ref="DQ85">_xlfn.IFS(
  ISBLANK(BE85), "Insufficient Evidence",
  OR(AW85="Confirmed Violation", AX85="Confirmed Breach"), "Severe — Hard Trigger",
  BE85&gt;=65, "Strong",
  BE85&gt;=40, "Adequate",
  BE85&gt;=20, "Weak",
  TRUE, "Insufficient Evidence"
)</f>
        <v/>
      </c>
      <c r="DR85" s="3">
        <f t="array" ref="DR85">_xlfn.IFS(
  ISBLANK(CU85), "Insufficient Evidence",
  CU85&lt;=20, "Low Risk",
  CU85&lt;=50, "Moderate Risk",
  CU85&lt;=75, "High Risk",
  TRUE, "Very High Risk"
)</f>
        <v/>
      </c>
      <c r="DS85" s="3">
        <f t="array" ref="DS85">_xlfn.IFS(
  ISBLANK(CE85), "Insufficient Evidence",
  AND(ISNUMBER(BW85),ISNUMBER(BV85),BW85&gt;BV85), "Overclaiming Risk",
  CE85&gt;=65, "Strong",
  CE85&gt;=40, "Adequate",
  TRUE, "Weak"
)</f>
        <v/>
      </c>
      <c r="DT85" s="3">
        <f>IF(DB85="Yes — Automatic",0,ROUND((IF(ISNUMBER(AR85),AR85,0)*0.3+IF(ISNUMBER(BS85),BS85,0)*0.2+IF(ISNUMBER(BE85),BE85,0)*0.2+IF(ISNUMBER(CE85),CE85,0)*0.15+(100-IF(ISNUMBER(CU85),CU85,50))*0.15)*IF(DN85&gt;=75,1,IF(DN85&gt;=50,0.9,IF(DN85&gt;=25,0.75,0.6))),1))</f>
        <v/>
      </c>
      <c r="DU85" s="3">
        <f t="array" ref="DU85">_xlfn.IFS(
  DV85="Upgraded to Clear", "Clear",
  DV85="Downgraded to Watchlist", "Watchlist",
  DV85="Downgraded to Exclusion", "Exclusion Risk",
  DB85="Yes — Automatic", "Exclusion Risk",
  OR(AW85="Confirmed Violation", AX85="Confirmed Breach"), "Exclusion Risk",
  OR(V85=0, ISBLANK(V85), DN85&lt;20), "Insufficient Evidence",
  AND(DT85&gt;=65, DA85="No", DB85="No"), "Clear",
  OR(DT85&gt;=40, DA85="Yes"), "Watchlist",
  TRUE, "Exclusion Risk"
)</f>
        <v/>
      </c>
      <c r="DV85" s="3" t="n"/>
      <c r="DW85" s="3">
        <f t="array" ref="DW85">_xlfn.IFS(
  DU85="Exclusion Risk", "Exclude — Hard Trigger",
  DU85="Insufficient Evidence", "Watchlist — Further Evidence Needed",
  DU85="Watchlist", "Watchlist — Further Evidence Needed",
  AND(DU85="Clear", DT85&gt;=80), "Include — No Conditions",
  DU85="Clear", "Include — Monitor",
  TRUE, "Watchlist — Further Evidence Needed"
)</f>
        <v/>
      </c>
      <c r="DX85" s="3" t="n"/>
      <c r="DY85" s="3" t="n"/>
      <c r="DZ85" s="3" t="n"/>
      <c r="EA85" s="3" t="n"/>
      <c r="EB85" s="3">
        <f>IF(OR(V85=0, ISBLANK(V85)), "MISSING — No sources reviewed", "")</f>
        <v/>
      </c>
      <c r="EC85" s="3">
        <f>IF(AND(NOT(ISBLANK(DC85)), ISBLANK(DE85)), "PAGE REF MISSING", "")</f>
        <v/>
      </c>
    </row>
    <row r="86" ht="18" customHeight="1" s="60">
      <c r="A86" s="5" t="inlineStr">
        <is>
          <t>Ferrari NV</t>
        </is>
      </c>
      <c r="B86" s="5" t="inlineStr">
        <is>
          <t>2FE</t>
        </is>
      </c>
      <c r="C86" s="5">
        <f>IF(ISBLANK('Universe Tracker'!D82),"",'Universe Tracker'!D82)</f>
        <v/>
      </c>
      <c r="D86" s="5" t="n"/>
      <c r="E86" s="5" t="n"/>
      <c r="F86" s="5">
        <f>IF(ISBLANK('Universe Tracker'!F82),"",'Universe Tracker'!F82)</f>
        <v/>
      </c>
      <c r="G86" s="5">
        <f>IF(ISBLANK('Universe Tracker'!G82),"",'Universe Tracker'!G82)</f>
        <v/>
      </c>
      <c r="H86" s="5" t="n"/>
      <c r="I86" s="5" t="n"/>
      <c r="J86" s="5">
        <f>IF(ISBLANK(B86),"",B86&amp;"_"&amp;C86)</f>
        <v/>
      </c>
      <c r="K86" s="5" t="n"/>
      <c r="L86" s="5" t="n"/>
      <c r="M86" s="5" t="n"/>
      <c r="N86" s="5" t="n"/>
      <c r="O86" s="5" t="n"/>
      <c r="P86" s="5" t="n"/>
      <c r="Q86" s="5" t="n"/>
      <c r="R86" s="5" t="n"/>
      <c r="S86" s="5" t="n"/>
      <c r="T86" s="5" t="n"/>
      <c r="U86" s="5" t="n"/>
      <c r="V86" s="5" t="n"/>
      <c r="W86" s="5" t="n"/>
      <c r="X86" s="5" t="n"/>
      <c r="Y86" s="5">
        <f>IF(AND(V86&gt;=2,K86="Yes",L86="Yes"),"Sufficient",IF(AND(V86&gt;=1,OR(K86="Yes",L86="Yes")),"Thin","Insufficient"))</f>
        <v/>
      </c>
      <c r="Z86" s="5" t="n"/>
      <c r="AA86" s="5" t="n"/>
      <c r="AB86" s="5" t="n"/>
      <c r="AC86" s="5" t="n"/>
      <c r="AD86" s="5" t="n"/>
      <c r="AE86" s="5" t="n"/>
      <c r="AF86" s="5" t="n"/>
      <c r="AG86" s="5" t="n"/>
      <c r="AH86" s="5" t="n"/>
      <c r="AI86" s="5" t="n"/>
      <c r="AJ86" s="5" t="n"/>
      <c r="AK86" s="5" t="n"/>
      <c r="AL86" s="5" t="n"/>
      <c r="AM86" s="5" t="n"/>
      <c r="AN86" s="5" t="n"/>
      <c r="AO86" s="5" t="n"/>
      <c r="AP86" s="5" t="n"/>
      <c r="AQ86" s="5" t="n"/>
      <c r="AR86" s="40">
        <f t="array" ref="AR86">MIN(100, MAX(0,
  IFERROR(_xlfn.XLOOKUP(AJ86,'Lookup Tables'!$A$2:$A$7,'Lookup Tables'!$B$2:$B$7,0),0)
  + IF(Z86="Yes", IF(IFERROR(_xlfn.XLOOKUP(AJ86,'Lookup Tables'!$A$2:$A$7,'Lookup Tables'!$B$2:$B$7,0),0)&lt;20, 5, 0), 0)
  + _xlfn.IFS(AB86="Yes", IF(ISNUMBER(AC86)*AND(AC86&lt;=2030),15,10), AB86="Long-term Only", 5, AB86="No", 0, TRUE, 0)
  + _xlfn.IFS(AF86="Full",10, AF86="Partial",5, AF86="Scope 2 Only",3, TRUE,0)
  + _xlfn.IFS(AG86="Yes", IF(ISNUMBER(AH86)*AND(AH86&gt;=5),10,6), AG86="Partial",4, TRUE,0)
  + _xlfn.IFS(AI86="Yes",5, AI86="Partial (material categories only)",3, TRUE,0)
  + _xlfn.IFS(AL86="Yes — Detailed",10, AL86="Yes — High Level",5, TRUE,0)
  + _xlfn.IFS(AM86="Yes — Quantified",15, AM86="Yes — Directional Only",7, TRUE,0)
  + _xlfn.IFS(AP86="Formal",5, AP86="Referenced",2, TRUE,0)
  + _xlfn.IFS(AQ86="No Issues Found",5, AQ86="Concern Identified",-5, AQ86="Severe Contradiction",-15, TRUE,0)
  + _xlfn.IFS(BC86="Reasonable Assurance",5, BC86="Limited Assurance",3, TRUE,0)
  - IF(AND(Z86="Yes", AI86="No"), 10, 0)
  - IF(AND(Z86="Yes", AM86="No"), 10, 0)
))</f>
        <v/>
      </c>
      <c r="AS86" s="5" t="n"/>
      <c r="AT86" s="5" t="n"/>
      <c r="AU86" s="5" t="n"/>
      <c r="AV86" s="5" t="n"/>
      <c r="AW86" s="5" t="n"/>
      <c r="AX86" s="5" t="n"/>
      <c r="AY86" s="5" t="n"/>
      <c r="AZ86" s="5" t="n"/>
      <c r="BA86" s="5" t="n"/>
      <c r="BB86" s="5" t="n"/>
      <c r="BC86" s="5" t="n"/>
      <c r="BD86" s="5" t="n"/>
      <c r="BE86" s="39">
        <f t="array" ref="BE86">MIN(100, MAX(0,
  IFERROR(_xlfn.XLOOKUP(AT86,'Lookup Tables'!$D$2:$D$6,'Lookup Tables'!$E$2:$E$6,0),0)
  + IFERROR(_xlfn.XLOOKUP(AV86,'Lookup Tables'!$G$2:$G$5,'Lookup Tables'!$H$2:$H$5,0),0)
  + IFERROR(_xlfn.XLOOKUP(AW86,'Lookup Tables'!$J$2:$J$5,'Lookup Tables'!$K$2:$K$5,0),0)
  + _xlfn.IFS(AX86="No Issues",10, AX86="Complaint Filed",3, AX86="Confirmed Breach",-15, TRUE,0)
  + IFERROR(_xlfn.XLOOKUP(AY86,'Lookup Tables'!$M$2:$M$6,'Lookup Tables'!$N$2:$N$6,0),0)
  + IFERROR(_xlfn.XLOOKUP(AZ86,'Lookup Tables'!$P$2:$P$6,'Lookup Tables'!$Q$2:$Q$6,0),0)
  + _xlfn.IFS(BA86="Formal Board Committee",5, BA86="Board Oversight Mentioned",2, TRUE,0)
  + _xlfn.IFS(BB86="Yes — Quantified Targets",5, BB86="Yes — Discretionary Only",2, TRUE,0)
  + _xlfn.IFS(BC86="Reasonable Assurance",5, BC86="Limited Assurance",3, BC86="Management Review Only",1, TRUE,0)
))</f>
        <v/>
      </c>
      <c r="BF86" s="5" t="n"/>
      <c r="BG86" s="5" t="n"/>
      <c r="BH86" s="5" t="n"/>
      <c r="BI86" s="5" t="n"/>
      <c r="BJ86" s="5" t="n"/>
      <c r="BK86" s="5" t="n"/>
      <c r="BL86" s="5" t="n"/>
      <c r="BM86" s="5" t="n"/>
      <c r="BN86" s="5" t="n"/>
      <c r="BO86" s="5" t="n"/>
      <c r="BP86" s="5" t="n"/>
      <c r="BQ86" s="5" t="n"/>
      <c r="BR86" s="5" t="n"/>
      <c r="BS86" s="41">
        <f t="array" ref="BS86">MIN(100, MAX(0,
  IFERROR(_xlfn.XLOOKUP(BG86,'Lookup Tables'!$A$11:$A$16,'Lookup Tables'!$B$11:$B$16,0),0)
  + IFERROR(_xlfn.XLOOKUP(BR86,'Lookup Tables'!$M$11:$M$14,'Lookup Tables'!$N$11:$N$14,0),0)
  + IFERROR(_xlfn.XLOOKUP(BQ86,'Lookup Tables'!$J$11:$J$15,'Lookup Tables'!$K$11:$K$15,0),0)
  + IFERROR(_xlfn.XLOOKUP(BH86,'Lookup Tables'!$D$11:$D$15,'Lookup Tables'!$E$11:$E$15,0),0)
  + IFERROR(_xlfn.XLOOKUP(BJ86,'Lookup Tables'!$G$11:$G$16,'Lookup Tables'!$H$11:$H$16,0),0)
  + IFERROR(_xlfn.XLOOKUP(BN86,'Lookup Tables'!$P$11:$P$15,'Lookup Tables'!$Q$11:$Q$15,0),0)
  + _xlfn.IFS(BM86="No Evidence",10, BM86="Unknown",3, BM86="Likely",0, BM86="Confirmed",-10, TRUE,3)
  + IFERROR(_xlfn.XLOOKUP(BP86,'Lookup Tables'!$J$21:$J$24,'Lookup Tables'!$K$21:$K$24,0),0)
))</f>
        <v/>
      </c>
      <c r="BT86" s="5" t="n"/>
      <c r="BU86" s="5" t="n"/>
      <c r="BV86" s="5" t="n"/>
      <c r="BW86" s="5" t="n"/>
      <c r="BX86" s="5" t="n"/>
      <c r="BY86" s="5" t="n"/>
      <c r="BZ86" s="5" t="n"/>
      <c r="CA86" s="5" t="n"/>
      <c r="CB86" s="5" t="n"/>
      <c r="CC86" s="5" t="n"/>
      <c r="CD86" s="5" t="n"/>
      <c r="CE86" s="43">
        <f t="array" ref="CE86">MIN(100, MAX(0,
  IF(ISNUMBER(BV86)*AND(BV86&gt;0), 10, 0)
  + _xlfn.IFS(BY86="Independently Verified",25, BY86="Yes",15, TRUE,0)
  + IFERROR(_xlfn.XLOOKUP(BZ86,'Lookup Tables'!$A$21:$A$24,'Lookup Tables'!$B$21:$B$24,0),0)
  + IFERROR(_xlfn.XLOOKUP(CA86,'Lookup Tables'!$D$21:$D$24,'Lookup Tables'!$E$21:$E$24,0),0)
  + _xlfn.IFS(ISNUMBER(CB86)*AND(CB86&gt;=11),15, ISNUMBER(CB86)*AND(CB86&gt;=6),10, ISNUMBER(CB86)*AND(CB86&gt;=1),5, TRUE,0)
  + IFERROR(_xlfn.XLOOKUP(CC86,'Lookup Tables'!$G$21:$G$25,'Lookup Tables'!$H$21:$H$25,0),0)
  - IF(ISNUMBER(BW86)*AND(ISNUMBER(BV86))*AND(BW86&gt;BV86), 20, 0)
  - IF(AND(BY86="Yes", ISNUMBER(BW86), BW86&gt;60), 10, 0)
))</f>
        <v/>
      </c>
      <c r="CF86" s="5" t="n"/>
      <c r="CG86" s="5" t="n"/>
      <c r="CH86" s="5" t="n"/>
      <c r="CI86" s="5" t="n"/>
      <c r="CJ86" s="5" t="n"/>
      <c r="CK86" s="5" t="n"/>
      <c r="CL86" s="5" t="n"/>
      <c r="CM86" s="5" t="n"/>
      <c r="CN86" s="5" t="n"/>
      <c r="CO86" s="5" t="n"/>
      <c r="CP86" s="5" t="n"/>
      <c r="CQ86" s="5" t="n"/>
      <c r="CR86" s="5">
        <f>COUNTIF(CJ86:CQ86,"FAIL")</f>
        <v/>
      </c>
      <c r="CS86" s="5">
        <f>COUNTIF(CJ86:CQ86,"PARTIAL")</f>
        <v/>
      </c>
      <c r="CT86" s="5">
        <f>COUNTIF(CJ86:CQ86,"MISSING")</f>
        <v/>
      </c>
      <c r="CU86" s="5">
        <f>MIN(100,
  CR86*15
  + CS86*6
  + CT86*3
  + IFERROR(_xlfn.XLOOKUP(CW86,'Lookup Tables'!$M$21:$M$25,'Lookup Tables'!$N$21:$N$25,0),0)
)</f>
        <v/>
      </c>
      <c r="CV86" s="5">
        <f>IFERROR(
CHOOSE(
MATCH("FAIL",CJ86:CQ86,0),
"1-Specificity","2-Metric","3-Baseline","4-Target",
"5-Time Horizon","6-Scope","7-Verification","8-Consistency"
),
IFERROR(
CHOOSE(
MATCH("PARTIAL",CJ86:CQ86,0),
"1-Specificity","2-Metric","3-Baseline","4-Target",
"5-Time Horizon","6-Scope","7-Verification","8-Consistency"
),
"No failures"
)
)</f>
        <v/>
      </c>
      <c r="CW86" s="5" t="n"/>
      <c r="CX86" s="5" t="n"/>
      <c r="CY86" s="5" t="n"/>
      <c r="CZ86" s="5" t="n"/>
      <c r="DA86" s="5">
        <f>IF(OR(CU86&gt;=50,CW86="Material",CW86="Severe",AS86="Material",AS86="Severe",BF86="Material",BF86="Severe — Exclusion Trigger",AND(ISNUMBER(BS86),BS86&lt;30)),"Yes","No")</f>
        <v/>
      </c>
      <c r="DB86" s="5">
        <f>IF(OR(CR86&gt;=6,AW86="Confirmed Violation",AX86="Confirmed Breach"),"Yes — Automatic",IF(CW86="Severe","Yes — Requires Captain Confirmation","No"))</f>
        <v/>
      </c>
      <c r="DC86" s="5" t="n"/>
      <c r="DD86" s="5" t="n"/>
      <c r="DE86" s="5" t="n"/>
      <c r="DF86" s="5" t="n"/>
      <c r="DG86" s="5" t="n"/>
      <c r="DH86" s="5" t="n"/>
      <c r="DI86" s="5" t="n"/>
      <c r="DJ86" s="5" t="n"/>
      <c r="DK86" s="5" t="n"/>
      <c r="DL86" s="5">
        <f>IF(OR(IFERROR(VALUE(LEFT(DF86,1)),99)&lt;=2,IFERROR(VALUE(LEFT(DG86,1)),99)&lt;=2),"Flagged","Clear")</f>
        <v/>
      </c>
      <c r="DM86" s="5">
        <f>IF(OR(DA86="Yes",DB86&lt;&gt;"No",DH86="Unverified",DL86="Flagged"),"Yes","No")</f>
        <v/>
      </c>
      <c r="DN86" s="5">
        <f t="array" ref="DN86">MIN(100,
  IF(ISNUMBER(V86), _xlfn.IFS(V86&gt;=3,25, V86=2,15, V86=1,5, TRUE,0), 0)
  + IFERROR(_xlfn.IFS(VALUE(LEFT(DF86,1))=5,25, VALUE(LEFT(DF86,1))=4,20, VALUE(LEFT(DF86,1))=3,15, VALUE(LEFT(DF86,1))=2,8, TRUE,0), 15)
  + IFERROR(_xlfn.IFS(VALUE(LEFT(DG86,1))=5,25, VALUE(LEFT(DG86,1))=4,20, VALUE(LEFT(DG86,1))=3,15, VALUE(LEFT(DG86,1))=2,8, TRUE,0), 15)
  + _xlfn.IFS(DH86="Fully Verified",25, DH86="Partially Verified",12, TRUE,0)
)</f>
        <v/>
      </c>
      <c r="DO86" s="5">
        <f t="array" ref="DO86">_xlfn.IFS(
  ISBLANK(AR86), "Insufficient Evidence",
  AND(AR86&gt;=65, AJ86="Approved"), "Strong",
  AR86&gt;=65, "Adequate",
  AR86&gt;=40, "Adequate",
  AR86&gt;=20, "Weak",
  TRUE, "Insufficient Evidence"
)</f>
        <v/>
      </c>
      <c r="DP86" s="5">
        <f t="array" ref="DP86">_xlfn.IFS(
  ISBLANK(BS86), "Insufficient Evidence",
  BS86&gt;=65, "Strong",
  BS86&gt;=40, "Adequate",
  BS86&gt;=20, "Weak",
  TRUE, "Insufficient Evidence"
)</f>
        <v/>
      </c>
      <c r="DQ86" s="5">
        <f t="array" ref="DQ86">_xlfn.IFS(
  ISBLANK(BE86), "Insufficient Evidence",
  OR(AW86="Confirmed Violation", AX86="Confirmed Breach"), "Severe — Hard Trigger",
  BE86&gt;=65, "Strong",
  BE86&gt;=40, "Adequate",
  BE86&gt;=20, "Weak",
  TRUE, "Insufficient Evidence"
)</f>
        <v/>
      </c>
      <c r="DR86" s="5">
        <f t="array" ref="DR86">_xlfn.IFS(
  ISBLANK(CU86), "Insufficient Evidence",
  CU86&lt;=20, "Low Risk",
  CU86&lt;=50, "Moderate Risk",
  CU86&lt;=75, "High Risk",
  TRUE, "Very High Risk"
)</f>
        <v/>
      </c>
      <c r="DS86" s="5">
        <f t="array" ref="DS86">_xlfn.IFS(
  ISBLANK(CE86), "Insufficient Evidence",
  AND(ISNUMBER(BW86),ISNUMBER(BV86),BW86&gt;BV86), "Overclaiming Risk",
  CE86&gt;=65, "Strong",
  CE86&gt;=40, "Adequate",
  TRUE, "Weak"
)</f>
        <v/>
      </c>
      <c r="DT86" s="5">
        <f>IF(DB86="Yes — Automatic",0,ROUND((IF(ISNUMBER(AR86),AR86,0)*0.3+IF(ISNUMBER(BS86),BS86,0)*0.2+IF(ISNUMBER(BE86),BE86,0)*0.2+IF(ISNUMBER(CE86),CE86,0)*0.15+(100-IF(ISNUMBER(CU86),CU86,50))*0.15)*IF(DN86&gt;=75,1,IF(DN86&gt;=50,0.9,IF(DN86&gt;=25,0.75,0.6))),1))</f>
        <v/>
      </c>
      <c r="DU86" s="5">
        <f t="array" ref="DU86">_xlfn.IFS(
  DV86="Upgraded to Clear", "Clear",
  DV86="Downgraded to Watchlist", "Watchlist",
  DV86="Downgraded to Exclusion", "Exclusion Risk",
  DB86="Yes — Automatic", "Exclusion Risk",
  OR(AW86="Confirmed Violation", AX86="Confirmed Breach"), "Exclusion Risk",
  OR(V86=0, ISBLANK(V86), DN86&lt;20), "Insufficient Evidence",
  AND(DT86&gt;=65, DA86="No", DB86="No"), "Clear",
  OR(DT86&gt;=40, DA86="Yes"), "Watchlist",
  TRUE, "Exclusion Risk"
)</f>
        <v/>
      </c>
      <c r="DV86" s="5" t="n"/>
      <c r="DW86" s="5">
        <f t="array" ref="DW86">_xlfn.IFS(
  DU86="Exclusion Risk", "Exclude — Hard Trigger",
  DU86="Insufficient Evidence", "Watchlist — Further Evidence Needed",
  DU86="Watchlist", "Watchlist — Further Evidence Needed",
  AND(DU86="Clear", DT86&gt;=80), "Include — No Conditions",
  DU86="Clear", "Include — Monitor",
  TRUE, "Watchlist — Further Evidence Needed"
)</f>
        <v/>
      </c>
      <c r="DX86" s="5" t="n"/>
      <c r="DY86" s="5" t="n"/>
      <c r="DZ86" s="5" t="n"/>
      <c r="EA86" s="5" t="n"/>
      <c r="EB86" s="5">
        <f>IF(OR(V86=0, ISBLANK(V86)), "MISSING — No sources reviewed", "")</f>
        <v/>
      </c>
      <c r="EC86" s="5">
        <f>IF(AND(NOT(ISBLANK(DC86)), ISBLANK(DE86)), "PAGE REF MISSING", "")</f>
        <v/>
      </c>
    </row>
    <row r="87" ht="18" customHeight="1" s="60">
      <c r="A87" s="3" t="inlineStr">
        <is>
          <t>Brunello Cucinelli SpA</t>
        </is>
      </c>
      <c r="B87" s="3" t="inlineStr">
        <is>
          <t>8BU</t>
        </is>
      </c>
      <c r="C87" s="3">
        <f>IF(ISBLANK('Universe Tracker'!D83),"",'Universe Tracker'!D83)</f>
        <v/>
      </c>
      <c r="D87" s="3" t="n"/>
      <c r="E87" s="3" t="n"/>
      <c r="F87" s="3">
        <f>IF(ISBLANK('Universe Tracker'!F83),"",'Universe Tracker'!F83)</f>
        <v/>
      </c>
      <c r="G87" s="3">
        <f>IF(ISBLANK('Universe Tracker'!G83),"",'Universe Tracker'!G83)</f>
        <v/>
      </c>
      <c r="H87" s="3" t="n"/>
      <c r="I87" s="3" t="n"/>
      <c r="J87" s="3">
        <f>IF(ISBLANK(B87),"",B87&amp;"_"&amp;C87)</f>
        <v/>
      </c>
      <c r="K87" s="3" t="n"/>
      <c r="L87" s="3" t="n"/>
      <c r="M87" s="3" t="n"/>
      <c r="N87" s="3" t="n"/>
      <c r="O87" s="3" t="n"/>
      <c r="P87" s="3" t="n"/>
      <c r="Q87" s="3" t="n"/>
      <c r="R87" s="3" t="n"/>
      <c r="S87" s="3" t="n"/>
      <c r="T87" s="3" t="n"/>
      <c r="U87" s="3" t="n"/>
      <c r="V87" s="3" t="n"/>
      <c r="W87" s="3" t="n"/>
      <c r="X87" s="3" t="n"/>
      <c r="Y87" s="3">
        <f>IF(AND(V87&gt;=2,K87="Yes",L87="Yes"),"Sufficient",IF(AND(V87&gt;=1,OR(K87="Yes",L87="Yes")),"Thin","Insufficient"))</f>
        <v/>
      </c>
      <c r="Z87" s="3" t="n"/>
      <c r="AA87" s="3" t="n"/>
      <c r="AB87" s="3" t="n"/>
      <c r="AC87" s="3" t="n"/>
      <c r="AD87" s="3" t="n"/>
      <c r="AE87" s="3" t="n"/>
      <c r="AF87" s="3" t="n"/>
      <c r="AG87" s="3" t="n"/>
      <c r="AH87" s="3" t="n"/>
      <c r="AI87" s="3" t="n"/>
      <c r="AJ87" s="3" t="n"/>
      <c r="AK87" s="3" t="n"/>
      <c r="AL87" s="3" t="n"/>
      <c r="AM87" s="3" t="n"/>
      <c r="AN87" s="3" t="n"/>
      <c r="AO87" s="3" t="n"/>
      <c r="AP87" s="3" t="n"/>
      <c r="AQ87" s="3" t="n"/>
      <c r="AR87" s="40">
        <f t="array" ref="AR87">MIN(100, MAX(0,
  IFERROR(_xlfn.XLOOKUP(AJ87,'Lookup Tables'!$A$2:$A$7,'Lookup Tables'!$B$2:$B$7,0),0)
  + IF(Z87="Yes", IF(IFERROR(_xlfn.XLOOKUP(AJ87,'Lookup Tables'!$A$2:$A$7,'Lookup Tables'!$B$2:$B$7,0),0)&lt;20, 5, 0), 0)
  + _xlfn.IFS(AB87="Yes", IF(ISNUMBER(AC87)*AND(AC87&lt;=2030),15,10), AB87="Long-term Only", 5, AB87="No", 0, TRUE, 0)
  + _xlfn.IFS(AF87="Full",10, AF87="Partial",5, AF87="Scope 2 Only",3, TRUE,0)
  + _xlfn.IFS(AG87="Yes", IF(ISNUMBER(AH87)*AND(AH87&gt;=5),10,6), AG87="Partial",4, TRUE,0)
  + _xlfn.IFS(AI87="Yes",5, AI87="Partial (material categories only)",3, TRUE,0)
  + _xlfn.IFS(AL87="Yes — Detailed",10, AL87="Yes — High Level",5, TRUE,0)
  + _xlfn.IFS(AM87="Yes — Quantified",15, AM87="Yes — Directional Only",7, TRUE,0)
  + _xlfn.IFS(AP87="Formal",5, AP87="Referenced",2, TRUE,0)
  + _xlfn.IFS(AQ87="No Issues Found",5, AQ87="Concern Identified",-5, AQ87="Severe Contradiction",-15, TRUE,0)
  + _xlfn.IFS(BC87="Reasonable Assurance",5, BC87="Limited Assurance",3, TRUE,0)
  - IF(AND(Z87="Yes", AI87="No"), 10, 0)
  - IF(AND(Z87="Yes", AM87="No"), 10, 0)
))</f>
        <v/>
      </c>
      <c r="AS87" s="3" t="n"/>
      <c r="AT87" s="3" t="n"/>
      <c r="AU87" s="3" t="n"/>
      <c r="AV87" s="3" t="n"/>
      <c r="AW87" s="3" t="n"/>
      <c r="AX87" s="3" t="n"/>
      <c r="AY87" s="3" t="n"/>
      <c r="AZ87" s="3" t="n"/>
      <c r="BA87" s="3" t="n"/>
      <c r="BB87" s="3" t="n"/>
      <c r="BC87" s="3" t="n"/>
      <c r="BD87" s="3" t="n"/>
      <c r="BE87" s="40">
        <f t="array" ref="BE87">MIN(100, MAX(0,
  IFERROR(_xlfn.XLOOKUP(AT87,'Lookup Tables'!$D$2:$D$6,'Lookup Tables'!$E$2:$E$6,0),0)
  + IFERROR(_xlfn.XLOOKUP(AV87,'Lookup Tables'!$G$2:$G$5,'Lookup Tables'!$H$2:$H$5,0),0)
  + IFERROR(_xlfn.XLOOKUP(AW87,'Lookup Tables'!$J$2:$J$5,'Lookup Tables'!$K$2:$K$5,0),0)
  + _xlfn.IFS(AX87="No Issues",10, AX87="Complaint Filed",3, AX87="Confirmed Breach",-15, TRUE,0)
  + IFERROR(_xlfn.XLOOKUP(AY87,'Lookup Tables'!$M$2:$M$6,'Lookup Tables'!$N$2:$N$6,0),0)
  + IFERROR(_xlfn.XLOOKUP(AZ87,'Lookup Tables'!$P$2:$P$6,'Lookup Tables'!$Q$2:$Q$6,0),0)
  + _xlfn.IFS(BA87="Formal Board Committee",5, BA87="Board Oversight Mentioned",2, TRUE,0)
  + _xlfn.IFS(BB87="Yes — Quantified Targets",5, BB87="Yes — Discretionary Only",2, TRUE,0)
  + _xlfn.IFS(BC87="Reasonable Assurance",5, BC87="Limited Assurance",3, BC87="Management Review Only",1, TRUE,0)
))</f>
        <v/>
      </c>
      <c r="BF87" s="3" t="n"/>
      <c r="BG87" s="3" t="n"/>
      <c r="BH87" s="3" t="n"/>
      <c r="BI87" s="3" t="n"/>
      <c r="BJ87" s="3" t="n"/>
      <c r="BK87" s="3" t="n"/>
      <c r="BL87" s="3" t="n"/>
      <c r="BM87" s="3" t="n"/>
      <c r="BN87" s="3" t="n"/>
      <c r="BO87" s="3" t="n"/>
      <c r="BP87" s="3" t="n"/>
      <c r="BQ87" s="3" t="n"/>
      <c r="BR87" s="3" t="n"/>
      <c r="BS87" s="42">
        <f t="array" ref="BS87">MIN(100, MAX(0,
  IFERROR(_xlfn.XLOOKUP(BG87,'Lookup Tables'!$A$11:$A$16,'Lookup Tables'!$B$11:$B$16,0),0)
  + IFERROR(_xlfn.XLOOKUP(BR87,'Lookup Tables'!$M$11:$M$14,'Lookup Tables'!$N$11:$N$14,0),0)
  + IFERROR(_xlfn.XLOOKUP(BQ87,'Lookup Tables'!$J$11:$J$15,'Lookup Tables'!$K$11:$K$15,0),0)
  + IFERROR(_xlfn.XLOOKUP(BH87,'Lookup Tables'!$D$11:$D$15,'Lookup Tables'!$E$11:$E$15,0),0)
  + IFERROR(_xlfn.XLOOKUP(BJ87,'Lookup Tables'!$G$11:$G$16,'Lookup Tables'!$H$11:$H$16,0),0)
  + IFERROR(_xlfn.XLOOKUP(BN87,'Lookup Tables'!$P$11:$P$15,'Lookup Tables'!$Q$11:$Q$15,0),0)
  + _xlfn.IFS(BM87="No Evidence",10, BM87="Unknown",3, BM87="Likely",0, BM87="Confirmed",-10, TRUE,3)
  + IFERROR(_xlfn.XLOOKUP(BP87,'Lookup Tables'!$J$21:$J$24,'Lookup Tables'!$K$21:$K$24,0),0)
))</f>
        <v/>
      </c>
      <c r="BT87" s="3" t="n"/>
      <c r="BU87" s="3" t="n"/>
      <c r="BV87" s="3" t="n"/>
      <c r="BW87" s="3" t="n"/>
      <c r="BX87" s="3" t="n"/>
      <c r="BY87" s="3" t="n"/>
      <c r="BZ87" s="3" t="n"/>
      <c r="CA87" s="3" t="n"/>
      <c r="CB87" s="3" t="n"/>
      <c r="CC87" s="3" t="n"/>
      <c r="CD87" s="3" t="n"/>
      <c r="CE87" s="44">
        <f t="array" ref="CE87">MIN(100, MAX(0,
  IF(ISNUMBER(BV87)*AND(BV87&gt;0), 10, 0)
  + _xlfn.IFS(BY87="Independently Verified",25, BY87="Yes",15, TRUE,0)
  + IFERROR(_xlfn.XLOOKUP(BZ87,'Lookup Tables'!$A$21:$A$24,'Lookup Tables'!$B$21:$B$24,0),0)
  + IFERROR(_xlfn.XLOOKUP(CA87,'Lookup Tables'!$D$21:$D$24,'Lookup Tables'!$E$21:$E$24,0),0)
  + _xlfn.IFS(ISNUMBER(CB87)*AND(CB87&gt;=11),15, ISNUMBER(CB87)*AND(CB87&gt;=6),10, ISNUMBER(CB87)*AND(CB87&gt;=1),5, TRUE,0)
  + IFERROR(_xlfn.XLOOKUP(CC87,'Lookup Tables'!$G$21:$G$25,'Lookup Tables'!$H$21:$H$25,0),0)
  - IF(ISNUMBER(BW87)*AND(ISNUMBER(BV87))*AND(BW87&gt;BV87), 20, 0)
  - IF(AND(BY87="Yes", ISNUMBER(BW87), BW87&gt;60), 10, 0)
))</f>
        <v/>
      </c>
      <c r="CF87" s="3" t="n"/>
      <c r="CG87" s="3" t="n"/>
      <c r="CH87" s="3" t="n"/>
      <c r="CI87" s="3" t="n"/>
      <c r="CJ87" s="3" t="n"/>
      <c r="CK87" s="3" t="n"/>
      <c r="CL87" s="3" t="n"/>
      <c r="CM87" s="3" t="n"/>
      <c r="CN87" s="3" t="n"/>
      <c r="CO87" s="3" t="n"/>
      <c r="CP87" s="3" t="n"/>
      <c r="CQ87" s="3" t="n"/>
      <c r="CR87" s="3">
        <f>COUNTIF(CJ87:CQ87,"FAIL")</f>
        <v/>
      </c>
      <c r="CS87" s="3">
        <f>COUNTIF(CJ87:CQ87,"PARTIAL")</f>
        <v/>
      </c>
      <c r="CT87" s="3">
        <f>COUNTIF(CJ87:CQ87,"MISSING")</f>
        <v/>
      </c>
      <c r="CU87" s="3">
        <f>MIN(100,
  CR87*15
  + CS87*6
  + CT87*3
  + IFERROR(_xlfn.XLOOKUP(CW87,'Lookup Tables'!$M$21:$M$25,'Lookup Tables'!$N$21:$N$25,0),0)
)</f>
        <v/>
      </c>
      <c r="CV87" s="3">
        <f>IFERROR(
CHOOSE(
MATCH("FAIL",CJ87:CQ87,0),
"1-Specificity","2-Metric","3-Baseline","4-Target",
"5-Time Horizon","6-Scope","7-Verification","8-Consistency"
),
IFERROR(
CHOOSE(
MATCH("PARTIAL",CJ87:CQ87,0),
"1-Specificity","2-Metric","3-Baseline","4-Target",
"5-Time Horizon","6-Scope","7-Verification","8-Consistency"
),
"No failures"
)
)</f>
        <v/>
      </c>
      <c r="CW87" s="3" t="n"/>
      <c r="CX87" s="3" t="n"/>
      <c r="CY87" s="3" t="n"/>
      <c r="CZ87" s="3" t="n"/>
      <c r="DA87" s="3">
        <f>IF(OR(CU87&gt;=50,CW87="Material",CW87="Severe",AS87="Material",AS87="Severe",BF87="Material",BF87="Severe — Exclusion Trigger",AND(ISNUMBER(BS87),BS87&lt;30)),"Yes","No")</f>
        <v/>
      </c>
      <c r="DB87" s="3">
        <f>IF(OR(CR87&gt;=6,AW87="Confirmed Violation",AX87="Confirmed Breach"),"Yes — Automatic",IF(CW87="Severe","Yes — Requires Captain Confirmation","No"))</f>
        <v/>
      </c>
      <c r="DC87" s="3" t="n"/>
      <c r="DD87" s="3" t="n"/>
      <c r="DE87" s="3" t="n"/>
      <c r="DF87" s="3" t="n"/>
      <c r="DG87" s="3" t="n"/>
      <c r="DH87" s="3" t="n"/>
      <c r="DI87" s="3" t="n"/>
      <c r="DJ87" s="3" t="n"/>
      <c r="DK87" s="3" t="n"/>
      <c r="DL87" s="3">
        <f>IF(OR(IFERROR(VALUE(LEFT(DF87,1)),99)&lt;=2,IFERROR(VALUE(LEFT(DG87,1)),99)&lt;=2),"Flagged","Clear")</f>
        <v/>
      </c>
      <c r="DM87" s="3">
        <f>IF(OR(DA87="Yes",DB87&lt;&gt;"No",DH87="Unverified",DL87="Flagged"),"Yes","No")</f>
        <v/>
      </c>
      <c r="DN87" s="3">
        <f t="array" ref="DN87">MIN(100,
  IF(ISNUMBER(V87), _xlfn.IFS(V87&gt;=3,25, V87=2,15, V87=1,5, TRUE,0), 0)
  + IFERROR(_xlfn.IFS(VALUE(LEFT(DF87,1))=5,25, VALUE(LEFT(DF87,1))=4,20, VALUE(LEFT(DF87,1))=3,15, VALUE(LEFT(DF87,1))=2,8, TRUE,0), 15)
  + IFERROR(_xlfn.IFS(VALUE(LEFT(DG87,1))=5,25, VALUE(LEFT(DG87,1))=4,20, VALUE(LEFT(DG87,1))=3,15, VALUE(LEFT(DG87,1))=2,8, TRUE,0), 15)
  + _xlfn.IFS(DH87="Fully Verified",25, DH87="Partially Verified",12, TRUE,0)
)</f>
        <v/>
      </c>
      <c r="DO87" s="3">
        <f t="array" ref="DO87">_xlfn.IFS(
  ISBLANK(AR87), "Insufficient Evidence",
  AND(AR87&gt;=65, AJ87="Approved"), "Strong",
  AR87&gt;=65, "Adequate",
  AR87&gt;=40, "Adequate",
  AR87&gt;=20, "Weak",
  TRUE, "Insufficient Evidence"
)</f>
        <v/>
      </c>
      <c r="DP87" s="3">
        <f t="array" ref="DP87">_xlfn.IFS(
  ISBLANK(BS87), "Insufficient Evidence",
  BS87&gt;=65, "Strong",
  BS87&gt;=40, "Adequate",
  BS87&gt;=20, "Weak",
  TRUE, "Insufficient Evidence"
)</f>
        <v/>
      </c>
      <c r="DQ87" s="3">
        <f t="array" ref="DQ87">_xlfn.IFS(
  ISBLANK(BE87), "Insufficient Evidence",
  OR(AW87="Confirmed Violation", AX87="Confirmed Breach"), "Severe — Hard Trigger",
  BE87&gt;=65, "Strong",
  BE87&gt;=40, "Adequate",
  BE87&gt;=20, "Weak",
  TRUE, "Insufficient Evidence"
)</f>
        <v/>
      </c>
      <c r="DR87" s="3">
        <f t="array" ref="DR87">_xlfn.IFS(
  ISBLANK(CU87), "Insufficient Evidence",
  CU87&lt;=20, "Low Risk",
  CU87&lt;=50, "Moderate Risk",
  CU87&lt;=75, "High Risk",
  TRUE, "Very High Risk"
)</f>
        <v/>
      </c>
      <c r="DS87" s="3">
        <f t="array" ref="DS87">_xlfn.IFS(
  ISBLANK(CE87), "Insufficient Evidence",
  AND(ISNUMBER(BW87),ISNUMBER(BV87),BW87&gt;BV87), "Overclaiming Risk",
  CE87&gt;=65, "Strong",
  CE87&gt;=40, "Adequate",
  TRUE, "Weak"
)</f>
        <v/>
      </c>
      <c r="DT87" s="3">
        <f>IF(DB87="Yes — Automatic",0,ROUND((IF(ISNUMBER(AR87),AR87,0)*0.3+IF(ISNUMBER(BS87),BS87,0)*0.2+IF(ISNUMBER(BE87),BE87,0)*0.2+IF(ISNUMBER(CE87),CE87,0)*0.15+(100-IF(ISNUMBER(CU87),CU87,50))*0.15)*IF(DN87&gt;=75,1,IF(DN87&gt;=50,0.9,IF(DN87&gt;=25,0.75,0.6))),1))</f>
        <v/>
      </c>
      <c r="DU87" s="3">
        <f t="array" ref="DU87">_xlfn.IFS(
  DV87="Upgraded to Clear", "Clear",
  DV87="Downgraded to Watchlist", "Watchlist",
  DV87="Downgraded to Exclusion", "Exclusion Risk",
  DB87="Yes — Automatic", "Exclusion Risk",
  OR(AW87="Confirmed Violation", AX87="Confirmed Breach"), "Exclusion Risk",
  OR(V87=0, ISBLANK(V87), DN87&lt;20), "Insufficient Evidence",
  AND(DT87&gt;=65, DA87="No", DB87="No"), "Clear",
  OR(DT87&gt;=40, DA87="Yes"), "Watchlist",
  TRUE, "Exclusion Risk"
)</f>
        <v/>
      </c>
      <c r="DV87" s="3" t="n"/>
      <c r="DW87" s="3">
        <f t="array" ref="DW87">_xlfn.IFS(
  DU87="Exclusion Risk", "Exclude — Hard Trigger",
  DU87="Insufficient Evidence", "Watchlist — Further Evidence Needed",
  DU87="Watchlist", "Watchlist — Further Evidence Needed",
  AND(DU87="Clear", DT87&gt;=80), "Include — No Conditions",
  DU87="Clear", "Include — Monitor",
  TRUE, "Watchlist — Further Evidence Needed"
)</f>
        <v/>
      </c>
      <c r="DX87" s="3" t="n"/>
      <c r="DY87" s="3" t="n"/>
      <c r="DZ87" s="3" t="n"/>
      <c r="EA87" s="3" t="n"/>
      <c r="EB87" s="3">
        <f>IF(OR(V87=0, ISBLANK(V87)), "MISSING — No sources reviewed", "")</f>
        <v/>
      </c>
      <c r="EC87" s="3">
        <f>IF(AND(NOT(ISBLANK(DC87)), ISBLANK(DE87)), "PAGE REF MISSING", "")</f>
        <v/>
      </c>
    </row>
    <row r="88" ht="18" customHeight="1" s="60">
      <c r="A88" s="5" t="inlineStr">
        <is>
          <t>Standard Chartered PLC</t>
        </is>
      </c>
      <c r="B88" s="5" t="inlineStr">
        <is>
          <t>STD</t>
        </is>
      </c>
      <c r="C88" s="5">
        <f>IF(ISBLANK('Universe Tracker'!D63),"",'Universe Tracker'!D63)</f>
        <v/>
      </c>
      <c r="D88" s="5" t="n"/>
      <c r="E88" s="5" t="n"/>
      <c r="F88" s="5">
        <f>IF(ISBLANK('Universe Tracker'!F63),"",'Universe Tracker'!F63)</f>
        <v/>
      </c>
      <c r="G88" s="5">
        <f>IF(ISBLANK('Universe Tracker'!G63),"",'Universe Tracker'!G63)</f>
        <v/>
      </c>
      <c r="H88" s="5" t="n"/>
      <c r="I88" s="5" t="n"/>
      <c r="J88" s="5">
        <f>IF(ISBLANK(B88),"",B88&amp;"_"&amp;C88)</f>
        <v/>
      </c>
      <c r="K88" s="5" t="n"/>
      <c r="L88" s="5" t="n"/>
      <c r="M88" s="5" t="n"/>
      <c r="N88" s="5" t="n"/>
      <c r="O88" s="5" t="n"/>
      <c r="P88" s="5" t="n"/>
      <c r="Q88" s="5" t="n"/>
      <c r="R88" s="5" t="n"/>
      <c r="S88" s="5" t="n"/>
      <c r="T88" s="5" t="n"/>
      <c r="U88" s="5" t="n"/>
      <c r="V88" s="5" t="n"/>
      <c r="W88" s="5" t="n"/>
      <c r="X88" s="5" t="n"/>
      <c r="Y88" s="5">
        <f>IF(AND(V88&gt;=2,K88="Yes",L88="Yes"),"Sufficient",IF(AND(V88&gt;=1,OR(K88="Yes",L88="Yes")),"Thin","Insufficient"))</f>
        <v/>
      </c>
      <c r="Z88" s="5" t="n"/>
      <c r="AA88" s="5" t="n"/>
      <c r="AB88" s="5" t="n"/>
      <c r="AC88" s="5" t="n"/>
      <c r="AD88" s="5" t="n"/>
      <c r="AE88" s="5" t="n"/>
      <c r="AF88" s="5" t="n"/>
      <c r="AG88" s="5" t="n"/>
      <c r="AH88" s="5" t="n"/>
      <c r="AI88" s="5" t="n"/>
      <c r="AJ88" s="5" t="n"/>
      <c r="AK88" s="5" t="n"/>
      <c r="AL88" s="5" t="n"/>
      <c r="AM88" s="5" t="n"/>
      <c r="AN88" s="5" t="n"/>
      <c r="AO88" s="5" t="n"/>
      <c r="AP88" s="5" t="n"/>
      <c r="AQ88" s="5" t="n"/>
      <c r="AR88" s="40">
        <f t="array" ref="AR88">MIN(100, MAX(0,
  IFERROR(_xlfn.XLOOKUP(AJ88,'Lookup Tables'!$A$2:$A$7,'Lookup Tables'!$B$2:$B$7,0),0)
  + IF(Z88="Yes", IF(IFERROR(_xlfn.XLOOKUP(AJ88,'Lookup Tables'!$A$2:$A$7,'Lookup Tables'!$B$2:$B$7,0),0)&lt;20, 5, 0), 0)
  + _xlfn.IFS(AB88="Yes", IF(ISNUMBER(AC88)*AND(AC88&lt;=2030),15,10), AB88="Long-term Only", 5, AB88="No", 0, TRUE, 0)
  + _xlfn.IFS(AF88="Full",10, AF88="Partial",5, AF88="Scope 2 Only",3, TRUE,0)
  + _xlfn.IFS(AG88="Yes", IF(ISNUMBER(AH88)*AND(AH88&gt;=5),10,6), AG88="Partial",4, TRUE,0)
  + _xlfn.IFS(AI88="Yes",5, AI88="Partial (material categories only)",3, TRUE,0)
  + _xlfn.IFS(AL88="Yes — Detailed",10, AL88="Yes — High Level",5, TRUE,0)
  + _xlfn.IFS(AM88="Yes — Quantified",15, AM88="Yes — Directional Only",7, TRUE,0)
  + _xlfn.IFS(AP88="Formal",5, AP88="Referenced",2, TRUE,0)
  + _xlfn.IFS(AQ88="No Issues Found",5, AQ88="Concern Identified",-5, AQ88="Severe Contradiction",-15, TRUE,0)
  + _xlfn.IFS(BC88="Reasonable Assurance",5, BC88="Limited Assurance",3, TRUE,0)
  - IF(AND(Z88="Yes", AI88="No"), 10, 0)
  - IF(AND(Z88="Yes", AM88="No"), 10, 0)
))</f>
        <v/>
      </c>
      <c r="AS88" s="5" t="n"/>
      <c r="AT88" s="5" t="n"/>
      <c r="AU88" s="5" t="n"/>
      <c r="AV88" s="5" t="n"/>
      <c r="AW88" s="5" t="n"/>
      <c r="AX88" s="5" t="n"/>
      <c r="AY88" s="5" t="n"/>
      <c r="AZ88" s="5" t="n"/>
      <c r="BA88" s="5" t="n"/>
      <c r="BB88" s="5" t="n"/>
      <c r="BC88" s="5" t="n"/>
      <c r="BD88" s="5" t="n"/>
      <c r="BE88" s="39">
        <f t="array" ref="BE88">MIN(100, MAX(0,
  IFERROR(_xlfn.XLOOKUP(AT88,'Lookup Tables'!$D$2:$D$6,'Lookup Tables'!$E$2:$E$6,0),0)
  + IFERROR(_xlfn.XLOOKUP(AV88,'Lookup Tables'!$G$2:$G$5,'Lookup Tables'!$H$2:$H$5,0),0)
  + IFERROR(_xlfn.XLOOKUP(AW88,'Lookup Tables'!$J$2:$J$5,'Lookup Tables'!$K$2:$K$5,0),0)
  + _xlfn.IFS(AX88="No Issues",10, AX88="Complaint Filed",3, AX88="Confirmed Breach",-15, TRUE,0)
  + IFERROR(_xlfn.XLOOKUP(AY88,'Lookup Tables'!$M$2:$M$6,'Lookup Tables'!$N$2:$N$6,0),0)
  + IFERROR(_xlfn.XLOOKUP(AZ88,'Lookup Tables'!$P$2:$P$6,'Lookup Tables'!$Q$2:$Q$6,0),0)
  + _xlfn.IFS(BA88="Formal Board Committee",5, BA88="Board Oversight Mentioned",2, TRUE,0)
  + _xlfn.IFS(BB88="Yes — Quantified Targets",5, BB88="Yes — Discretionary Only",2, TRUE,0)
  + _xlfn.IFS(BC88="Reasonable Assurance",5, BC88="Limited Assurance",3, BC88="Management Review Only",1, TRUE,0)
))</f>
        <v/>
      </c>
      <c r="BF88" s="5" t="n"/>
      <c r="BG88" s="5" t="n"/>
      <c r="BH88" s="5" t="n"/>
      <c r="BI88" s="5" t="n"/>
      <c r="BJ88" s="5" t="n"/>
      <c r="BK88" s="5" t="n"/>
      <c r="BL88" s="5" t="n"/>
      <c r="BM88" s="5" t="n"/>
      <c r="BN88" s="5" t="n"/>
      <c r="BO88" s="5" t="n"/>
      <c r="BP88" s="5" t="n"/>
      <c r="BQ88" s="5" t="n"/>
      <c r="BR88" s="5" t="n"/>
      <c r="BS88" s="41">
        <f t="array" ref="BS88">MIN(100, MAX(0,
  IFERROR(_xlfn.XLOOKUP(BG88,'Lookup Tables'!$A$11:$A$16,'Lookup Tables'!$B$11:$B$16,0),0)
  + IFERROR(_xlfn.XLOOKUP(BR88,'Lookup Tables'!$M$11:$M$14,'Lookup Tables'!$N$11:$N$14,0),0)
  + IFERROR(_xlfn.XLOOKUP(BQ88,'Lookup Tables'!$J$11:$J$15,'Lookup Tables'!$K$11:$K$15,0),0)
  + IFERROR(_xlfn.XLOOKUP(BH88,'Lookup Tables'!$D$11:$D$15,'Lookup Tables'!$E$11:$E$15,0),0)
  + IFERROR(_xlfn.XLOOKUP(BJ88,'Lookup Tables'!$G$11:$G$16,'Lookup Tables'!$H$11:$H$16,0),0)
  + IFERROR(_xlfn.XLOOKUP(BN88,'Lookup Tables'!$P$11:$P$15,'Lookup Tables'!$Q$11:$Q$15,0),0)
  + _xlfn.IFS(BM88="No Evidence",10, BM88="Unknown",3, BM88="Likely",0, BM88="Confirmed",-10, TRUE,3)
  + IFERROR(_xlfn.XLOOKUP(BP88,'Lookup Tables'!$J$21:$J$24,'Lookup Tables'!$K$21:$K$24,0),0)
))</f>
        <v/>
      </c>
      <c r="BT88" s="5" t="n"/>
      <c r="BU88" s="5" t="n"/>
      <c r="BV88" s="5" t="n"/>
      <c r="BW88" s="5" t="n"/>
      <c r="BX88" s="5" t="n"/>
      <c r="BY88" s="5" t="n"/>
      <c r="BZ88" s="5" t="n"/>
      <c r="CA88" s="5" t="n"/>
      <c r="CB88" s="5" t="n"/>
      <c r="CC88" s="5" t="n"/>
      <c r="CD88" s="5" t="n"/>
      <c r="CE88" s="43">
        <f t="array" ref="CE88">MIN(100, MAX(0,
  IF(ISNUMBER(BV88)*AND(BV88&gt;0), 10, 0)
  + _xlfn.IFS(BY88="Independently Verified",25, BY88="Yes",15, TRUE,0)
  + IFERROR(_xlfn.XLOOKUP(BZ88,'Lookup Tables'!$A$21:$A$24,'Lookup Tables'!$B$21:$B$24,0),0)
  + IFERROR(_xlfn.XLOOKUP(CA88,'Lookup Tables'!$D$21:$D$24,'Lookup Tables'!$E$21:$E$24,0),0)
  + _xlfn.IFS(ISNUMBER(CB88)*AND(CB88&gt;=11),15, ISNUMBER(CB88)*AND(CB88&gt;=6),10, ISNUMBER(CB88)*AND(CB88&gt;=1),5, TRUE,0)
  + IFERROR(_xlfn.XLOOKUP(CC88,'Lookup Tables'!$G$21:$G$25,'Lookup Tables'!$H$21:$H$25,0),0)
  - IF(ISNUMBER(BW88)*AND(ISNUMBER(BV88))*AND(BW88&gt;BV88), 20, 0)
  - IF(AND(BY88="Yes", ISNUMBER(BW88), BW88&gt;60), 10, 0)
))</f>
        <v/>
      </c>
      <c r="CF88" s="5" t="n"/>
      <c r="CG88" s="5" t="n"/>
      <c r="CH88" s="5" t="n"/>
      <c r="CI88" s="5" t="n"/>
      <c r="CJ88" s="5" t="n"/>
      <c r="CK88" s="5" t="n"/>
      <c r="CL88" s="5" t="n"/>
      <c r="CM88" s="5" t="n"/>
      <c r="CN88" s="5" t="n"/>
      <c r="CO88" s="5" t="n"/>
      <c r="CP88" s="5" t="n"/>
      <c r="CQ88" s="5" t="n"/>
      <c r="CR88" s="5">
        <f>COUNTIF(CJ88:CQ88,"FAIL")</f>
        <v/>
      </c>
      <c r="CS88" s="5">
        <f>COUNTIF(CJ88:CQ88,"PARTIAL")</f>
        <v/>
      </c>
      <c r="CT88" s="5">
        <f>COUNTIF(CJ88:CQ88,"MISSING")</f>
        <v/>
      </c>
      <c r="CU88" s="5">
        <f>MIN(100,
  CR88*15
  + CS88*6
  + CT88*3
  + IFERROR(_xlfn.XLOOKUP(CW88,'Lookup Tables'!$M$21:$M$25,'Lookup Tables'!$N$21:$N$25,0),0)
)</f>
        <v/>
      </c>
      <c r="CV88" s="5">
        <f>IFERROR(
CHOOSE(
MATCH("FAIL",CJ88:CQ88,0),
"1-Specificity","2-Metric","3-Baseline","4-Target",
"5-Time Horizon","6-Scope","7-Verification","8-Consistency"
),
IFERROR(
CHOOSE(
MATCH("PARTIAL",CJ88:CQ88,0),
"1-Specificity","2-Metric","3-Baseline","4-Target",
"5-Time Horizon","6-Scope","7-Verification","8-Consistency"
),
"No failures"
)
)</f>
        <v/>
      </c>
      <c r="CW88" s="5" t="n"/>
      <c r="CX88" s="5" t="n"/>
      <c r="CY88" s="5" t="n"/>
      <c r="CZ88" s="5" t="n"/>
      <c r="DA88" s="5">
        <f>IF(OR(CU88&gt;=50,CW88="Material",CW88="Severe",AS88="Material",AS88="Severe",BF88="Material",BF88="Severe — Exclusion Trigger",AND(ISNUMBER(BS88),BS88&lt;30)),"Yes","No")</f>
        <v/>
      </c>
      <c r="DB88" s="5">
        <f>IF(OR(CR88&gt;=6,AW88="Confirmed Violation",AX88="Confirmed Breach"),"Yes — Automatic",IF(CW88="Severe","Yes — Requires Captain Confirmation","No"))</f>
        <v/>
      </c>
      <c r="DC88" s="5" t="n"/>
      <c r="DD88" s="5" t="n"/>
      <c r="DE88" s="5" t="n"/>
      <c r="DF88" s="5" t="n"/>
      <c r="DG88" s="5" t="n"/>
      <c r="DH88" s="5" t="n"/>
      <c r="DI88" s="5" t="n"/>
      <c r="DJ88" s="5" t="n"/>
      <c r="DK88" s="5" t="n"/>
      <c r="DL88" s="5">
        <f>IF(OR(IFERROR(VALUE(LEFT(DF88,1)),99)&lt;=2,IFERROR(VALUE(LEFT(DG88,1)),99)&lt;=2),"Flagged","Clear")</f>
        <v/>
      </c>
      <c r="DM88" s="5">
        <f>IF(OR(DA88="Yes",DB88&lt;&gt;"No",DH88="Unverified",DL88="Flagged"),"Yes","No")</f>
        <v/>
      </c>
      <c r="DN88" s="5">
        <f t="array" ref="DN88">MIN(100,
  IF(ISNUMBER(V88), _xlfn.IFS(V88&gt;=3,25, V88=2,15, V88=1,5, TRUE,0), 0)
  + IFERROR(_xlfn.IFS(VALUE(LEFT(DF88,1))=5,25, VALUE(LEFT(DF88,1))=4,20, VALUE(LEFT(DF88,1))=3,15, VALUE(LEFT(DF88,1))=2,8, TRUE,0), 15)
  + IFERROR(_xlfn.IFS(VALUE(LEFT(DG88,1))=5,25, VALUE(LEFT(DG88,1))=4,20, VALUE(LEFT(DG88,1))=3,15, VALUE(LEFT(DG88,1))=2,8, TRUE,0), 15)
  + _xlfn.IFS(DH88="Fully Verified",25, DH88="Partially Verified",12, TRUE,0)
)</f>
        <v/>
      </c>
      <c r="DO88" s="5">
        <f t="array" ref="DO88">_xlfn.IFS(
  ISBLANK(AR88), "Insufficient Evidence",
  AND(AR88&gt;=65, AJ88="Approved"), "Strong",
  AR88&gt;=65, "Adequate",
  AR88&gt;=40, "Adequate",
  AR88&gt;=20, "Weak",
  TRUE, "Insufficient Evidence"
)</f>
        <v/>
      </c>
      <c r="DP88" s="5">
        <f t="array" ref="DP88">_xlfn.IFS(
  ISBLANK(BS88), "Insufficient Evidence",
  BS88&gt;=65, "Strong",
  BS88&gt;=40, "Adequate",
  BS88&gt;=20, "Weak",
  TRUE, "Insufficient Evidence"
)</f>
        <v/>
      </c>
      <c r="DQ88" s="5">
        <f t="array" ref="DQ88">_xlfn.IFS(
  ISBLANK(BE88), "Insufficient Evidence",
  OR(AW88="Confirmed Violation", AX88="Confirmed Breach"), "Severe — Hard Trigger",
  BE88&gt;=65, "Strong",
  BE88&gt;=40, "Adequate",
  BE88&gt;=20, "Weak",
  TRUE, "Insufficient Evidence"
)</f>
        <v/>
      </c>
      <c r="DR88" s="5">
        <f t="array" ref="DR88">_xlfn.IFS(
  ISBLANK(CU88), "Insufficient Evidence",
  CU88&lt;=20, "Low Risk",
  CU88&lt;=50, "Moderate Risk",
  CU88&lt;=75, "High Risk",
  TRUE, "Very High Risk"
)</f>
        <v/>
      </c>
      <c r="DS88" s="5">
        <f t="array" ref="DS88">_xlfn.IFS(
  ISBLANK(CE88), "Insufficient Evidence",
  AND(ISNUMBER(BW88),ISNUMBER(BV88),BW88&gt;BV88), "Overclaiming Risk",
  CE88&gt;=65, "Strong",
  CE88&gt;=40, "Adequate",
  TRUE, "Weak"
)</f>
        <v/>
      </c>
      <c r="DT88" s="5">
        <f>IF(DB88="Yes — Automatic",0,ROUND((IF(ISNUMBER(AR88),AR88,0)*0.3+IF(ISNUMBER(BS88),BS88,0)*0.2+IF(ISNUMBER(BE88),BE88,0)*0.2+IF(ISNUMBER(CE88),CE88,0)*0.15+(100-IF(ISNUMBER(CU88),CU88,50))*0.15)*IF(DN88&gt;=75,1,IF(DN88&gt;=50,0.9,IF(DN88&gt;=25,0.75,0.6))),1))</f>
        <v/>
      </c>
      <c r="DU88" s="5">
        <f t="array" ref="DU88">_xlfn.IFS(
  DV88="Upgraded to Clear", "Clear",
  DV88="Downgraded to Watchlist", "Watchlist",
  DV88="Downgraded to Exclusion", "Exclusion Risk",
  DB88="Yes — Automatic", "Exclusion Risk",
  OR(AW88="Confirmed Violation", AX88="Confirmed Breach"), "Exclusion Risk",
  OR(V88=0, ISBLANK(V88), DN88&lt;20), "Insufficient Evidence",
  AND(DT88&gt;=65, DA88="No", DB88="No"), "Clear",
  OR(DT88&gt;=40, DA88="Yes"), "Watchlist",
  TRUE, "Exclusion Risk"
)</f>
        <v/>
      </c>
      <c r="DV88" s="5" t="n"/>
      <c r="DW88" s="5">
        <f t="array" ref="DW88">_xlfn.IFS(
  DU88="Exclusion Risk", "Exclude — Hard Trigger",
  DU88="Insufficient Evidence", "Watchlist — Further Evidence Needed",
  DU88="Watchlist", "Watchlist — Further Evidence Needed",
  AND(DU88="Clear", DT88&gt;=80), "Include — No Conditions",
  DU88="Clear", "Include — Monitor",
  TRUE, "Watchlist — Further Evidence Needed"
)</f>
        <v/>
      </c>
      <c r="DX88" s="5" t="n"/>
      <c r="DY88" s="5" t="n"/>
      <c r="DZ88" s="5" t="n"/>
      <c r="EA88" s="5" t="n"/>
      <c r="EB88" s="5">
        <f>IF(OR(V88=0, ISBLANK(V88)), "MISSING — No sources reviewed", "")</f>
        <v/>
      </c>
      <c r="EC88" s="5">
        <f>IF(AND(NOT(ISBLANK(DC88)), ISBLANK(DE88)), "PAGE REF MISSING", "")</f>
        <v/>
      </c>
    </row>
    <row r="89" ht="18" customHeight="1" s="60">
      <c r="A89" s="3" t="inlineStr">
        <is>
          <t>Sandvik AB</t>
        </is>
      </c>
      <c r="B89" s="3" t="inlineStr">
        <is>
          <t>SVKB</t>
        </is>
      </c>
      <c r="C89" s="3">
        <f>IF(ISBLANK('Universe Tracker'!D64),"",'Universe Tracker'!D64)</f>
        <v/>
      </c>
      <c r="D89" s="3" t="n"/>
      <c r="E89" s="3" t="n"/>
      <c r="F89" s="3">
        <f>IF(ISBLANK('Universe Tracker'!F64),"",'Universe Tracker'!F64)</f>
        <v/>
      </c>
      <c r="G89" s="3">
        <f>IF(ISBLANK('Universe Tracker'!G64),"",'Universe Tracker'!G64)</f>
        <v/>
      </c>
      <c r="H89" s="3" t="n"/>
      <c r="I89" s="3" t="n"/>
      <c r="J89" s="3">
        <f>IF(ISBLANK(B89),"",B89&amp;"_"&amp;C89)</f>
        <v/>
      </c>
      <c r="K89" s="3" t="n"/>
      <c r="L89" s="3" t="n"/>
      <c r="M89" s="3" t="n"/>
      <c r="N89" s="3" t="n"/>
      <c r="O89" s="3" t="n"/>
      <c r="P89" s="3" t="n"/>
      <c r="Q89" s="3" t="n"/>
      <c r="R89" s="3" t="n"/>
      <c r="S89" s="3" t="n"/>
      <c r="T89" s="3" t="n"/>
      <c r="U89" s="3" t="n"/>
      <c r="V89" s="3" t="n"/>
      <c r="W89" s="3" t="n"/>
      <c r="X89" s="3" t="n"/>
      <c r="Y89" s="3">
        <f>IF(AND(V89&gt;=2,K89="Yes",L89="Yes"),"Sufficient",IF(AND(V89&gt;=1,OR(K89="Yes",L89="Yes")),"Thin","Insufficient"))</f>
        <v/>
      </c>
      <c r="Z89" s="3" t="n"/>
      <c r="AA89" s="3" t="n"/>
      <c r="AB89" s="3" t="n"/>
      <c r="AC89" s="3" t="n"/>
      <c r="AD89" s="3" t="n"/>
      <c r="AE89" s="3" t="n"/>
      <c r="AF89" s="3" t="n"/>
      <c r="AG89" s="3" t="n"/>
      <c r="AH89" s="3" t="n"/>
      <c r="AI89" s="3" t="n"/>
      <c r="AJ89" s="3" t="n"/>
      <c r="AK89" s="3" t="n"/>
      <c r="AL89" s="3" t="n"/>
      <c r="AM89" s="3" t="n"/>
      <c r="AN89" s="3" t="n"/>
      <c r="AO89" s="3" t="n"/>
      <c r="AP89" s="3" t="n"/>
      <c r="AQ89" s="3" t="n"/>
      <c r="AR89" s="40">
        <f t="array" ref="AR89">MIN(100, MAX(0,
  IFERROR(_xlfn.XLOOKUP(AJ89,'Lookup Tables'!$A$2:$A$7,'Lookup Tables'!$B$2:$B$7,0),0)
  + IF(Z89="Yes", IF(IFERROR(_xlfn.XLOOKUP(AJ89,'Lookup Tables'!$A$2:$A$7,'Lookup Tables'!$B$2:$B$7,0),0)&lt;20, 5, 0), 0)
  + _xlfn.IFS(AB89="Yes", IF(ISNUMBER(AC89)*AND(AC89&lt;=2030),15,10), AB89="Long-term Only", 5, AB89="No", 0, TRUE, 0)
  + _xlfn.IFS(AF89="Full",10, AF89="Partial",5, AF89="Scope 2 Only",3, TRUE,0)
  + _xlfn.IFS(AG89="Yes", IF(ISNUMBER(AH89)*AND(AH89&gt;=5),10,6), AG89="Partial",4, TRUE,0)
  + _xlfn.IFS(AI89="Yes",5, AI89="Partial (material categories only)",3, TRUE,0)
  + _xlfn.IFS(AL89="Yes — Detailed",10, AL89="Yes — High Level",5, TRUE,0)
  + _xlfn.IFS(AM89="Yes — Quantified",15, AM89="Yes — Directional Only",7, TRUE,0)
  + _xlfn.IFS(AP89="Formal",5, AP89="Referenced",2, TRUE,0)
  + _xlfn.IFS(AQ89="No Issues Found",5, AQ89="Concern Identified",-5, AQ89="Severe Contradiction",-15, TRUE,0)
  + _xlfn.IFS(BC89="Reasonable Assurance",5, BC89="Limited Assurance",3, TRUE,0)
  - IF(AND(Z89="Yes", AI89="No"), 10, 0)
  - IF(AND(Z89="Yes", AM89="No"), 10, 0)
))</f>
        <v/>
      </c>
      <c r="AS89" s="3" t="n"/>
      <c r="AT89" s="3" t="n"/>
      <c r="AU89" s="3" t="n"/>
      <c r="AV89" s="3" t="n"/>
      <c r="AW89" s="3" t="n"/>
      <c r="AX89" s="3" t="n"/>
      <c r="AY89" s="3" t="n"/>
      <c r="AZ89" s="3" t="n"/>
      <c r="BA89" s="3" t="n"/>
      <c r="BB89" s="3" t="n"/>
      <c r="BC89" s="3" t="n"/>
      <c r="BD89" s="3" t="n"/>
      <c r="BE89" s="40">
        <f t="array" ref="BE89">MIN(100, MAX(0,
  IFERROR(_xlfn.XLOOKUP(AT89,'Lookup Tables'!$D$2:$D$6,'Lookup Tables'!$E$2:$E$6,0),0)
  + IFERROR(_xlfn.XLOOKUP(AV89,'Lookup Tables'!$G$2:$G$5,'Lookup Tables'!$H$2:$H$5,0),0)
  + IFERROR(_xlfn.XLOOKUP(AW89,'Lookup Tables'!$J$2:$J$5,'Lookup Tables'!$K$2:$K$5,0),0)
  + _xlfn.IFS(AX89="No Issues",10, AX89="Complaint Filed",3, AX89="Confirmed Breach",-15, TRUE,0)
  + IFERROR(_xlfn.XLOOKUP(AY89,'Lookup Tables'!$M$2:$M$6,'Lookup Tables'!$N$2:$N$6,0),0)
  + IFERROR(_xlfn.XLOOKUP(AZ89,'Lookup Tables'!$P$2:$P$6,'Lookup Tables'!$Q$2:$Q$6,0),0)
  + _xlfn.IFS(BA89="Formal Board Committee",5, BA89="Board Oversight Mentioned",2, TRUE,0)
  + _xlfn.IFS(BB89="Yes — Quantified Targets",5, BB89="Yes — Discretionary Only",2, TRUE,0)
  + _xlfn.IFS(BC89="Reasonable Assurance",5, BC89="Limited Assurance",3, BC89="Management Review Only",1, TRUE,0)
))</f>
        <v/>
      </c>
      <c r="BF89" s="3" t="n"/>
      <c r="BG89" s="3" t="n"/>
      <c r="BH89" s="3" t="n"/>
      <c r="BI89" s="3" t="n"/>
      <c r="BJ89" s="3" t="n"/>
      <c r="BK89" s="3" t="n"/>
      <c r="BL89" s="3" t="n"/>
      <c r="BM89" s="3" t="n"/>
      <c r="BN89" s="3" t="n"/>
      <c r="BO89" s="3" t="n"/>
      <c r="BP89" s="3" t="n"/>
      <c r="BQ89" s="3" t="n"/>
      <c r="BR89" s="3" t="n"/>
      <c r="BS89" s="42">
        <f t="array" ref="BS89">MIN(100, MAX(0,
  IFERROR(_xlfn.XLOOKUP(BG89,'Lookup Tables'!$A$11:$A$16,'Lookup Tables'!$B$11:$B$16,0),0)
  + IFERROR(_xlfn.XLOOKUP(BR89,'Lookup Tables'!$M$11:$M$14,'Lookup Tables'!$N$11:$N$14,0),0)
  + IFERROR(_xlfn.XLOOKUP(BQ89,'Lookup Tables'!$J$11:$J$15,'Lookup Tables'!$K$11:$K$15,0),0)
  + IFERROR(_xlfn.XLOOKUP(BH89,'Lookup Tables'!$D$11:$D$15,'Lookup Tables'!$E$11:$E$15,0),0)
  + IFERROR(_xlfn.XLOOKUP(BJ89,'Lookup Tables'!$G$11:$G$16,'Lookup Tables'!$H$11:$H$16,0),0)
  + IFERROR(_xlfn.XLOOKUP(BN89,'Lookup Tables'!$P$11:$P$15,'Lookup Tables'!$Q$11:$Q$15,0),0)
  + _xlfn.IFS(BM89="No Evidence",10, BM89="Unknown",3, BM89="Likely",0, BM89="Confirmed",-10, TRUE,3)
  + IFERROR(_xlfn.XLOOKUP(BP89,'Lookup Tables'!$J$21:$J$24,'Lookup Tables'!$K$21:$K$24,0),0)
))</f>
        <v/>
      </c>
      <c r="BT89" s="3" t="n"/>
      <c r="BU89" s="3" t="n"/>
      <c r="BV89" s="3" t="n"/>
      <c r="BW89" s="3" t="n"/>
      <c r="BX89" s="3" t="n"/>
      <c r="BY89" s="3" t="n"/>
      <c r="BZ89" s="3" t="n"/>
      <c r="CA89" s="3" t="n"/>
      <c r="CB89" s="3" t="n"/>
      <c r="CC89" s="3" t="n"/>
      <c r="CD89" s="3" t="n"/>
      <c r="CE89" s="44">
        <f t="array" ref="CE89">MIN(100, MAX(0,
  IF(ISNUMBER(BV89)*AND(BV89&gt;0), 10, 0)
  + _xlfn.IFS(BY89="Independently Verified",25, BY89="Yes",15, TRUE,0)
  + IFERROR(_xlfn.XLOOKUP(BZ89,'Lookup Tables'!$A$21:$A$24,'Lookup Tables'!$B$21:$B$24,0),0)
  + IFERROR(_xlfn.XLOOKUP(CA89,'Lookup Tables'!$D$21:$D$24,'Lookup Tables'!$E$21:$E$24,0),0)
  + _xlfn.IFS(ISNUMBER(CB89)*AND(CB89&gt;=11),15, ISNUMBER(CB89)*AND(CB89&gt;=6),10, ISNUMBER(CB89)*AND(CB89&gt;=1),5, TRUE,0)
  + IFERROR(_xlfn.XLOOKUP(CC89,'Lookup Tables'!$G$21:$G$25,'Lookup Tables'!$H$21:$H$25,0),0)
  - IF(ISNUMBER(BW89)*AND(ISNUMBER(BV89))*AND(BW89&gt;BV89), 20, 0)
  - IF(AND(BY89="Yes", ISNUMBER(BW89), BW89&gt;60), 10, 0)
))</f>
        <v/>
      </c>
      <c r="CF89" s="3" t="n"/>
      <c r="CG89" s="3" t="n"/>
      <c r="CH89" s="3" t="n"/>
      <c r="CI89" s="3" t="n"/>
      <c r="CJ89" s="3" t="n"/>
      <c r="CK89" s="3" t="n"/>
      <c r="CL89" s="3" t="n"/>
      <c r="CM89" s="3" t="n"/>
      <c r="CN89" s="3" t="n"/>
      <c r="CO89" s="3" t="n"/>
      <c r="CP89" s="3" t="n"/>
      <c r="CQ89" s="3" t="n"/>
      <c r="CR89" s="3">
        <f>COUNTIF(CJ89:CQ89,"FAIL")</f>
        <v/>
      </c>
      <c r="CS89" s="3">
        <f>COUNTIF(CJ89:CQ89,"PARTIAL")</f>
        <v/>
      </c>
      <c r="CT89" s="3">
        <f>COUNTIF(CJ89:CQ89,"MISSING")</f>
        <v/>
      </c>
      <c r="CU89" s="3">
        <f>MIN(100,
  CR89*15
  + CS89*6
  + CT89*3
  + IFERROR(_xlfn.XLOOKUP(CW89,'Lookup Tables'!$M$21:$M$25,'Lookup Tables'!$N$21:$N$25,0),0)
)</f>
        <v/>
      </c>
      <c r="CV89" s="3">
        <f>IFERROR(
CHOOSE(
MATCH("FAIL",CJ89:CQ89,0),
"1-Specificity","2-Metric","3-Baseline","4-Target",
"5-Time Horizon","6-Scope","7-Verification","8-Consistency"
),
IFERROR(
CHOOSE(
MATCH("PARTIAL",CJ89:CQ89,0),
"1-Specificity","2-Metric","3-Baseline","4-Target",
"5-Time Horizon","6-Scope","7-Verification","8-Consistency"
),
"No failures"
)
)</f>
        <v/>
      </c>
      <c r="CW89" s="3" t="n"/>
      <c r="CX89" s="3" t="n"/>
      <c r="CY89" s="3" t="n"/>
      <c r="CZ89" s="3" t="n"/>
      <c r="DA89" s="3">
        <f>IF(OR(CU89&gt;=50,CW89="Material",CW89="Severe",AS89="Material",AS89="Severe",BF89="Material",BF89="Severe — Exclusion Trigger",AND(ISNUMBER(BS89),BS89&lt;30)),"Yes","No")</f>
        <v/>
      </c>
      <c r="DB89" s="3">
        <f>IF(OR(CR89&gt;=6,AW89="Confirmed Violation",AX89="Confirmed Breach"),"Yes — Automatic",IF(CW89="Severe","Yes — Requires Captain Confirmation","No"))</f>
        <v/>
      </c>
      <c r="DC89" s="3" t="n"/>
      <c r="DD89" s="3" t="n"/>
      <c r="DE89" s="3" t="n"/>
      <c r="DF89" s="3" t="n"/>
      <c r="DG89" s="3" t="n"/>
      <c r="DH89" s="3" t="n"/>
      <c r="DI89" s="3" t="n"/>
      <c r="DJ89" s="3" t="n"/>
      <c r="DK89" s="3" t="n"/>
      <c r="DL89" s="3">
        <f>IF(OR(IFERROR(VALUE(LEFT(DF89,1)),99)&lt;=2,IFERROR(VALUE(LEFT(DG89,1)),99)&lt;=2),"Flagged","Clear")</f>
        <v/>
      </c>
      <c r="DM89" s="3">
        <f>IF(OR(DA89="Yes",DB89&lt;&gt;"No",DH89="Unverified",DL89="Flagged"),"Yes","No")</f>
        <v/>
      </c>
      <c r="DN89" s="3">
        <f t="array" ref="DN89">MIN(100,
  IF(ISNUMBER(V89), _xlfn.IFS(V89&gt;=3,25, V89=2,15, V89=1,5, TRUE,0), 0)
  + IFERROR(_xlfn.IFS(VALUE(LEFT(DF89,1))=5,25, VALUE(LEFT(DF89,1))=4,20, VALUE(LEFT(DF89,1))=3,15, VALUE(LEFT(DF89,1))=2,8, TRUE,0), 15)
  + IFERROR(_xlfn.IFS(VALUE(LEFT(DG89,1))=5,25, VALUE(LEFT(DG89,1))=4,20, VALUE(LEFT(DG89,1))=3,15, VALUE(LEFT(DG89,1))=2,8, TRUE,0), 15)
  + _xlfn.IFS(DH89="Fully Verified",25, DH89="Partially Verified",12, TRUE,0)
)</f>
        <v/>
      </c>
      <c r="DO89" s="3">
        <f t="array" ref="DO89">_xlfn.IFS(
  ISBLANK(AR89), "Insufficient Evidence",
  AND(AR89&gt;=65, AJ89="Approved"), "Strong",
  AR89&gt;=65, "Adequate",
  AR89&gt;=40, "Adequate",
  AR89&gt;=20, "Weak",
  TRUE, "Insufficient Evidence"
)</f>
        <v/>
      </c>
      <c r="DP89" s="3">
        <f t="array" ref="DP89">_xlfn.IFS(
  ISBLANK(BS89), "Insufficient Evidence",
  BS89&gt;=65, "Strong",
  BS89&gt;=40, "Adequate",
  BS89&gt;=20, "Weak",
  TRUE, "Insufficient Evidence"
)</f>
        <v/>
      </c>
      <c r="DQ89" s="3">
        <f t="array" ref="DQ89">_xlfn.IFS(
  ISBLANK(BE89), "Insufficient Evidence",
  OR(AW89="Confirmed Violation", AX89="Confirmed Breach"), "Severe — Hard Trigger",
  BE89&gt;=65, "Strong",
  BE89&gt;=40, "Adequate",
  BE89&gt;=20, "Weak",
  TRUE, "Insufficient Evidence"
)</f>
        <v/>
      </c>
      <c r="DR89" s="3">
        <f t="array" ref="DR89">_xlfn.IFS(
  ISBLANK(CU89), "Insufficient Evidence",
  CU89&lt;=20, "Low Risk",
  CU89&lt;=50, "Moderate Risk",
  CU89&lt;=75, "High Risk",
  TRUE, "Very High Risk"
)</f>
        <v/>
      </c>
      <c r="DS89" s="3">
        <f t="array" ref="DS89">_xlfn.IFS(
  ISBLANK(CE89), "Insufficient Evidence",
  AND(ISNUMBER(BW89),ISNUMBER(BV89),BW89&gt;BV89), "Overclaiming Risk",
  CE89&gt;=65, "Strong",
  CE89&gt;=40, "Adequate",
  TRUE, "Weak"
)</f>
        <v/>
      </c>
      <c r="DT89" s="3">
        <f>IF(DB89="Yes — Automatic",0,ROUND((IF(ISNUMBER(AR89),AR89,0)*0.3+IF(ISNUMBER(BS89),BS89,0)*0.2+IF(ISNUMBER(BE89),BE89,0)*0.2+IF(ISNUMBER(CE89),CE89,0)*0.15+(100-IF(ISNUMBER(CU89),CU89,50))*0.15)*IF(DN89&gt;=75,1,IF(DN89&gt;=50,0.9,IF(DN89&gt;=25,0.75,0.6))),1))</f>
        <v/>
      </c>
      <c r="DU89" s="3">
        <f t="array" ref="DU89">_xlfn.IFS(
  DV89="Upgraded to Clear", "Clear",
  DV89="Downgraded to Watchlist", "Watchlist",
  DV89="Downgraded to Exclusion", "Exclusion Risk",
  DB89="Yes — Automatic", "Exclusion Risk",
  OR(AW89="Confirmed Violation", AX89="Confirmed Breach"), "Exclusion Risk",
  OR(V89=0, ISBLANK(V89), DN89&lt;20), "Insufficient Evidence",
  AND(DT89&gt;=65, DA89="No", DB89="No"), "Clear",
  OR(DT89&gt;=40, DA89="Yes"), "Watchlist",
  TRUE, "Exclusion Risk"
)</f>
        <v/>
      </c>
      <c r="DV89" s="3" t="n"/>
      <c r="DW89" s="3">
        <f t="array" ref="DW89">_xlfn.IFS(
  DU89="Exclusion Risk", "Exclude — Hard Trigger",
  DU89="Insufficient Evidence", "Watchlist — Further Evidence Needed",
  DU89="Watchlist", "Watchlist — Further Evidence Needed",
  AND(DU89="Clear", DT89&gt;=80), "Include — No Conditions",
  DU89="Clear", "Include — Monitor",
  TRUE, "Watchlist — Further Evidence Needed"
)</f>
        <v/>
      </c>
      <c r="DX89" s="3" t="n"/>
      <c r="DY89" s="3" t="n"/>
      <c r="DZ89" s="3" t="n"/>
      <c r="EA89" s="3" t="n"/>
      <c r="EB89" s="3">
        <f>IF(OR(V89=0, ISBLANK(V89)), "MISSING — No sources reviewed", "")</f>
        <v/>
      </c>
      <c r="EC89" s="3">
        <f>IF(AND(NOT(ISBLANK(DC89)), ISBLANK(DE89)), "PAGE REF MISSING", "")</f>
        <v/>
      </c>
    </row>
    <row r="90" ht="18" customHeight="1" s="60">
      <c r="A90" s="5" t="inlineStr">
        <is>
          <t>Zurich Insurance Group AG</t>
        </is>
      </c>
      <c r="B90" s="5" t="inlineStr">
        <is>
          <t>ZFIN</t>
        </is>
      </c>
      <c r="C90" s="5" t="inlineStr">
        <is>
          <t>CH0011075394</t>
        </is>
      </c>
      <c r="D90" s="5" t="n"/>
      <c r="E90" s="5" t="n"/>
      <c r="F90" s="5">
        <f>IF(ISBLANK('Universe Tracker'!F65),"",'Universe Tracker'!F65)</f>
        <v/>
      </c>
      <c r="G90" s="5">
        <f>IF(ISBLANK('Universe Tracker'!G65),"",'Universe Tracker'!G65)</f>
        <v/>
      </c>
      <c r="H90" s="5" t="n"/>
      <c r="I90" s="5" t="n"/>
      <c r="J90" s="5">
        <f>IF(ISBLANK(B90),"",B90&amp;"_"&amp;C90)</f>
        <v/>
      </c>
      <c r="K90" s="5" t="n"/>
      <c r="L90" s="5" t="n"/>
      <c r="M90" s="5" t="n"/>
      <c r="N90" s="5" t="n"/>
      <c r="O90" s="5" t="inlineStr">
        <is>
          <t>Yes</t>
        </is>
      </c>
      <c r="P90" s="5" t="inlineStr">
        <is>
          <t>Yes</t>
        </is>
      </c>
      <c r="Q90" s="5" t="n"/>
      <c r="R90" s="5" t="n"/>
      <c r="S90" s="5" t="n"/>
      <c r="T90" s="5" t="n"/>
      <c r="U90" s="5" t="n"/>
      <c r="V90" s="5" t="n"/>
      <c r="W90" s="5" t="n"/>
      <c r="X90" s="5" t="n"/>
      <c r="Y90" s="5">
        <f>IF(AND(V90&gt;=2,K90="Yes",L90="Yes"),"Sufficient",IF(AND(V90&gt;=1,OR(K90="Yes",L90="Yes")),"Thin","Insufficient"))</f>
        <v/>
      </c>
      <c r="Z90" s="5" t="n"/>
      <c r="AA90" s="5" t="n"/>
      <c r="AB90" s="5" t="n"/>
      <c r="AC90" s="5" t="n"/>
      <c r="AD90" s="5" t="n"/>
      <c r="AE90" s="5" t="n"/>
      <c r="AF90" s="5" t="n"/>
      <c r="AG90" s="5" t="n"/>
      <c r="AH90" s="5" t="n"/>
      <c r="AI90" s="5" t="n"/>
      <c r="AJ90" s="5" t="inlineStr">
        <is>
          <t>Commitment removed</t>
        </is>
      </c>
      <c r="AK90" s="5" t="inlineStr"/>
      <c r="AL90" s="5" t="n"/>
      <c r="AM90" s="5" t="n"/>
      <c r="AN90" s="5" t="n"/>
      <c r="AO90" s="5" t="n"/>
      <c r="AP90" s="5" t="n"/>
      <c r="AQ90" s="5" t="n"/>
      <c r="AR90" s="40">
        <f t="array" ref="AR90">MIN(100, MAX(0,
  IFERROR(_xlfn.XLOOKUP(AJ90,'Lookup Tables'!$A$2:$A$7,'Lookup Tables'!$B$2:$B$7,0),0)
  + IF(Z90="Yes", IF(IFERROR(_xlfn.XLOOKUP(AJ90,'Lookup Tables'!$A$2:$A$7,'Lookup Tables'!$B$2:$B$7,0),0)&lt;20, 5, 0), 0)
  + _xlfn.IFS(AB90="Yes", IF(ISNUMBER(AC90)*AND(AC90&lt;=2030),15,10), AB90="Long-term Only", 5, AB90="No", 0, TRUE, 0)
  + _xlfn.IFS(AF90="Full",10, AF90="Partial",5, AF90="Scope 2 Only",3, TRUE,0)
  + _xlfn.IFS(AG90="Yes", IF(ISNUMBER(AH90)*AND(AH90&gt;=5),10,6), AG90="Partial",4, TRUE,0)
  + _xlfn.IFS(AI90="Yes",5, AI90="Partial (material categories only)",3, TRUE,0)
  + _xlfn.IFS(AL90="Yes — Detailed",10, AL90="Yes — High Level",5, TRUE,0)
  + _xlfn.IFS(AM90="Yes — Quantified",15, AM90="Yes — Directional Only",7, TRUE,0)
  + _xlfn.IFS(AP90="Formal",5, AP90="Referenced",2, TRUE,0)
  + _xlfn.IFS(AQ90="No Issues Found",5, AQ90="Concern Identified",-5, AQ90="Severe Contradiction",-15, TRUE,0)
  + _xlfn.IFS(BC90="Reasonable Assurance",5, BC90="Limited Assurance",3, TRUE,0)
  - IF(AND(Z90="Yes", AI90="No"), 10, 0)
  - IF(AND(Z90="Yes", AM90="No"), 10, 0)
))</f>
        <v/>
      </c>
      <c r="AS90" s="5" t="n"/>
      <c r="AT90" s="5" t="n"/>
      <c r="AU90" s="5" t="n"/>
      <c r="AV90" s="5" t="n"/>
      <c r="AW90" s="5" t="n"/>
      <c r="AX90" s="5" t="n"/>
      <c r="AY90" s="5" t="n"/>
      <c r="AZ90" s="5" t="n"/>
      <c r="BA90" s="5" t="n"/>
      <c r="BB90" s="5" t="n"/>
      <c r="BC90" s="5" t="n"/>
      <c r="BD90" s="5" t="n"/>
      <c r="BE90" s="39">
        <f t="array" ref="BE90">MIN(100, MAX(0,
  IFERROR(_xlfn.XLOOKUP(AT90,'Lookup Tables'!$D$2:$D$6,'Lookup Tables'!$E$2:$E$6,0),0)
  + IFERROR(_xlfn.XLOOKUP(AV90,'Lookup Tables'!$G$2:$G$5,'Lookup Tables'!$H$2:$H$5,0),0)
  + IFERROR(_xlfn.XLOOKUP(AW90,'Lookup Tables'!$J$2:$J$5,'Lookup Tables'!$K$2:$K$5,0),0)
  + _xlfn.IFS(AX90="No Issues",10, AX90="Complaint Filed",3, AX90="Confirmed Breach",-15, TRUE,0)
  + IFERROR(_xlfn.XLOOKUP(AY90,'Lookup Tables'!$M$2:$M$6,'Lookup Tables'!$N$2:$N$6,0),0)
  + IFERROR(_xlfn.XLOOKUP(AZ90,'Lookup Tables'!$P$2:$P$6,'Lookup Tables'!$Q$2:$Q$6,0),0)
  + _xlfn.IFS(BA90="Formal Board Committee",5, BA90="Board Oversight Mentioned",2, TRUE,0)
  + _xlfn.IFS(BB90="Yes — Quantified Targets",5, BB90="Yes — Discretionary Only",2, TRUE,0)
  + _xlfn.IFS(BC90="Reasonable Assurance",5, BC90="Limited Assurance",3, BC90="Management Review Only",1, TRUE,0)
))</f>
        <v/>
      </c>
      <c r="BF90" s="5" t="n"/>
      <c r="BG90" s="5" t="n"/>
      <c r="BH90" s="5" t="n"/>
      <c r="BI90" s="5" t="n"/>
      <c r="BJ90" s="5" t="n"/>
      <c r="BK90" s="5" t="n"/>
      <c r="BL90" s="5" t="n"/>
      <c r="BM90" s="5" t="n"/>
      <c r="BN90" s="5" t="n"/>
      <c r="BO90" s="5" t="n"/>
      <c r="BP90" s="5" t="n"/>
      <c r="BQ90" s="5" t="n"/>
      <c r="BR90" s="5" t="n"/>
      <c r="BS90" s="41">
        <f t="array" ref="BS90">MIN(100, MAX(0,
  IFERROR(_xlfn.XLOOKUP(BG90,'Lookup Tables'!$A$11:$A$16,'Lookup Tables'!$B$11:$B$16,0),0)
  + IFERROR(_xlfn.XLOOKUP(BR90,'Lookup Tables'!$M$11:$M$14,'Lookup Tables'!$N$11:$N$14,0),0)
  + IFERROR(_xlfn.XLOOKUP(BQ90,'Lookup Tables'!$J$11:$J$15,'Lookup Tables'!$K$11:$K$15,0),0)
  + IFERROR(_xlfn.XLOOKUP(BH90,'Lookup Tables'!$D$11:$D$15,'Lookup Tables'!$E$11:$E$15,0),0)
  + IFERROR(_xlfn.XLOOKUP(BJ90,'Lookup Tables'!$G$11:$G$16,'Lookup Tables'!$H$11:$H$16,0),0)
  + IFERROR(_xlfn.XLOOKUP(BN90,'Lookup Tables'!$P$11:$P$15,'Lookup Tables'!$Q$11:$Q$15,0),0)
  + _xlfn.IFS(BM90="No Evidence",10, BM90="Unknown",3, BM90="Likely",0, BM90="Confirmed",-10, TRUE,3)
  + IFERROR(_xlfn.XLOOKUP(BP90,'Lookup Tables'!$J$21:$J$24,'Lookup Tables'!$K$21:$K$24,0),0)
))</f>
        <v/>
      </c>
      <c r="BT90" s="5" t="n"/>
      <c r="BU90" s="5" t="n"/>
      <c r="BV90" s="5" t="n"/>
      <c r="BW90" s="5" t="n"/>
      <c r="BX90" s="5" t="n"/>
      <c r="BY90" s="5" t="n"/>
      <c r="BZ90" s="5" t="n"/>
      <c r="CA90" s="5" t="n"/>
      <c r="CB90" s="5" t="n"/>
      <c r="CC90" s="5" t="n"/>
      <c r="CD90" s="5" t="n"/>
      <c r="CE90" s="43">
        <f t="array" ref="CE90">MIN(100, MAX(0,
  IF(ISNUMBER(BV90)*AND(BV90&gt;0), 10, 0)
  + _xlfn.IFS(BY90="Independently Verified",25, BY90="Yes",15, TRUE,0)
  + IFERROR(_xlfn.XLOOKUP(BZ90,'Lookup Tables'!$A$21:$A$24,'Lookup Tables'!$B$21:$B$24,0),0)
  + IFERROR(_xlfn.XLOOKUP(CA90,'Lookup Tables'!$D$21:$D$24,'Lookup Tables'!$E$21:$E$24,0),0)
  + _xlfn.IFS(ISNUMBER(CB90)*AND(CB90&gt;=11),15, ISNUMBER(CB90)*AND(CB90&gt;=6),10, ISNUMBER(CB90)*AND(CB90&gt;=1),5, TRUE,0)
  + IFERROR(_xlfn.XLOOKUP(CC90,'Lookup Tables'!$G$21:$G$25,'Lookup Tables'!$H$21:$H$25,0),0)
  - IF(ISNUMBER(BW90)*AND(ISNUMBER(BV90))*AND(BW90&gt;BV90), 20, 0)
  - IF(AND(BY90="Yes", ISNUMBER(BW90), BW90&gt;60), 10, 0)
))</f>
        <v/>
      </c>
      <c r="CF90" s="5" t="n"/>
      <c r="CG90" s="5" t="inlineStr">
        <is>
          <t>our climate transition plan towards our ambition to become a net-zero business by [2050]</t>
        </is>
      </c>
      <c r="CH90" s="5" t="inlineStr">
        <is>
          <t>sustainability-report-2025.pdf</t>
        </is>
      </c>
      <c r="CI90" s="5" t="n">
        <v>6</v>
      </c>
      <c r="CJ90" s="5" t="inlineStr">
        <is>
          <t>PASS</t>
        </is>
      </c>
      <c r="CK90" s="5" t="inlineStr">
        <is>
          <t>PASS</t>
        </is>
      </c>
      <c r="CL90" s="5" t="inlineStr">
        <is>
          <t>PASS</t>
        </is>
      </c>
      <c r="CM90" s="5" t="inlineStr">
        <is>
          <t>PARTIAL</t>
        </is>
      </c>
      <c r="CN90" s="5" t="inlineStr">
        <is>
          <t>PASS</t>
        </is>
      </c>
      <c r="CO90" s="5" t="inlineStr">
        <is>
          <t>PASS</t>
        </is>
      </c>
      <c r="CP90" s="5" t="inlineStr">
        <is>
          <t>PARTIAL</t>
        </is>
      </c>
      <c r="CQ90" s="5" t="inlineStr">
        <is>
          <t>PASS</t>
        </is>
      </c>
      <c r="CR90" s="5">
        <f>COUNTIF(CJ90:CQ90,"FAIL")</f>
        <v/>
      </c>
      <c r="CS90" s="5">
        <f>COUNTIF(CJ90:CQ90,"PARTIAL")</f>
        <v/>
      </c>
      <c r="CT90" s="5">
        <f>COUNTIF(CJ90:CQ90,"MISSING")</f>
        <v/>
      </c>
      <c r="CU90" s="5">
        <f>MIN(100,
  CR90*15
  + CS90*6
  + CT90*3
  + IFERROR(_xlfn.XLOOKUP(CW90,'Lookup Tables'!$M$21:$M$25,'Lookup Tables'!$N$21:$N$25,0),0)
)</f>
        <v/>
      </c>
      <c r="CV90" s="5">
        <f>IFERROR(
CHOOSE(
MATCH("FAIL",CJ90:CQ90,0),
"1-Specificity","2-Metric","3-Baseline","4-Target",
"5-Time Horizon","6-Scope","7-Verification","8-Consistency"
),
IFERROR(
CHOOSE(
MATCH("PARTIAL",CJ90:CQ90,0),
"1-Specificity","2-Metric","3-Baseline","4-Target",
"5-Time Horizon","6-Scope","7-Verification","8-Consistency"
),
"No failures"
)
)</f>
        <v/>
      </c>
      <c r="CW90" s="5" t="n"/>
      <c r="CX90" s="5" t="n"/>
      <c r="CY90" s="5" t="n"/>
      <c r="CZ90" s="5" t="n"/>
      <c r="DA90" s="5">
        <f>IF(OR(CU90&gt;=50,CW90="Material",CW90="Severe",AS90="Material",AS90="Severe",BF90="Material",BF90="Severe — Exclusion Trigger",AND(ISNUMBER(BS90),BS90&lt;30)),"Yes","No")</f>
        <v/>
      </c>
      <c r="DB90" s="5">
        <f>IF(OR(CR90&gt;=6,AW90="Confirmed Violation",AX90="Confirmed Breach"),"Yes — Automatic",IF(CW90="Severe","Yes — Requires Captain Confirmation","No"))</f>
        <v/>
      </c>
      <c r="DC90" s="5" t="inlineStr">
        <is>
          <t>our climate transition plan towards our ambition to become a net-zero business by [2050]</t>
        </is>
      </c>
      <c r="DD90" s="5" t="inlineStr">
        <is>
          <t>sustainability-report-2025.pdf</t>
        </is>
      </c>
      <c r="DE90" s="5" t="n">
        <v>6</v>
      </c>
      <c r="DF90" s="5" t="n">
        <v>4</v>
      </c>
      <c r="DG90" s="5" t="n">
        <v>4</v>
      </c>
      <c r="DH90" s="5" t="inlineStr">
        <is>
          <t>PENDING</t>
        </is>
      </c>
      <c r="DI90" s="5" t="n"/>
      <c r="DJ90" s="5" t="n"/>
      <c r="DK90" s="5" t="n"/>
      <c r="DL90" s="5">
        <f>IF(OR(IFERROR(VALUE(LEFT(DF90,1)),99)&lt;=2,IFERROR(VALUE(LEFT(DG90,1)),99)&lt;=2),"Flagged","Clear")</f>
        <v/>
      </c>
      <c r="DM90" s="5">
        <f>IF(OR(DA90="Yes",DB90&lt;&gt;"No",DH90="Unverified",DL90="Flagged"),"Yes","No")</f>
        <v/>
      </c>
      <c r="DN90" s="5">
        <f t="array" ref="DN90">MIN(100,
  IF(ISNUMBER(V90), _xlfn.IFS(V90&gt;=3,25, V90=2,15, V90=1,5, TRUE,0), 0)
  + IFERROR(_xlfn.IFS(VALUE(LEFT(DF90,1))=5,25, VALUE(LEFT(DF90,1))=4,20, VALUE(LEFT(DF90,1))=3,15, VALUE(LEFT(DF90,1))=2,8, TRUE,0), 15)
  + IFERROR(_xlfn.IFS(VALUE(LEFT(DG90,1))=5,25, VALUE(LEFT(DG90,1))=4,20, VALUE(LEFT(DG90,1))=3,15, VALUE(LEFT(DG90,1))=2,8, TRUE,0), 15)
  + _xlfn.IFS(DH90="Fully Verified",25, DH90="Partially Verified",12, TRUE,0)
)</f>
        <v/>
      </c>
      <c r="DO90" s="5">
        <f t="array" ref="DO90">_xlfn.IFS(
  ISBLANK(AR90), "Insufficient Evidence",
  AND(AR90&gt;=65, AJ90="Approved"), "Strong",
  AR90&gt;=65, "Adequate",
  AR90&gt;=40, "Adequate",
  AR90&gt;=20, "Weak",
  TRUE, "Insufficient Evidence"
)</f>
        <v/>
      </c>
      <c r="DP90" s="5">
        <f t="array" ref="DP90">_xlfn.IFS(
  ISBLANK(BS90), "Insufficient Evidence",
  BS90&gt;=65, "Strong",
  BS90&gt;=40, "Adequate",
  BS90&gt;=20, "Weak",
  TRUE, "Insufficient Evidence"
)</f>
        <v/>
      </c>
      <c r="DQ90" s="5">
        <f t="array" ref="DQ90">_xlfn.IFS(
  ISBLANK(BE90), "Insufficient Evidence",
  OR(AW90="Confirmed Violation", AX90="Confirmed Breach"), "Severe — Hard Trigger",
  BE90&gt;=65, "Strong",
  BE90&gt;=40, "Adequate",
  BE90&gt;=20, "Weak",
  TRUE, "Insufficient Evidence"
)</f>
        <v/>
      </c>
      <c r="DR90" s="5">
        <f t="array" ref="DR90">_xlfn.IFS(
  ISBLANK(CU90), "Insufficient Evidence",
  CU90&lt;=20, "Low Risk",
  CU90&lt;=50, "Moderate Risk",
  CU90&lt;=75, "High Risk",
  TRUE, "Very High Risk"
)</f>
        <v/>
      </c>
      <c r="DS90" s="5">
        <f t="array" ref="DS90">_xlfn.IFS(
  ISBLANK(CE90), "Insufficient Evidence",
  AND(ISNUMBER(BW90),ISNUMBER(BV90),BW90&gt;BV90), "Overclaiming Risk",
  CE90&gt;=65, "Strong",
  CE90&gt;=40, "Adequate",
  TRUE, "Weak"
)</f>
        <v/>
      </c>
      <c r="DT90" s="5">
        <f>IF(DB90="Yes — Automatic",0,ROUND((IF(ISNUMBER(AR90),AR90,0)*0.3+IF(ISNUMBER(BS90),BS90,0)*0.2+IF(ISNUMBER(BE90),BE90,0)*0.2+IF(ISNUMBER(CE90),CE90,0)*0.15+(100-IF(ISNUMBER(CU90),CU90,50))*0.15)*IF(DN90&gt;=75,1,IF(DN90&gt;=50,0.9,IF(DN90&gt;=25,0.75,0.6))),1))</f>
        <v/>
      </c>
      <c r="DU90" s="5">
        <f t="array" ref="DU90">_xlfn.IFS(
  DV90="Upgraded to Clear", "Clear",
  DV90="Downgraded to Watchlist", "Watchlist",
  DV90="Downgraded to Exclusion", "Exclusion Risk",
  DB90="Yes — Automatic", "Exclusion Risk",
  OR(AW90="Confirmed Violation", AX90="Confirmed Breach"), "Exclusion Risk",
  OR(V90=0, ISBLANK(V90), DN90&lt;20), "Insufficient Evidence",
  AND(DT90&gt;=65, DA90="No", DB90="No"), "Clear",
  OR(DT90&gt;=40, DA90="Yes"), "Watchlist",
  TRUE, "Exclusion Risk"
)</f>
        <v/>
      </c>
      <c r="DV90" s="5" t="n"/>
      <c r="DW90" s="5">
        <f t="array" ref="DW90">_xlfn.IFS(
  DU90="Exclusion Risk", "Exclude — Hard Trigger",
  DU90="Insufficient Evidence", "Watchlist — Further Evidence Needed",
  DU90="Watchlist", "Watchlist — Further Evidence Needed",
  AND(DU90="Clear", DT90&gt;=80), "Include — No Conditions",
  DU90="Clear", "Include — Monitor",
  TRUE, "Watchlist — Further Evidence Needed"
)</f>
        <v/>
      </c>
      <c r="DX90" s="5" t="inlineStr">
        <is>
          <t>Main claim: "our climate transition plan towards our ambition to become a net-zero business by [2050]" (sustainability-report-2025.pdf, p6). SBTi: Commitment removed. 8-Test: 2 PARTIAL, 0 FAIL, 0 MISSING -&gt; PASS. Insurer climate disclosure — net-zero-business ambition with a launched transition plan, quantified targets on explicit 2019/2022 baselines, PCAF-based insurance-associated emissions, independent assurance report. One MED (assurance level).</t>
        </is>
      </c>
      <c r="DY90" s="5" t="n"/>
      <c r="DZ90" s="5" t="n"/>
      <c r="EA90" s="5" t="n"/>
      <c r="EB90" s="5">
        <f>IF(OR(V90=0, ISBLANK(V90)), "MISSING — No sources reviewed", "")</f>
        <v/>
      </c>
      <c r="EC90" s="5">
        <f>IF(AND(NOT(ISBLANK(DC90)), ISBLANK(DE90)), "PAGE REF MISSING", "")</f>
        <v/>
      </c>
    </row>
    <row r="91" ht="18" customHeight="1" s="60">
      <c r="A91" s="3" t="inlineStr">
        <is>
          <t>Sparebanken More</t>
        </is>
      </c>
      <c r="B91" s="3" t="inlineStr">
        <is>
          <t>K5X</t>
        </is>
      </c>
      <c r="C91" s="3">
        <f>IF(ISBLANK('Universe Tracker'!D66),"",'Universe Tracker'!D66)</f>
        <v/>
      </c>
      <c r="D91" s="3" t="n"/>
      <c r="E91" s="3" t="n"/>
      <c r="F91" s="3">
        <f>IF(ISBLANK('Universe Tracker'!F66),"",'Universe Tracker'!F66)</f>
        <v/>
      </c>
      <c r="G91" s="3">
        <f>IF(ISBLANK('Universe Tracker'!G66),"",'Universe Tracker'!G66)</f>
        <v/>
      </c>
      <c r="H91" s="3" t="n"/>
      <c r="I91" s="3" t="n"/>
      <c r="J91" s="3">
        <f>IF(ISBLANK(B91),"",B91&amp;"_"&amp;C91)</f>
        <v/>
      </c>
      <c r="K91" s="3" t="n"/>
      <c r="L91" s="3" t="n"/>
      <c r="M91" s="3" t="n"/>
      <c r="N91" s="3" t="n"/>
      <c r="O91" s="3" t="n"/>
      <c r="P91" s="3" t="n"/>
      <c r="Q91" s="3" t="n"/>
      <c r="R91" s="3" t="n"/>
      <c r="S91" s="3" t="n"/>
      <c r="T91" s="3" t="n"/>
      <c r="U91" s="3" t="n"/>
      <c r="V91" s="3" t="n"/>
      <c r="W91" s="3" t="n"/>
      <c r="X91" s="3" t="n"/>
      <c r="Y91" s="3">
        <f>IF(AND(V91&gt;=2,K91="Yes",L91="Yes"),"Sufficient",IF(AND(V91&gt;=1,OR(K91="Yes",L91="Yes")),"Thin","Insufficient"))</f>
        <v/>
      </c>
      <c r="Z91" s="3" t="n"/>
      <c r="AA91" s="3" t="n"/>
      <c r="AB91" s="3" t="n"/>
      <c r="AC91" s="3" t="n"/>
      <c r="AD91" s="3" t="n"/>
      <c r="AE91" s="3" t="n"/>
      <c r="AF91" s="3" t="n"/>
      <c r="AG91" s="3" t="n"/>
      <c r="AH91" s="3" t="n"/>
      <c r="AI91" s="3" t="n"/>
      <c r="AJ91" s="3" t="n"/>
      <c r="AK91" s="3" t="n"/>
      <c r="AL91" s="3" t="n"/>
      <c r="AM91" s="3" t="n"/>
      <c r="AN91" s="3" t="n"/>
      <c r="AO91" s="3" t="n"/>
      <c r="AP91" s="3" t="n"/>
      <c r="AQ91" s="3" t="n"/>
      <c r="AR91" s="40">
        <f t="array" ref="AR91">MIN(100, MAX(0,
  IFERROR(_xlfn.XLOOKUP(AJ91,'Lookup Tables'!$A$2:$A$7,'Lookup Tables'!$B$2:$B$7,0),0)
  + IF(Z91="Yes", IF(IFERROR(_xlfn.XLOOKUP(AJ91,'Lookup Tables'!$A$2:$A$7,'Lookup Tables'!$B$2:$B$7,0),0)&lt;20, 5, 0), 0)
  + _xlfn.IFS(AB91="Yes", IF(ISNUMBER(AC91)*AND(AC91&lt;=2030),15,10), AB91="Long-term Only", 5, AB91="No", 0, TRUE, 0)
  + _xlfn.IFS(AF91="Full",10, AF91="Partial",5, AF91="Scope 2 Only",3, TRUE,0)
  + _xlfn.IFS(AG91="Yes", IF(ISNUMBER(AH91)*AND(AH91&gt;=5),10,6), AG91="Partial",4, TRUE,0)
  + _xlfn.IFS(AI91="Yes",5, AI91="Partial (material categories only)",3, TRUE,0)
  + _xlfn.IFS(AL91="Yes — Detailed",10, AL91="Yes — High Level",5, TRUE,0)
  + _xlfn.IFS(AM91="Yes — Quantified",15, AM91="Yes — Directional Only",7, TRUE,0)
  + _xlfn.IFS(AP91="Formal",5, AP91="Referenced",2, TRUE,0)
  + _xlfn.IFS(AQ91="No Issues Found",5, AQ91="Concern Identified",-5, AQ91="Severe Contradiction",-15, TRUE,0)
  + _xlfn.IFS(BC91="Reasonable Assurance",5, BC91="Limited Assurance",3, TRUE,0)
  - IF(AND(Z91="Yes", AI91="No"), 10, 0)
  - IF(AND(Z91="Yes", AM91="No"), 10, 0)
))</f>
        <v/>
      </c>
      <c r="AS91" s="3" t="n"/>
      <c r="AT91" s="3" t="n"/>
      <c r="AU91" s="3" t="n"/>
      <c r="AV91" s="3" t="n"/>
      <c r="AW91" s="3" t="n"/>
      <c r="AX91" s="3" t="n"/>
      <c r="AY91" s="3" t="n"/>
      <c r="AZ91" s="3" t="n"/>
      <c r="BA91" s="3" t="n"/>
      <c r="BB91" s="3" t="n"/>
      <c r="BC91" s="3" t="n"/>
      <c r="BD91" s="3" t="n"/>
      <c r="BE91" s="40">
        <f t="array" ref="BE91">MIN(100, MAX(0,
  IFERROR(_xlfn.XLOOKUP(AT91,'Lookup Tables'!$D$2:$D$6,'Lookup Tables'!$E$2:$E$6,0),0)
  + IFERROR(_xlfn.XLOOKUP(AV91,'Lookup Tables'!$G$2:$G$5,'Lookup Tables'!$H$2:$H$5,0),0)
  + IFERROR(_xlfn.XLOOKUP(AW91,'Lookup Tables'!$J$2:$J$5,'Lookup Tables'!$K$2:$K$5,0),0)
  + _xlfn.IFS(AX91="No Issues",10, AX91="Complaint Filed",3, AX91="Confirmed Breach",-15, TRUE,0)
  + IFERROR(_xlfn.XLOOKUP(AY91,'Lookup Tables'!$M$2:$M$6,'Lookup Tables'!$N$2:$N$6,0),0)
  + IFERROR(_xlfn.XLOOKUP(AZ91,'Lookup Tables'!$P$2:$P$6,'Lookup Tables'!$Q$2:$Q$6,0),0)
  + _xlfn.IFS(BA91="Formal Board Committee",5, BA91="Board Oversight Mentioned",2, TRUE,0)
  + _xlfn.IFS(BB91="Yes — Quantified Targets",5, BB91="Yes — Discretionary Only",2, TRUE,0)
  + _xlfn.IFS(BC91="Reasonable Assurance",5, BC91="Limited Assurance",3, BC91="Management Review Only",1, TRUE,0)
))</f>
        <v/>
      </c>
      <c r="BF91" s="3" t="n"/>
      <c r="BG91" s="3" t="n"/>
      <c r="BH91" s="3" t="n"/>
      <c r="BI91" s="3" t="n"/>
      <c r="BJ91" s="3" t="n"/>
      <c r="BK91" s="3" t="n"/>
      <c r="BL91" s="3" t="n"/>
      <c r="BM91" s="3" t="n"/>
      <c r="BN91" s="3" t="n"/>
      <c r="BO91" s="3" t="n"/>
      <c r="BP91" s="3" t="n"/>
      <c r="BQ91" s="3" t="n"/>
      <c r="BR91" s="3" t="n"/>
      <c r="BS91" s="42">
        <f t="array" ref="BS91">MIN(100, MAX(0,
  IFERROR(_xlfn.XLOOKUP(BG91,'Lookup Tables'!$A$11:$A$16,'Lookup Tables'!$B$11:$B$16,0),0)
  + IFERROR(_xlfn.XLOOKUP(BR91,'Lookup Tables'!$M$11:$M$14,'Lookup Tables'!$N$11:$N$14,0),0)
  + IFERROR(_xlfn.XLOOKUP(BQ91,'Lookup Tables'!$J$11:$J$15,'Lookup Tables'!$K$11:$K$15,0),0)
  + IFERROR(_xlfn.XLOOKUP(BH91,'Lookup Tables'!$D$11:$D$15,'Lookup Tables'!$E$11:$E$15,0),0)
  + IFERROR(_xlfn.XLOOKUP(BJ91,'Lookup Tables'!$G$11:$G$16,'Lookup Tables'!$H$11:$H$16,0),0)
  + IFERROR(_xlfn.XLOOKUP(BN91,'Lookup Tables'!$P$11:$P$15,'Lookup Tables'!$Q$11:$Q$15,0),0)
  + _xlfn.IFS(BM91="No Evidence",10, BM91="Unknown",3, BM91="Likely",0, BM91="Confirmed",-10, TRUE,3)
  + IFERROR(_xlfn.XLOOKUP(BP91,'Lookup Tables'!$J$21:$J$24,'Lookup Tables'!$K$21:$K$24,0),0)
))</f>
        <v/>
      </c>
      <c r="BT91" s="3" t="n"/>
      <c r="BU91" s="3" t="n"/>
      <c r="BV91" s="3" t="n"/>
      <c r="BW91" s="3" t="n"/>
      <c r="BX91" s="3" t="n"/>
      <c r="BY91" s="3" t="n"/>
      <c r="BZ91" s="3" t="n"/>
      <c r="CA91" s="3" t="n"/>
      <c r="CB91" s="3" t="n"/>
      <c r="CC91" s="3" t="n"/>
      <c r="CD91" s="3" t="n"/>
      <c r="CE91" s="44">
        <f t="array" ref="CE91">MIN(100, MAX(0,
  IF(ISNUMBER(BV91)*AND(BV91&gt;0), 10, 0)
  + _xlfn.IFS(BY91="Independently Verified",25, BY91="Yes",15, TRUE,0)
  + IFERROR(_xlfn.XLOOKUP(BZ91,'Lookup Tables'!$A$21:$A$24,'Lookup Tables'!$B$21:$B$24,0),0)
  + IFERROR(_xlfn.XLOOKUP(CA91,'Lookup Tables'!$D$21:$D$24,'Lookup Tables'!$E$21:$E$24,0),0)
  + _xlfn.IFS(ISNUMBER(CB91)*AND(CB91&gt;=11),15, ISNUMBER(CB91)*AND(CB91&gt;=6),10, ISNUMBER(CB91)*AND(CB91&gt;=1),5, TRUE,0)
  + IFERROR(_xlfn.XLOOKUP(CC91,'Lookup Tables'!$G$21:$G$25,'Lookup Tables'!$H$21:$H$25,0),0)
  - IF(ISNUMBER(BW91)*AND(ISNUMBER(BV91))*AND(BW91&gt;BV91), 20, 0)
  - IF(AND(BY91="Yes", ISNUMBER(BW91), BW91&gt;60), 10, 0)
))</f>
        <v/>
      </c>
      <c r="CF91" s="3" t="n"/>
      <c r="CG91" s="3" t="n"/>
      <c r="CH91" s="3" t="n"/>
      <c r="CI91" s="3" t="n"/>
      <c r="CJ91" s="3" t="n"/>
      <c r="CK91" s="3" t="n"/>
      <c r="CL91" s="3" t="n"/>
      <c r="CM91" s="3" t="n"/>
      <c r="CN91" s="3" t="n"/>
      <c r="CO91" s="3" t="n"/>
      <c r="CP91" s="3" t="n"/>
      <c r="CQ91" s="3" t="n"/>
      <c r="CR91" s="3">
        <f>COUNTIF(CJ91:CQ91,"FAIL")</f>
        <v/>
      </c>
      <c r="CS91" s="3">
        <f>COUNTIF(CJ91:CQ91,"PARTIAL")</f>
        <v/>
      </c>
      <c r="CT91" s="3">
        <f>COUNTIF(CJ91:CQ91,"MISSING")</f>
        <v/>
      </c>
      <c r="CU91" s="3">
        <f>MIN(100,
  CR91*15
  + CS91*6
  + CT91*3
  + IFERROR(_xlfn.XLOOKUP(CW91,'Lookup Tables'!$M$21:$M$25,'Lookup Tables'!$N$21:$N$25,0),0)
)</f>
        <v/>
      </c>
      <c r="CV91" s="3">
        <f>IFERROR(
CHOOSE(
MATCH("FAIL",CJ91:CQ91,0),
"1-Specificity","2-Metric","3-Baseline","4-Target",
"5-Time Horizon","6-Scope","7-Verification","8-Consistency"
),
IFERROR(
CHOOSE(
MATCH("PARTIAL",CJ91:CQ91,0),
"1-Specificity","2-Metric","3-Baseline","4-Target",
"5-Time Horizon","6-Scope","7-Verification","8-Consistency"
),
"No failures"
)
)</f>
        <v/>
      </c>
      <c r="CW91" s="3" t="n"/>
      <c r="CX91" s="3" t="n"/>
      <c r="CY91" s="3" t="n"/>
      <c r="CZ91" s="3" t="n"/>
      <c r="DA91" s="3">
        <f>IF(OR(CU91&gt;=50,CW91="Material",CW91="Severe",AS91="Material",AS91="Severe",BF91="Material",BF91="Severe — Exclusion Trigger",AND(ISNUMBER(BS91),BS91&lt;30)),"Yes","No")</f>
        <v/>
      </c>
      <c r="DB91" s="3">
        <f>IF(OR(CR91&gt;=6,AW91="Confirmed Violation",AX91="Confirmed Breach"),"Yes — Automatic",IF(CW91="Severe","Yes — Requires Captain Confirmation","No"))</f>
        <v/>
      </c>
      <c r="DC91" s="3" t="n"/>
      <c r="DD91" s="3" t="n"/>
      <c r="DE91" s="3" t="n"/>
      <c r="DF91" s="3" t="n"/>
      <c r="DG91" s="3" t="n"/>
      <c r="DH91" s="3" t="n"/>
      <c r="DI91" s="3" t="n"/>
      <c r="DJ91" s="3" t="n"/>
      <c r="DK91" s="3" t="n"/>
      <c r="DL91" s="3">
        <f>IF(OR(IFERROR(VALUE(LEFT(DF91,1)),99)&lt;=2,IFERROR(VALUE(LEFT(DG91,1)),99)&lt;=2),"Flagged","Clear")</f>
        <v/>
      </c>
      <c r="DM91" s="3">
        <f>IF(OR(DA91="Yes",DB91&lt;&gt;"No",DH91="Unverified",DL91="Flagged"),"Yes","No")</f>
        <v/>
      </c>
      <c r="DN91" s="3">
        <f t="array" ref="DN91">MIN(100,
  IF(ISNUMBER(V91), _xlfn.IFS(V91&gt;=3,25, V91=2,15, V91=1,5, TRUE,0), 0)
  + IFERROR(_xlfn.IFS(VALUE(LEFT(DF91,1))=5,25, VALUE(LEFT(DF91,1))=4,20, VALUE(LEFT(DF91,1))=3,15, VALUE(LEFT(DF91,1))=2,8, TRUE,0), 15)
  + IFERROR(_xlfn.IFS(VALUE(LEFT(DG91,1))=5,25, VALUE(LEFT(DG91,1))=4,20, VALUE(LEFT(DG91,1))=3,15, VALUE(LEFT(DG91,1))=2,8, TRUE,0), 15)
  + _xlfn.IFS(DH91="Fully Verified",25, DH91="Partially Verified",12, TRUE,0)
)</f>
        <v/>
      </c>
      <c r="DO91" s="3">
        <f t="array" ref="DO91">_xlfn.IFS(
  ISBLANK(AR91), "Insufficient Evidence",
  AND(AR91&gt;=65, AJ91="Approved"), "Strong",
  AR91&gt;=65, "Adequate",
  AR91&gt;=40, "Adequate",
  AR91&gt;=20, "Weak",
  TRUE, "Insufficient Evidence"
)</f>
        <v/>
      </c>
      <c r="DP91" s="3">
        <f t="array" ref="DP91">_xlfn.IFS(
  ISBLANK(BS91), "Insufficient Evidence",
  BS91&gt;=65, "Strong",
  BS91&gt;=40, "Adequate",
  BS91&gt;=20, "Weak",
  TRUE, "Insufficient Evidence"
)</f>
        <v/>
      </c>
      <c r="DQ91" s="3">
        <f t="array" ref="DQ91">_xlfn.IFS(
  ISBLANK(BE91), "Insufficient Evidence",
  OR(AW91="Confirmed Violation", AX91="Confirmed Breach"), "Severe — Hard Trigger",
  BE91&gt;=65, "Strong",
  BE91&gt;=40, "Adequate",
  BE91&gt;=20, "Weak",
  TRUE, "Insufficient Evidence"
)</f>
        <v/>
      </c>
      <c r="DR91" s="3">
        <f t="array" ref="DR91">_xlfn.IFS(
  ISBLANK(CU91), "Insufficient Evidence",
  CU91&lt;=20, "Low Risk",
  CU91&lt;=50, "Moderate Risk",
  CU91&lt;=75, "High Risk",
  TRUE, "Very High Risk"
)</f>
        <v/>
      </c>
      <c r="DS91" s="3">
        <f t="array" ref="DS91">_xlfn.IFS(
  ISBLANK(CE91), "Insufficient Evidence",
  AND(ISNUMBER(BW91),ISNUMBER(BV91),BW91&gt;BV91), "Overclaiming Risk",
  CE91&gt;=65, "Strong",
  CE91&gt;=40, "Adequate",
  TRUE, "Weak"
)</f>
        <v/>
      </c>
      <c r="DT91" s="3">
        <f>IF(DB91="Yes — Automatic",0,ROUND((IF(ISNUMBER(AR91),AR91,0)*0.3+IF(ISNUMBER(BS91),BS91,0)*0.2+IF(ISNUMBER(BE91),BE91,0)*0.2+IF(ISNUMBER(CE91),CE91,0)*0.15+(100-IF(ISNUMBER(CU91),CU91,50))*0.15)*IF(DN91&gt;=75,1,IF(DN91&gt;=50,0.9,IF(DN91&gt;=25,0.75,0.6))),1))</f>
        <v/>
      </c>
      <c r="DU91" s="3">
        <f t="array" ref="DU91">_xlfn.IFS(
  DV91="Upgraded to Clear", "Clear",
  DV91="Downgraded to Watchlist", "Watchlist",
  DV91="Downgraded to Exclusion", "Exclusion Risk",
  DB91="Yes — Automatic", "Exclusion Risk",
  OR(AW91="Confirmed Violation", AX91="Confirmed Breach"), "Exclusion Risk",
  OR(V91=0, ISBLANK(V91), DN91&lt;20), "Insufficient Evidence",
  AND(DT91&gt;=65, DA91="No", DB91="No"), "Clear",
  OR(DT91&gt;=40, DA91="Yes"), "Watchlist",
  TRUE, "Exclusion Risk"
)</f>
        <v/>
      </c>
      <c r="DV91" s="3" t="n"/>
      <c r="DW91" s="3">
        <f t="array" ref="DW91">_xlfn.IFS(
  DU91="Exclusion Risk", "Exclude — Hard Trigger",
  DU91="Insufficient Evidence", "Watchlist — Further Evidence Needed",
  DU91="Watchlist", "Watchlist — Further Evidence Needed",
  AND(DU91="Clear", DT91&gt;=80), "Include — No Conditions",
  DU91="Clear", "Include — Monitor",
  TRUE, "Watchlist — Further Evidence Needed"
)</f>
        <v/>
      </c>
      <c r="DX91" s="3" t="n"/>
      <c r="DY91" s="3" t="n"/>
      <c r="DZ91" s="3" t="n"/>
      <c r="EA91" s="3" t="n"/>
      <c r="EB91" s="3">
        <f>IF(OR(V91=0, ISBLANK(V91)), "MISSING — No sources reviewed", "")</f>
        <v/>
      </c>
      <c r="EC91" s="3">
        <f>IF(AND(NOT(ISBLANK(DC91)), ISBLANK(DE91)), "PAGE REF MISSING", "")</f>
        <v/>
      </c>
    </row>
    <row r="92" ht="18" customHeight="1" s="60">
      <c r="A92" s="5" t="inlineStr">
        <is>
          <t>Elia Group SA/NV</t>
        </is>
      </c>
      <c r="B92" s="5" t="inlineStr">
        <is>
          <t>E4S</t>
        </is>
      </c>
      <c r="C92" s="5">
        <f>IF(ISBLANK('Universe Tracker'!D67),"",'Universe Tracker'!D67)</f>
        <v/>
      </c>
      <c r="D92" s="5" t="n"/>
      <c r="E92" s="5" t="n"/>
      <c r="F92" s="5">
        <f>IF(ISBLANK('Universe Tracker'!F67),"",'Universe Tracker'!F67)</f>
        <v/>
      </c>
      <c r="G92" s="5">
        <f>IF(ISBLANK('Universe Tracker'!G67),"",'Universe Tracker'!G67)</f>
        <v/>
      </c>
      <c r="H92" s="5" t="n"/>
      <c r="I92" s="5" t="n"/>
      <c r="J92" s="5">
        <f>IF(ISBLANK(B92),"",B92&amp;"_"&amp;C92)</f>
        <v/>
      </c>
      <c r="K92" s="5" t="n"/>
      <c r="L92" s="5" t="n"/>
      <c r="M92" s="5" t="n"/>
      <c r="N92" s="5" t="n"/>
      <c r="O92" s="5" t="n"/>
      <c r="P92" s="5" t="n"/>
      <c r="Q92" s="5" t="n"/>
      <c r="R92" s="5" t="n"/>
      <c r="S92" s="5" t="n"/>
      <c r="T92" s="5" t="n"/>
      <c r="U92" s="5" t="n"/>
      <c r="V92" s="5" t="n"/>
      <c r="W92" s="5" t="n"/>
      <c r="X92" s="5" t="n"/>
      <c r="Y92" s="5">
        <f>IF(AND(V92&gt;=2,K92="Yes",L92="Yes"),"Sufficient",IF(AND(V92&gt;=1,OR(K92="Yes",L92="Yes")),"Thin","Insufficient"))</f>
        <v/>
      </c>
      <c r="Z92" s="5" t="n"/>
      <c r="AA92" s="5" t="n"/>
      <c r="AB92" s="5" t="n"/>
      <c r="AC92" s="5" t="n"/>
      <c r="AD92" s="5" t="n"/>
      <c r="AE92" s="5" t="n"/>
      <c r="AF92" s="5" t="n"/>
      <c r="AG92" s="5" t="n"/>
      <c r="AH92" s="5" t="n"/>
      <c r="AI92" s="5" t="n"/>
      <c r="AJ92" s="5" t="n"/>
      <c r="AK92" s="5" t="n"/>
      <c r="AL92" s="5" t="n"/>
      <c r="AM92" s="5" t="n"/>
      <c r="AN92" s="5" t="n"/>
      <c r="AO92" s="5" t="n"/>
      <c r="AP92" s="5" t="n"/>
      <c r="AQ92" s="5" t="n"/>
      <c r="AR92" s="40">
        <f t="array" ref="AR92">MIN(100, MAX(0,
  IFERROR(_xlfn.XLOOKUP(AJ92,'Lookup Tables'!$A$2:$A$7,'Lookup Tables'!$B$2:$B$7,0),0)
  + IF(Z92="Yes", IF(IFERROR(_xlfn.XLOOKUP(AJ92,'Lookup Tables'!$A$2:$A$7,'Lookup Tables'!$B$2:$B$7,0),0)&lt;20, 5, 0), 0)
  + _xlfn.IFS(AB92="Yes", IF(ISNUMBER(AC92)*AND(AC92&lt;=2030),15,10), AB92="Long-term Only", 5, AB92="No", 0, TRUE, 0)
  + _xlfn.IFS(AF92="Full",10, AF92="Partial",5, AF92="Scope 2 Only",3, TRUE,0)
  + _xlfn.IFS(AG92="Yes", IF(ISNUMBER(AH92)*AND(AH92&gt;=5),10,6), AG92="Partial",4, TRUE,0)
  + _xlfn.IFS(AI92="Yes",5, AI92="Partial (material categories only)",3, TRUE,0)
  + _xlfn.IFS(AL92="Yes — Detailed",10, AL92="Yes — High Level",5, TRUE,0)
  + _xlfn.IFS(AM92="Yes — Quantified",15, AM92="Yes — Directional Only",7, TRUE,0)
  + _xlfn.IFS(AP92="Formal",5, AP92="Referenced",2, TRUE,0)
  + _xlfn.IFS(AQ92="No Issues Found",5, AQ92="Concern Identified",-5, AQ92="Severe Contradiction",-15, TRUE,0)
  + _xlfn.IFS(BC92="Reasonable Assurance",5, BC92="Limited Assurance",3, TRUE,0)
  - IF(AND(Z92="Yes", AI92="No"), 10, 0)
  - IF(AND(Z92="Yes", AM92="No"), 10, 0)
))</f>
        <v/>
      </c>
      <c r="AS92" s="5" t="n"/>
      <c r="AT92" s="5" t="n"/>
      <c r="AU92" s="5" t="n"/>
      <c r="AV92" s="5" t="n"/>
      <c r="AW92" s="5" t="n"/>
      <c r="AX92" s="5" t="n"/>
      <c r="AY92" s="5" t="n"/>
      <c r="AZ92" s="5" t="n"/>
      <c r="BA92" s="5" t="n"/>
      <c r="BB92" s="5" t="n"/>
      <c r="BC92" s="5" t="n"/>
      <c r="BD92" s="5" t="n"/>
      <c r="BE92" s="39">
        <f t="array" ref="BE92">MIN(100, MAX(0,
  IFERROR(_xlfn.XLOOKUP(AT92,'Lookup Tables'!$D$2:$D$6,'Lookup Tables'!$E$2:$E$6,0),0)
  + IFERROR(_xlfn.XLOOKUP(AV92,'Lookup Tables'!$G$2:$G$5,'Lookup Tables'!$H$2:$H$5,0),0)
  + IFERROR(_xlfn.XLOOKUP(AW92,'Lookup Tables'!$J$2:$J$5,'Lookup Tables'!$K$2:$K$5,0),0)
  + _xlfn.IFS(AX92="No Issues",10, AX92="Complaint Filed",3, AX92="Confirmed Breach",-15, TRUE,0)
  + IFERROR(_xlfn.XLOOKUP(AY92,'Lookup Tables'!$M$2:$M$6,'Lookup Tables'!$N$2:$N$6,0),0)
  + IFERROR(_xlfn.XLOOKUP(AZ92,'Lookup Tables'!$P$2:$P$6,'Lookup Tables'!$Q$2:$Q$6,0),0)
  + _xlfn.IFS(BA92="Formal Board Committee",5, BA92="Board Oversight Mentioned",2, TRUE,0)
  + _xlfn.IFS(BB92="Yes — Quantified Targets",5, BB92="Yes — Discretionary Only",2, TRUE,0)
  + _xlfn.IFS(BC92="Reasonable Assurance",5, BC92="Limited Assurance",3, BC92="Management Review Only",1, TRUE,0)
))</f>
        <v/>
      </c>
      <c r="BF92" s="5" t="n"/>
      <c r="BG92" s="5" t="n"/>
      <c r="BH92" s="5" t="n"/>
      <c r="BI92" s="5" t="n"/>
      <c r="BJ92" s="5" t="n"/>
      <c r="BK92" s="5" t="n"/>
      <c r="BL92" s="5" t="n"/>
      <c r="BM92" s="5" t="n"/>
      <c r="BN92" s="5" t="n"/>
      <c r="BO92" s="5" t="n"/>
      <c r="BP92" s="5" t="n"/>
      <c r="BQ92" s="5" t="n"/>
      <c r="BR92" s="5" t="n"/>
      <c r="BS92" s="41">
        <f t="array" ref="BS92">MIN(100, MAX(0,
  IFERROR(_xlfn.XLOOKUP(BG92,'Lookup Tables'!$A$11:$A$16,'Lookup Tables'!$B$11:$B$16,0),0)
  + IFERROR(_xlfn.XLOOKUP(BR92,'Lookup Tables'!$M$11:$M$14,'Lookup Tables'!$N$11:$N$14,0),0)
  + IFERROR(_xlfn.XLOOKUP(BQ92,'Lookup Tables'!$J$11:$J$15,'Lookup Tables'!$K$11:$K$15,0),0)
  + IFERROR(_xlfn.XLOOKUP(BH92,'Lookup Tables'!$D$11:$D$15,'Lookup Tables'!$E$11:$E$15,0),0)
  + IFERROR(_xlfn.XLOOKUP(BJ92,'Lookup Tables'!$G$11:$G$16,'Lookup Tables'!$H$11:$H$16,0),0)
  + IFERROR(_xlfn.XLOOKUP(BN92,'Lookup Tables'!$P$11:$P$15,'Lookup Tables'!$Q$11:$Q$15,0),0)
  + _xlfn.IFS(BM92="No Evidence",10, BM92="Unknown",3, BM92="Likely",0, BM92="Confirmed",-10, TRUE,3)
  + IFERROR(_xlfn.XLOOKUP(BP92,'Lookup Tables'!$J$21:$J$24,'Lookup Tables'!$K$21:$K$24,0),0)
))</f>
        <v/>
      </c>
      <c r="BT92" s="5" t="n"/>
      <c r="BU92" s="5" t="n"/>
      <c r="BV92" s="5" t="n"/>
      <c r="BW92" s="5" t="n"/>
      <c r="BX92" s="5" t="n"/>
      <c r="BY92" s="5" t="n"/>
      <c r="BZ92" s="5" t="n"/>
      <c r="CA92" s="5" t="n"/>
      <c r="CB92" s="5" t="n"/>
      <c r="CC92" s="5" t="n"/>
      <c r="CD92" s="5" t="n"/>
      <c r="CE92" s="43">
        <f t="array" ref="CE92">MIN(100, MAX(0,
  IF(ISNUMBER(BV92)*AND(BV92&gt;0), 10, 0)
  + _xlfn.IFS(BY92="Independently Verified",25, BY92="Yes",15, TRUE,0)
  + IFERROR(_xlfn.XLOOKUP(BZ92,'Lookup Tables'!$A$21:$A$24,'Lookup Tables'!$B$21:$B$24,0),0)
  + IFERROR(_xlfn.XLOOKUP(CA92,'Lookup Tables'!$D$21:$D$24,'Lookup Tables'!$E$21:$E$24,0),0)
  + _xlfn.IFS(ISNUMBER(CB92)*AND(CB92&gt;=11),15, ISNUMBER(CB92)*AND(CB92&gt;=6),10, ISNUMBER(CB92)*AND(CB92&gt;=1),5, TRUE,0)
  + IFERROR(_xlfn.XLOOKUP(CC92,'Lookup Tables'!$G$21:$G$25,'Lookup Tables'!$H$21:$H$25,0),0)
  - IF(ISNUMBER(BW92)*AND(ISNUMBER(BV92))*AND(BW92&gt;BV92), 20, 0)
  - IF(AND(BY92="Yes", ISNUMBER(BW92), BW92&gt;60), 10, 0)
))</f>
        <v/>
      </c>
      <c r="CF92" s="5" t="n"/>
      <c r="CG92" s="5" t="n"/>
      <c r="CH92" s="5" t="n"/>
      <c r="CI92" s="5" t="n"/>
      <c r="CJ92" s="5" t="n"/>
      <c r="CK92" s="5" t="n"/>
      <c r="CL92" s="5" t="n"/>
      <c r="CM92" s="5" t="n"/>
      <c r="CN92" s="5" t="n"/>
      <c r="CO92" s="5" t="n"/>
      <c r="CP92" s="5" t="n"/>
      <c r="CQ92" s="5" t="n"/>
      <c r="CR92" s="5">
        <f>COUNTIF(CJ92:CQ92,"FAIL")</f>
        <v/>
      </c>
      <c r="CS92" s="5">
        <f>COUNTIF(CJ92:CQ92,"PARTIAL")</f>
        <v/>
      </c>
      <c r="CT92" s="5">
        <f>COUNTIF(CJ92:CQ92,"MISSING")</f>
        <v/>
      </c>
      <c r="CU92" s="5">
        <f>MIN(100,
  CR92*15
  + CS92*6
  + CT92*3
  + IFERROR(_xlfn.XLOOKUP(CW92,'Lookup Tables'!$M$21:$M$25,'Lookup Tables'!$N$21:$N$25,0),0)
)</f>
        <v/>
      </c>
      <c r="CV92" s="5">
        <f>IFERROR(
CHOOSE(
MATCH("FAIL",CJ92:CQ92,0),
"1-Specificity","2-Metric","3-Baseline","4-Target",
"5-Time Horizon","6-Scope","7-Verification","8-Consistency"
),
IFERROR(
CHOOSE(
MATCH("PARTIAL",CJ92:CQ92,0),
"1-Specificity","2-Metric","3-Baseline","4-Target",
"5-Time Horizon","6-Scope","7-Verification","8-Consistency"
),
"No failures"
)
)</f>
        <v/>
      </c>
      <c r="CW92" s="5" t="n"/>
      <c r="CX92" s="5" t="n"/>
      <c r="CY92" s="5" t="n"/>
      <c r="CZ92" s="5" t="n"/>
      <c r="DA92" s="5">
        <f>IF(OR(CU92&gt;=50,CW92="Material",CW92="Severe",AS92="Material",AS92="Severe",BF92="Material",BF92="Severe — Exclusion Trigger",AND(ISNUMBER(BS92),BS92&lt;30)),"Yes","No")</f>
        <v/>
      </c>
      <c r="DB92" s="5">
        <f>IF(OR(CR92&gt;=6,AW92="Confirmed Violation",AX92="Confirmed Breach"),"Yes — Automatic",IF(CW92="Severe","Yes — Requires Captain Confirmation","No"))</f>
        <v/>
      </c>
      <c r="DC92" s="5" t="n"/>
      <c r="DD92" s="5" t="n"/>
      <c r="DE92" s="5" t="n"/>
      <c r="DF92" s="5" t="n"/>
      <c r="DG92" s="5" t="n"/>
      <c r="DH92" s="5" t="n"/>
      <c r="DI92" s="5" t="n"/>
      <c r="DJ92" s="5" t="n"/>
      <c r="DK92" s="5" t="n"/>
      <c r="DL92" s="5">
        <f>IF(OR(IFERROR(VALUE(LEFT(DF92,1)),99)&lt;=2,IFERROR(VALUE(LEFT(DG92,1)),99)&lt;=2),"Flagged","Clear")</f>
        <v/>
      </c>
      <c r="DM92" s="5">
        <f>IF(OR(DA92="Yes",DB92&lt;&gt;"No",DH92="Unverified",DL92="Flagged"),"Yes","No")</f>
        <v/>
      </c>
      <c r="DN92" s="5">
        <f t="array" ref="DN92">MIN(100,
  IF(ISNUMBER(V92), _xlfn.IFS(V92&gt;=3,25, V92=2,15, V92=1,5, TRUE,0), 0)
  + IFERROR(_xlfn.IFS(VALUE(LEFT(DF92,1))=5,25, VALUE(LEFT(DF92,1))=4,20, VALUE(LEFT(DF92,1))=3,15, VALUE(LEFT(DF92,1))=2,8, TRUE,0), 15)
  + IFERROR(_xlfn.IFS(VALUE(LEFT(DG92,1))=5,25, VALUE(LEFT(DG92,1))=4,20, VALUE(LEFT(DG92,1))=3,15, VALUE(LEFT(DG92,1))=2,8, TRUE,0), 15)
  + _xlfn.IFS(DH92="Fully Verified",25, DH92="Partially Verified",12, TRUE,0)
)</f>
        <v/>
      </c>
      <c r="DO92" s="5">
        <f t="array" ref="DO92">_xlfn.IFS(
  ISBLANK(AR92), "Insufficient Evidence",
  AND(AR92&gt;=65, AJ92="Approved"), "Strong",
  AR92&gt;=65, "Adequate",
  AR92&gt;=40, "Adequate",
  AR92&gt;=20, "Weak",
  TRUE, "Insufficient Evidence"
)</f>
        <v/>
      </c>
      <c r="DP92" s="5">
        <f t="array" ref="DP92">_xlfn.IFS(
  ISBLANK(BS92), "Insufficient Evidence",
  BS92&gt;=65, "Strong",
  BS92&gt;=40, "Adequate",
  BS92&gt;=20, "Weak",
  TRUE, "Insufficient Evidence"
)</f>
        <v/>
      </c>
      <c r="DQ92" s="5">
        <f t="array" ref="DQ92">_xlfn.IFS(
  ISBLANK(BE92), "Insufficient Evidence",
  OR(AW92="Confirmed Violation", AX92="Confirmed Breach"), "Severe — Hard Trigger",
  BE92&gt;=65, "Strong",
  BE92&gt;=40, "Adequate",
  BE92&gt;=20, "Weak",
  TRUE, "Insufficient Evidence"
)</f>
        <v/>
      </c>
      <c r="DR92" s="5">
        <f t="array" ref="DR92">_xlfn.IFS(
  ISBLANK(CU92), "Insufficient Evidence",
  CU92&lt;=20, "Low Risk",
  CU92&lt;=50, "Moderate Risk",
  CU92&lt;=75, "High Risk",
  TRUE, "Very High Risk"
)</f>
        <v/>
      </c>
      <c r="DS92" s="5">
        <f t="array" ref="DS92">_xlfn.IFS(
  ISBLANK(CE92), "Insufficient Evidence",
  AND(ISNUMBER(BW92),ISNUMBER(BV92),BW92&gt;BV92), "Overclaiming Risk",
  CE92&gt;=65, "Strong",
  CE92&gt;=40, "Adequate",
  TRUE, "Weak"
)</f>
        <v/>
      </c>
      <c r="DT92" s="5">
        <f>IF(DB92="Yes — Automatic",0,ROUND((IF(ISNUMBER(AR92),AR92,0)*0.3+IF(ISNUMBER(BS92),BS92,0)*0.2+IF(ISNUMBER(BE92),BE92,0)*0.2+IF(ISNUMBER(CE92),CE92,0)*0.15+(100-IF(ISNUMBER(CU92),CU92,50))*0.15)*IF(DN92&gt;=75,1,IF(DN92&gt;=50,0.9,IF(DN92&gt;=25,0.75,0.6))),1))</f>
        <v/>
      </c>
      <c r="DU92" s="5">
        <f t="array" ref="DU92">_xlfn.IFS(
  DV92="Upgraded to Clear", "Clear",
  DV92="Downgraded to Watchlist", "Watchlist",
  DV92="Downgraded to Exclusion", "Exclusion Risk",
  DB92="Yes — Automatic", "Exclusion Risk",
  OR(AW92="Confirmed Violation", AX92="Confirmed Breach"), "Exclusion Risk",
  OR(V92=0, ISBLANK(V92), DN92&lt;20), "Insufficient Evidence",
  AND(DT92&gt;=65, DA92="No", DB92="No"), "Clear",
  OR(DT92&gt;=40, DA92="Yes"), "Watchlist",
  TRUE, "Exclusion Risk"
)</f>
        <v/>
      </c>
      <c r="DV92" s="5" t="n"/>
      <c r="DW92" s="5">
        <f t="array" ref="DW92">_xlfn.IFS(
  DU92="Exclusion Risk", "Exclude — Hard Trigger",
  DU92="Insufficient Evidence", "Watchlist — Further Evidence Needed",
  DU92="Watchlist", "Watchlist — Further Evidence Needed",
  AND(DU92="Clear", DT92&gt;=80), "Include — No Conditions",
  DU92="Clear", "Include — Monitor",
  TRUE, "Watchlist — Further Evidence Needed"
)</f>
        <v/>
      </c>
      <c r="DX92" s="5" t="n"/>
      <c r="DY92" s="5" t="n"/>
      <c r="DZ92" s="5" t="n"/>
      <c r="EA92" s="5" t="n"/>
      <c r="EB92" s="5">
        <f>IF(OR(V92=0, ISBLANK(V92)), "MISSING — No sources reviewed", "")</f>
        <v/>
      </c>
      <c r="EC92" s="5">
        <f>IF(AND(NOT(ISBLANK(DC92)), ISBLANK(DE92)), "PAGE REF MISSING", "")</f>
        <v/>
      </c>
    </row>
    <row r="93" ht="18" customHeight="1" s="60">
      <c r="A93" s="3" t="inlineStr">
        <is>
          <t>Swedish Orphan Biovitrum AB</t>
        </is>
      </c>
      <c r="B93" s="3" t="inlineStr">
        <is>
          <t>B6E</t>
        </is>
      </c>
      <c r="C93" s="3" t="inlineStr">
        <is>
          <t>SE0000872095</t>
        </is>
      </c>
      <c r="D93" s="3" t="n"/>
      <c r="E93" s="3" t="n"/>
      <c r="F93" s="3">
        <f>IF(ISBLANK('Universe Tracker'!F68),"",'Universe Tracker'!F68)</f>
        <v/>
      </c>
      <c r="G93" s="3">
        <f>IF(ISBLANK('Universe Tracker'!G68),"",'Universe Tracker'!G68)</f>
        <v/>
      </c>
      <c r="H93" s="3" t="n"/>
      <c r="I93" s="3" t="n"/>
      <c r="J93" s="3">
        <f>IF(ISBLANK(B93),"",B93&amp;"_"&amp;C93)</f>
        <v/>
      </c>
      <c r="K93" s="3" t="n"/>
      <c r="L93" s="3" t="n"/>
      <c r="M93" s="3" t="n"/>
      <c r="N93" s="3" t="n"/>
      <c r="O93" s="3" t="inlineStr">
        <is>
          <t>Yes</t>
        </is>
      </c>
      <c r="P93" s="3" t="inlineStr">
        <is>
          <t>Yes</t>
        </is>
      </c>
      <c r="Q93" s="3" t="n"/>
      <c r="R93" s="3" t="n"/>
      <c r="S93" s="3" t="n"/>
      <c r="T93" s="3" t="n"/>
      <c r="U93" s="3" t="n"/>
      <c r="V93" s="3" t="n"/>
      <c r="W93" s="3" t="n"/>
      <c r="X93" s="3" t="n"/>
      <c r="Y93" s="3">
        <f>IF(AND(V93&gt;=2,K93="Yes",L93="Yes"),"Sufficient",IF(AND(V93&gt;=1,OR(K93="Yes",L93="Yes")),"Thin","Insufficient"))</f>
        <v/>
      </c>
      <c r="Z93" s="3" t="n"/>
      <c r="AA93" s="3" t="n"/>
      <c r="AB93" s="3" t="n"/>
      <c r="AC93" s="3" t="n"/>
      <c r="AD93" s="3" t="n"/>
      <c r="AE93" s="3" t="n"/>
      <c r="AF93" s="3" t="n"/>
      <c r="AG93" s="3" t="n"/>
      <c r="AH93" s="3" t="n"/>
      <c r="AI93" s="3" t="n"/>
      <c r="AJ93" s="3" t="inlineStr">
        <is>
          <t>Targets set (1.5°C)</t>
        </is>
      </c>
      <c r="AK93" s="3" t="inlineStr">
        <is>
          <t>FY2029</t>
        </is>
      </c>
      <c r="AL93" s="3" t="n"/>
      <c r="AM93" s="3" t="n"/>
      <c r="AN93" s="3" t="n"/>
      <c r="AO93" s="3" t="n"/>
      <c r="AP93" s="3" t="n"/>
      <c r="AQ93" s="3" t="n"/>
      <c r="AR93" s="40">
        <f t="array" ref="AR93">MIN(100, MAX(0,
  IFERROR(_xlfn.XLOOKUP(AJ93,'Lookup Tables'!$A$2:$A$7,'Lookup Tables'!$B$2:$B$7,0),0)
  + IF(Z93="Yes", IF(IFERROR(_xlfn.XLOOKUP(AJ93,'Lookup Tables'!$A$2:$A$7,'Lookup Tables'!$B$2:$B$7,0),0)&lt;20, 5, 0), 0)
  + _xlfn.IFS(AB93="Yes", IF(ISNUMBER(AC93)*AND(AC93&lt;=2030),15,10), AB93="Long-term Only", 5, AB93="No", 0, TRUE, 0)
  + _xlfn.IFS(AF93="Full",10, AF93="Partial",5, AF93="Scope 2 Only",3, TRUE,0)
  + _xlfn.IFS(AG93="Yes", IF(ISNUMBER(AH93)*AND(AH93&gt;=5),10,6), AG93="Partial",4, TRUE,0)
  + _xlfn.IFS(AI93="Yes",5, AI93="Partial (material categories only)",3, TRUE,0)
  + _xlfn.IFS(AL93="Yes — Detailed",10, AL93="Yes — High Level",5, TRUE,0)
  + _xlfn.IFS(AM93="Yes — Quantified",15, AM93="Yes — Directional Only",7, TRUE,0)
  + _xlfn.IFS(AP93="Formal",5, AP93="Referenced",2, TRUE,0)
  + _xlfn.IFS(AQ93="No Issues Found",5, AQ93="Concern Identified",-5, AQ93="Severe Contradiction",-15, TRUE,0)
  + _xlfn.IFS(BC93="Reasonable Assurance",5, BC93="Limited Assurance",3, TRUE,0)
  - IF(AND(Z93="Yes", AI93="No"), 10, 0)
  - IF(AND(Z93="Yes", AM93="No"), 10, 0)
))</f>
        <v/>
      </c>
      <c r="AS93" s="3" t="n"/>
      <c r="AT93" s="3" t="n"/>
      <c r="AU93" s="3" t="n"/>
      <c r="AV93" s="3" t="n"/>
      <c r="AW93" s="3" t="n"/>
      <c r="AX93" s="3" t="n"/>
      <c r="AY93" s="3" t="n"/>
      <c r="AZ93" s="3" t="n"/>
      <c r="BA93" s="3" t="n"/>
      <c r="BB93" s="3" t="n"/>
      <c r="BC93" s="3" t="n"/>
      <c r="BD93" s="3" t="n"/>
      <c r="BE93" s="40">
        <f t="array" ref="BE93">MIN(100, MAX(0,
  IFERROR(_xlfn.XLOOKUP(AT93,'Lookup Tables'!$D$2:$D$6,'Lookup Tables'!$E$2:$E$6,0),0)
  + IFERROR(_xlfn.XLOOKUP(AV93,'Lookup Tables'!$G$2:$G$5,'Lookup Tables'!$H$2:$H$5,0),0)
  + IFERROR(_xlfn.XLOOKUP(AW93,'Lookup Tables'!$J$2:$J$5,'Lookup Tables'!$K$2:$K$5,0),0)
  + _xlfn.IFS(AX93="No Issues",10, AX93="Complaint Filed",3, AX93="Confirmed Breach",-15, TRUE,0)
  + IFERROR(_xlfn.XLOOKUP(AY93,'Lookup Tables'!$M$2:$M$6,'Lookup Tables'!$N$2:$N$6,0),0)
  + IFERROR(_xlfn.XLOOKUP(AZ93,'Lookup Tables'!$P$2:$P$6,'Lookup Tables'!$Q$2:$Q$6,0),0)
  + _xlfn.IFS(BA93="Formal Board Committee",5, BA93="Board Oversight Mentioned",2, TRUE,0)
  + _xlfn.IFS(BB93="Yes — Quantified Targets",5, BB93="Yes — Discretionary Only",2, TRUE,0)
  + _xlfn.IFS(BC93="Reasonable Assurance",5, BC93="Limited Assurance",3, BC93="Management Review Only",1, TRUE,0)
))</f>
        <v/>
      </c>
      <c r="BF93" s="3" t="n"/>
      <c r="BG93" s="3" t="n"/>
      <c r="BH93" s="3" t="n"/>
      <c r="BI93" s="3" t="n"/>
      <c r="BJ93" s="3" t="n"/>
      <c r="BK93" s="3" t="n"/>
      <c r="BL93" s="3" t="n"/>
      <c r="BM93" s="3" t="n"/>
      <c r="BN93" s="3" t="n"/>
      <c r="BO93" s="3" t="n"/>
      <c r="BP93" s="3" t="n"/>
      <c r="BQ93" s="3" t="n"/>
      <c r="BR93" s="3" t="n"/>
      <c r="BS93" s="42">
        <f t="array" ref="BS93">MIN(100, MAX(0,
  IFERROR(_xlfn.XLOOKUP(BG93,'Lookup Tables'!$A$11:$A$16,'Lookup Tables'!$B$11:$B$16,0),0)
  + IFERROR(_xlfn.XLOOKUP(BR93,'Lookup Tables'!$M$11:$M$14,'Lookup Tables'!$N$11:$N$14,0),0)
  + IFERROR(_xlfn.XLOOKUP(BQ93,'Lookup Tables'!$J$11:$J$15,'Lookup Tables'!$K$11:$K$15,0),0)
  + IFERROR(_xlfn.XLOOKUP(BH93,'Lookup Tables'!$D$11:$D$15,'Lookup Tables'!$E$11:$E$15,0),0)
  + IFERROR(_xlfn.XLOOKUP(BJ93,'Lookup Tables'!$G$11:$G$16,'Lookup Tables'!$H$11:$H$16,0),0)
  + IFERROR(_xlfn.XLOOKUP(BN93,'Lookup Tables'!$P$11:$P$15,'Lookup Tables'!$Q$11:$Q$15,0),0)
  + _xlfn.IFS(BM93="No Evidence",10, BM93="Unknown",3, BM93="Likely",0, BM93="Confirmed",-10, TRUE,3)
  + IFERROR(_xlfn.XLOOKUP(BP93,'Lookup Tables'!$J$21:$J$24,'Lookup Tables'!$K$21:$K$24,0),0)
))</f>
        <v/>
      </c>
      <c r="BT93" s="3" t="n"/>
      <c r="BU93" s="3" t="n"/>
      <c r="BV93" s="3" t="n"/>
      <c r="BW93" s="3" t="n"/>
      <c r="BX93" s="3" t="n"/>
      <c r="BY93" s="3" t="n"/>
      <c r="BZ93" s="3" t="n"/>
      <c r="CA93" s="3" t="n"/>
      <c r="CB93" s="3" t="n"/>
      <c r="CC93" s="3" t="n"/>
      <c r="CD93" s="3" t="n"/>
      <c r="CE93" s="44">
        <f t="array" ref="CE93">MIN(100, MAX(0,
  IF(ISNUMBER(BV93)*AND(BV93&gt;0), 10, 0)
  + _xlfn.IFS(BY93="Independently Verified",25, BY93="Yes",15, TRUE,0)
  + IFERROR(_xlfn.XLOOKUP(BZ93,'Lookup Tables'!$A$21:$A$24,'Lookup Tables'!$B$21:$B$24,0),0)
  + IFERROR(_xlfn.XLOOKUP(CA93,'Lookup Tables'!$D$21:$D$24,'Lookup Tables'!$E$21:$E$24,0),0)
  + _xlfn.IFS(ISNUMBER(CB93)*AND(CB93&gt;=11),15, ISNUMBER(CB93)*AND(CB93&gt;=6),10, ISNUMBER(CB93)*AND(CB93&gt;=1),5, TRUE,0)
  + IFERROR(_xlfn.XLOOKUP(CC93,'Lookup Tables'!$G$21:$G$25,'Lookup Tables'!$H$21:$H$25,0),0)
  - IF(ISNUMBER(BW93)*AND(ISNUMBER(BV93))*AND(BW93&gt;BV93), 20, 0)
  - IF(AND(BY93="Yes", ISNUMBER(BW93), BW93&gt;60), 10, 0)
))</f>
        <v/>
      </c>
      <c r="CF93" s="3" t="n"/>
      <c r="CG93" s="3" t="inlineStr">
        <is>
          <t>Net zero 2050 (long-term)</t>
        </is>
      </c>
      <c r="CH93" s="3" t="inlineStr">
        <is>
          <t>202603260876-1.pdf</t>
        </is>
      </c>
      <c r="CI93" s="3" t="n">
        <v>54</v>
      </c>
      <c r="CJ93" s="3" t="inlineStr">
        <is>
          <t>PASS</t>
        </is>
      </c>
      <c r="CK93" s="3" t="inlineStr">
        <is>
          <t>PASS</t>
        </is>
      </c>
      <c r="CL93" s="3" t="inlineStr">
        <is>
          <t>PASS</t>
        </is>
      </c>
      <c r="CM93" s="3" t="inlineStr">
        <is>
          <t>PASS</t>
        </is>
      </c>
      <c r="CN93" s="3" t="inlineStr">
        <is>
          <t>PASS</t>
        </is>
      </c>
      <c r="CO93" s="3" t="inlineStr">
        <is>
          <t>PASS</t>
        </is>
      </c>
      <c r="CP93" s="3" t="inlineStr">
        <is>
          <t>PASS</t>
        </is>
      </c>
      <c r="CQ93" s="3" t="inlineStr">
        <is>
          <t>PASS</t>
        </is>
      </c>
      <c r="CR93" s="3">
        <f>COUNTIF(CJ93:CQ93,"FAIL")</f>
        <v/>
      </c>
      <c r="CS93" s="3">
        <f>COUNTIF(CJ93:CQ93,"PARTIAL")</f>
        <v/>
      </c>
      <c r="CT93" s="3">
        <f>COUNTIF(CJ93:CQ93,"MISSING")</f>
        <v/>
      </c>
      <c r="CU93" s="3">
        <f>MIN(100,
  CR93*15
  + CS93*6
  + CT93*3
  + IFERROR(_xlfn.XLOOKUP(CW93,'Lookup Tables'!$M$21:$M$25,'Lookup Tables'!$N$21:$N$25,0),0)
)</f>
        <v/>
      </c>
      <c r="CV93" s="3">
        <f>IFERROR(
CHOOSE(
MATCH("FAIL",CJ93:CQ93,0),
"1-Specificity","2-Metric","3-Baseline","4-Target",
"5-Time Horizon","6-Scope","7-Verification","8-Consistency"
),
IFERROR(
CHOOSE(
MATCH("PARTIAL",CJ93:CQ93,0),
"1-Specificity","2-Metric","3-Baseline","4-Target",
"5-Time Horizon","6-Scope","7-Verification","8-Consistency"
),
"No failures"
)
)</f>
        <v/>
      </c>
      <c r="CW93" s="3" t="n"/>
      <c r="CX93" s="3" t="n"/>
      <c r="CY93" s="3" t="n"/>
      <c r="CZ93" s="3" t="n"/>
      <c r="DA93" s="3">
        <f>IF(OR(CU93&gt;=50,CW93="Material",CW93="Severe",AS93="Material",AS93="Severe",BF93="Material",BF93="Severe — Exclusion Trigger",AND(ISNUMBER(BS93),BS93&lt;30)),"Yes","No")</f>
        <v/>
      </c>
      <c r="DB93" s="3">
        <f>IF(OR(CR93&gt;=6,AW93="Confirmed Violation",AX93="Confirmed Breach"),"Yes — Automatic",IF(CW93="Severe","Yes — Requires Captain Confirmation","No"))</f>
        <v/>
      </c>
      <c r="DC93" s="3" t="inlineStr">
        <is>
          <t>Net zero 2050 (long-term)</t>
        </is>
      </c>
      <c r="DD93" s="3" t="inlineStr">
        <is>
          <t>202603260876-1.pdf</t>
        </is>
      </c>
      <c r="DE93" s="3" t="n">
        <v>54</v>
      </c>
      <c r="DF93" s="3" t="n">
        <v>4</v>
      </c>
      <c r="DG93" s="3" t="n">
        <v>4</v>
      </c>
      <c r="DH93" s="3" t="inlineStr">
        <is>
          <t>PENDING</t>
        </is>
      </c>
      <c r="DI93" s="3" t="n"/>
      <c r="DJ93" s="3" t="n"/>
      <c r="DK93" s="3" t="n"/>
      <c r="DL93" s="3">
        <f>IF(OR(IFERROR(VALUE(LEFT(DF93,1)),99)&lt;=2,IFERROR(VALUE(LEFT(DG93,1)),99)&lt;=2),"Flagged","Clear")</f>
        <v/>
      </c>
      <c r="DM93" s="3">
        <f>IF(OR(DA93="Yes",DB93&lt;&gt;"No",DH93="Unverified",DL93="Flagged"),"Yes","No")</f>
        <v/>
      </c>
      <c r="DN93" s="3">
        <f t="array" ref="DN93">MIN(100,
  IF(ISNUMBER(V93), _xlfn.IFS(V93&gt;=3,25, V93=2,15, V93=1,5, TRUE,0), 0)
  + IFERROR(_xlfn.IFS(VALUE(LEFT(DF93,1))=5,25, VALUE(LEFT(DF93,1))=4,20, VALUE(LEFT(DF93,1))=3,15, VALUE(LEFT(DF93,1))=2,8, TRUE,0), 15)
  + IFERROR(_xlfn.IFS(VALUE(LEFT(DG93,1))=5,25, VALUE(LEFT(DG93,1))=4,20, VALUE(LEFT(DG93,1))=3,15, VALUE(LEFT(DG93,1))=2,8, TRUE,0), 15)
  + _xlfn.IFS(DH93="Fully Verified",25, DH93="Partially Verified",12, TRUE,0)
)</f>
        <v/>
      </c>
      <c r="DO93" s="3">
        <f t="array" ref="DO93">_xlfn.IFS(
  ISBLANK(AR93), "Insufficient Evidence",
  AND(AR93&gt;=65, AJ93="Approved"), "Strong",
  AR93&gt;=65, "Adequate",
  AR93&gt;=40, "Adequate",
  AR93&gt;=20, "Weak",
  TRUE, "Insufficient Evidence"
)</f>
        <v/>
      </c>
      <c r="DP93" s="3">
        <f t="array" ref="DP93">_xlfn.IFS(
  ISBLANK(BS93), "Insufficient Evidence",
  BS93&gt;=65, "Strong",
  BS93&gt;=40, "Adequate",
  BS93&gt;=20, "Weak",
  TRUE, "Insufficient Evidence"
)</f>
        <v/>
      </c>
      <c r="DQ93" s="3">
        <f t="array" ref="DQ93">_xlfn.IFS(
  ISBLANK(BE93), "Insufficient Evidence",
  OR(AW93="Confirmed Violation", AX93="Confirmed Breach"), "Severe — Hard Trigger",
  BE93&gt;=65, "Strong",
  BE93&gt;=40, "Adequate",
  BE93&gt;=20, "Weak",
  TRUE, "Insufficient Evidence"
)</f>
        <v/>
      </c>
      <c r="DR93" s="3">
        <f t="array" ref="DR93">_xlfn.IFS(
  ISBLANK(CU93), "Insufficient Evidence",
  CU93&lt;=20, "Low Risk",
  CU93&lt;=50, "Moderate Risk",
  CU93&lt;=75, "High Risk",
  TRUE, "Very High Risk"
)</f>
        <v/>
      </c>
      <c r="DS93" s="3">
        <f t="array" ref="DS93">_xlfn.IFS(
  ISBLANK(CE93), "Insufficient Evidence",
  AND(ISNUMBER(BW93),ISNUMBER(BV93),BW93&gt;BV93), "Overclaiming Risk",
  CE93&gt;=65, "Strong",
  CE93&gt;=40, "Adequate",
  TRUE, "Weak"
)</f>
        <v/>
      </c>
      <c r="DT93" s="3">
        <f>IF(DB93="Yes — Automatic",0,ROUND((IF(ISNUMBER(AR93),AR93,0)*0.3+IF(ISNUMBER(BS93),BS93,0)*0.2+IF(ISNUMBER(BE93),BE93,0)*0.2+IF(ISNUMBER(CE93),CE93,0)*0.15+(100-IF(ISNUMBER(CU93),CU93,50))*0.15)*IF(DN93&gt;=75,1,IF(DN93&gt;=50,0.9,IF(DN93&gt;=25,0.75,0.6))),1))</f>
        <v/>
      </c>
      <c r="DU93" s="3">
        <f t="array" ref="DU93">_xlfn.IFS(
  DV93="Upgraded to Clear", "Clear",
  DV93="Downgraded to Watchlist", "Watchlist",
  DV93="Downgraded to Exclusion", "Exclusion Risk",
  DB93="Yes — Automatic", "Exclusion Risk",
  OR(AW93="Confirmed Violation", AX93="Confirmed Breach"), "Exclusion Risk",
  OR(V93=0, ISBLANK(V93), DN93&lt;20), "Insufficient Evidence",
  AND(DT93&gt;=65, DA93="No", DB93="No"), "Clear",
  OR(DT93&gt;=40, DA93="Yes"), "Watchlist",
  TRUE, "Exclusion Risk"
)</f>
        <v/>
      </c>
      <c r="DV93" s="3" t="n"/>
      <c r="DW93" s="3">
        <f t="array" ref="DW93">_xlfn.IFS(
  DU93="Exclusion Risk", "Exclude — Hard Trigger",
  DU93="Insufficient Evidence", "Watchlist — Further Evidence Needed",
  DU93="Watchlist", "Watchlist — Further Evidence Needed",
  AND(DU93="Clear", DT93&gt;=80), "Include — No Conditions",
  DU93="Clear", "Include — Monitor",
  TRUE, "Watchlist — Further Evidence Needed"
)</f>
        <v/>
      </c>
      <c r="DX93" s="3" t="inlineStr">
        <is>
          <t>Main claim: "Net zero 2050 (long-term)" (202603260876-1.pdf, p54). SBTi: Targets set, 1.5°C near-term target (FY2029). 8-Test: 0 PARTIAL, 0 FAIL, 0 MISSING -&gt; PASS. The 8-Test of Sobi's sustainability claims is clean — SBTi-validated targets, explicit 2023 baseline, near-term 2029 target, full scope coverage. NOTE: the IC PENDING_RAG flag concerns the Truvalue Laggard NEWS signal (a controversy...</t>
        </is>
      </c>
      <c r="DY93" s="3" t="n"/>
      <c r="DZ93" s="3" t="n"/>
      <c r="EA93" s="3" t="n"/>
      <c r="EB93" s="3">
        <f>IF(OR(V93=0, ISBLANK(V93)), "MISSING — No sources reviewed", "")</f>
        <v/>
      </c>
      <c r="EC93" s="3">
        <f>IF(AND(NOT(ISBLANK(DC93)), ISBLANK(DE93)), "PAGE REF MISSING", "")</f>
        <v/>
      </c>
    </row>
    <row r="94" ht="18" customHeight="1" s="60">
      <c r="A94" s="5" t="inlineStr">
        <is>
          <t>Siemens AG</t>
        </is>
      </c>
      <c r="B94" s="5" t="inlineStr">
        <is>
          <t>SIE</t>
        </is>
      </c>
      <c r="C94" s="5">
        <f>IF(ISBLANK('Universe Tracker'!D69),"",'Universe Tracker'!D69)</f>
        <v/>
      </c>
      <c r="D94" s="5" t="n"/>
      <c r="E94" s="5" t="n"/>
      <c r="F94" s="5">
        <f>IF(ISBLANK('Universe Tracker'!F69),"",'Universe Tracker'!F69)</f>
        <v/>
      </c>
      <c r="G94" s="5">
        <f>IF(ISBLANK('Universe Tracker'!G69),"",'Universe Tracker'!G69)</f>
        <v/>
      </c>
      <c r="H94" s="5" t="n"/>
      <c r="I94" s="5" t="n"/>
      <c r="J94" s="5">
        <f>IF(ISBLANK(B94),"",B94&amp;"_"&amp;C94)</f>
        <v/>
      </c>
      <c r="K94" s="5" t="n"/>
      <c r="L94" s="5" t="n"/>
      <c r="M94" s="5" t="n"/>
      <c r="N94" s="5" t="n"/>
      <c r="O94" s="5" t="n"/>
      <c r="P94" s="5" t="n"/>
      <c r="Q94" s="5" t="n"/>
      <c r="R94" s="5" t="n"/>
      <c r="S94" s="5" t="n"/>
      <c r="T94" s="5" t="n"/>
      <c r="U94" s="5" t="n"/>
      <c r="V94" s="5" t="n"/>
      <c r="W94" s="5" t="n"/>
      <c r="X94" s="5" t="n"/>
      <c r="Y94" s="5">
        <f>IF(AND(V94&gt;=2,K94="Yes",L94="Yes"),"Sufficient",IF(AND(V94&gt;=1,OR(K94="Yes",L94="Yes")),"Thin","Insufficient"))</f>
        <v/>
      </c>
      <c r="Z94" s="5" t="n"/>
      <c r="AA94" s="5" t="n"/>
      <c r="AB94" s="5" t="n"/>
      <c r="AC94" s="5" t="n"/>
      <c r="AD94" s="5" t="n"/>
      <c r="AE94" s="5" t="n"/>
      <c r="AF94" s="5" t="n"/>
      <c r="AG94" s="5" t="n"/>
      <c r="AH94" s="5" t="n"/>
      <c r="AI94" s="5" t="n"/>
      <c r="AJ94" s="5" t="n"/>
      <c r="AK94" s="5" t="n"/>
      <c r="AL94" s="5" t="n"/>
      <c r="AM94" s="5" t="n"/>
      <c r="AN94" s="5" t="n"/>
      <c r="AO94" s="5" t="n"/>
      <c r="AP94" s="5" t="n"/>
      <c r="AQ94" s="5" t="n"/>
      <c r="AR94" s="40">
        <f t="array" ref="AR94">MIN(100, MAX(0,
  IFERROR(_xlfn.XLOOKUP(AJ94,'Lookup Tables'!$A$2:$A$7,'Lookup Tables'!$B$2:$B$7,0),0)
  + IF(Z94="Yes", IF(IFERROR(_xlfn.XLOOKUP(AJ94,'Lookup Tables'!$A$2:$A$7,'Lookup Tables'!$B$2:$B$7,0),0)&lt;20, 5, 0), 0)
  + _xlfn.IFS(AB94="Yes", IF(ISNUMBER(AC94)*AND(AC94&lt;=2030),15,10), AB94="Long-term Only", 5, AB94="No", 0, TRUE, 0)
  + _xlfn.IFS(AF94="Full",10, AF94="Partial",5, AF94="Scope 2 Only",3, TRUE,0)
  + _xlfn.IFS(AG94="Yes", IF(ISNUMBER(AH94)*AND(AH94&gt;=5),10,6), AG94="Partial",4, TRUE,0)
  + _xlfn.IFS(AI94="Yes",5, AI94="Partial (material categories only)",3, TRUE,0)
  + _xlfn.IFS(AL94="Yes — Detailed",10, AL94="Yes — High Level",5, TRUE,0)
  + _xlfn.IFS(AM94="Yes — Quantified",15, AM94="Yes — Directional Only",7, TRUE,0)
  + _xlfn.IFS(AP94="Formal",5, AP94="Referenced",2, TRUE,0)
  + _xlfn.IFS(AQ94="No Issues Found",5, AQ94="Concern Identified",-5, AQ94="Severe Contradiction",-15, TRUE,0)
  + _xlfn.IFS(BC94="Reasonable Assurance",5, BC94="Limited Assurance",3, TRUE,0)
  - IF(AND(Z94="Yes", AI94="No"), 10, 0)
  - IF(AND(Z94="Yes", AM94="No"), 10, 0)
))</f>
        <v/>
      </c>
      <c r="AS94" s="5" t="n"/>
      <c r="AT94" s="5" t="n"/>
      <c r="AU94" s="5" t="n"/>
      <c r="AV94" s="5" t="n"/>
      <c r="AW94" s="5" t="n"/>
      <c r="AX94" s="5" t="n"/>
      <c r="AY94" s="5" t="n"/>
      <c r="AZ94" s="5" t="n"/>
      <c r="BA94" s="5" t="n"/>
      <c r="BB94" s="5" t="n"/>
      <c r="BC94" s="5" t="n"/>
      <c r="BD94" s="5" t="n"/>
      <c r="BE94" s="39">
        <f t="array" ref="BE94">MIN(100, MAX(0,
  IFERROR(_xlfn.XLOOKUP(AT94,'Lookup Tables'!$D$2:$D$6,'Lookup Tables'!$E$2:$E$6,0),0)
  + IFERROR(_xlfn.XLOOKUP(AV94,'Lookup Tables'!$G$2:$G$5,'Lookup Tables'!$H$2:$H$5,0),0)
  + IFERROR(_xlfn.XLOOKUP(AW94,'Lookup Tables'!$J$2:$J$5,'Lookup Tables'!$K$2:$K$5,0),0)
  + _xlfn.IFS(AX94="No Issues",10, AX94="Complaint Filed",3, AX94="Confirmed Breach",-15, TRUE,0)
  + IFERROR(_xlfn.XLOOKUP(AY94,'Lookup Tables'!$M$2:$M$6,'Lookup Tables'!$N$2:$N$6,0),0)
  + IFERROR(_xlfn.XLOOKUP(AZ94,'Lookup Tables'!$P$2:$P$6,'Lookup Tables'!$Q$2:$Q$6,0),0)
  + _xlfn.IFS(BA94="Formal Board Committee",5, BA94="Board Oversight Mentioned",2, TRUE,0)
  + _xlfn.IFS(BB94="Yes — Quantified Targets",5, BB94="Yes — Discretionary Only",2, TRUE,0)
  + _xlfn.IFS(BC94="Reasonable Assurance",5, BC94="Limited Assurance",3, BC94="Management Review Only",1, TRUE,0)
))</f>
        <v/>
      </c>
      <c r="BF94" s="5" t="n"/>
      <c r="BG94" s="5" t="n"/>
      <c r="BH94" s="5" t="n"/>
      <c r="BI94" s="5" t="n"/>
      <c r="BJ94" s="5" t="n"/>
      <c r="BK94" s="5" t="n"/>
      <c r="BL94" s="5" t="n"/>
      <c r="BM94" s="5" t="n"/>
      <c r="BN94" s="5" t="n"/>
      <c r="BO94" s="5" t="n"/>
      <c r="BP94" s="5" t="n"/>
      <c r="BQ94" s="5" t="n"/>
      <c r="BR94" s="5" t="n"/>
      <c r="BS94" s="41">
        <f t="array" ref="BS94">MIN(100, MAX(0,
  IFERROR(_xlfn.XLOOKUP(BG94,'Lookup Tables'!$A$11:$A$16,'Lookup Tables'!$B$11:$B$16,0),0)
  + IFERROR(_xlfn.XLOOKUP(BR94,'Lookup Tables'!$M$11:$M$14,'Lookup Tables'!$N$11:$N$14,0),0)
  + IFERROR(_xlfn.XLOOKUP(BQ94,'Lookup Tables'!$J$11:$J$15,'Lookup Tables'!$K$11:$K$15,0),0)
  + IFERROR(_xlfn.XLOOKUP(BH94,'Lookup Tables'!$D$11:$D$15,'Lookup Tables'!$E$11:$E$15,0),0)
  + IFERROR(_xlfn.XLOOKUP(BJ94,'Lookup Tables'!$G$11:$G$16,'Lookup Tables'!$H$11:$H$16,0),0)
  + IFERROR(_xlfn.XLOOKUP(BN94,'Lookup Tables'!$P$11:$P$15,'Lookup Tables'!$Q$11:$Q$15,0),0)
  + _xlfn.IFS(BM94="No Evidence",10, BM94="Unknown",3, BM94="Likely",0, BM94="Confirmed",-10, TRUE,3)
  + IFERROR(_xlfn.XLOOKUP(BP94,'Lookup Tables'!$J$21:$J$24,'Lookup Tables'!$K$21:$K$24,0),0)
))</f>
        <v/>
      </c>
      <c r="BT94" s="5" t="n"/>
      <c r="BU94" s="5" t="n"/>
      <c r="BV94" s="5" t="n"/>
      <c r="BW94" s="5" t="n"/>
      <c r="BX94" s="5" t="n"/>
      <c r="BY94" s="5" t="n"/>
      <c r="BZ94" s="5" t="n"/>
      <c r="CA94" s="5" t="n"/>
      <c r="CB94" s="5" t="n"/>
      <c r="CC94" s="5" t="n"/>
      <c r="CD94" s="5" t="n"/>
      <c r="CE94" s="43">
        <f t="array" ref="CE94">MIN(100, MAX(0,
  IF(ISNUMBER(BV94)*AND(BV94&gt;0), 10, 0)
  + _xlfn.IFS(BY94="Independently Verified",25, BY94="Yes",15, TRUE,0)
  + IFERROR(_xlfn.XLOOKUP(BZ94,'Lookup Tables'!$A$21:$A$24,'Lookup Tables'!$B$21:$B$24,0),0)
  + IFERROR(_xlfn.XLOOKUP(CA94,'Lookup Tables'!$D$21:$D$24,'Lookup Tables'!$E$21:$E$24,0),0)
  + _xlfn.IFS(ISNUMBER(CB94)*AND(CB94&gt;=11),15, ISNUMBER(CB94)*AND(CB94&gt;=6),10, ISNUMBER(CB94)*AND(CB94&gt;=1),5, TRUE,0)
  + IFERROR(_xlfn.XLOOKUP(CC94,'Lookup Tables'!$G$21:$G$25,'Lookup Tables'!$H$21:$H$25,0),0)
  - IF(ISNUMBER(BW94)*AND(ISNUMBER(BV94))*AND(BW94&gt;BV94), 20, 0)
  - IF(AND(BY94="Yes", ISNUMBER(BW94), BW94&gt;60), 10, 0)
))</f>
        <v/>
      </c>
      <c r="CF94" s="5" t="n"/>
      <c r="CG94" s="5" t="n"/>
      <c r="CH94" s="5" t="n"/>
      <c r="CI94" s="5" t="n"/>
      <c r="CJ94" s="5" t="n"/>
      <c r="CK94" s="5" t="n"/>
      <c r="CL94" s="5" t="n"/>
      <c r="CM94" s="5" t="n"/>
      <c r="CN94" s="5" t="n"/>
      <c r="CO94" s="5" t="n"/>
      <c r="CP94" s="5" t="n"/>
      <c r="CQ94" s="5" t="n"/>
      <c r="CR94" s="5">
        <f>COUNTIF(CJ94:CQ94,"FAIL")</f>
        <v/>
      </c>
      <c r="CS94" s="5">
        <f>COUNTIF(CJ94:CQ94,"PARTIAL")</f>
        <v/>
      </c>
      <c r="CT94" s="5">
        <f>COUNTIF(CJ94:CQ94,"MISSING")</f>
        <v/>
      </c>
      <c r="CU94" s="5">
        <f>MIN(100,
  CR94*15
  + CS94*6
  + CT94*3
  + IFERROR(_xlfn.XLOOKUP(CW94,'Lookup Tables'!$M$21:$M$25,'Lookup Tables'!$N$21:$N$25,0),0)
)</f>
        <v/>
      </c>
      <c r="CV94" s="5">
        <f>IFERROR(
CHOOSE(
MATCH("FAIL",CJ94:CQ94,0),
"1-Specificity","2-Metric","3-Baseline","4-Target",
"5-Time Horizon","6-Scope","7-Verification","8-Consistency"
),
IFERROR(
CHOOSE(
MATCH("PARTIAL",CJ94:CQ94,0),
"1-Specificity","2-Metric","3-Baseline","4-Target",
"5-Time Horizon","6-Scope","7-Verification","8-Consistency"
),
"No failures"
)
)</f>
        <v/>
      </c>
      <c r="CW94" s="5" t="n"/>
      <c r="CX94" s="5" t="n"/>
      <c r="CY94" s="5" t="n"/>
      <c r="CZ94" s="5" t="n"/>
      <c r="DA94" s="5">
        <f>IF(OR(CU94&gt;=50,CW94="Material",CW94="Severe",AS94="Material",AS94="Severe",BF94="Material",BF94="Severe — Exclusion Trigger",AND(ISNUMBER(BS94),BS94&lt;30)),"Yes","No")</f>
        <v/>
      </c>
      <c r="DB94" s="5">
        <f>IF(OR(CR94&gt;=6,AW94="Confirmed Violation",AX94="Confirmed Breach"),"Yes — Automatic",IF(CW94="Severe","Yes — Requires Captain Confirmation","No"))</f>
        <v/>
      </c>
      <c r="DC94" s="5" t="n"/>
      <c r="DD94" s="5" t="n"/>
      <c r="DE94" s="5" t="n"/>
      <c r="DF94" s="5" t="n"/>
      <c r="DG94" s="5" t="n"/>
      <c r="DH94" s="5" t="n"/>
      <c r="DI94" s="5" t="n"/>
      <c r="DJ94" s="5" t="n"/>
      <c r="DK94" s="5" t="n"/>
      <c r="DL94" s="5">
        <f>IF(OR(IFERROR(VALUE(LEFT(DF94,1)),99)&lt;=2,IFERROR(VALUE(LEFT(DG94,1)),99)&lt;=2),"Flagged","Clear")</f>
        <v/>
      </c>
      <c r="DM94" s="5">
        <f>IF(OR(DA94="Yes",DB94&lt;&gt;"No",DH94="Unverified",DL94="Flagged"),"Yes","No")</f>
        <v/>
      </c>
      <c r="DN94" s="5">
        <f t="array" ref="DN94">MIN(100,
  IF(ISNUMBER(V94), _xlfn.IFS(V94&gt;=3,25, V94=2,15, V94=1,5, TRUE,0), 0)
  + IFERROR(_xlfn.IFS(VALUE(LEFT(DF94,1))=5,25, VALUE(LEFT(DF94,1))=4,20, VALUE(LEFT(DF94,1))=3,15, VALUE(LEFT(DF94,1))=2,8, TRUE,0), 15)
  + IFERROR(_xlfn.IFS(VALUE(LEFT(DG94,1))=5,25, VALUE(LEFT(DG94,1))=4,20, VALUE(LEFT(DG94,1))=3,15, VALUE(LEFT(DG94,1))=2,8, TRUE,0), 15)
  + _xlfn.IFS(DH94="Fully Verified",25, DH94="Partially Verified",12, TRUE,0)
)</f>
        <v/>
      </c>
      <c r="DO94" s="5">
        <f t="array" ref="DO94">_xlfn.IFS(
  ISBLANK(AR94), "Insufficient Evidence",
  AND(AR94&gt;=65, AJ94="Approved"), "Strong",
  AR94&gt;=65, "Adequate",
  AR94&gt;=40, "Adequate",
  AR94&gt;=20, "Weak",
  TRUE, "Insufficient Evidence"
)</f>
        <v/>
      </c>
      <c r="DP94" s="5">
        <f t="array" ref="DP94">_xlfn.IFS(
  ISBLANK(BS94), "Insufficient Evidence",
  BS94&gt;=65, "Strong",
  BS94&gt;=40, "Adequate",
  BS94&gt;=20, "Weak",
  TRUE, "Insufficient Evidence"
)</f>
        <v/>
      </c>
      <c r="DQ94" s="5">
        <f t="array" ref="DQ94">_xlfn.IFS(
  ISBLANK(BE94), "Insufficient Evidence",
  OR(AW94="Confirmed Violation", AX94="Confirmed Breach"), "Severe — Hard Trigger",
  BE94&gt;=65, "Strong",
  BE94&gt;=40, "Adequate",
  BE94&gt;=20, "Weak",
  TRUE, "Insufficient Evidence"
)</f>
        <v/>
      </c>
      <c r="DR94" s="5">
        <f t="array" ref="DR94">_xlfn.IFS(
  ISBLANK(CU94), "Insufficient Evidence",
  CU94&lt;=20, "Low Risk",
  CU94&lt;=50, "Moderate Risk",
  CU94&lt;=75, "High Risk",
  TRUE, "Very High Risk"
)</f>
        <v/>
      </c>
      <c r="DS94" s="5">
        <f t="array" ref="DS94">_xlfn.IFS(
  ISBLANK(CE94), "Insufficient Evidence",
  AND(ISNUMBER(BW94),ISNUMBER(BV94),BW94&gt;BV94), "Overclaiming Risk",
  CE94&gt;=65, "Strong",
  CE94&gt;=40, "Adequate",
  TRUE, "Weak"
)</f>
        <v/>
      </c>
      <c r="DT94" s="5">
        <f>IF(DB94="Yes — Automatic",0,ROUND((IF(ISNUMBER(AR94),AR94,0)*0.3+IF(ISNUMBER(BS94),BS94,0)*0.2+IF(ISNUMBER(BE94),BE94,0)*0.2+IF(ISNUMBER(CE94),CE94,0)*0.15+(100-IF(ISNUMBER(CU94),CU94,50))*0.15)*IF(DN94&gt;=75,1,IF(DN94&gt;=50,0.9,IF(DN94&gt;=25,0.75,0.6))),1))</f>
        <v/>
      </c>
      <c r="DU94" s="5">
        <f t="array" ref="DU94">_xlfn.IFS(
  DV94="Upgraded to Clear", "Clear",
  DV94="Downgraded to Watchlist", "Watchlist",
  DV94="Downgraded to Exclusion", "Exclusion Risk",
  DB94="Yes — Automatic", "Exclusion Risk",
  OR(AW94="Confirmed Violation", AX94="Confirmed Breach"), "Exclusion Risk",
  OR(V94=0, ISBLANK(V94), DN94&lt;20), "Insufficient Evidence",
  AND(DT94&gt;=65, DA94="No", DB94="No"), "Clear",
  OR(DT94&gt;=40, DA94="Yes"), "Watchlist",
  TRUE, "Exclusion Risk"
)</f>
        <v/>
      </c>
      <c r="DV94" s="5" t="n"/>
      <c r="DW94" s="5">
        <f t="array" ref="DW94">_xlfn.IFS(
  DU94="Exclusion Risk", "Exclude — Hard Trigger",
  DU94="Insufficient Evidence", "Watchlist — Further Evidence Needed",
  DU94="Watchlist", "Watchlist — Further Evidence Needed",
  AND(DU94="Clear", DT94&gt;=80), "Include — No Conditions",
  DU94="Clear", "Include — Monitor",
  TRUE, "Watchlist — Further Evidence Needed"
)</f>
        <v/>
      </c>
      <c r="DX94" s="5" t="n"/>
      <c r="DY94" s="5" t="n"/>
      <c r="DZ94" s="5" t="n"/>
      <c r="EA94" s="5" t="n"/>
      <c r="EB94" s="5">
        <f>IF(OR(V94=0, ISBLANK(V94)), "MISSING — No sources reviewed", "")</f>
        <v/>
      </c>
      <c r="EC94" s="5">
        <f>IF(AND(NOT(ISBLANK(DC94)), ISBLANK(DE94)), "PAGE REF MISSING", "")</f>
        <v/>
      </c>
    </row>
    <row r="95" ht="18" customHeight="1" s="60">
      <c r="A95" s="3" t="inlineStr">
        <is>
          <t>ING Bank Slaski SA</t>
        </is>
      </c>
      <c r="B95" s="3" t="inlineStr">
        <is>
          <t>6GF</t>
        </is>
      </c>
      <c r="C95" s="3">
        <f>IF(ISBLANK('Universe Tracker'!D70),"",'Universe Tracker'!D70)</f>
        <v/>
      </c>
      <c r="D95" s="3" t="n"/>
      <c r="E95" s="3" t="n"/>
      <c r="F95" s="3">
        <f>IF(ISBLANK('Universe Tracker'!F70),"",'Universe Tracker'!F70)</f>
        <v/>
      </c>
      <c r="G95" s="3">
        <f>IF(ISBLANK('Universe Tracker'!G70),"",'Universe Tracker'!G70)</f>
        <v/>
      </c>
      <c r="H95" s="3" t="n"/>
      <c r="I95" s="3" t="n"/>
      <c r="J95" s="3">
        <f>IF(ISBLANK(B95),"",B95&amp;"_"&amp;C95)</f>
        <v/>
      </c>
      <c r="K95" s="3" t="n"/>
      <c r="L95" s="3" t="n"/>
      <c r="M95" s="3" t="n"/>
      <c r="N95" s="3" t="n"/>
      <c r="O95" s="3" t="n"/>
      <c r="P95" s="3" t="n"/>
      <c r="Q95" s="3" t="n"/>
      <c r="R95" s="3" t="n"/>
      <c r="S95" s="3" t="n"/>
      <c r="T95" s="3" t="n"/>
      <c r="U95" s="3" t="n"/>
      <c r="V95" s="3" t="n"/>
      <c r="W95" s="3" t="n"/>
      <c r="X95" s="3" t="n"/>
      <c r="Y95" s="3">
        <f>IF(AND(V95&gt;=2,K95="Yes",L95="Yes"),"Sufficient",IF(AND(V95&gt;=1,OR(K95="Yes",L95="Yes")),"Thin","Insufficient"))</f>
        <v/>
      </c>
      <c r="Z95" s="3" t="n"/>
      <c r="AA95" s="3" t="n"/>
      <c r="AB95" s="3" t="n"/>
      <c r="AC95" s="3" t="n"/>
      <c r="AD95" s="3" t="n"/>
      <c r="AE95" s="3" t="n"/>
      <c r="AF95" s="3" t="n"/>
      <c r="AG95" s="3" t="n"/>
      <c r="AH95" s="3" t="n"/>
      <c r="AI95" s="3" t="n"/>
      <c r="AJ95" s="3" t="n"/>
      <c r="AK95" s="3" t="n"/>
      <c r="AL95" s="3" t="n"/>
      <c r="AM95" s="3" t="n"/>
      <c r="AN95" s="3" t="n"/>
      <c r="AO95" s="3" t="n"/>
      <c r="AP95" s="3" t="n"/>
      <c r="AQ95" s="3" t="n"/>
      <c r="AR95" s="40">
        <f t="array" ref="AR95">MIN(100, MAX(0,
  IFERROR(_xlfn.XLOOKUP(AJ95,'Lookup Tables'!$A$2:$A$7,'Lookup Tables'!$B$2:$B$7,0),0)
  + IF(Z95="Yes", IF(IFERROR(_xlfn.XLOOKUP(AJ95,'Lookup Tables'!$A$2:$A$7,'Lookup Tables'!$B$2:$B$7,0),0)&lt;20, 5, 0), 0)
  + _xlfn.IFS(AB95="Yes", IF(ISNUMBER(AC95)*AND(AC95&lt;=2030),15,10), AB95="Long-term Only", 5, AB95="No", 0, TRUE, 0)
  + _xlfn.IFS(AF95="Full",10, AF95="Partial",5, AF95="Scope 2 Only",3, TRUE,0)
  + _xlfn.IFS(AG95="Yes", IF(ISNUMBER(AH95)*AND(AH95&gt;=5),10,6), AG95="Partial",4, TRUE,0)
  + _xlfn.IFS(AI95="Yes",5, AI95="Partial (material categories only)",3, TRUE,0)
  + _xlfn.IFS(AL95="Yes — Detailed",10, AL95="Yes — High Level",5, TRUE,0)
  + _xlfn.IFS(AM95="Yes — Quantified",15, AM95="Yes — Directional Only",7, TRUE,0)
  + _xlfn.IFS(AP95="Formal",5, AP95="Referenced",2, TRUE,0)
  + _xlfn.IFS(AQ95="No Issues Found",5, AQ95="Concern Identified",-5, AQ95="Severe Contradiction",-15, TRUE,0)
  + _xlfn.IFS(BC95="Reasonable Assurance",5, BC95="Limited Assurance",3, TRUE,0)
  - IF(AND(Z95="Yes", AI95="No"), 10, 0)
  - IF(AND(Z95="Yes", AM95="No"), 10, 0)
))</f>
        <v/>
      </c>
      <c r="AS95" s="3" t="n"/>
      <c r="AT95" s="3" t="n"/>
      <c r="AU95" s="3" t="n"/>
      <c r="AV95" s="3" t="n"/>
      <c r="AW95" s="3" t="n"/>
      <c r="AX95" s="3" t="n"/>
      <c r="AY95" s="3" t="n"/>
      <c r="AZ95" s="3" t="n"/>
      <c r="BA95" s="3" t="n"/>
      <c r="BB95" s="3" t="n"/>
      <c r="BC95" s="3" t="n"/>
      <c r="BD95" s="3" t="n"/>
      <c r="BE95" s="40">
        <f t="array" ref="BE95">MIN(100, MAX(0,
  IFERROR(_xlfn.XLOOKUP(AT95,'Lookup Tables'!$D$2:$D$6,'Lookup Tables'!$E$2:$E$6,0),0)
  + IFERROR(_xlfn.XLOOKUP(AV95,'Lookup Tables'!$G$2:$G$5,'Lookup Tables'!$H$2:$H$5,0),0)
  + IFERROR(_xlfn.XLOOKUP(AW95,'Lookup Tables'!$J$2:$J$5,'Lookup Tables'!$K$2:$K$5,0),0)
  + _xlfn.IFS(AX95="No Issues",10, AX95="Complaint Filed",3, AX95="Confirmed Breach",-15, TRUE,0)
  + IFERROR(_xlfn.XLOOKUP(AY95,'Lookup Tables'!$M$2:$M$6,'Lookup Tables'!$N$2:$N$6,0),0)
  + IFERROR(_xlfn.XLOOKUP(AZ95,'Lookup Tables'!$P$2:$P$6,'Lookup Tables'!$Q$2:$Q$6,0),0)
  + _xlfn.IFS(BA95="Formal Board Committee",5, BA95="Board Oversight Mentioned",2, TRUE,0)
  + _xlfn.IFS(BB95="Yes — Quantified Targets",5, BB95="Yes — Discretionary Only",2, TRUE,0)
  + _xlfn.IFS(BC95="Reasonable Assurance",5, BC95="Limited Assurance",3, BC95="Management Review Only",1, TRUE,0)
))</f>
        <v/>
      </c>
      <c r="BF95" s="3" t="n"/>
      <c r="BG95" s="3" t="n"/>
      <c r="BH95" s="3" t="n"/>
      <c r="BI95" s="3" t="n"/>
      <c r="BJ95" s="3" t="n"/>
      <c r="BK95" s="3" t="n"/>
      <c r="BL95" s="3" t="n"/>
      <c r="BM95" s="3" t="n"/>
      <c r="BN95" s="3" t="n"/>
      <c r="BO95" s="3" t="n"/>
      <c r="BP95" s="3" t="n"/>
      <c r="BQ95" s="3" t="n"/>
      <c r="BR95" s="3" t="n"/>
      <c r="BS95" s="42">
        <f t="array" ref="BS95">MIN(100, MAX(0,
  IFERROR(_xlfn.XLOOKUP(BG95,'Lookup Tables'!$A$11:$A$16,'Lookup Tables'!$B$11:$B$16,0),0)
  + IFERROR(_xlfn.XLOOKUP(BR95,'Lookup Tables'!$M$11:$M$14,'Lookup Tables'!$N$11:$N$14,0),0)
  + IFERROR(_xlfn.XLOOKUP(BQ95,'Lookup Tables'!$J$11:$J$15,'Lookup Tables'!$K$11:$K$15,0),0)
  + IFERROR(_xlfn.XLOOKUP(BH95,'Lookup Tables'!$D$11:$D$15,'Lookup Tables'!$E$11:$E$15,0),0)
  + IFERROR(_xlfn.XLOOKUP(BJ95,'Lookup Tables'!$G$11:$G$16,'Lookup Tables'!$H$11:$H$16,0),0)
  + IFERROR(_xlfn.XLOOKUP(BN95,'Lookup Tables'!$P$11:$P$15,'Lookup Tables'!$Q$11:$Q$15,0),0)
  + _xlfn.IFS(BM95="No Evidence",10, BM95="Unknown",3, BM95="Likely",0, BM95="Confirmed",-10, TRUE,3)
  + IFERROR(_xlfn.XLOOKUP(BP95,'Lookup Tables'!$J$21:$J$24,'Lookup Tables'!$K$21:$K$24,0),0)
))</f>
        <v/>
      </c>
      <c r="BT95" s="3" t="n"/>
      <c r="BU95" s="3" t="n"/>
      <c r="BV95" s="3" t="n"/>
      <c r="BW95" s="3" t="n"/>
      <c r="BX95" s="3" t="n"/>
      <c r="BY95" s="3" t="n"/>
      <c r="BZ95" s="3" t="n"/>
      <c r="CA95" s="3" t="n"/>
      <c r="CB95" s="3" t="n"/>
      <c r="CC95" s="3" t="n"/>
      <c r="CD95" s="3" t="n"/>
      <c r="CE95" s="44">
        <f t="array" ref="CE95">MIN(100, MAX(0,
  IF(ISNUMBER(BV95)*AND(BV95&gt;0), 10, 0)
  + _xlfn.IFS(BY95="Independently Verified",25, BY95="Yes",15, TRUE,0)
  + IFERROR(_xlfn.XLOOKUP(BZ95,'Lookup Tables'!$A$21:$A$24,'Lookup Tables'!$B$21:$B$24,0),0)
  + IFERROR(_xlfn.XLOOKUP(CA95,'Lookup Tables'!$D$21:$D$24,'Lookup Tables'!$E$21:$E$24,0),0)
  + _xlfn.IFS(ISNUMBER(CB95)*AND(CB95&gt;=11),15, ISNUMBER(CB95)*AND(CB95&gt;=6),10, ISNUMBER(CB95)*AND(CB95&gt;=1),5, TRUE,0)
  + IFERROR(_xlfn.XLOOKUP(CC95,'Lookup Tables'!$G$21:$G$25,'Lookup Tables'!$H$21:$H$25,0),0)
  - IF(ISNUMBER(BW95)*AND(ISNUMBER(BV95))*AND(BW95&gt;BV95), 20, 0)
  - IF(AND(BY95="Yes", ISNUMBER(BW95), BW95&gt;60), 10, 0)
))</f>
        <v/>
      </c>
      <c r="CF95" s="3" t="n"/>
      <c r="CG95" s="3" t="n"/>
      <c r="CH95" s="3" t="n"/>
      <c r="CI95" s="3" t="n"/>
      <c r="CJ95" s="3" t="n"/>
      <c r="CK95" s="3" t="n"/>
      <c r="CL95" s="3" t="n"/>
      <c r="CM95" s="3" t="n"/>
      <c r="CN95" s="3" t="n"/>
      <c r="CO95" s="3" t="n"/>
      <c r="CP95" s="3" t="n"/>
      <c r="CQ95" s="3" t="n"/>
      <c r="CR95" s="3">
        <f>COUNTIF(CJ95:CQ95,"FAIL")</f>
        <v/>
      </c>
      <c r="CS95" s="3">
        <f>COUNTIF(CJ95:CQ95,"PARTIAL")</f>
        <v/>
      </c>
      <c r="CT95" s="3">
        <f>COUNTIF(CJ95:CQ95,"MISSING")</f>
        <v/>
      </c>
      <c r="CU95" s="3">
        <f>MIN(100,
  CR95*15
  + CS95*6
  + CT95*3
  + IFERROR(_xlfn.XLOOKUP(CW95,'Lookup Tables'!$M$21:$M$25,'Lookup Tables'!$N$21:$N$25,0),0)
)</f>
        <v/>
      </c>
      <c r="CV95" s="3">
        <f>IFERROR(
CHOOSE(
MATCH("FAIL",CJ95:CQ95,0),
"1-Specificity","2-Metric","3-Baseline","4-Target",
"5-Time Horizon","6-Scope","7-Verification","8-Consistency"
),
IFERROR(
CHOOSE(
MATCH("PARTIAL",CJ95:CQ95,0),
"1-Specificity","2-Metric","3-Baseline","4-Target",
"5-Time Horizon","6-Scope","7-Verification","8-Consistency"
),
"No failures"
)
)</f>
        <v/>
      </c>
      <c r="CW95" s="3" t="n"/>
      <c r="CX95" s="3" t="n"/>
      <c r="CY95" s="3" t="n"/>
      <c r="CZ95" s="3" t="n"/>
      <c r="DA95" s="3">
        <f>IF(OR(CU95&gt;=50,CW95="Material",CW95="Severe",AS95="Material",AS95="Severe",BF95="Material",BF95="Severe — Exclusion Trigger",AND(ISNUMBER(BS95),BS95&lt;30)),"Yes","No")</f>
        <v/>
      </c>
      <c r="DB95" s="3">
        <f>IF(OR(CR95&gt;=6,AW95="Confirmed Violation",AX95="Confirmed Breach"),"Yes — Automatic",IF(CW95="Severe","Yes — Requires Captain Confirmation","No"))</f>
        <v/>
      </c>
      <c r="DC95" s="3" t="n"/>
      <c r="DD95" s="3" t="n"/>
      <c r="DE95" s="3" t="n"/>
      <c r="DF95" s="3" t="n"/>
      <c r="DG95" s="3" t="n"/>
      <c r="DH95" s="3" t="n"/>
      <c r="DI95" s="3" t="n"/>
      <c r="DJ95" s="3" t="n"/>
      <c r="DK95" s="3" t="n"/>
      <c r="DL95" s="3">
        <f>IF(OR(IFERROR(VALUE(LEFT(DF95,1)),99)&lt;=2,IFERROR(VALUE(LEFT(DG95,1)),99)&lt;=2),"Flagged","Clear")</f>
        <v/>
      </c>
      <c r="DM95" s="3">
        <f>IF(OR(DA95="Yes",DB95&lt;&gt;"No",DH95="Unverified",DL95="Flagged"),"Yes","No")</f>
        <v/>
      </c>
      <c r="DN95" s="3">
        <f t="array" ref="DN95">MIN(100,
  IF(ISNUMBER(V95), _xlfn.IFS(V95&gt;=3,25, V95=2,15, V95=1,5, TRUE,0), 0)
  + IFERROR(_xlfn.IFS(VALUE(LEFT(DF95,1))=5,25, VALUE(LEFT(DF95,1))=4,20, VALUE(LEFT(DF95,1))=3,15, VALUE(LEFT(DF95,1))=2,8, TRUE,0), 15)
  + IFERROR(_xlfn.IFS(VALUE(LEFT(DG95,1))=5,25, VALUE(LEFT(DG95,1))=4,20, VALUE(LEFT(DG95,1))=3,15, VALUE(LEFT(DG95,1))=2,8, TRUE,0), 15)
  + _xlfn.IFS(DH95="Fully Verified",25, DH95="Partially Verified",12, TRUE,0)
)</f>
        <v/>
      </c>
      <c r="DO95" s="3">
        <f t="array" ref="DO95">_xlfn.IFS(
  ISBLANK(AR95), "Insufficient Evidence",
  AND(AR95&gt;=65, AJ95="Approved"), "Strong",
  AR95&gt;=65, "Adequate",
  AR95&gt;=40, "Adequate",
  AR95&gt;=20, "Weak",
  TRUE, "Insufficient Evidence"
)</f>
        <v/>
      </c>
      <c r="DP95" s="3">
        <f t="array" ref="DP95">_xlfn.IFS(
  ISBLANK(BS95), "Insufficient Evidence",
  BS95&gt;=65, "Strong",
  BS95&gt;=40, "Adequate",
  BS95&gt;=20, "Weak",
  TRUE, "Insufficient Evidence"
)</f>
        <v/>
      </c>
      <c r="DQ95" s="3">
        <f t="array" ref="DQ95">_xlfn.IFS(
  ISBLANK(BE95), "Insufficient Evidence",
  OR(AW95="Confirmed Violation", AX95="Confirmed Breach"), "Severe — Hard Trigger",
  BE95&gt;=65, "Strong",
  BE95&gt;=40, "Adequate",
  BE95&gt;=20, "Weak",
  TRUE, "Insufficient Evidence"
)</f>
        <v/>
      </c>
      <c r="DR95" s="3">
        <f t="array" ref="DR95">_xlfn.IFS(
  ISBLANK(CU95), "Insufficient Evidence",
  CU95&lt;=20, "Low Risk",
  CU95&lt;=50, "Moderate Risk",
  CU95&lt;=75, "High Risk",
  TRUE, "Very High Risk"
)</f>
        <v/>
      </c>
      <c r="DS95" s="3">
        <f t="array" ref="DS95">_xlfn.IFS(
  ISBLANK(CE95), "Insufficient Evidence",
  AND(ISNUMBER(BW95),ISNUMBER(BV95),BW95&gt;BV95), "Overclaiming Risk",
  CE95&gt;=65, "Strong",
  CE95&gt;=40, "Adequate",
  TRUE, "Weak"
)</f>
        <v/>
      </c>
      <c r="DT95" s="3">
        <f>IF(DB95="Yes — Automatic",0,ROUND((IF(ISNUMBER(AR95),AR95,0)*0.3+IF(ISNUMBER(BS95),BS95,0)*0.2+IF(ISNUMBER(BE95),BE95,0)*0.2+IF(ISNUMBER(CE95),CE95,0)*0.15+(100-IF(ISNUMBER(CU95),CU95,50))*0.15)*IF(DN95&gt;=75,1,IF(DN95&gt;=50,0.9,IF(DN95&gt;=25,0.75,0.6))),1))</f>
        <v/>
      </c>
      <c r="DU95" s="3">
        <f t="array" ref="DU95">_xlfn.IFS(
  DV95="Upgraded to Clear", "Clear",
  DV95="Downgraded to Watchlist", "Watchlist",
  DV95="Downgraded to Exclusion", "Exclusion Risk",
  DB95="Yes — Automatic", "Exclusion Risk",
  OR(AW95="Confirmed Violation", AX95="Confirmed Breach"), "Exclusion Risk",
  OR(V95=0, ISBLANK(V95), DN95&lt;20), "Insufficient Evidence",
  AND(DT95&gt;=65, DA95="No", DB95="No"), "Clear",
  OR(DT95&gt;=40, DA95="Yes"), "Watchlist",
  TRUE, "Exclusion Risk"
)</f>
        <v/>
      </c>
      <c r="DV95" s="3" t="n"/>
      <c r="DW95" s="3">
        <f t="array" ref="DW95">_xlfn.IFS(
  DU95="Exclusion Risk", "Exclude — Hard Trigger",
  DU95="Insufficient Evidence", "Watchlist — Further Evidence Needed",
  DU95="Watchlist", "Watchlist — Further Evidence Needed",
  AND(DU95="Clear", DT95&gt;=80), "Include — No Conditions",
  DU95="Clear", "Include — Monitor",
  TRUE, "Watchlist — Further Evidence Needed"
)</f>
        <v/>
      </c>
      <c r="DX95" s="3" t="n"/>
      <c r="DY95" s="3" t="n"/>
      <c r="DZ95" s="3" t="n"/>
      <c r="EA95" s="3" t="n"/>
      <c r="EB95" s="3">
        <f>IF(OR(V95=0, ISBLANK(V95)), "MISSING — No sources reviewed", "")</f>
        <v/>
      </c>
      <c r="EC95" s="3">
        <f>IF(AND(NOT(ISBLANK(DC95)), ISBLANK(DE95)), "PAGE REF MISSING", "")</f>
        <v/>
      </c>
    </row>
    <row r="96" ht="18" customHeight="1" s="60">
      <c r="A96" s="5" t="inlineStr">
        <is>
          <t>Mycronic AB</t>
        </is>
      </c>
      <c r="B96" s="5" t="inlineStr">
        <is>
          <t>MLT</t>
        </is>
      </c>
      <c r="C96" s="5">
        <f>IF(ISBLANK('Universe Tracker'!D71),"",'Universe Tracker'!D71)</f>
        <v/>
      </c>
      <c r="D96" s="5" t="n"/>
      <c r="E96" s="5" t="n"/>
      <c r="F96" s="5">
        <f>IF(ISBLANK('Universe Tracker'!F71),"",'Universe Tracker'!F71)</f>
        <v/>
      </c>
      <c r="G96" s="5">
        <f>IF(ISBLANK('Universe Tracker'!G71),"",'Universe Tracker'!G71)</f>
        <v/>
      </c>
      <c r="H96" s="5" t="n"/>
      <c r="I96" s="5" t="n"/>
      <c r="J96" s="5">
        <f>IF(ISBLANK(B96),"",B96&amp;"_"&amp;C96)</f>
        <v/>
      </c>
      <c r="K96" s="5" t="n"/>
      <c r="L96" s="5" t="n"/>
      <c r="M96" s="5" t="n"/>
      <c r="N96" s="5" t="n"/>
      <c r="O96" s="5" t="n"/>
      <c r="P96" s="5" t="n"/>
      <c r="Q96" s="5" t="n"/>
      <c r="R96" s="5" t="n"/>
      <c r="S96" s="5" t="n"/>
      <c r="T96" s="5" t="n"/>
      <c r="U96" s="5" t="n"/>
      <c r="V96" s="5" t="n"/>
      <c r="W96" s="5" t="n"/>
      <c r="X96" s="5" t="n"/>
      <c r="Y96" s="5">
        <f>IF(AND(V96&gt;=2,K96="Yes",L96="Yes"),"Sufficient",IF(AND(V96&gt;=1,OR(K96="Yes",L96="Yes")),"Thin","Insufficient"))</f>
        <v/>
      </c>
      <c r="Z96" s="5" t="n"/>
      <c r="AA96" s="5" t="n"/>
      <c r="AB96" s="5" t="n"/>
      <c r="AC96" s="5" t="n"/>
      <c r="AD96" s="5" t="n"/>
      <c r="AE96" s="5" t="n"/>
      <c r="AF96" s="5" t="n"/>
      <c r="AG96" s="5" t="n"/>
      <c r="AH96" s="5" t="n"/>
      <c r="AI96" s="5" t="n"/>
      <c r="AJ96" s="5" t="n"/>
      <c r="AK96" s="5" t="n"/>
      <c r="AL96" s="5" t="n"/>
      <c r="AM96" s="5" t="n"/>
      <c r="AN96" s="5" t="n"/>
      <c r="AO96" s="5" t="n"/>
      <c r="AP96" s="5" t="n"/>
      <c r="AQ96" s="5" t="n"/>
      <c r="AR96" s="40">
        <f t="array" ref="AR96">MIN(100, MAX(0,
  IFERROR(_xlfn.XLOOKUP(AJ96,'Lookup Tables'!$A$2:$A$7,'Lookup Tables'!$B$2:$B$7,0),0)
  + IF(Z96="Yes", IF(IFERROR(_xlfn.XLOOKUP(AJ96,'Lookup Tables'!$A$2:$A$7,'Lookup Tables'!$B$2:$B$7,0),0)&lt;20, 5, 0), 0)
  + _xlfn.IFS(AB96="Yes", IF(ISNUMBER(AC96)*AND(AC96&lt;=2030),15,10), AB96="Long-term Only", 5, AB96="No", 0, TRUE, 0)
  + _xlfn.IFS(AF96="Full",10, AF96="Partial",5, AF96="Scope 2 Only",3, TRUE,0)
  + _xlfn.IFS(AG96="Yes", IF(ISNUMBER(AH96)*AND(AH96&gt;=5),10,6), AG96="Partial",4, TRUE,0)
  + _xlfn.IFS(AI96="Yes",5, AI96="Partial (material categories only)",3, TRUE,0)
  + _xlfn.IFS(AL96="Yes — Detailed",10, AL96="Yes — High Level",5, TRUE,0)
  + _xlfn.IFS(AM96="Yes — Quantified",15, AM96="Yes — Directional Only",7, TRUE,0)
  + _xlfn.IFS(AP96="Formal",5, AP96="Referenced",2, TRUE,0)
  + _xlfn.IFS(AQ96="No Issues Found",5, AQ96="Concern Identified",-5, AQ96="Severe Contradiction",-15, TRUE,0)
  + _xlfn.IFS(BC96="Reasonable Assurance",5, BC96="Limited Assurance",3, TRUE,0)
  - IF(AND(Z96="Yes", AI96="No"), 10, 0)
  - IF(AND(Z96="Yes", AM96="No"), 10, 0)
))</f>
        <v/>
      </c>
      <c r="AS96" s="5" t="n"/>
      <c r="AT96" s="5" t="n"/>
      <c r="AU96" s="5" t="n"/>
      <c r="AV96" s="5" t="n"/>
      <c r="AW96" s="5" t="n"/>
      <c r="AX96" s="5" t="n"/>
      <c r="AY96" s="5" t="n"/>
      <c r="AZ96" s="5" t="n"/>
      <c r="BA96" s="5" t="n"/>
      <c r="BB96" s="5" t="n"/>
      <c r="BC96" s="5" t="n"/>
      <c r="BD96" s="5" t="n"/>
      <c r="BE96" s="39">
        <f t="array" ref="BE96">MIN(100, MAX(0,
  IFERROR(_xlfn.XLOOKUP(AT96,'Lookup Tables'!$D$2:$D$6,'Lookup Tables'!$E$2:$E$6,0),0)
  + IFERROR(_xlfn.XLOOKUP(AV96,'Lookup Tables'!$G$2:$G$5,'Lookup Tables'!$H$2:$H$5,0),0)
  + IFERROR(_xlfn.XLOOKUP(AW96,'Lookup Tables'!$J$2:$J$5,'Lookup Tables'!$K$2:$K$5,0),0)
  + _xlfn.IFS(AX96="No Issues",10, AX96="Complaint Filed",3, AX96="Confirmed Breach",-15, TRUE,0)
  + IFERROR(_xlfn.XLOOKUP(AY96,'Lookup Tables'!$M$2:$M$6,'Lookup Tables'!$N$2:$N$6,0),0)
  + IFERROR(_xlfn.XLOOKUP(AZ96,'Lookup Tables'!$P$2:$P$6,'Lookup Tables'!$Q$2:$Q$6,0),0)
  + _xlfn.IFS(BA96="Formal Board Committee",5, BA96="Board Oversight Mentioned",2, TRUE,0)
  + _xlfn.IFS(BB96="Yes — Quantified Targets",5, BB96="Yes — Discretionary Only",2, TRUE,0)
  + _xlfn.IFS(BC96="Reasonable Assurance",5, BC96="Limited Assurance",3, BC96="Management Review Only",1, TRUE,0)
))</f>
        <v/>
      </c>
      <c r="BF96" s="5" t="n"/>
      <c r="BG96" s="5" t="n"/>
      <c r="BH96" s="5" t="n"/>
      <c r="BI96" s="5" t="n"/>
      <c r="BJ96" s="5" t="n"/>
      <c r="BK96" s="5" t="n"/>
      <c r="BL96" s="5" t="n"/>
      <c r="BM96" s="5" t="n"/>
      <c r="BN96" s="5" t="n"/>
      <c r="BO96" s="5" t="n"/>
      <c r="BP96" s="5" t="n"/>
      <c r="BQ96" s="5" t="n"/>
      <c r="BR96" s="5" t="n"/>
      <c r="BS96" s="41">
        <f t="array" ref="BS96">MIN(100, MAX(0,
  IFERROR(_xlfn.XLOOKUP(BG96,'Lookup Tables'!$A$11:$A$16,'Lookup Tables'!$B$11:$B$16,0),0)
  + IFERROR(_xlfn.XLOOKUP(BR96,'Lookup Tables'!$M$11:$M$14,'Lookup Tables'!$N$11:$N$14,0),0)
  + IFERROR(_xlfn.XLOOKUP(BQ96,'Lookup Tables'!$J$11:$J$15,'Lookup Tables'!$K$11:$K$15,0),0)
  + IFERROR(_xlfn.XLOOKUP(BH96,'Lookup Tables'!$D$11:$D$15,'Lookup Tables'!$E$11:$E$15,0),0)
  + IFERROR(_xlfn.XLOOKUP(BJ96,'Lookup Tables'!$G$11:$G$16,'Lookup Tables'!$H$11:$H$16,0),0)
  + IFERROR(_xlfn.XLOOKUP(BN96,'Lookup Tables'!$P$11:$P$15,'Lookup Tables'!$Q$11:$Q$15,0),0)
  + _xlfn.IFS(BM96="No Evidence",10, BM96="Unknown",3, BM96="Likely",0, BM96="Confirmed",-10, TRUE,3)
  + IFERROR(_xlfn.XLOOKUP(BP96,'Lookup Tables'!$J$21:$J$24,'Lookup Tables'!$K$21:$K$24,0),0)
))</f>
        <v/>
      </c>
      <c r="BT96" s="5" t="n"/>
      <c r="BU96" s="5" t="n"/>
      <c r="BV96" s="5" t="n"/>
      <c r="BW96" s="5" t="n"/>
      <c r="BX96" s="5" t="n"/>
      <c r="BY96" s="5" t="n"/>
      <c r="BZ96" s="5" t="n"/>
      <c r="CA96" s="5" t="n"/>
      <c r="CB96" s="5" t="n"/>
      <c r="CC96" s="5" t="n"/>
      <c r="CD96" s="5" t="n"/>
      <c r="CE96" s="43">
        <f t="array" ref="CE96">MIN(100, MAX(0,
  IF(ISNUMBER(BV96)*AND(BV96&gt;0), 10, 0)
  + _xlfn.IFS(BY96="Independently Verified",25, BY96="Yes",15, TRUE,0)
  + IFERROR(_xlfn.XLOOKUP(BZ96,'Lookup Tables'!$A$21:$A$24,'Lookup Tables'!$B$21:$B$24,0),0)
  + IFERROR(_xlfn.XLOOKUP(CA96,'Lookup Tables'!$D$21:$D$24,'Lookup Tables'!$E$21:$E$24,0),0)
  + _xlfn.IFS(ISNUMBER(CB96)*AND(CB96&gt;=11),15, ISNUMBER(CB96)*AND(CB96&gt;=6),10, ISNUMBER(CB96)*AND(CB96&gt;=1),5, TRUE,0)
  + IFERROR(_xlfn.XLOOKUP(CC96,'Lookup Tables'!$G$21:$G$25,'Lookup Tables'!$H$21:$H$25,0),0)
  - IF(ISNUMBER(BW96)*AND(ISNUMBER(BV96))*AND(BW96&gt;BV96), 20, 0)
  - IF(AND(BY96="Yes", ISNUMBER(BW96), BW96&gt;60), 10, 0)
))</f>
        <v/>
      </c>
      <c r="CF96" s="5" t="n"/>
      <c r="CG96" s="5" t="n"/>
      <c r="CH96" s="5" t="n"/>
      <c r="CI96" s="5" t="n"/>
      <c r="CJ96" s="5" t="n"/>
      <c r="CK96" s="5" t="n"/>
      <c r="CL96" s="5" t="n"/>
      <c r="CM96" s="5" t="n"/>
      <c r="CN96" s="5" t="n"/>
      <c r="CO96" s="5" t="n"/>
      <c r="CP96" s="5" t="n"/>
      <c r="CQ96" s="5" t="n"/>
      <c r="CR96" s="5">
        <f>COUNTIF(CJ96:CQ96,"FAIL")</f>
        <v/>
      </c>
      <c r="CS96" s="5">
        <f>COUNTIF(CJ96:CQ96,"PARTIAL")</f>
        <v/>
      </c>
      <c r="CT96" s="5">
        <f>COUNTIF(CJ96:CQ96,"MISSING")</f>
        <v/>
      </c>
      <c r="CU96" s="5">
        <f>MIN(100,
  CR96*15
  + CS96*6
  + CT96*3
  + IFERROR(_xlfn.XLOOKUP(CW96,'Lookup Tables'!$M$21:$M$25,'Lookup Tables'!$N$21:$N$25,0),0)
)</f>
        <v/>
      </c>
      <c r="CV96" s="5">
        <f>IFERROR(
CHOOSE(
MATCH("FAIL",CJ96:CQ96,0),
"1-Specificity","2-Metric","3-Baseline","4-Target",
"5-Time Horizon","6-Scope","7-Verification","8-Consistency"
),
IFERROR(
CHOOSE(
MATCH("PARTIAL",CJ96:CQ96,0),
"1-Specificity","2-Metric","3-Baseline","4-Target",
"5-Time Horizon","6-Scope","7-Verification","8-Consistency"
),
"No failures"
)
)</f>
        <v/>
      </c>
      <c r="CW96" s="5" t="n"/>
      <c r="CX96" s="5" t="n"/>
      <c r="CY96" s="5" t="n"/>
      <c r="CZ96" s="5" t="n"/>
      <c r="DA96" s="5">
        <f>IF(OR(CU96&gt;=50,CW96="Material",CW96="Severe",AS96="Material",AS96="Severe",BF96="Material",BF96="Severe — Exclusion Trigger",AND(ISNUMBER(BS96),BS96&lt;30)),"Yes","No")</f>
        <v/>
      </c>
      <c r="DB96" s="5">
        <f>IF(OR(CR96&gt;=6,AW96="Confirmed Violation",AX96="Confirmed Breach"),"Yes — Automatic",IF(CW96="Severe","Yes — Requires Captain Confirmation","No"))</f>
        <v/>
      </c>
      <c r="DC96" s="5" t="n"/>
      <c r="DD96" s="5" t="n"/>
      <c r="DE96" s="5" t="n"/>
      <c r="DF96" s="5" t="n"/>
      <c r="DG96" s="5" t="n"/>
      <c r="DH96" s="5" t="n"/>
      <c r="DI96" s="5" t="n"/>
      <c r="DJ96" s="5" t="n"/>
      <c r="DK96" s="5" t="n"/>
      <c r="DL96" s="5">
        <f>IF(OR(IFERROR(VALUE(LEFT(DF96,1)),99)&lt;=2,IFERROR(VALUE(LEFT(DG96,1)),99)&lt;=2),"Flagged","Clear")</f>
        <v/>
      </c>
      <c r="DM96" s="5">
        <f>IF(OR(DA96="Yes",DB96&lt;&gt;"No",DH96="Unverified",DL96="Flagged"),"Yes","No")</f>
        <v/>
      </c>
      <c r="DN96" s="5">
        <f t="array" ref="DN96">MIN(100,
  IF(ISNUMBER(V96), _xlfn.IFS(V96&gt;=3,25, V96=2,15, V96=1,5, TRUE,0), 0)
  + IFERROR(_xlfn.IFS(VALUE(LEFT(DF96,1))=5,25, VALUE(LEFT(DF96,1))=4,20, VALUE(LEFT(DF96,1))=3,15, VALUE(LEFT(DF96,1))=2,8, TRUE,0), 15)
  + IFERROR(_xlfn.IFS(VALUE(LEFT(DG96,1))=5,25, VALUE(LEFT(DG96,1))=4,20, VALUE(LEFT(DG96,1))=3,15, VALUE(LEFT(DG96,1))=2,8, TRUE,0), 15)
  + _xlfn.IFS(DH96="Fully Verified",25, DH96="Partially Verified",12, TRUE,0)
)</f>
        <v/>
      </c>
      <c r="DO96" s="5">
        <f t="array" ref="DO96">_xlfn.IFS(
  ISBLANK(AR96), "Insufficient Evidence",
  AND(AR96&gt;=65, AJ96="Approved"), "Strong",
  AR96&gt;=65, "Adequate",
  AR96&gt;=40, "Adequate",
  AR96&gt;=20, "Weak",
  TRUE, "Insufficient Evidence"
)</f>
        <v/>
      </c>
      <c r="DP96" s="5">
        <f t="array" ref="DP96">_xlfn.IFS(
  ISBLANK(BS96), "Insufficient Evidence",
  BS96&gt;=65, "Strong",
  BS96&gt;=40, "Adequate",
  BS96&gt;=20, "Weak",
  TRUE, "Insufficient Evidence"
)</f>
        <v/>
      </c>
      <c r="DQ96" s="5">
        <f t="array" ref="DQ96">_xlfn.IFS(
  ISBLANK(BE96), "Insufficient Evidence",
  OR(AW96="Confirmed Violation", AX96="Confirmed Breach"), "Severe — Hard Trigger",
  BE96&gt;=65, "Strong",
  BE96&gt;=40, "Adequate",
  BE96&gt;=20, "Weak",
  TRUE, "Insufficient Evidence"
)</f>
        <v/>
      </c>
      <c r="DR96" s="5">
        <f t="array" ref="DR96">_xlfn.IFS(
  ISBLANK(CU96), "Insufficient Evidence",
  CU96&lt;=20, "Low Risk",
  CU96&lt;=50, "Moderate Risk",
  CU96&lt;=75, "High Risk",
  TRUE, "Very High Risk"
)</f>
        <v/>
      </c>
      <c r="DS96" s="5">
        <f t="array" ref="DS96">_xlfn.IFS(
  ISBLANK(CE96), "Insufficient Evidence",
  AND(ISNUMBER(BW96),ISNUMBER(BV96),BW96&gt;BV96), "Overclaiming Risk",
  CE96&gt;=65, "Strong",
  CE96&gt;=40, "Adequate",
  TRUE, "Weak"
)</f>
        <v/>
      </c>
      <c r="DT96" s="5">
        <f>IF(DB96="Yes — Automatic",0,ROUND((IF(ISNUMBER(AR96),AR96,0)*0.3+IF(ISNUMBER(BS96),BS96,0)*0.2+IF(ISNUMBER(BE96),BE96,0)*0.2+IF(ISNUMBER(CE96),CE96,0)*0.15+(100-IF(ISNUMBER(CU96),CU96,50))*0.15)*IF(DN96&gt;=75,1,IF(DN96&gt;=50,0.9,IF(DN96&gt;=25,0.75,0.6))),1))</f>
        <v/>
      </c>
      <c r="DU96" s="5">
        <f t="array" ref="DU96">_xlfn.IFS(
  DV96="Upgraded to Clear", "Clear",
  DV96="Downgraded to Watchlist", "Watchlist",
  DV96="Downgraded to Exclusion", "Exclusion Risk",
  DB96="Yes — Automatic", "Exclusion Risk",
  OR(AW96="Confirmed Violation", AX96="Confirmed Breach"), "Exclusion Risk",
  OR(V96=0, ISBLANK(V96), DN96&lt;20), "Insufficient Evidence",
  AND(DT96&gt;=65, DA96="No", DB96="No"), "Clear",
  OR(DT96&gt;=40, DA96="Yes"), "Watchlist",
  TRUE, "Exclusion Risk"
)</f>
        <v/>
      </c>
      <c r="DV96" s="5" t="n"/>
      <c r="DW96" s="5">
        <f t="array" ref="DW96">_xlfn.IFS(
  DU96="Exclusion Risk", "Exclude — Hard Trigger",
  DU96="Insufficient Evidence", "Watchlist — Further Evidence Needed",
  DU96="Watchlist", "Watchlist — Further Evidence Needed",
  AND(DU96="Clear", DT96&gt;=80), "Include — No Conditions",
  DU96="Clear", "Include — Monitor",
  TRUE, "Watchlist — Further Evidence Needed"
)</f>
        <v/>
      </c>
      <c r="DX96" s="5" t="n"/>
      <c r="DY96" s="5" t="n"/>
      <c r="DZ96" s="5" t="n"/>
      <c r="EA96" s="5" t="n"/>
      <c r="EB96" s="5">
        <f>IF(OR(V96=0, ISBLANK(V96)), "MISSING — No sources reviewed", "")</f>
        <v/>
      </c>
      <c r="EC96" s="5">
        <f>IF(AND(NOT(ISBLANK(DC96)), ISBLANK(DE96)), "PAGE REF MISSING", "")</f>
        <v/>
      </c>
    </row>
    <row r="97" ht="18" customHeight="1" s="60">
      <c r="A97" s="3" t="inlineStr">
        <is>
          <t>DNB Bank ASA</t>
        </is>
      </c>
      <c r="B97" s="3" t="inlineStr">
        <is>
          <t>D1NC</t>
        </is>
      </c>
      <c r="C97" s="3">
        <f>IF(ISBLANK('Universe Tracker'!D72),"",'Universe Tracker'!D72)</f>
        <v/>
      </c>
      <c r="D97" s="3" t="n"/>
      <c r="E97" s="3" t="n"/>
      <c r="F97" s="3">
        <f>IF(ISBLANK('Universe Tracker'!F72),"",'Universe Tracker'!F72)</f>
        <v/>
      </c>
      <c r="G97" s="3">
        <f>IF(ISBLANK('Universe Tracker'!G72),"",'Universe Tracker'!G72)</f>
        <v/>
      </c>
      <c r="H97" s="3" t="n"/>
      <c r="I97" s="3" t="n"/>
      <c r="J97" s="3">
        <f>IF(ISBLANK(B97),"",B97&amp;"_"&amp;C97)</f>
        <v/>
      </c>
      <c r="K97" s="3" t="n"/>
      <c r="L97" s="3" t="n"/>
      <c r="M97" s="3" t="n"/>
      <c r="N97" s="3" t="n"/>
      <c r="O97" s="3" t="n"/>
      <c r="P97" s="3" t="n"/>
      <c r="Q97" s="3" t="n"/>
      <c r="R97" s="3" t="n"/>
      <c r="S97" s="3" t="n"/>
      <c r="T97" s="3" t="n"/>
      <c r="U97" s="3" t="n"/>
      <c r="V97" s="3" t="n"/>
      <c r="W97" s="3" t="n"/>
      <c r="X97" s="3" t="n"/>
      <c r="Y97" s="3">
        <f>IF(AND(V97&gt;=2,K97="Yes",L97="Yes"),"Sufficient",IF(AND(V97&gt;=1,OR(K97="Yes",L97="Yes")),"Thin","Insufficient"))</f>
        <v/>
      </c>
      <c r="Z97" s="3" t="n"/>
      <c r="AA97" s="3" t="n"/>
      <c r="AB97" s="3" t="n"/>
      <c r="AC97" s="3" t="n"/>
      <c r="AD97" s="3" t="n"/>
      <c r="AE97" s="3" t="n"/>
      <c r="AF97" s="3" t="n"/>
      <c r="AG97" s="3" t="n"/>
      <c r="AH97" s="3" t="n"/>
      <c r="AI97" s="3" t="n"/>
      <c r="AJ97" s="3" t="n"/>
      <c r="AK97" s="3" t="n"/>
      <c r="AL97" s="3" t="n"/>
      <c r="AM97" s="3" t="n"/>
      <c r="AN97" s="3" t="n"/>
      <c r="AO97" s="3" t="n"/>
      <c r="AP97" s="3" t="n"/>
      <c r="AQ97" s="3" t="n"/>
      <c r="AR97" s="40">
        <f t="array" ref="AR97">MIN(100, MAX(0,
  IFERROR(_xlfn.XLOOKUP(AJ97,'Lookup Tables'!$A$2:$A$7,'Lookup Tables'!$B$2:$B$7,0),0)
  + IF(Z97="Yes", IF(IFERROR(_xlfn.XLOOKUP(AJ97,'Lookup Tables'!$A$2:$A$7,'Lookup Tables'!$B$2:$B$7,0),0)&lt;20, 5, 0), 0)
  + _xlfn.IFS(AB97="Yes", IF(ISNUMBER(AC97)*AND(AC97&lt;=2030),15,10), AB97="Long-term Only", 5, AB97="No", 0, TRUE, 0)
  + _xlfn.IFS(AF97="Full",10, AF97="Partial",5, AF97="Scope 2 Only",3, TRUE,0)
  + _xlfn.IFS(AG97="Yes", IF(ISNUMBER(AH97)*AND(AH97&gt;=5),10,6), AG97="Partial",4, TRUE,0)
  + _xlfn.IFS(AI97="Yes",5, AI97="Partial (material categories only)",3, TRUE,0)
  + _xlfn.IFS(AL97="Yes — Detailed",10, AL97="Yes — High Level",5, TRUE,0)
  + _xlfn.IFS(AM97="Yes — Quantified",15, AM97="Yes — Directional Only",7, TRUE,0)
  + _xlfn.IFS(AP97="Formal",5, AP97="Referenced",2, TRUE,0)
  + _xlfn.IFS(AQ97="No Issues Found",5, AQ97="Concern Identified",-5, AQ97="Severe Contradiction",-15, TRUE,0)
  + _xlfn.IFS(BC97="Reasonable Assurance",5, BC97="Limited Assurance",3, TRUE,0)
  - IF(AND(Z97="Yes", AI97="No"), 10, 0)
  - IF(AND(Z97="Yes", AM97="No"), 10, 0)
))</f>
        <v/>
      </c>
      <c r="AS97" s="3" t="n"/>
      <c r="AT97" s="3" t="n"/>
      <c r="AU97" s="3" t="n"/>
      <c r="AV97" s="3" t="n"/>
      <c r="AW97" s="3" t="n"/>
      <c r="AX97" s="3" t="n"/>
      <c r="AY97" s="3" t="n"/>
      <c r="AZ97" s="3" t="n"/>
      <c r="BA97" s="3" t="n"/>
      <c r="BB97" s="3" t="n"/>
      <c r="BC97" s="3" t="n"/>
      <c r="BD97" s="3" t="n"/>
      <c r="BE97" s="40">
        <f t="array" ref="BE97">MIN(100, MAX(0,
  IFERROR(_xlfn.XLOOKUP(AT97,'Lookup Tables'!$D$2:$D$6,'Lookup Tables'!$E$2:$E$6,0),0)
  + IFERROR(_xlfn.XLOOKUP(AV97,'Lookup Tables'!$G$2:$G$5,'Lookup Tables'!$H$2:$H$5,0),0)
  + IFERROR(_xlfn.XLOOKUP(AW97,'Lookup Tables'!$J$2:$J$5,'Lookup Tables'!$K$2:$K$5,0),0)
  + _xlfn.IFS(AX97="No Issues",10, AX97="Complaint Filed",3, AX97="Confirmed Breach",-15, TRUE,0)
  + IFERROR(_xlfn.XLOOKUP(AY97,'Lookup Tables'!$M$2:$M$6,'Lookup Tables'!$N$2:$N$6,0),0)
  + IFERROR(_xlfn.XLOOKUP(AZ97,'Lookup Tables'!$P$2:$P$6,'Lookup Tables'!$Q$2:$Q$6,0),0)
  + _xlfn.IFS(BA97="Formal Board Committee",5, BA97="Board Oversight Mentioned",2, TRUE,0)
  + _xlfn.IFS(BB97="Yes — Quantified Targets",5, BB97="Yes — Discretionary Only",2, TRUE,0)
  + _xlfn.IFS(BC97="Reasonable Assurance",5, BC97="Limited Assurance",3, BC97="Management Review Only",1, TRUE,0)
))</f>
        <v/>
      </c>
      <c r="BF97" s="3" t="n"/>
      <c r="BG97" s="3" t="n"/>
      <c r="BH97" s="3" t="n"/>
      <c r="BI97" s="3" t="n"/>
      <c r="BJ97" s="3" t="n"/>
      <c r="BK97" s="3" t="n"/>
      <c r="BL97" s="3" t="n"/>
      <c r="BM97" s="3" t="n"/>
      <c r="BN97" s="3" t="n"/>
      <c r="BO97" s="3" t="n"/>
      <c r="BP97" s="3" t="n"/>
      <c r="BQ97" s="3" t="n"/>
      <c r="BR97" s="3" t="n"/>
      <c r="BS97" s="42">
        <f t="array" ref="BS97">MIN(100, MAX(0,
  IFERROR(_xlfn.XLOOKUP(BG97,'Lookup Tables'!$A$11:$A$16,'Lookup Tables'!$B$11:$B$16,0),0)
  + IFERROR(_xlfn.XLOOKUP(BR97,'Lookup Tables'!$M$11:$M$14,'Lookup Tables'!$N$11:$N$14,0),0)
  + IFERROR(_xlfn.XLOOKUP(BQ97,'Lookup Tables'!$J$11:$J$15,'Lookup Tables'!$K$11:$K$15,0),0)
  + IFERROR(_xlfn.XLOOKUP(BH97,'Lookup Tables'!$D$11:$D$15,'Lookup Tables'!$E$11:$E$15,0),0)
  + IFERROR(_xlfn.XLOOKUP(BJ97,'Lookup Tables'!$G$11:$G$16,'Lookup Tables'!$H$11:$H$16,0),0)
  + IFERROR(_xlfn.XLOOKUP(BN97,'Lookup Tables'!$P$11:$P$15,'Lookup Tables'!$Q$11:$Q$15,0),0)
  + _xlfn.IFS(BM97="No Evidence",10, BM97="Unknown",3, BM97="Likely",0, BM97="Confirmed",-10, TRUE,3)
  + IFERROR(_xlfn.XLOOKUP(BP97,'Lookup Tables'!$J$21:$J$24,'Lookup Tables'!$K$21:$K$24,0),0)
))</f>
        <v/>
      </c>
      <c r="BT97" s="3" t="n"/>
      <c r="BU97" s="3" t="n"/>
      <c r="BV97" s="3" t="n"/>
      <c r="BW97" s="3" t="n"/>
      <c r="BX97" s="3" t="n"/>
      <c r="BY97" s="3" t="n"/>
      <c r="BZ97" s="3" t="n"/>
      <c r="CA97" s="3" t="n"/>
      <c r="CB97" s="3" t="n"/>
      <c r="CC97" s="3" t="n"/>
      <c r="CD97" s="3" t="n"/>
      <c r="CE97" s="44">
        <f t="array" ref="CE97">MIN(100, MAX(0,
  IF(ISNUMBER(BV97)*AND(BV97&gt;0), 10, 0)
  + _xlfn.IFS(BY97="Independently Verified",25, BY97="Yes",15, TRUE,0)
  + IFERROR(_xlfn.XLOOKUP(BZ97,'Lookup Tables'!$A$21:$A$24,'Lookup Tables'!$B$21:$B$24,0),0)
  + IFERROR(_xlfn.XLOOKUP(CA97,'Lookup Tables'!$D$21:$D$24,'Lookup Tables'!$E$21:$E$24,0),0)
  + _xlfn.IFS(ISNUMBER(CB97)*AND(CB97&gt;=11),15, ISNUMBER(CB97)*AND(CB97&gt;=6),10, ISNUMBER(CB97)*AND(CB97&gt;=1),5, TRUE,0)
  + IFERROR(_xlfn.XLOOKUP(CC97,'Lookup Tables'!$G$21:$G$25,'Lookup Tables'!$H$21:$H$25,0),0)
  - IF(ISNUMBER(BW97)*AND(ISNUMBER(BV97))*AND(BW97&gt;BV97), 20, 0)
  - IF(AND(BY97="Yes", ISNUMBER(BW97), BW97&gt;60), 10, 0)
))</f>
        <v/>
      </c>
      <c r="CF97" s="3" t="n"/>
      <c r="CG97" s="3" t="n"/>
      <c r="CH97" s="3" t="n"/>
      <c r="CI97" s="3" t="n"/>
      <c r="CJ97" s="3" t="n"/>
      <c r="CK97" s="3" t="n"/>
      <c r="CL97" s="3" t="n"/>
      <c r="CM97" s="3" t="n"/>
      <c r="CN97" s="3" t="n"/>
      <c r="CO97" s="3" t="n"/>
      <c r="CP97" s="3" t="n"/>
      <c r="CQ97" s="3" t="n"/>
      <c r="CR97" s="3">
        <f>COUNTIF(CJ97:CQ97,"FAIL")</f>
        <v/>
      </c>
      <c r="CS97" s="3">
        <f>COUNTIF(CJ97:CQ97,"PARTIAL")</f>
        <v/>
      </c>
      <c r="CT97" s="3">
        <f>COUNTIF(CJ97:CQ97,"MISSING")</f>
        <v/>
      </c>
      <c r="CU97" s="3">
        <f>MIN(100,
  CR97*15
  + CS97*6
  + CT97*3
  + IFERROR(_xlfn.XLOOKUP(CW97,'Lookup Tables'!$M$21:$M$25,'Lookup Tables'!$N$21:$N$25,0),0)
)</f>
        <v/>
      </c>
      <c r="CV97" s="3">
        <f>IFERROR(
CHOOSE(
MATCH("FAIL",CJ97:CQ97,0),
"1-Specificity","2-Metric","3-Baseline","4-Target",
"5-Time Horizon","6-Scope","7-Verification","8-Consistency"
),
IFERROR(
CHOOSE(
MATCH("PARTIAL",CJ97:CQ97,0),
"1-Specificity","2-Metric","3-Baseline","4-Target",
"5-Time Horizon","6-Scope","7-Verification","8-Consistency"
),
"No failures"
)
)</f>
        <v/>
      </c>
      <c r="CW97" s="3" t="n"/>
      <c r="CX97" s="3" t="n"/>
      <c r="CY97" s="3" t="n"/>
      <c r="CZ97" s="3" t="n"/>
      <c r="DA97" s="3">
        <f>IF(OR(CU97&gt;=50,CW97="Material",CW97="Severe",AS97="Material",AS97="Severe",BF97="Material",BF97="Severe — Exclusion Trigger",AND(ISNUMBER(BS97),BS97&lt;30)),"Yes","No")</f>
        <v/>
      </c>
      <c r="DB97" s="3">
        <f>IF(OR(CR97&gt;=6,AW97="Confirmed Violation",AX97="Confirmed Breach"),"Yes — Automatic",IF(CW97="Severe","Yes — Requires Captain Confirmation","No"))</f>
        <v/>
      </c>
      <c r="DC97" s="3" t="n"/>
      <c r="DD97" s="3" t="n"/>
      <c r="DE97" s="3" t="n"/>
      <c r="DF97" s="3" t="n"/>
      <c r="DG97" s="3" t="n"/>
      <c r="DH97" s="3" t="n"/>
      <c r="DI97" s="3" t="n"/>
      <c r="DJ97" s="3" t="n"/>
      <c r="DK97" s="3" t="n"/>
      <c r="DL97" s="3">
        <f>IF(OR(IFERROR(VALUE(LEFT(DF97,1)),99)&lt;=2,IFERROR(VALUE(LEFT(DG97,1)),99)&lt;=2),"Flagged","Clear")</f>
        <v/>
      </c>
      <c r="DM97" s="3">
        <f>IF(OR(DA97="Yes",DB97&lt;&gt;"No",DH97="Unverified",DL97="Flagged"),"Yes","No")</f>
        <v/>
      </c>
      <c r="DN97" s="3">
        <f t="array" ref="DN97">MIN(100,
  IF(ISNUMBER(V97), _xlfn.IFS(V97&gt;=3,25, V97=2,15, V97=1,5, TRUE,0), 0)
  + IFERROR(_xlfn.IFS(VALUE(LEFT(DF97,1))=5,25, VALUE(LEFT(DF97,1))=4,20, VALUE(LEFT(DF97,1))=3,15, VALUE(LEFT(DF97,1))=2,8, TRUE,0), 15)
  + IFERROR(_xlfn.IFS(VALUE(LEFT(DG97,1))=5,25, VALUE(LEFT(DG97,1))=4,20, VALUE(LEFT(DG97,1))=3,15, VALUE(LEFT(DG97,1))=2,8, TRUE,0), 15)
  + _xlfn.IFS(DH97="Fully Verified",25, DH97="Partially Verified",12, TRUE,0)
)</f>
        <v/>
      </c>
      <c r="DO97" s="3">
        <f t="array" ref="DO97">_xlfn.IFS(
  ISBLANK(AR97), "Insufficient Evidence",
  AND(AR97&gt;=65, AJ97="Approved"), "Strong",
  AR97&gt;=65, "Adequate",
  AR97&gt;=40, "Adequate",
  AR97&gt;=20, "Weak",
  TRUE, "Insufficient Evidence"
)</f>
        <v/>
      </c>
      <c r="DP97" s="3">
        <f t="array" ref="DP97">_xlfn.IFS(
  ISBLANK(BS97), "Insufficient Evidence",
  BS97&gt;=65, "Strong",
  BS97&gt;=40, "Adequate",
  BS97&gt;=20, "Weak",
  TRUE, "Insufficient Evidence"
)</f>
        <v/>
      </c>
      <c r="DQ97" s="3">
        <f t="array" ref="DQ97">_xlfn.IFS(
  ISBLANK(BE97), "Insufficient Evidence",
  OR(AW97="Confirmed Violation", AX97="Confirmed Breach"), "Severe — Hard Trigger",
  BE97&gt;=65, "Strong",
  BE97&gt;=40, "Adequate",
  BE97&gt;=20, "Weak",
  TRUE, "Insufficient Evidence"
)</f>
        <v/>
      </c>
      <c r="DR97" s="3">
        <f t="array" ref="DR97">_xlfn.IFS(
  ISBLANK(CU97), "Insufficient Evidence",
  CU97&lt;=20, "Low Risk",
  CU97&lt;=50, "Moderate Risk",
  CU97&lt;=75, "High Risk",
  TRUE, "Very High Risk"
)</f>
        <v/>
      </c>
      <c r="DS97" s="3">
        <f t="array" ref="DS97">_xlfn.IFS(
  ISBLANK(CE97), "Insufficient Evidence",
  AND(ISNUMBER(BW97),ISNUMBER(BV97),BW97&gt;BV97), "Overclaiming Risk",
  CE97&gt;=65, "Strong",
  CE97&gt;=40, "Adequate",
  TRUE, "Weak"
)</f>
        <v/>
      </c>
      <c r="DT97" s="3">
        <f>IF(DB97="Yes — Automatic",0,ROUND((IF(ISNUMBER(AR97),AR97,0)*0.3+IF(ISNUMBER(BS97),BS97,0)*0.2+IF(ISNUMBER(BE97),BE97,0)*0.2+IF(ISNUMBER(CE97),CE97,0)*0.15+(100-IF(ISNUMBER(CU97),CU97,50))*0.15)*IF(DN97&gt;=75,1,IF(DN97&gt;=50,0.9,IF(DN97&gt;=25,0.75,0.6))),1))</f>
        <v/>
      </c>
      <c r="DU97" s="3">
        <f t="array" ref="DU97">_xlfn.IFS(
  DV97="Upgraded to Clear", "Clear",
  DV97="Downgraded to Watchlist", "Watchlist",
  DV97="Downgraded to Exclusion", "Exclusion Risk",
  DB97="Yes — Automatic", "Exclusion Risk",
  OR(AW97="Confirmed Violation", AX97="Confirmed Breach"), "Exclusion Risk",
  OR(V97=0, ISBLANK(V97), DN97&lt;20), "Insufficient Evidence",
  AND(DT97&gt;=65, DA97="No", DB97="No"), "Clear",
  OR(DT97&gt;=40, DA97="Yes"), "Watchlist",
  TRUE, "Exclusion Risk"
)</f>
        <v/>
      </c>
      <c r="DV97" s="3" t="n"/>
      <c r="DW97" s="3">
        <f t="array" ref="DW97">_xlfn.IFS(
  DU97="Exclusion Risk", "Exclude — Hard Trigger",
  DU97="Insufficient Evidence", "Watchlist — Further Evidence Needed",
  DU97="Watchlist", "Watchlist — Further Evidence Needed",
  AND(DU97="Clear", DT97&gt;=80), "Include — No Conditions",
  DU97="Clear", "Include — Monitor",
  TRUE, "Watchlist — Further Evidence Needed"
)</f>
        <v/>
      </c>
      <c r="DX97" s="3" t="n"/>
      <c r="DY97" s="3" t="n"/>
      <c r="DZ97" s="3" t="n"/>
      <c r="EA97" s="3" t="n"/>
      <c r="EB97" s="3">
        <f>IF(OR(V97=0, ISBLANK(V97)), "MISSING — No sources reviewed", "")</f>
        <v/>
      </c>
      <c r="EC97" s="3">
        <f>IF(AND(NOT(ISBLANK(DC97)), ISBLANK(DE97)), "PAGE REF MISSING", "")</f>
        <v/>
      </c>
    </row>
    <row r="98" ht="18" customHeight="1" s="60">
      <c r="A98" s="5" t="inlineStr">
        <is>
          <t>VAT Group AG</t>
        </is>
      </c>
      <c r="B98" s="5" t="inlineStr">
        <is>
          <t>19V</t>
        </is>
      </c>
      <c r="C98" s="5">
        <f>IF(ISBLANK('Universe Tracker'!D73),"",'Universe Tracker'!D73)</f>
        <v/>
      </c>
      <c r="D98" s="5" t="n"/>
      <c r="E98" s="5" t="n"/>
      <c r="F98" s="5">
        <f>IF(ISBLANK('Universe Tracker'!F73),"",'Universe Tracker'!F73)</f>
        <v/>
      </c>
      <c r="G98" s="5">
        <f>IF(ISBLANK('Universe Tracker'!G73),"",'Universe Tracker'!G73)</f>
        <v/>
      </c>
      <c r="H98" s="5" t="n"/>
      <c r="I98" s="5" t="n"/>
      <c r="J98" s="5">
        <f>IF(ISBLANK(B98),"",B98&amp;"_"&amp;C98)</f>
        <v/>
      </c>
      <c r="K98" s="5" t="n"/>
      <c r="L98" s="5" t="n"/>
      <c r="M98" s="5" t="n"/>
      <c r="N98" s="5" t="n"/>
      <c r="O98" s="5" t="n"/>
      <c r="P98" s="5" t="n"/>
      <c r="Q98" s="5" t="n"/>
      <c r="R98" s="5" t="n"/>
      <c r="S98" s="5" t="n"/>
      <c r="T98" s="5" t="n"/>
      <c r="U98" s="5" t="n"/>
      <c r="V98" s="5" t="n"/>
      <c r="W98" s="5" t="n"/>
      <c r="X98" s="5" t="n"/>
      <c r="Y98" s="5">
        <f>IF(AND(V98&gt;=2,K98="Yes",L98="Yes"),"Sufficient",IF(AND(V98&gt;=1,OR(K98="Yes",L98="Yes")),"Thin","Insufficient"))</f>
        <v/>
      </c>
      <c r="Z98" s="5" t="n"/>
      <c r="AA98" s="5" t="n"/>
      <c r="AB98" s="5" t="n"/>
      <c r="AC98" s="5" t="n"/>
      <c r="AD98" s="5" t="n"/>
      <c r="AE98" s="5" t="n"/>
      <c r="AF98" s="5" t="n"/>
      <c r="AG98" s="5" t="n"/>
      <c r="AH98" s="5" t="n"/>
      <c r="AI98" s="5" t="n"/>
      <c r="AJ98" s="5" t="n"/>
      <c r="AK98" s="5" t="n"/>
      <c r="AL98" s="5" t="n"/>
      <c r="AM98" s="5" t="n"/>
      <c r="AN98" s="5" t="n"/>
      <c r="AO98" s="5" t="n"/>
      <c r="AP98" s="5" t="n"/>
      <c r="AQ98" s="5" t="n"/>
      <c r="AR98" s="40">
        <f t="array" ref="AR98">MIN(100, MAX(0,
  IFERROR(_xlfn.XLOOKUP(AJ98,'Lookup Tables'!$A$2:$A$7,'Lookup Tables'!$B$2:$B$7,0),0)
  + IF(Z98="Yes", IF(IFERROR(_xlfn.XLOOKUP(AJ98,'Lookup Tables'!$A$2:$A$7,'Lookup Tables'!$B$2:$B$7,0),0)&lt;20, 5, 0), 0)
  + _xlfn.IFS(AB98="Yes", IF(ISNUMBER(AC98)*AND(AC98&lt;=2030),15,10), AB98="Long-term Only", 5, AB98="No", 0, TRUE, 0)
  + _xlfn.IFS(AF98="Full",10, AF98="Partial",5, AF98="Scope 2 Only",3, TRUE,0)
  + _xlfn.IFS(AG98="Yes", IF(ISNUMBER(AH98)*AND(AH98&gt;=5),10,6), AG98="Partial",4, TRUE,0)
  + _xlfn.IFS(AI98="Yes",5, AI98="Partial (material categories only)",3, TRUE,0)
  + _xlfn.IFS(AL98="Yes — Detailed",10, AL98="Yes — High Level",5, TRUE,0)
  + _xlfn.IFS(AM98="Yes — Quantified",15, AM98="Yes — Directional Only",7, TRUE,0)
  + _xlfn.IFS(AP98="Formal",5, AP98="Referenced",2, TRUE,0)
  + _xlfn.IFS(AQ98="No Issues Found",5, AQ98="Concern Identified",-5, AQ98="Severe Contradiction",-15, TRUE,0)
  + _xlfn.IFS(BC98="Reasonable Assurance",5, BC98="Limited Assurance",3, TRUE,0)
  - IF(AND(Z98="Yes", AI98="No"), 10, 0)
  - IF(AND(Z98="Yes", AM98="No"), 10, 0)
))</f>
        <v/>
      </c>
      <c r="AS98" s="5" t="n"/>
      <c r="AT98" s="5" t="n"/>
      <c r="AU98" s="5" t="n"/>
      <c r="AV98" s="5" t="n"/>
      <c r="AW98" s="5" t="n"/>
      <c r="AX98" s="5" t="n"/>
      <c r="AY98" s="5" t="n"/>
      <c r="AZ98" s="5" t="n"/>
      <c r="BA98" s="5" t="n"/>
      <c r="BB98" s="5" t="n"/>
      <c r="BC98" s="5" t="n"/>
      <c r="BD98" s="5" t="n"/>
      <c r="BE98" s="39">
        <f t="array" ref="BE98">MIN(100, MAX(0,
  IFERROR(_xlfn.XLOOKUP(AT98,'Lookup Tables'!$D$2:$D$6,'Lookup Tables'!$E$2:$E$6,0),0)
  + IFERROR(_xlfn.XLOOKUP(AV98,'Lookup Tables'!$G$2:$G$5,'Lookup Tables'!$H$2:$H$5,0),0)
  + IFERROR(_xlfn.XLOOKUP(AW98,'Lookup Tables'!$J$2:$J$5,'Lookup Tables'!$K$2:$K$5,0),0)
  + _xlfn.IFS(AX98="No Issues",10, AX98="Complaint Filed",3, AX98="Confirmed Breach",-15, TRUE,0)
  + IFERROR(_xlfn.XLOOKUP(AY98,'Lookup Tables'!$M$2:$M$6,'Lookup Tables'!$N$2:$N$6,0),0)
  + IFERROR(_xlfn.XLOOKUP(AZ98,'Lookup Tables'!$P$2:$P$6,'Lookup Tables'!$Q$2:$Q$6,0),0)
  + _xlfn.IFS(BA98="Formal Board Committee",5, BA98="Board Oversight Mentioned",2, TRUE,0)
  + _xlfn.IFS(BB98="Yes — Quantified Targets",5, BB98="Yes — Discretionary Only",2, TRUE,0)
  + _xlfn.IFS(BC98="Reasonable Assurance",5, BC98="Limited Assurance",3, BC98="Management Review Only",1, TRUE,0)
))</f>
        <v/>
      </c>
      <c r="BF98" s="5" t="n"/>
      <c r="BG98" s="5" t="n"/>
      <c r="BH98" s="5" t="n"/>
      <c r="BI98" s="5" t="n"/>
      <c r="BJ98" s="5" t="n"/>
      <c r="BK98" s="5" t="n"/>
      <c r="BL98" s="5" t="n"/>
      <c r="BM98" s="5" t="n"/>
      <c r="BN98" s="5" t="n"/>
      <c r="BO98" s="5" t="n"/>
      <c r="BP98" s="5" t="n"/>
      <c r="BQ98" s="5" t="n"/>
      <c r="BR98" s="5" t="n"/>
      <c r="BS98" s="41">
        <f t="array" ref="BS98">MIN(100, MAX(0,
  IFERROR(_xlfn.XLOOKUP(BG98,'Lookup Tables'!$A$11:$A$16,'Lookup Tables'!$B$11:$B$16,0),0)
  + IFERROR(_xlfn.XLOOKUP(BR98,'Lookup Tables'!$M$11:$M$14,'Lookup Tables'!$N$11:$N$14,0),0)
  + IFERROR(_xlfn.XLOOKUP(BQ98,'Lookup Tables'!$J$11:$J$15,'Lookup Tables'!$K$11:$K$15,0),0)
  + IFERROR(_xlfn.XLOOKUP(BH98,'Lookup Tables'!$D$11:$D$15,'Lookup Tables'!$E$11:$E$15,0),0)
  + IFERROR(_xlfn.XLOOKUP(BJ98,'Lookup Tables'!$G$11:$G$16,'Lookup Tables'!$H$11:$H$16,0),0)
  + IFERROR(_xlfn.XLOOKUP(BN98,'Lookup Tables'!$P$11:$P$15,'Lookup Tables'!$Q$11:$Q$15,0),0)
  + _xlfn.IFS(BM98="No Evidence",10, BM98="Unknown",3, BM98="Likely",0, BM98="Confirmed",-10, TRUE,3)
  + IFERROR(_xlfn.XLOOKUP(BP98,'Lookup Tables'!$J$21:$J$24,'Lookup Tables'!$K$21:$K$24,0),0)
))</f>
        <v/>
      </c>
      <c r="BT98" s="5" t="n"/>
      <c r="BU98" s="5" t="n"/>
      <c r="BV98" s="5" t="n"/>
      <c r="BW98" s="5" t="n"/>
      <c r="BX98" s="5" t="n"/>
      <c r="BY98" s="5" t="n"/>
      <c r="BZ98" s="5" t="n"/>
      <c r="CA98" s="5" t="n"/>
      <c r="CB98" s="5" t="n"/>
      <c r="CC98" s="5" t="n"/>
      <c r="CD98" s="5" t="n"/>
      <c r="CE98" s="43">
        <f t="array" ref="CE98">MIN(100, MAX(0,
  IF(ISNUMBER(BV98)*AND(BV98&gt;0), 10, 0)
  + _xlfn.IFS(BY98="Independently Verified",25, BY98="Yes",15, TRUE,0)
  + IFERROR(_xlfn.XLOOKUP(BZ98,'Lookup Tables'!$A$21:$A$24,'Lookup Tables'!$B$21:$B$24,0),0)
  + IFERROR(_xlfn.XLOOKUP(CA98,'Lookup Tables'!$D$21:$D$24,'Lookup Tables'!$E$21:$E$24,0),0)
  + _xlfn.IFS(ISNUMBER(CB98)*AND(CB98&gt;=11),15, ISNUMBER(CB98)*AND(CB98&gt;=6),10, ISNUMBER(CB98)*AND(CB98&gt;=1),5, TRUE,0)
  + IFERROR(_xlfn.XLOOKUP(CC98,'Lookup Tables'!$G$21:$G$25,'Lookup Tables'!$H$21:$H$25,0),0)
  - IF(ISNUMBER(BW98)*AND(ISNUMBER(BV98))*AND(BW98&gt;BV98), 20, 0)
  - IF(AND(BY98="Yes", ISNUMBER(BW98), BW98&gt;60), 10, 0)
))</f>
        <v/>
      </c>
      <c r="CF98" s="5" t="n"/>
      <c r="CG98" s="5" t="n"/>
      <c r="CH98" s="5" t="n"/>
      <c r="CI98" s="5" t="n"/>
      <c r="CJ98" s="5" t="n"/>
      <c r="CK98" s="5" t="n"/>
      <c r="CL98" s="5" t="n"/>
      <c r="CM98" s="5" t="n"/>
      <c r="CN98" s="5" t="n"/>
      <c r="CO98" s="5" t="n"/>
      <c r="CP98" s="5" t="n"/>
      <c r="CQ98" s="5" t="n"/>
      <c r="CR98" s="5">
        <f>COUNTIF(CJ98:CQ98,"FAIL")</f>
        <v/>
      </c>
      <c r="CS98" s="5">
        <f>COUNTIF(CJ98:CQ98,"PARTIAL")</f>
        <v/>
      </c>
      <c r="CT98" s="5">
        <f>COUNTIF(CJ98:CQ98,"MISSING")</f>
        <v/>
      </c>
      <c r="CU98" s="5">
        <f>MIN(100,
  CR98*15
  + CS98*6
  + CT98*3
  + IFERROR(_xlfn.XLOOKUP(CW98,'Lookup Tables'!$M$21:$M$25,'Lookup Tables'!$N$21:$N$25,0),0)
)</f>
        <v/>
      </c>
      <c r="CV98" s="5">
        <f>IFERROR(
CHOOSE(
MATCH("FAIL",CJ98:CQ98,0),
"1-Specificity","2-Metric","3-Baseline","4-Target",
"5-Time Horizon","6-Scope","7-Verification","8-Consistency"
),
IFERROR(
CHOOSE(
MATCH("PARTIAL",CJ98:CQ98,0),
"1-Specificity","2-Metric","3-Baseline","4-Target",
"5-Time Horizon","6-Scope","7-Verification","8-Consistency"
),
"No failures"
)
)</f>
        <v/>
      </c>
      <c r="CW98" s="5" t="n"/>
      <c r="CX98" s="5" t="n"/>
      <c r="CY98" s="5" t="n"/>
      <c r="CZ98" s="5" t="n"/>
      <c r="DA98" s="5">
        <f>IF(OR(CU98&gt;=50,CW98="Material",CW98="Severe",AS98="Material",AS98="Severe",BF98="Material",BF98="Severe — Exclusion Trigger",AND(ISNUMBER(BS98),BS98&lt;30)),"Yes","No")</f>
        <v/>
      </c>
      <c r="DB98" s="5">
        <f>IF(OR(CR98&gt;=6,AW98="Confirmed Violation",AX98="Confirmed Breach"),"Yes — Automatic",IF(CW98="Severe","Yes — Requires Captain Confirmation","No"))</f>
        <v/>
      </c>
      <c r="DC98" s="5" t="n"/>
      <c r="DD98" s="5" t="n"/>
      <c r="DE98" s="5" t="n"/>
      <c r="DF98" s="5" t="n"/>
      <c r="DG98" s="5" t="n"/>
      <c r="DH98" s="5" t="n"/>
      <c r="DI98" s="5" t="n"/>
      <c r="DJ98" s="5" t="n"/>
      <c r="DK98" s="5" t="n"/>
      <c r="DL98" s="5">
        <f>IF(OR(IFERROR(VALUE(LEFT(DF98,1)),99)&lt;=2,IFERROR(VALUE(LEFT(DG98,1)),99)&lt;=2),"Flagged","Clear")</f>
        <v/>
      </c>
      <c r="DM98" s="5">
        <f>IF(OR(DA98="Yes",DB98&lt;&gt;"No",DH98="Unverified",DL98="Flagged"),"Yes","No")</f>
        <v/>
      </c>
      <c r="DN98" s="5">
        <f t="array" ref="DN98">MIN(100,
  IF(ISNUMBER(V98), _xlfn.IFS(V98&gt;=3,25, V98=2,15, V98=1,5, TRUE,0), 0)
  + IFERROR(_xlfn.IFS(VALUE(LEFT(DF98,1))=5,25, VALUE(LEFT(DF98,1))=4,20, VALUE(LEFT(DF98,1))=3,15, VALUE(LEFT(DF98,1))=2,8, TRUE,0), 15)
  + IFERROR(_xlfn.IFS(VALUE(LEFT(DG98,1))=5,25, VALUE(LEFT(DG98,1))=4,20, VALUE(LEFT(DG98,1))=3,15, VALUE(LEFT(DG98,1))=2,8, TRUE,0), 15)
  + _xlfn.IFS(DH98="Fully Verified",25, DH98="Partially Verified",12, TRUE,0)
)</f>
        <v/>
      </c>
      <c r="DO98" s="5">
        <f t="array" ref="DO98">_xlfn.IFS(
  ISBLANK(AR98), "Insufficient Evidence",
  AND(AR98&gt;=65, AJ98="Approved"), "Strong",
  AR98&gt;=65, "Adequate",
  AR98&gt;=40, "Adequate",
  AR98&gt;=20, "Weak",
  TRUE, "Insufficient Evidence"
)</f>
        <v/>
      </c>
      <c r="DP98" s="5">
        <f t="array" ref="DP98">_xlfn.IFS(
  ISBLANK(BS98), "Insufficient Evidence",
  BS98&gt;=65, "Strong",
  BS98&gt;=40, "Adequate",
  BS98&gt;=20, "Weak",
  TRUE, "Insufficient Evidence"
)</f>
        <v/>
      </c>
      <c r="DQ98" s="5">
        <f t="array" ref="DQ98">_xlfn.IFS(
  ISBLANK(BE98), "Insufficient Evidence",
  OR(AW98="Confirmed Violation", AX98="Confirmed Breach"), "Severe — Hard Trigger",
  BE98&gt;=65, "Strong",
  BE98&gt;=40, "Adequate",
  BE98&gt;=20, "Weak",
  TRUE, "Insufficient Evidence"
)</f>
        <v/>
      </c>
      <c r="DR98" s="5">
        <f t="array" ref="DR98">_xlfn.IFS(
  ISBLANK(CU98), "Insufficient Evidence",
  CU98&lt;=20, "Low Risk",
  CU98&lt;=50, "Moderate Risk",
  CU98&lt;=75, "High Risk",
  TRUE, "Very High Risk"
)</f>
        <v/>
      </c>
      <c r="DS98" s="5">
        <f t="array" ref="DS98">_xlfn.IFS(
  ISBLANK(CE98), "Insufficient Evidence",
  AND(ISNUMBER(BW98),ISNUMBER(BV98),BW98&gt;BV98), "Overclaiming Risk",
  CE98&gt;=65, "Strong",
  CE98&gt;=40, "Adequate",
  TRUE, "Weak"
)</f>
        <v/>
      </c>
      <c r="DT98" s="5">
        <f>IF(DB98="Yes — Automatic",0,ROUND((IF(ISNUMBER(AR98),AR98,0)*0.3+IF(ISNUMBER(BS98),BS98,0)*0.2+IF(ISNUMBER(BE98),BE98,0)*0.2+IF(ISNUMBER(CE98),CE98,0)*0.15+(100-IF(ISNUMBER(CU98),CU98,50))*0.15)*IF(DN98&gt;=75,1,IF(DN98&gt;=50,0.9,IF(DN98&gt;=25,0.75,0.6))),1))</f>
        <v/>
      </c>
      <c r="DU98" s="5">
        <f t="array" ref="DU98">_xlfn.IFS(
  DV98="Upgraded to Clear", "Clear",
  DV98="Downgraded to Watchlist", "Watchlist",
  DV98="Downgraded to Exclusion", "Exclusion Risk",
  DB98="Yes — Automatic", "Exclusion Risk",
  OR(AW98="Confirmed Violation", AX98="Confirmed Breach"), "Exclusion Risk",
  OR(V98=0, ISBLANK(V98), DN98&lt;20), "Insufficient Evidence",
  AND(DT98&gt;=65, DA98="No", DB98="No"), "Clear",
  OR(DT98&gt;=40, DA98="Yes"), "Watchlist",
  TRUE, "Exclusion Risk"
)</f>
        <v/>
      </c>
      <c r="DV98" s="5" t="n"/>
      <c r="DW98" s="5">
        <f t="array" ref="DW98">_xlfn.IFS(
  DU98="Exclusion Risk", "Exclude — Hard Trigger",
  DU98="Insufficient Evidence", "Watchlist — Further Evidence Needed",
  DU98="Watchlist", "Watchlist — Further Evidence Needed",
  AND(DU98="Clear", DT98&gt;=80), "Include — No Conditions",
  DU98="Clear", "Include — Monitor",
  TRUE, "Watchlist — Further Evidence Needed"
)</f>
        <v/>
      </c>
      <c r="DX98" s="5" t="n"/>
      <c r="DY98" s="5" t="n"/>
      <c r="DZ98" s="5" t="n"/>
      <c r="EA98" s="5" t="n"/>
      <c r="EB98" s="5">
        <f>IF(OR(V98=0, ISBLANK(V98)), "MISSING — No sources reviewed", "")</f>
        <v/>
      </c>
      <c r="EC98" s="5">
        <f>IF(AND(NOT(ISBLANK(DC98)), ISBLANK(DE98)), "PAGE REF MISSING", "")</f>
        <v/>
      </c>
    </row>
    <row r="99" ht="18" customHeight="1" s="60">
      <c r="A99" s="3" t="inlineStr">
        <is>
          <t>Banco Santander SA</t>
        </is>
      </c>
      <c r="B99" s="3" t="inlineStr">
        <is>
          <t>BSD2</t>
        </is>
      </c>
      <c r="C99" s="3">
        <f>IF(ISBLANK('Universe Tracker'!D74),"",'Universe Tracker'!D74)</f>
        <v/>
      </c>
      <c r="D99" s="3" t="n"/>
      <c r="E99" s="3" t="n"/>
      <c r="F99" s="3">
        <f>IF(ISBLANK('Universe Tracker'!F74),"",'Universe Tracker'!F74)</f>
        <v/>
      </c>
      <c r="G99" s="3">
        <f>IF(ISBLANK('Universe Tracker'!G74),"",'Universe Tracker'!G74)</f>
        <v/>
      </c>
      <c r="H99" s="3" t="n"/>
      <c r="I99" s="3" t="n"/>
      <c r="J99" s="3">
        <f>IF(ISBLANK(B99),"",B99&amp;"_"&amp;C99)</f>
        <v/>
      </c>
      <c r="K99" s="3" t="n"/>
      <c r="L99" s="3" t="n"/>
      <c r="M99" s="3" t="n"/>
      <c r="N99" s="3" t="n"/>
      <c r="O99" s="3" t="n"/>
      <c r="P99" s="3" t="n"/>
      <c r="Q99" s="3" t="n"/>
      <c r="R99" s="3" t="n"/>
      <c r="S99" s="3" t="n"/>
      <c r="T99" s="3" t="n"/>
      <c r="U99" s="3" t="n"/>
      <c r="V99" s="3" t="n"/>
      <c r="W99" s="3" t="n"/>
      <c r="X99" s="3" t="n"/>
      <c r="Y99" s="3">
        <f>IF(AND(V99&gt;=2,K99="Yes",L99="Yes"),"Sufficient",IF(AND(V99&gt;=1,OR(K99="Yes",L99="Yes")),"Thin","Insufficient"))</f>
        <v/>
      </c>
      <c r="Z99" s="3" t="n"/>
      <c r="AA99" s="3" t="n"/>
      <c r="AB99" s="3" t="n"/>
      <c r="AC99" s="3" t="n"/>
      <c r="AD99" s="3" t="n"/>
      <c r="AE99" s="3" t="n"/>
      <c r="AF99" s="3" t="n"/>
      <c r="AG99" s="3" t="n"/>
      <c r="AH99" s="3" t="n"/>
      <c r="AI99" s="3" t="n"/>
      <c r="AJ99" s="3" t="n"/>
      <c r="AK99" s="3" t="n"/>
      <c r="AL99" s="3" t="n"/>
      <c r="AM99" s="3" t="n"/>
      <c r="AN99" s="3" t="n"/>
      <c r="AO99" s="3" t="n"/>
      <c r="AP99" s="3" t="n"/>
      <c r="AQ99" s="3" t="n"/>
      <c r="AR99" s="40">
        <f t="array" ref="AR99">MIN(100, MAX(0,
  IFERROR(_xlfn.XLOOKUP(AJ99,'Lookup Tables'!$A$2:$A$7,'Lookup Tables'!$B$2:$B$7,0),0)
  + IF(Z99="Yes", IF(IFERROR(_xlfn.XLOOKUP(AJ99,'Lookup Tables'!$A$2:$A$7,'Lookup Tables'!$B$2:$B$7,0),0)&lt;20, 5, 0), 0)
  + _xlfn.IFS(AB99="Yes", IF(ISNUMBER(AC99)*AND(AC99&lt;=2030),15,10), AB99="Long-term Only", 5, AB99="No", 0, TRUE, 0)
  + _xlfn.IFS(AF99="Full",10, AF99="Partial",5, AF99="Scope 2 Only",3, TRUE,0)
  + _xlfn.IFS(AG99="Yes", IF(ISNUMBER(AH99)*AND(AH99&gt;=5),10,6), AG99="Partial",4, TRUE,0)
  + _xlfn.IFS(AI99="Yes",5, AI99="Partial (material categories only)",3, TRUE,0)
  + _xlfn.IFS(AL99="Yes — Detailed",10, AL99="Yes — High Level",5, TRUE,0)
  + _xlfn.IFS(AM99="Yes — Quantified",15, AM99="Yes — Directional Only",7, TRUE,0)
  + _xlfn.IFS(AP99="Formal",5, AP99="Referenced",2, TRUE,0)
  + _xlfn.IFS(AQ99="No Issues Found",5, AQ99="Concern Identified",-5, AQ99="Severe Contradiction",-15, TRUE,0)
  + _xlfn.IFS(BC99="Reasonable Assurance",5, BC99="Limited Assurance",3, TRUE,0)
  - IF(AND(Z99="Yes", AI99="No"), 10, 0)
  - IF(AND(Z99="Yes", AM99="No"), 10, 0)
))</f>
        <v/>
      </c>
      <c r="AS99" s="3" t="n"/>
      <c r="AT99" s="3" t="n"/>
      <c r="AU99" s="3" t="n"/>
      <c r="AV99" s="3" t="n"/>
      <c r="AW99" s="3" t="n"/>
      <c r="AX99" s="3" t="n"/>
      <c r="AY99" s="3" t="n"/>
      <c r="AZ99" s="3" t="n"/>
      <c r="BA99" s="3" t="n"/>
      <c r="BB99" s="3" t="n"/>
      <c r="BC99" s="3" t="n"/>
      <c r="BD99" s="3" t="n"/>
      <c r="BE99" s="40">
        <f t="array" ref="BE99">MIN(100, MAX(0,
  IFERROR(_xlfn.XLOOKUP(AT99,'Lookup Tables'!$D$2:$D$6,'Lookup Tables'!$E$2:$E$6,0),0)
  + IFERROR(_xlfn.XLOOKUP(AV99,'Lookup Tables'!$G$2:$G$5,'Lookup Tables'!$H$2:$H$5,0),0)
  + IFERROR(_xlfn.XLOOKUP(AW99,'Lookup Tables'!$J$2:$J$5,'Lookup Tables'!$K$2:$K$5,0),0)
  + _xlfn.IFS(AX99="No Issues",10, AX99="Complaint Filed",3, AX99="Confirmed Breach",-15, TRUE,0)
  + IFERROR(_xlfn.XLOOKUP(AY99,'Lookup Tables'!$M$2:$M$6,'Lookup Tables'!$N$2:$N$6,0),0)
  + IFERROR(_xlfn.XLOOKUP(AZ99,'Lookup Tables'!$P$2:$P$6,'Lookup Tables'!$Q$2:$Q$6,0),0)
  + _xlfn.IFS(BA99="Formal Board Committee",5, BA99="Board Oversight Mentioned",2, TRUE,0)
  + _xlfn.IFS(BB99="Yes — Quantified Targets",5, BB99="Yes — Discretionary Only",2, TRUE,0)
  + _xlfn.IFS(BC99="Reasonable Assurance",5, BC99="Limited Assurance",3, BC99="Management Review Only",1, TRUE,0)
))</f>
        <v/>
      </c>
      <c r="BF99" s="3" t="n"/>
      <c r="BG99" s="3" t="n"/>
      <c r="BH99" s="3" t="n"/>
      <c r="BI99" s="3" t="n"/>
      <c r="BJ99" s="3" t="n"/>
      <c r="BK99" s="3" t="n"/>
      <c r="BL99" s="3" t="n"/>
      <c r="BM99" s="3" t="n"/>
      <c r="BN99" s="3" t="n"/>
      <c r="BO99" s="3" t="n"/>
      <c r="BP99" s="3" t="n"/>
      <c r="BQ99" s="3" t="n"/>
      <c r="BR99" s="3" t="n"/>
      <c r="BS99" s="42">
        <f t="array" ref="BS99">MIN(100, MAX(0,
  IFERROR(_xlfn.XLOOKUP(BG99,'Lookup Tables'!$A$11:$A$16,'Lookup Tables'!$B$11:$B$16,0),0)
  + IFERROR(_xlfn.XLOOKUP(BR99,'Lookup Tables'!$M$11:$M$14,'Lookup Tables'!$N$11:$N$14,0),0)
  + IFERROR(_xlfn.XLOOKUP(BQ99,'Lookup Tables'!$J$11:$J$15,'Lookup Tables'!$K$11:$K$15,0),0)
  + IFERROR(_xlfn.XLOOKUP(BH99,'Lookup Tables'!$D$11:$D$15,'Lookup Tables'!$E$11:$E$15,0),0)
  + IFERROR(_xlfn.XLOOKUP(BJ99,'Lookup Tables'!$G$11:$G$16,'Lookup Tables'!$H$11:$H$16,0),0)
  + IFERROR(_xlfn.XLOOKUP(BN99,'Lookup Tables'!$P$11:$P$15,'Lookup Tables'!$Q$11:$Q$15,0),0)
  + _xlfn.IFS(BM99="No Evidence",10, BM99="Unknown",3, BM99="Likely",0, BM99="Confirmed",-10, TRUE,3)
  + IFERROR(_xlfn.XLOOKUP(BP99,'Lookup Tables'!$J$21:$J$24,'Lookup Tables'!$K$21:$K$24,0),0)
))</f>
        <v/>
      </c>
      <c r="BT99" s="3" t="n"/>
      <c r="BU99" s="3" t="n"/>
      <c r="BV99" s="3" t="n"/>
      <c r="BW99" s="3" t="n"/>
      <c r="BX99" s="3" t="n"/>
      <c r="BY99" s="3" t="n"/>
      <c r="BZ99" s="3" t="n"/>
      <c r="CA99" s="3" t="n"/>
      <c r="CB99" s="3" t="n"/>
      <c r="CC99" s="3" t="n"/>
      <c r="CD99" s="3" t="n"/>
      <c r="CE99" s="44">
        <f t="array" ref="CE99">MIN(100, MAX(0,
  IF(ISNUMBER(BV99)*AND(BV99&gt;0), 10, 0)
  + _xlfn.IFS(BY99="Independently Verified",25, BY99="Yes",15, TRUE,0)
  + IFERROR(_xlfn.XLOOKUP(BZ99,'Lookup Tables'!$A$21:$A$24,'Lookup Tables'!$B$21:$B$24,0),0)
  + IFERROR(_xlfn.XLOOKUP(CA99,'Lookup Tables'!$D$21:$D$24,'Lookup Tables'!$E$21:$E$24,0),0)
  + _xlfn.IFS(ISNUMBER(CB99)*AND(CB99&gt;=11),15, ISNUMBER(CB99)*AND(CB99&gt;=6),10, ISNUMBER(CB99)*AND(CB99&gt;=1),5, TRUE,0)
  + IFERROR(_xlfn.XLOOKUP(CC99,'Lookup Tables'!$G$21:$G$25,'Lookup Tables'!$H$21:$H$25,0),0)
  - IF(ISNUMBER(BW99)*AND(ISNUMBER(BV99))*AND(BW99&gt;BV99), 20, 0)
  - IF(AND(BY99="Yes", ISNUMBER(BW99), BW99&gt;60), 10, 0)
))</f>
        <v/>
      </c>
      <c r="CF99" s="3" t="n"/>
      <c r="CG99" s="3" t="n"/>
      <c r="CH99" s="3" t="n"/>
      <c r="CI99" s="3" t="n"/>
      <c r="CJ99" s="3" t="n"/>
      <c r="CK99" s="3" t="n"/>
      <c r="CL99" s="3" t="n"/>
      <c r="CM99" s="3" t="n"/>
      <c r="CN99" s="3" t="n"/>
      <c r="CO99" s="3" t="n"/>
      <c r="CP99" s="3" t="n"/>
      <c r="CQ99" s="3" t="n"/>
      <c r="CR99" s="3">
        <f>COUNTIF(CJ99:CQ99,"FAIL")</f>
        <v/>
      </c>
      <c r="CS99" s="3">
        <f>COUNTIF(CJ99:CQ99,"PARTIAL")</f>
        <v/>
      </c>
      <c r="CT99" s="3">
        <f>COUNTIF(CJ99:CQ99,"MISSING")</f>
        <v/>
      </c>
      <c r="CU99" s="3">
        <f>MIN(100,
  CR99*15
  + CS99*6
  + CT99*3
  + IFERROR(_xlfn.XLOOKUP(CW99,'Lookup Tables'!$M$21:$M$25,'Lookup Tables'!$N$21:$N$25,0),0)
)</f>
        <v/>
      </c>
      <c r="CV99" s="3">
        <f>IFERROR(
CHOOSE(
MATCH("FAIL",CJ99:CQ99,0),
"1-Specificity","2-Metric","3-Baseline","4-Target",
"5-Time Horizon","6-Scope","7-Verification","8-Consistency"
),
IFERROR(
CHOOSE(
MATCH("PARTIAL",CJ99:CQ99,0),
"1-Specificity","2-Metric","3-Baseline","4-Target",
"5-Time Horizon","6-Scope","7-Verification","8-Consistency"
),
"No failures"
)
)</f>
        <v/>
      </c>
      <c r="CW99" s="3" t="n"/>
      <c r="CX99" s="3" t="n"/>
      <c r="CY99" s="3" t="n"/>
      <c r="CZ99" s="3" t="n"/>
      <c r="DA99" s="3">
        <f>IF(OR(CU99&gt;=50,CW99="Material",CW99="Severe",AS99="Material",AS99="Severe",BF99="Material",BF99="Severe — Exclusion Trigger",AND(ISNUMBER(BS99),BS99&lt;30)),"Yes","No")</f>
        <v/>
      </c>
      <c r="DB99" s="3">
        <f>IF(OR(CR99&gt;=6,AW99="Confirmed Violation",AX99="Confirmed Breach"),"Yes — Automatic",IF(CW99="Severe","Yes — Requires Captain Confirmation","No"))</f>
        <v/>
      </c>
      <c r="DC99" s="3" t="n"/>
      <c r="DD99" s="3" t="n"/>
      <c r="DE99" s="3" t="n"/>
      <c r="DF99" s="3" t="n"/>
      <c r="DG99" s="3" t="n"/>
      <c r="DH99" s="3" t="n"/>
      <c r="DI99" s="3" t="n"/>
      <c r="DJ99" s="3" t="n"/>
      <c r="DK99" s="3" t="n"/>
      <c r="DL99" s="3">
        <f>IF(OR(IFERROR(VALUE(LEFT(DF99,1)),99)&lt;=2,IFERROR(VALUE(LEFT(DG99,1)),99)&lt;=2),"Flagged","Clear")</f>
        <v/>
      </c>
      <c r="DM99" s="3">
        <f>IF(OR(DA99="Yes",DB99&lt;&gt;"No",DH99="Unverified",DL99="Flagged"),"Yes","No")</f>
        <v/>
      </c>
      <c r="DN99" s="3">
        <f t="array" ref="DN99">MIN(100,
  IF(ISNUMBER(V99), _xlfn.IFS(V99&gt;=3,25, V99=2,15, V99=1,5, TRUE,0), 0)
  + IFERROR(_xlfn.IFS(VALUE(LEFT(DF99,1))=5,25, VALUE(LEFT(DF99,1))=4,20, VALUE(LEFT(DF99,1))=3,15, VALUE(LEFT(DF99,1))=2,8, TRUE,0), 15)
  + IFERROR(_xlfn.IFS(VALUE(LEFT(DG99,1))=5,25, VALUE(LEFT(DG99,1))=4,20, VALUE(LEFT(DG99,1))=3,15, VALUE(LEFT(DG99,1))=2,8, TRUE,0), 15)
  + _xlfn.IFS(DH99="Fully Verified",25, DH99="Partially Verified",12, TRUE,0)
)</f>
        <v/>
      </c>
      <c r="DO99" s="3">
        <f t="array" ref="DO99">_xlfn.IFS(
  ISBLANK(AR99), "Insufficient Evidence",
  AND(AR99&gt;=65, AJ99="Approved"), "Strong",
  AR99&gt;=65, "Adequate",
  AR99&gt;=40, "Adequate",
  AR99&gt;=20, "Weak",
  TRUE, "Insufficient Evidence"
)</f>
        <v/>
      </c>
      <c r="DP99" s="3">
        <f t="array" ref="DP99">_xlfn.IFS(
  ISBLANK(BS99), "Insufficient Evidence",
  BS99&gt;=65, "Strong",
  BS99&gt;=40, "Adequate",
  BS99&gt;=20, "Weak",
  TRUE, "Insufficient Evidence"
)</f>
        <v/>
      </c>
      <c r="DQ99" s="3">
        <f t="array" ref="DQ99">_xlfn.IFS(
  ISBLANK(BE99), "Insufficient Evidence",
  OR(AW99="Confirmed Violation", AX99="Confirmed Breach"), "Severe — Hard Trigger",
  BE99&gt;=65, "Strong",
  BE99&gt;=40, "Adequate",
  BE99&gt;=20, "Weak",
  TRUE, "Insufficient Evidence"
)</f>
        <v/>
      </c>
      <c r="DR99" s="3">
        <f t="array" ref="DR99">_xlfn.IFS(
  ISBLANK(CU99), "Insufficient Evidence",
  CU99&lt;=20, "Low Risk",
  CU99&lt;=50, "Moderate Risk",
  CU99&lt;=75, "High Risk",
  TRUE, "Very High Risk"
)</f>
        <v/>
      </c>
      <c r="DS99" s="3">
        <f t="array" ref="DS99">_xlfn.IFS(
  ISBLANK(CE99), "Insufficient Evidence",
  AND(ISNUMBER(BW99),ISNUMBER(BV99),BW99&gt;BV99), "Overclaiming Risk",
  CE99&gt;=65, "Strong",
  CE99&gt;=40, "Adequate",
  TRUE, "Weak"
)</f>
        <v/>
      </c>
      <c r="DT99" s="3">
        <f>IF(DB99="Yes — Automatic",0,ROUND((IF(ISNUMBER(AR99),AR99,0)*0.3+IF(ISNUMBER(BS99),BS99,0)*0.2+IF(ISNUMBER(BE99),BE99,0)*0.2+IF(ISNUMBER(CE99),CE99,0)*0.15+(100-IF(ISNUMBER(CU99),CU99,50))*0.15)*IF(DN99&gt;=75,1,IF(DN99&gt;=50,0.9,IF(DN99&gt;=25,0.75,0.6))),1))</f>
        <v/>
      </c>
      <c r="DU99" s="3">
        <f t="array" ref="DU99">_xlfn.IFS(
  DV99="Upgraded to Clear", "Clear",
  DV99="Downgraded to Watchlist", "Watchlist",
  DV99="Downgraded to Exclusion", "Exclusion Risk",
  DB99="Yes — Automatic", "Exclusion Risk",
  OR(AW99="Confirmed Violation", AX99="Confirmed Breach"), "Exclusion Risk",
  OR(V99=0, ISBLANK(V99), DN99&lt;20), "Insufficient Evidence",
  AND(DT99&gt;=65, DA99="No", DB99="No"), "Clear",
  OR(DT99&gt;=40, DA99="Yes"), "Watchlist",
  TRUE, "Exclusion Risk"
)</f>
        <v/>
      </c>
      <c r="DV99" s="3" t="n"/>
      <c r="DW99" s="3">
        <f t="array" ref="DW99">_xlfn.IFS(
  DU99="Exclusion Risk", "Exclude — Hard Trigger",
  DU99="Insufficient Evidence", "Watchlist — Further Evidence Needed",
  DU99="Watchlist", "Watchlist — Further Evidence Needed",
  AND(DU99="Clear", DT99&gt;=80), "Include — No Conditions",
  DU99="Clear", "Include — Monitor",
  TRUE, "Watchlist — Further Evidence Needed"
)</f>
        <v/>
      </c>
      <c r="DX99" s="3" t="n"/>
      <c r="DY99" s="3" t="n"/>
      <c r="DZ99" s="3" t="n"/>
      <c r="EA99" s="3" t="n"/>
      <c r="EB99" s="3">
        <f>IF(OR(V99=0, ISBLANK(V99)), "MISSING — No sources reviewed", "")</f>
        <v/>
      </c>
      <c r="EC99" s="3">
        <f>IF(AND(NOT(ISBLANK(DC99)), ISBLANK(DE99)), "PAGE REF MISSING", "")</f>
        <v/>
      </c>
    </row>
    <row r="100" ht="18" customHeight="1" s="60">
      <c r="A100" s="5" t="inlineStr">
        <is>
          <t>Tesco PLC</t>
        </is>
      </c>
      <c r="B100" s="5" t="inlineStr">
        <is>
          <t>TCO0</t>
        </is>
      </c>
      <c r="C100" s="5">
        <f>IF(ISBLANK('Universe Tracker'!D75),"",'Universe Tracker'!D75)</f>
        <v/>
      </c>
      <c r="D100" s="5" t="n"/>
      <c r="E100" s="5" t="n"/>
      <c r="F100" s="5">
        <f>IF(ISBLANK('Universe Tracker'!F75),"",'Universe Tracker'!F75)</f>
        <v/>
      </c>
      <c r="G100" s="5">
        <f>IF(ISBLANK('Universe Tracker'!G75),"",'Universe Tracker'!G75)</f>
        <v/>
      </c>
      <c r="H100" s="5" t="n"/>
      <c r="I100" s="5" t="n"/>
      <c r="J100" s="5">
        <f>IF(ISBLANK(B100),"",B100&amp;"_"&amp;C100)</f>
        <v/>
      </c>
      <c r="K100" s="5" t="n"/>
      <c r="L100" s="5" t="n"/>
      <c r="M100" s="5" t="n"/>
      <c r="N100" s="5" t="n"/>
      <c r="O100" s="5" t="n"/>
      <c r="P100" s="5" t="n"/>
      <c r="Q100" s="5" t="n"/>
      <c r="R100" s="5" t="n"/>
      <c r="S100" s="5" t="n"/>
      <c r="T100" s="5" t="n"/>
      <c r="U100" s="5" t="n"/>
      <c r="V100" s="5" t="n"/>
      <c r="W100" s="5" t="n"/>
      <c r="X100" s="5" t="n"/>
      <c r="Y100" s="5">
        <f>IF(AND(V100&gt;=2,K100="Yes",L100="Yes"),"Sufficient",IF(AND(V100&gt;=1,OR(K100="Yes",L100="Yes")),"Thin","Insufficient"))</f>
        <v/>
      </c>
      <c r="Z100" s="5" t="n"/>
      <c r="AA100" s="5" t="n"/>
      <c r="AB100" s="5" t="n"/>
      <c r="AC100" s="5" t="n"/>
      <c r="AD100" s="5" t="n"/>
      <c r="AE100" s="5" t="n"/>
      <c r="AF100" s="5" t="n"/>
      <c r="AG100" s="5" t="n"/>
      <c r="AH100" s="5" t="n"/>
      <c r="AI100" s="5" t="n"/>
      <c r="AJ100" s="5" t="n"/>
      <c r="AK100" s="5" t="n"/>
      <c r="AL100" s="5" t="n"/>
      <c r="AM100" s="5" t="n"/>
      <c r="AN100" s="5" t="n"/>
      <c r="AO100" s="5" t="n"/>
      <c r="AP100" s="5" t="n"/>
      <c r="AQ100" s="5" t="n"/>
      <c r="AR100" s="40">
        <f t="array" ref="AR100">MIN(100, MAX(0,
  IFERROR(_xlfn.XLOOKUP(AJ100,'Lookup Tables'!$A$2:$A$7,'Lookup Tables'!$B$2:$B$7,0),0)
  + IF(Z100="Yes", IF(IFERROR(_xlfn.XLOOKUP(AJ100,'Lookup Tables'!$A$2:$A$7,'Lookup Tables'!$B$2:$B$7,0),0)&lt;20, 5, 0), 0)
  + _xlfn.IFS(AB100="Yes", IF(ISNUMBER(AC100)*AND(AC100&lt;=2030),15,10), AB100="Long-term Only", 5, AB100="No", 0, TRUE, 0)
  + _xlfn.IFS(AF100="Full",10, AF100="Partial",5, AF100="Scope 2 Only",3, TRUE,0)
  + _xlfn.IFS(AG100="Yes", IF(ISNUMBER(AH100)*AND(AH100&gt;=5),10,6), AG100="Partial",4, TRUE,0)
  + _xlfn.IFS(AI100="Yes",5, AI100="Partial (material categories only)",3, TRUE,0)
  + _xlfn.IFS(AL100="Yes — Detailed",10, AL100="Yes — High Level",5, TRUE,0)
  + _xlfn.IFS(AM100="Yes — Quantified",15, AM100="Yes — Directional Only",7, TRUE,0)
  + _xlfn.IFS(AP100="Formal",5, AP100="Referenced",2, TRUE,0)
  + _xlfn.IFS(AQ100="No Issues Found",5, AQ100="Concern Identified",-5, AQ100="Severe Contradiction",-15, TRUE,0)
  + _xlfn.IFS(BC100="Reasonable Assurance",5, BC100="Limited Assurance",3, TRUE,0)
  - IF(AND(Z100="Yes", AI100="No"), 10, 0)
  - IF(AND(Z100="Yes", AM100="No"), 10, 0)
))</f>
        <v/>
      </c>
      <c r="AS100" s="5" t="n"/>
      <c r="AT100" s="5" t="n"/>
      <c r="AU100" s="5" t="n"/>
      <c r="AV100" s="5" t="n"/>
      <c r="AW100" s="5" t="n"/>
      <c r="AX100" s="5" t="n"/>
      <c r="AY100" s="5" t="n"/>
      <c r="AZ100" s="5" t="n"/>
      <c r="BA100" s="5" t="n"/>
      <c r="BB100" s="5" t="n"/>
      <c r="BC100" s="5" t="n"/>
      <c r="BD100" s="5" t="n"/>
      <c r="BE100" s="39">
        <f t="array" ref="BE100">MIN(100, MAX(0,
  IFERROR(_xlfn.XLOOKUP(AT100,'Lookup Tables'!$D$2:$D$6,'Lookup Tables'!$E$2:$E$6,0),0)
  + IFERROR(_xlfn.XLOOKUP(AV100,'Lookup Tables'!$G$2:$G$5,'Lookup Tables'!$H$2:$H$5,0),0)
  + IFERROR(_xlfn.XLOOKUP(AW100,'Lookup Tables'!$J$2:$J$5,'Lookup Tables'!$K$2:$K$5,0),0)
  + _xlfn.IFS(AX100="No Issues",10, AX100="Complaint Filed",3, AX100="Confirmed Breach",-15, TRUE,0)
  + IFERROR(_xlfn.XLOOKUP(AY100,'Lookup Tables'!$M$2:$M$6,'Lookup Tables'!$N$2:$N$6,0),0)
  + IFERROR(_xlfn.XLOOKUP(AZ100,'Lookup Tables'!$P$2:$P$6,'Lookup Tables'!$Q$2:$Q$6,0),0)
  + _xlfn.IFS(BA100="Formal Board Committee",5, BA100="Board Oversight Mentioned",2, TRUE,0)
  + _xlfn.IFS(BB100="Yes — Quantified Targets",5, BB100="Yes — Discretionary Only",2, TRUE,0)
  + _xlfn.IFS(BC100="Reasonable Assurance",5, BC100="Limited Assurance",3, BC100="Management Review Only",1, TRUE,0)
))</f>
        <v/>
      </c>
      <c r="BF100" s="5" t="n"/>
      <c r="BG100" s="5" t="n"/>
      <c r="BH100" s="5" t="n"/>
      <c r="BI100" s="5" t="n"/>
      <c r="BJ100" s="5" t="n"/>
      <c r="BK100" s="5" t="n"/>
      <c r="BL100" s="5" t="n"/>
      <c r="BM100" s="5" t="n"/>
      <c r="BN100" s="5" t="n"/>
      <c r="BO100" s="5" t="n"/>
      <c r="BP100" s="5" t="n"/>
      <c r="BQ100" s="5" t="n"/>
      <c r="BR100" s="5" t="n"/>
      <c r="BS100" s="41">
        <f t="array" ref="BS100">MIN(100, MAX(0,
  IFERROR(_xlfn.XLOOKUP(BG100,'Lookup Tables'!$A$11:$A$16,'Lookup Tables'!$B$11:$B$16,0),0)
  + IFERROR(_xlfn.XLOOKUP(BR100,'Lookup Tables'!$M$11:$M$14,'Lookup Tables'!$N$11:$N$14,0),0)
  + IFERROR(_xlfn.XLOOKUP(BQ100,'Lookup Tables'!$J$11:$J$15,'Lookup Tables'!$K$11:$K$15,0),0)
  + IFERROR(_xlfn.XLOOKUP(BH100,'Lookup Tables'!$D$11:$D$15,'Lookup Tables'!$E$11:$E$15,0),0)
  + IFERROR(_xlfn.XLOOKUP(BJ100,'Lookup Tables'!$G$11:$G$16,'Lookup Tables'!$H$11:$H$16,0),0)
  + IFERROR(_xlfn.XLOOKUP(BN100,'Lookup Tables'!$P$11:$P$15,'Lookup Tables'!$Q$11:$Q$15,0),0)
  + _xlfn.IFS(BM100="No Evidence",10, BM100="Unknown",3, BM100="Likely",0, BM100="Confirmed",-10, TRUE,3)
  + IFERROR(_xlfn.XLOOKUP(BP100,'Lookup Tables'!$J$21:$J$24,'Lookup Tables'!$K$21:$K$24,0),0)
))</f>
        <v/>
      </c>
      <c r="BT100" s="5" t="n"/>
      <c r="BU100" s="5" t="n"/>
      <c r="BV100" s="5" t="n"/>
      <c r="BW100" s="5" t="n"/>
      <c r="BX100" s="5" t="n"/>
      <c r="BY100" s="5" t="n"/>
      <c r="BZ100" s="5" t="n"/>
      <c r="CA100" s="5" t="n"/>
      <c r="CB100" s="5" t="n"/>
      <c r="CC100" s="5" t="n"/>
      <c r="CD100" s="5" t="n"/>
      <c r="CE100" s="43">
        <f t="array" ref="CE100">MIN(100, MAX(0,
  IF(ISNUMBER(BV100)*AND(BV100&gt;0), 10, 0)
  + _xlfn.IFS(BY100="Independently Verified",25, BY100="Yes",15, TRUE,0)
  + IFERROR(_xlfn.XLOOKUP(BZ100,'Lookup Tables'!$A$21:$A$24,'Lookup Tables'!$B$21:$B$24,0),0)
  + IFERROR(_xlfn.XLOOKUP(CA100,'Lookup Tables'!$D$21:$D$24,'Lookup Tables'!$E$21:$E$24,0),0)
  + _xlfn.IFS(ISNUMBER(CB100)*AND(CB100&gt;=11),15, ISNUMBER(CB100)*AND(CB100&gt;=6),10, ISNUMBER(CB100)*AND(CB100&gt;=1),5, TRUE,0)
  + IFERROR(_xlfn.XLOOKUP(CC100,'Lookup Tables'!$G$21:$G$25,'Lookup Tables'!$H$21:$H$25,0),0)
  - IF(ISNUMBER(BW100)*AND(ISNUMBER(BV100))*AND(BW100&gt;BV100), 20, 0)
  - IF(AND(BY100="Yes", ISNUMBER(BW100), BW100&gt;60), 10, 0)
))</f>
        <v/>
      </c>
      <c r="CF100" s="5" t="n"/>
      <c r="CG100" s="5" t="n"/>
      <c r="CH100" s="5" t="n"/>
      <c r="CI100" s="5" t="n"/>
      <c r="CJ100" s="5" t="n"/>
      <c r="CK100" s="5" t="n"/>
      <c r="CL100" s="5" t="n"/>
      <c r="CM100" s="5" t="n"/>
      <c r="CN100" s="5" t="n"/>
      <c r="CO100" s="5" t="n"/>
      <c r="CP100" s="5" t="n"/>
      <c r="CQ100" s="5" t="n"/>
      <c r="CR100" s="5">
        <f>COUNTIF(CJ100:CQ100,"FAIL")</f>
        <v/>
      </c>
      <c r="CS100" s="5">
        <f>COUNTIF(CJ100:CQ100,"PARTIAL")</f>
        <v/>
      </c>
      <c r="CT100" s="5">
        <f>COUNTIF(CJ100:CQ100,"MISSING")</f>
        <v/>
      </c>
      <c r="CU100" s="5">
        <f>MIN(100,
  CR100*15
  + CS100*6
  + CT100*3
  + IFERROR(_xlfn.XLOOKUP(CW100,'Lookup Tables'!$M$21:$M$25,'Lookup Tables'!$N$21:$N$25,0),0)
)</f>
        <v/>
      </c>
      <c r="CV100" s="5">
        <f>IFERROR(
CHOOSE(
MATCH("FAIL",CJ100:CQ100,0),
"1-Specificity","2-Metric","3-Baseline","4-Target",
"5-Time Horizon","6-Scope","7-Verification","8-Consistency"
),
IFERROR(
CHOOSE(
MATCH("PARTIAL",CJ100:CQ100,0),
"1-Specificity","2-Metric","3-Baseline","4-Target",
"5-Time Horizon","6-Scope","7-Verification","8-Consistency"
),
"No failures"
)
)</f>
        <v/>
      </c>
      <c r="CW100" s="5" t="n"/>
      <c r="CX100" s="5" t="n"/>
      <c r="CY100" s="5" t="n"/>
      <c r="CZ100" s="5" t="n"/>
      <c r="DA100" s="5">
        <f>IF(OR(CU100&gt;=50,CW100="Material",CW100="Severe",AS100="Material",AS100="Severe",BF100="Material",BF100="Severe — Exclusion Trigger",AND(ISNUMBER(BS100),BS100&lt;30)),"Yes","No")</f>
        <v/>
      </c>
      <c r="DB100" s="5">
        <f>IF(OR(CR100&gt;=6,AW100="Confirmed Violation",AX100="Confirmed Breach"),"Yes — Automatic",IF(CW100="Severe","Yes — Requires Captain Confirmation","No"))</f>
        <v/>
      </c>
      <c r="DC100" s="5" t="n"/>
      <c r="DD100" s="5" t="n"/>
      <c r="DE100" s="5" t="n"/>
      <c r="DF100" s="5" t="n"/>
      <c r="DG100" s="5" t="n"/>
      <c r="DH100" s="5" t="n"/>
      <c r="DI100" s="5" t="n"/>
      <c r="DJ100" s="5" t="n"/>
      <c r="DK100" s="5" t="n"/>
      <c r="DL100" s="5">
        <f>IF(OR(IFERROR(VALUE(LEFT(DF100,1)),99)&lt;=2,IFERROR(VALUE(LEFT(DG100,1)),99)&lt;=2),"Flagged","Clear")</f>
        <v/>
      </c>
      <c r="DM100" s="5">
        <f>IF(OR(DA100="Yes",DB100&lt;&gt;"No",DH100="Unverified",DL100="Flagged"),"Yes","No")</f>
        <v/>
      </c>
      <c r="DN100" s="5">
        <f t="array" ref="DN100">MIN(100,
  IF(ISNUMBER(V100), _xlfn.IFS(V100&gt;=3,25, V100=2,15, V100=1,5, TRUE,0), 0)
  + IFERROR(_xlfn.IFS(VALUE(LEFT(DF100,1))=5,25, VALUE(LEFT(DF100,1))=4,20, VALUE(LEFT(DF100,1))=3,15, VALUE(LEFT(DF100,1))=2,8, TRUE,0), 15)
  + IFERROR(_xlfn.IFS(VALUE(LEFT(DG100,1))=5,25, VALUE(LEFT(DG100,1))=4,20, VALUE(LEFT(DG100,1))=3,15, VALUE(LEFT(DG100,1))=2,8, TRUE,0), 15)
  + _xlfn.IFS(DH100="Fully Verified",25, DH100="Partially Verified",12, TRUE,0)
)</f>
        <v/>
      </c>
      <c r="DO100" s="5">
        <f t="array" ref="DO100">_xlfn.IFS(
  ISBLANK(AR100), "Insufficient Evidence",
  AND(AR100&gt;=65, AJ100="Approved"), "Strong",
  AR100&gt;=65, "Adequate",
  AR100&gt;=40, "Adequate",
  AR100&gt;=20, "Weak",
  TRUE, "Insufficient Evidence"
)</f>
        <v/>
      </c>
      <c r="DP100" s="5">
        <f t="array" ref="DP100">_xlfn.IFS(
  ISBLANK(BS100), "Insufficient Evidence",
  BS100&gt;=65, "Strong",
  BS100&gt;=40, "Adequate",
  BS100&gt;=20, "Weak",
  TRUE, "Insufficient Evidence"
)</f>
        <v/>
      </c>
      <c r="DQ100" s="5">
        <f t="array" ref="DQ100">_xlfn.IFS(
  ISBLANK(BE100), "Insufficient Evidence",
  OR(AW100="Confirmed Violation", AX100="Confirmed Breach"), "Severe — Hard Trigger",
  BE100&gt;=65, "Strong",
  BE100&gt;=40, "Adequate",
  BE100&gt;=20, "Weak",
  TRUE, "Insufficient Evidence"
)</f>
        <v/>
      </c>
      <c r="DR100" s="5">
        <f t="array" ref="DR100">_xlfn.IFS(
  ISBLANK(CU100), "Insufficient Evidence",
  CU100&lt;=20, "Low Risk",
  CU100&lt;=50, "Moderate Risk",
  CU100&lt;=75, "High Risk",
  TRUE, "Very High Risk"
)</f>
        <v/>
      </c>
      <c r="DS100" s="5">
        <f t="array" ref="DS100">_xlfn.IFS(
  ISBLANK(CE100), "Insufficient Evidence",
  AND(ISNUMBER(BW100),ISNUMBER(BV100),BW100&gt;BV100), "Overclaiming Risk",
  CE100&gt;=65, "Strong",
  CE100&gt;=40, "Adequate",
  TRUE, "Weak"
)</f>
        <v/>
      </c>
      <c r="DT100" s="5">
        <f>IF(DB100="Yes — Automatic",0,ROUND((IF(ISNUMBER(AR100),AR100,0)*0.3+IF(ISNUMBER(BS100),BS100,0)*0.2+IF(ISNUMBER(BE100),BE100,0)*0.2+IF(ISNUMBER(CE100),CE100,0)*0.15+(100-IF(ISNUMBER(CU100),CU100,50))*0.15)*IF(DN100&gt;=75,1,IF(DN100&gt;=50,0.9,IF(DN100&gt;=25,0.75,0.6))),1))</f>
        <v/>
      </c>
      <c r="DU100" s="5">
        <f t="array" ref="DU100">_xlfn.IFS(
  DV100="Upgraded to Clear", "Clear",
  DV100="Downgraded to Watchlist", "Watchlist",
  DV100="Downgraded to Exclusion", "Exclusion Risk",
  DB100="Yes — Automatic", "Exclusion Risk",
  OR(AW100="Confirmed Violation", AX100="Confirmed Breach"), "Exclusion Risk",
  OR(V100=0, ISBLANK(V100), DN100&lt;20), "Insufficient Evidence",
  AND(DT100&gt;=65, DA100="No", DB100="No"), "Clear",
  OR(DT100&gt;=40, DA100="Yes"), "Watchlist",
  TRUE, "Exclusion Risk"
)</f>
        <v/>
      </c>
      <c r="DV100" s="5" t="n"/>
      <c r="DW100" s="5">
        <f t="array" ref="DW100">_xlfn.IFS(
  DU100="Exclusion Risk", "Exclude — Hard Trigger",
  DU100="Insufficient Evidence", "Watchlist — Further Evidence Needed",
  DU100="Watchlist", "Watchlist — Further Evidence Needed",
  AND(DU100="Clear", DT100&gt;=80), "Include — No Conditions",
  DU100="Clear", "Include — Monitor",
  TRUE, "Watchlist — Further Evidence Needed"
)</f>
        <v/>
      </c>
      <c r="DX100" s="5" t="n"/>
      <c r="DY100" s="5" t="n"/>
      <c r="DZ100" s="5" t="n"/>
      <c r="EA100" s="5" t="n"/>
      <c r="EB100" s="5">
        <f>IF(OR(V100=0, ISBLANK(V100)), "MISSING — No sources reviewed", "")</f>
        <v/>
      </c>
      <c r="EC100" s="5">
        <f>IF(AND(NOT(ISBLANK(DC100)), ISBLANK(DE100)), "PAGE REF MISSING", "")</f>
        <v/>
      </c>
    </row>
    <row r="101" ht="18" customHeight="1" s="60">
      <c r="A101" s="3" t="inlineStr">
        <is>
          <t>Coca-Cola HBC AG</t>
        </is>
      </c>
      <c r="B101" s="3" t="inlineStr">
        <is>
          <t>C0Q</t>
        </is>
      </c>
      <c r="C101" s="3">
        <f>IF(ISBLANK('Universe Tracker'!D76),"",'Universe Tracker'!D76)</f>
        <v/>
      </c>
      <c r="D101" s="3" t="n"/>
      <c r="E101" s="3" t="n"/>
      <c r="F101" s="3">
        <f>IF(ISBLANK('Universe Tracker'!F76),"",'Universe Tracker'!F76)</f>
        <v/>
      </c>
      <c r="G101" s="3">
        <f>IF(ISBLANK('Universe Tracker'!G76),"",'Universe Tracker'!G76)</f>
        <v/>
      </c>
      <c r="H101" s="3" t="n"/>
      <c r="I101" s="3" t="n"/>
      <c r="J101" s="3">
        <f>IF(ISBLANK(B101),"",B101&amp;"_"&amp;C101)</f>
        <v/>
      </c>
      <c r="K101" s="3" t="n"/>
      <c r="L101" s="3" t="n"/>
      <c r="M101" s="3" t="n"/>
      <c r="N101" s="3" t="n"/>
      <c r="O101" s="3" t="n"/>
      <c r="P101" s="3" t="n"/>
      <c r="Q101" s="3" t="n"/>
      <c r="R101" s="3" t="n"/>
      <c r="S101" s="3" t="n"/>
      <c r="T101" s="3" t="n"/>
      <c r="U101" s="3" t="n"/>
      <c r="V101" s="3" t="n"/>
      <c r="W101" s="3" t="n"/>
      <c r="X101" s="3" t="n"/>
      <c r="Y101" s="3">
        <f>IF(AND(V101&gt;=2,K101="Yes",L101="Yes"),"Sufficient",IF(AND(V101&gt;=1,OR(K101="Yes",L101="Yes")),"Thin","Insufficient"))</f>
        <v/>
      </c>
      <c r="Z101" s="3" t="n"/>
      <c r="AA101" s="3" t="n"/>
      <c r="AB101" s="3" t="n"/>
      <c r="AC101" s="3" t="n"/>
      <c r="AD101" s="3" t="n"/>
      <c r="AE101" s="3" t="n"/>
      <c r="AF101" s="3" t="n"/>
      <c r="AG101" s="3" t="n"/>
      <c r="AH101" s="3" t="n"/>
      <c r="AI101" s="3" t="n"/>
      <c r="AJ101" s="3" t="n"/>
      <c r="AK101" s="3" t="n"/>
      <c r="AL101" s="3" t="n"/>
      <c r="AM101" s="3" t="n"/>
      <c r="AN101" s="3" t="n"/>
      <c r="AO101" s="3" t="n"/>
      <c r="AP101" s="3" t="n"/>
      <c r="AQ101" s="3" t="n"/>
      <c r="AR101" s="40">
        <f t="array" ref="AR101">MIN(100, MAX(0,
  IFERROR(_xlfn.XLOOKUP(AJ101,'Lookup Tables'!$A$2:$A$7,'Lookup Tables'!$B$2:$B$7,0),0)
  + IF(Z101="Yes", IF(IFERROR(_xlfn.XLOOKUP(AJ101,'Lookup Tables'!$A$2:$A$7,'Lookup Tables'!$B$2:$B$7,0),0)&lt;20, 5, 0), 0)
  + _xlfn.IFS(AB101="Yes", IF(ISNUMBER(AC101)*AND(AC101&lt;=2030),15,10), AB101="Long-term Only", 5, AB101="No", 0, TRUE, 0)
  + _xlfn.IFS(AF101="Full",10, AF101="Partial",5, AF101="Scope 2 Only",3, TRUE,0)
  + _xlfn.IFS(AG101="Yes", IF(ISNUMBER(AH101)*AND(AH101&gt;=5),10,6), AG101="Partial",4, TRUE,0)
  + _xlfn.IFS(AI101="Yes",5, AI101="Partial (material categories only)",3, TRUE,0)
  + _xlfn.IFS(AL101="Yes — Detailed",10, AL101="Yes — High Level",5, TRUE,0)
  + _xlfn.IFS(AM101="Yes — Quantified",15, AM101="Yes — Directional Only",7, TRUE,0)
  + _xlfn.IFS(AP101="Formal",5, AP101="Referenced",2, TRUE,0)
  + _xlfn.IFS(AQ101="No Issues Found",5, AQ101="Concern Identified",-5, AQ101="Severe Contradiction",-15, TRUE,0)
  + _xlfn.IFS(BC101="Reasonable Assurance",5, BC101="Limited Assurance",3, TRUE,0)
  - IF(AND(Z101="Yes", AI101="No"), 10, 0)
  - IF(AND(Z101="Yes", AM101="No"), 10, 0)
))</f>
        <v/>
      </c>
      <c r="AS101" s="3" t="n"/>
      <c r="AT101" s="3" t="n"/>
      <c r="AU101" s="3" t="n"/>
      <c r="AV101" s="3" t="n"/>
      <c r="AW101" s="3" t="n"/>
      <c r="AX101" s="3" t="n"/>
      <c r="AY101" s="3" t="n"/>
      <c r="AZ101" s="3" t="n"/>
      <c r="BA101" s="3" t="n"/>
      <c r="BB101" s="3" t="n"/>
      <c r="BC101" s="3" t="n"/>
      <c r="BD101" s="3" t="n"/>
      <c r="BE101" s="40">
        <f t="array" ref="BE101">MIN(100, MAX(0,
  IFERROR(_xlfn.XLOOKUP(AT101,'Lookup Tables'!$D$2:$D$6,'Lookup Tables'!$E$2:$E$6,0),0)
  + IFERROR(_xlfn.XLOOKUP(AV101,'Lookup Tables'!$G$2:$G$5,'Lookup Tables'!$H$2:$H$5,0),0)
  + IFERROR(_xlfn.XLOOKUP(AW101,'Lookup Tables'!$J$2:$J$5,'Lookup Tables'!$K$2:$K$5,0),0)
  + _xlfn.IFS(AX101="No Issues",10, AX101="Complaint Filed",3, AX101="Confirmed Breach",-15, TRUE,0)
  + IFERROR(_xlfn.XLOOKUP(AY101,'Lookup Tables'!$M$2:$M$6,'Lookup Tables'!$N$2:$N$6,0),0)
  + IFERROR(_xlfn.XLOOKUP(AZ101,'Lookup Tables'!$P$2:$P$6,'Lookup Tables'!$Q$2:$Q$6,0),0)
  + _xlfn.IFS(BA101="Formal Board Committee",5, BA101="Board Oversight Mentioned",2, TRUE,0)
  + _xlfn.IFS(BB101="Yes — Quantified Targets",5, BB101="Yes — Discretionary Only",2, TRUE,0)
  + _xlfn.IFS(BC101="Reasonable Assurance",5, BC101="Limited Assurance",3, BC101="Management Review Only",1, TRUE,0)
))</f>
        <v/>
      </c>
      <c r="BF101" s="3" t="n"/>
      <c r="BG101" s="3" t="n"/>
      <c r="BH101" s="3" t="n"/>
      <c r="BI101" s="3" t="n"/>
      <c r="BJ101" s="3" t="n"/>
      <c r="BK101" s="3" t="n"/>
      <c r="BL101" s="3" t="n"/>
      <c r="BM101" s="3" t="n"/>
      <c r="BN101" s="3" t="n"/>
      <c r="BO101" s="3" t="n"/>
      <c r="BP101" s="3" t="n"/>
      <c r="BQ101" s="3" t="n"/>
      <c r="BR101" s="3" t="n"/>
      <c r="BS101" s="42">
        <f t="array" ref="BS101">MIN(100, MAX(0,
  IFERROR(_xlfn.XLOOKUP(BG101,'Lookup Tables'!$A$11:$A$16,'Lookup Tables'!$B$11:$B$16,0),0)
  + IFERROR(_xlfn.XLOOKUP(BR101,'Lookup Tables'!$M$11:$M$14,'Lookup Tables'!$N$11:$N$14,0),0)
  + IFERROR(_xlfn.XLOOKUP(BQ101,'Lookup Tables'!$J$11:$J$15,'Lookup Tables'!$K$11:$K$15,0),0)
  + IFERROR(_xlfn.XLOOKUP(BH101,'Lookup Tables'!$D$11:$D$15,'Lookup Tables'!$E$11:$E$15,0),0)
  + IFERROR(_xlfn.XLOOKUP(BJ101,'Lookup Tables'!$G$11:$G$16,'Lookup Tables'!$H$11:$H$16,0),0)
  + IFERROR(_xlfn.XLOOKUP(BN101,'Lookup Tables'!$P$11:$P$15,'Lookup Tables'!$Q$11:$Q$15,0),0)
  + _xlfn.IFS(BM101="No Evidence",10, BM101="Unknown",3, BM101="Likely",0, BM101="Confirmed",-10, TRUE,3)
  + IFERROR(_xlfn.XLOOKUP(BP101,'Lookup Tables'!$J$21:$J$24,'Lookup Tables'!$K$21:$K$24,0),0)
))</f>
        <v/>
      </c>
      <c r="BT101" s="3" t="n"/>
      <c r="BU101" s="3" t="n"/>
      <c r="BV101" s="3" t="n"/>
      <c r="BW101" s="3" t="n"/>
      <c r="BX101" s="3" t="n"/>
      <c r="BY101" s="3" t="n"/>
      <c r="BZ101" s="3" t="n"/>
      <c r="CA101" s="3" t="n"/>
      <c r="CB101" s="3" t="n"/>
      <c r="CC101" s="3" t="n"/>
      <c r="CD101" s="3" t="n"/>
      <c r="CE101" s="44">
        <f t="array" ref="CE101">MIN(100, MAX(0,
  IF(ISNUMBER(BV101)*AND(BV101&gt;0), 10, 0)
  + _xlfn.IFS(BY101="Independently Verified",25, BY101="Yes",15, TRUE,0)
  + IFERROR(_xlfn.XLOOKUP(BZ101,'Lookup Tables'!$A$21:$A$24,'Lookup Tables'!$B$21:$B$24,0),0)
  + IFERROR(_xlfn.XLOOKUP(CA101,'Lookup Tables'!$D$21:$D$24,'Lookup Tables'!$E$21:$E$24,0),0)
  + _xlfn.IFS(ISNUMBER(CB101)*AND(CB101&gt;=11),15, ISNUMBER(CB101)*AND(CB101&gt;=6),10, ISNUMBER(CB101)*AND(CB101&gt;=1),5, TRUE,0)
  + IFERROR(_xlfn.XLOOKUP(CC101,'Lookup Tables'!$G$21:$G$25,'Lookup Tables'!$H$21:$H$25,0),0)
  - IF(ISNUMBER(BW101)*AND(ISNUMBER(BV101))*AND(BW101&gt;BV101), 20, 0)
  - IF(AND(BY101="Yes", ISNUMBER(BW101), BW101&gt;60), 10, 0)
))</f>
        <v/>
      </c>
      <c r="CF101" s="3" t="n"/>
      <c r="CG101" s="3" t="n"/>
      <c r="CH101" s="3" t="n"/>
      <c r="CI101" s="3" t="n"/>
      <c r="CJ101" s="3" t="n"/>
      <c r="CK101" s="3" t="n"/>
      <c r="CL101" s="3" t="n"/>
      <c r="CM101" s="3" t="n"/>
      <c r="CN101" s="3" t="n"/>
      <c r="CO101" s="3" t="n"/>
      <c r="CP101" s="3" t="n"/>
      <c r="CQ101" s="3" t="n"/>
      <c r="CR101" s="3">
        <f>COUNTIF(CJ101:CQ101,"FAIL")</f>
        <v/>
      </c>
      <c r="CS101" s="3">
        <f>COUNTIF(CJ101:CQ101,"PARTIAL")</f>
        <v/>
      </c>
      <c r="CT101" s="3">
        <f>COUNTIF(CJ101:CQ101,"MISSING")</f>
        <v/>
      </c>
      <c r="CU101" s="3">
        <f>MIN(100,
  CR101*15
  + CS101*6
  + CT101*3
  + IFERROR(_xlfn.XLOOKUP(CW101,'Lookup Tables'!$M$21:$M$25,'Lookup Tables'!$N$21:$N$25,0),0)
)</f>
        <v/>
      </c>
      <c r="CV101" s="3">
        <f>IFERROR(
CHOOSE(
MATCH("FAIL",CJ101:CQ101,0),
"1-Specificity","2-Metric","3-Baseline","4-Target",
"5-Time Horizon","6-Scope","7-Verification","8-Consistency"
),
IFERROR(
CHOOSE(
MATCH("PARTIAL",CJ101:CQ101,0),
"1-Specificity","2-Metric","3-Baseline","4-Target",
"5-Time Horizon","6-Scope","7-Verification","8-Consistency"
),
"No failures"
)
)</f>
        <v/>
      </c>
      <c r="CW101" s="3" t="n"/>
      <c r="CX101" s="3" t="n"/>
      <c r="CY101" s="3" t="n"/>
      <c r="CZ101" s="3" t="n"/>
      <c r="DA101" s="3">
        <f>IF(OR(CU101&gt;=50,CW101="Material",CW101="Severe",AS101="Material",AS101="Severe",BF101="Material",BF101="Severe — Exclusion Trigger",AND(ISNUMBER(BS101),BS101&lt;30)),"Yes","No")</f>
        <v/>
      </c>
      <c r="DB101" s="3">
        <f>IF(OR(CR101&gt;=6,AW101="Confirmed Violation",AX101="Confirmed Breach"),"Yes — Automatic",IF(CW101="Severe","Yes — Requires Captain Confirmation","No"))</f>
        <v/>
      </c>
      <c r="DC101" s="3" t="n"/>
      <c r="DD101" s="3" t="n"/>
      <c r="DE101" s="3" t="n"/>
      <c r="DF101" s="3" t="n"/>
      <c r="DG101" s="3" t="n"/>
      <c r="DH101" s="3" t="n"/>
      <c r="DI101" s="3" t="n"/>
      <c r="DJ101" s="3" t="n"/>
      <c r="DK101" s="3" t="n"/>
      <c r="DL101" s="3">
        <f>IF(OR(IFERROR(VALUE(LEFT(DF101,1)),99)&lt;=2,IFERROR(VALUE(LEFT(DG101,1)),99)&lt;=2),"Flagged","Clear")</f>
        <v/>
      </c>
      <c r="DM101" s="3">
        <f>IF(OR(DA101="Yes",DB101&lt;&gt;"No",DH101="Unverified",DL101="Flagged"),"Yes","No")</f>
        <v/>
      </c>
      <c r="DN101" s="3">
        <f t="array" ref="DN101">MIN(100,
  IF(ISNUMBER(V101), _xlfn.IFS(V101&gt;=3,25, V101=2,15, V101=1,5, TRUE,0), 0)
  + IFERROR(_xlfn.IFS(VALUE(LEFT(DF101,1))=5,25, VALUE(LEFT(DF101,1))=4,20, VALUE(LEFT(DF101,1))=3,15, VALUE(LEFT(DF101,1))=2,8, TRUE,0), 15)
  + IFERROR(_xlfn.IFS(VALUE(LEFT(DG101,1))=5,25, VALUE(LEFT(DG101,1))=4,20, VALUE(LEFT(DG101,1))=3,15, VALUE(LEFT(DG101,1))=2,8, TRUE,0), 15)
  + _xlfn.IFS(DH101="Fully Verified",25, DH101="Partially Verified",12, TRUE,0)
)</f>
        <v/>
      </c>
      <c r="DO101" s="3">
        <f t="array" ref="DO101">_xlfn.IFS(
  ISBLANK(AR101), "Insufficient Evidence",
  AND(AR101&gt;=65, AJ101="Approved"), "Strong",
  AR101&gt;=65, "Adequate",
  AR101&gt;=40, "Adequate",
  AR101&gt;=20, "Weak",
  TRUE, "Insufficient Evidence"
)</f>
        <v/>
      </c>
      <c r="DP101" s="3">
        <f t="array" ref="DP101">_xlfn.IFS(
  ISBLANK(BS101), "Insufficient Evidence",
  BS101&gt;=65, "Strong",
  BS101&gt;=40, "Adequate",
  BS101&gt;=20, "Weak",
  TRUE, "Insufficient Evidence"
)</f>
        <v/>
      </c>
      <c r="DQ101" s="3">
        <f t="array" ref="DQ101">_xlfn.IFS(
  ISBLANK(BE101), "Insufficient Evidence",
  OR(AW101="Confirmed Violation", AX101="Confirmed Breach"), "Severe — Hard Trigger",
  BE101&gt;=65, "Strong",
  BE101&gt;=40, "Adequate",
  BE101&gt;=20, "Weak",
  TRUE, "Insufficient Evidence"
)</f>
        <v/>
      </c>
      <c r="DR101" s="3">
        <f t="array" ref="DR101">_xlfn.IFS(
  ISBLANK(CU101), "Insufficient Evidence",
  CU101&lt;=20, "Low Risk",
  CU101&lt;=50, "Moderate Risk",
  CU101&lt;=75, "High Risk",
  TRUE, "Very High Risk"
)</f>
        <v/>
      </c>
      <c r="DS101" s="3">
        <f t="array" ref="DS101">_xlfn.IFS(
  ISBLANK(CE101), "Insufficient Evidence",
  AND(ISNUMBER(BW101),ISNUMBER(BV101),BW101&gt;BV101), "Overclaiming Risk",
  CE101&gt;=65, "Strong",
  CE101&gt;=40, "Adequate",
  TRUE, "Weak"
)</f>
        <v/>
      </c>
      <c r="DT101" s="3">
        <f>IF(DB101="Yes — Automatic",0,ROUND((IF(ISNUMBER(AR101),AR101,0)*0.3+IF(ISNUMBER(BS101),BS101,0)*0.2+IF(ISNUMBER(BE101),BE101,0)*0.2+IF(ISNUMBER(CE101),CE101,0)*0.15+(100-IF(ISNUMBER(CU101),CU101,50))*0.15)*IF(DN101&gt;=75,1,IF(DN101&gt;=50,0.9,IF(DN101&gt;=25,0.75,0.6))),1))</f>
        <v/>
      </c>
      <c r="DU101" s="3">
        <f t="array" ref="DU101">_xlfn.IFS(
  DV101="Upgraded to Clear", "Clear",
  DV101="Downgraded to Watchlist", "Watchlist",
  DV101="Downgraded to Exclusion", "Exclusion Risk",
  DB101="Yes — Automatic", "Exclusion Risk",
  OR(AW101="Confirmed Violation", AX101="Confirmed Breach"), "Exclusion Risk",
  OR(V101=0, ISBLANK(V101), DN101&lt;20), "Insufficient Evidence",
  AND(DT101&gt;=65, DA101="No", DB101="No"), "Clear",
  OR(DT101&gt;=40, DA101="Yes"), "Watchlist",
  TRUE, "Exclusion Risk"
)</f>
        <v/>
      </c>
      <c r="DV101" s="3" t="n"/>
      <c r="DW101" s="3">
        <f t="array" ref="DW101">_xlfn.IFS(
  DU101="Exclusion Risk", "Exclude — Hard Trigger",
  DU101="Insufficient Evidence", "Watchlist — Further Evidence Needed",
  DU101="Watchlist", "Watchlist — Further Evidence Needed",
  AND(DU101="Clear", DT101&gt;=80), "Include — No Conditions",
  DU101="Clear", "Include — Monitor",
  TRUE, "Watchlist — Further Evidence Needed"
)</f>
        <v/>
      </c>
      <c r="DX101" s="3" t="n"/>
      <c r="DY101" s="3" t="n"/>
      <c r="DZ101" s="3" t="n"/>
      <c r="EA101" s="3" t="n"/>
      <c r="EB101" s="3">
        <f>IF(OR(V101=0, ISBLANK(V101)), "MISSING — No sources reviewed", "")</f>
        <v/>
      </c>
      <c r="EC101" s="3">
        <f>IF(AND(NOT(ISBLANK(DC101)), ISBLANK(DE101)), "PAGE REF MISSING", "")</f>
        <v/>
      </c>
    </row>
    <row r="102" ht="18" customHeight="1" s="60">
      <c r="A102" s="5" t="inlineStr">
        <is>
          <t>Credit Agricole SA</t>
        </is>
      </c>
      <c r="B102" s="5" t="inlineStr">
        <is>
          <t>XCA</t>
        </is>
      </c>
      <c r="C102" s="5">
        <f>IF(ISBLANK('Universe Tracker'!D77),"",'Universe Tracker'!D77)</f>
        <v/>
      </c>
      <c r="D102" s="5" t="n"/>
      <c r="E102" s="5" t="n"/>
      <c r="F102" s="5">
        <f>IF(ISBLANK('Universe Tracker'!F77),"",'Universe Tracker'!F77)</f>
        <v/>
      </c>
      <c r="G102" s="5">
        <f>IF(ISBLANK('Universe Tracker'!G77),"",'Universe Tracker'!G77)</f>
        <v/>
      </c>
      <c r="H102" s="5" t="n"/>
      <c r="I102" s="5" t="n"/>
      <c r="J102" s="5">
        <f>IF(ISBLANK(B102),"",B102&amp;"_"&amp;C102)</f>
        <v/>
      </c>
      <c r="K102" s="5" t="n"/>
      <c r="L102" s="5" t="n"/>
      <c r="M102" s="5" t="n"/>
      <c r="N102" s="5" t="n"/>
      <c r="O102" s="5" t="n"/>
      <c r="P102" s="5" t="n"/>
      <c r="Q102" s="5" t="n"/>
      <c r="R102" s="5" t="n"/>
      <c r="S102" s="5" t="n"/>
      <c r="T102" s="5" t="n"/>
      <c r="U102" s="5" t="n"/>
      <c r="V102" s="5" t="n"/>
      <c r="W102" s="5" t="n"/>
      <c r="X102" s="5" t="n"/>
      <c r="Y102" s="5">
        <f>IF(AND(V102&gt;=2,K102="Yes",L102="Yes"),"Sufficient",IF(AND(V102&gt;=1,OR(K102="Yes",L102="Yes")),"Thin","Insufficient"))</f>
        <v/>
      </c>
      <c r="Z102" s="5" t="n"/>
      <c r="AA102" s="5" t="n"/>
      <c r="AB102" s="5" t="n"/>
      <c r="AC102" s="5" t="n"/>
      <c r="AD102" s="5" t="n"/>
      <c r="AE102" s="5" t="n"/>
      <c r="AF102" s="5" t="n"/>
      <c r="AG102" s="5" t="n"/>
      <c r="AH102" s="5" t="n"/>
      <c r="AI102" s="5" t="n"/>
      <c r="AJ102" s="5" t="n"/>
      <c r="AK102" s="5" t="n"/>
      <c r="AL102" s="5" t="n"/>
      <c r="AM102" s="5" t="n"/>
      <c r="AN102" s="5" t="n"/>
      <c r="AO102" s="5" t="n"/>
      <c r="AP102" s="5" t="n"/>
      <c r="AQ102" s="5" t="n"/>
      <c r="AR102" s="40">
        <f t="array" ref="AR102">MIN(100, MAX(0,
  IFERROR(_xlfn.XLOOKUP(AJ102,'Lookup Tables'!$A$2:$A$7,'Lookup Tables'!$B$2:$B$7,0),0)
  + IF(Z102="Yes", IF(IFERROR(_xlfn.XLOOKUP(AJ102,'Lookup Tables'!$A$2:$A$7,'Lookup Tables'!$B$2:$B$7,0),0)&lt;20, 5, 0), 0)
  + _xlfn.IFS(AB102="Yes", IF(ISNUMBER(AC102)*AND(AC102&lt;=2030),15,10), AB102="Long-term Only", 5, AB102="No", 0, TRUE, 0)
  + _xlfn.IFS(AF102="Full",10, AF102="Partial",5, AF102="Scope 2 Only",3, TRUE,0)
  + _xlfn.IFS(AG102="Yes", IF(ISNUMBER(AH102)*AND(AH102&gt;=5),10,6), AG102="Partial",4, TRUE,0)
  + _xlfn.IFS(AI102="Yes",5, AI102="Partial (material categories only)",3, TRUE,0)
  + _xlfn.IFS(AL102="Yes — Detailed",10, AL102="Yes — High Level",5, TRUE,0)
  + _xlfn.IFS(AM102="Yes — Quantified",15, AM102="Yes — Directional Only",7, TRUE,0)
  + _xlfn.IFS(AP102="Formal",5, AP102="Referenced",2, TRUE,0)
  + _xlfn.IFS(AQ102="No Issues Found",5, AQ102="Concern Identified",-5, AQ102="Severe Contradiction",-15, TRUE,0)
  + _xlfn.IFS(BC102="Reasonable Assurance",5, BC102="Limited Assurance",3, TRUE,0)
  - IF(AND(Z102="Yes", AI102="No"), 10, 0)
  - IF(AND(Z102="Yes", AM102="No"), 10, 0)
))</f>
        <v/>
      </c>
      <c r="AS102" s="5" t="n"/>
      <c r="AT102" s="5" t="n"/>
      <c r="AU102" s="5" t="n"/>
      <c r="AV102" s="5" t="n"/>
      <c r="AW102" s="5" t="n"/>
      <c r="AX102" s="5" t="n"/>
      <c r="AY102" s="5" t="n"/>
      <c r="AZ102" s="5" t="n"/>
      <c r="BA102" s="5" t="n"/>
      <c r="BB102" s="5" t="n"/>
      <c r="BC102" s="5" t="n"/>
      <c r="BD102" s="5" t="n"/>
      <c r="BE102" s="39">
        <f t="array" ref="BE102">MIN(100, MAX(0,
  IFERROR(_xlfn.XLOOKUP(AT102,'Lookup Tables'!$D$2:$D$6,'Lookup Tables'!$E$2:$E$6,0),0)
  + IFERROR(_xlfn.XLOOKUP(AV102,'Lookup Tables'!$G$2:$G$5,'Lookup Tables'!$H$2:$H$5,0),0)
  + IFERROR(_xlfn.XLOOKUP(AW102,'Lookup Tables'!$J$2:$J$5,'Lookup Tables'!$K$2:$K$5,0),0)
  + _xlfn.IFS(AX102="No Issues",10, AX102="Complaint Filed",3, AX102="Confirmed Breach",-15, TRUE,0)
  + IFERROR(_xlfn.XLOOKUP(AY102,'Lookup Tables'!$M$2:$M$6,'Lookup Tables'!$N$2:$N$6,0),0)
  + IFERROR(_xlfn.XLOOKUP(AZ102,'Lookup Tables'!$P$2:$P$6,'Lookup Tables'!$Q$2:$Q$6,0),0)
  + _xlfn.IFS(BA102="Formal Board Committee",5, BA102="Board Oversight Mentioned",2, TRUE,0)
  + _xlfn.IFS(BB102="Yes — Quantified Targets",5, BB102="Yes — Discretionary Only",2, TRUE,0)
  + _xlfn.IFS(BC102="Reasonable Assurance",5, BC102="Limited Assurance",3, BC102="Management Review Only",1, TRUE,0)
))</f>
        <v/>
      </c>
      <c r="BF102" s="5" t="n"/>
      <c r="BG102" s="5" t="n"/>
      <c r="BH102" s="5" t="n"/>
      <c r="BI102" s="5" t="n"/>
      <c r="BJ102" s="5" t="n"/>
      <c r="BK102" s="5" t="n"/>
      <c r="BL102" s="5" t="n"/>
      <c r="BM102" s="5" t="n"/>
      <c r="BN102" s="5" t="n"/>
      <c r="BO102" s="5" t="n"/>
      <c r="BP102" s="5" t="n"/>
      <c r="BQ102" s="5" t="n"/>
      <c r="BR102" s="5" t="n"/>
      <c r="BS102" s="41">
        <f t="array" ref="BS102">MIN(100, MAX(0,
  IFERROR(_xlfn.XLOOKUP(BG102,'Lookup Tables'!$A$11:$A$16,'Lookup Tables'!$B$11:$B$16,0),0)
  + IFERROR(_xlfn.XLOOKUP(BR102,'Lookup Tables'!$M$11:$M$14,'Lookup Tables'!$N$11:$N$14,0),0)
  + IFERROR(_xlfn.XLOOKUP(BQ102,'Lookup Tables'!$J$11:$J$15,'Lookup Tables'!$K$11:$K$15,0),0)
  + IFERROR(_xlfn.XLOOKUP(BH102,'Lookup Tables'!$D$11:$D$15,'Lookup Tables'!$E$11:$E$15,0),0)
  + IFERROR(_xlfn.XLOOKUP(BJ102,'Lookup Tables'!$G$11:$G$16,'Lookup Tables'!$H$11:$H$16,0),0)
  + IFERROR(_xlfn.XLOOKUP(BN102,'Lookup Tables'!$P$11:$P$15,'Lookup Tables'!$Q$11:$Q$15,0),0)
  + _xlfn.IFS(BM102="No Evidence",10, BM102="Unknown",3, BM102="Likely",0, BM102="Confirmed",-10, TRUE,3)
  + IFERROR(_xlfn.XLOOKUP(BP102,'Lookup Tables'!$J$21:$J$24,'Lookup Tables'!$K$21:$K$24,0),0)
))</f>
        <v/>
      </c>
      <c r="BT102" s="5" t="n"/>
      <c r="BU102" s="5" t="n"/>
      <c r="BV102" s="5" t="n"/>
      <c r="BW102" s="5" t="n"/>
      <c r="BX102" s="5" t="n"/>
      <c r="BY102" s="5" t="n"/>
      <c r="BZ102" s="5" t="n"/>
      <c r="CA102" s="5" t="n"/>
      <c r="CB102" s="5" t="n"/>
      <c r="CC102" s="5" t="n"/>
      <c r="CD102" s="5" t="n"/>
      <c r="CE102" s="43">
        <f t="array" ref="CE102">MIN(100, MAX(0,
  IF(ISNUMBER(BV102)*AND(BV102&gt;0), 10, 0)
  + _xlfn.IFS(BY102="Independently Verified",25, BY102="Yes",15, TRUE,0)
  + IFERROR(_xlfn.XLOOKUP(BZ102,'Lookup Tables'!$A$21:$A$24,'Lookup Tables'!$B$21:$B$24,0),0)
  + IFERROR(_xlfn.XLOOKUP(CA102,'Lookup Tables'!$D$21:$D$24,'Lookup Tables'!$E$21:$E$24,0),0)
  + _xlfn.IFS(ISNUMBER(CB102)*AND(CB102&gt;=11),15, ISNUMBER(CB102)*AND(CB102&gt;=6),10, ISNUMBER(CB102)*AND(CB102&gt;=1),5, TRUE,0)
  + IFERROR(_xlfn.XLOOKUP(CC102,'Lookup Tables'!$G$21:$G$25,'Lookup Tables'!$H$21:$H$25,0),0)
  - IF(ISNUMBER(BW102)*AND(ISNUMBER(BV102))*AND(BW102&gt;BV102), 20, 0)
  - IF(AND(BY102="Yes", ISNUMBER(BW102), BW102&gt;60), 10, 0)
))</f>
        <v/>
      </c>
      <c r="CF102" s="5" t="n"/>
      <c r="CG102" s="5" t="n"/>
      <c r="CH102" s="5" t="n"/>
      <c r="CI102" s="5" t="n"/>
      <c r="CJ102" s="5" t="n"/>
      <c r="CK102" s="5" t="n"/>
      <c r="CL102" s="5" t="n"/>
      <c r="CM102" s="5" t="n"/>
      <c r="CN102" s="5" t="n"/>
      <c r="CO102" s="5" t="n"/>
      <c r="CP102" s="5" t="n"/>
      <c r="CQ102" s="5" t="n"/>
      <c r="CR102" s="5">
        <f>COUNTIF(CJ102:CQ102,"FAIL")</f>
        <v/>
      </c>
      <c r="CS102" s="5">
        <f>COUNTIF(CJ102:CQ102,"PARTIAL")</f>
        <v/>
      </c>
      <c r="CT102" s="5">
        <f>COUNTIF(CJ102:CQ102,"MISSING")</f>
        <v/>
      </c>
      <c r="CU102" s="5">
        <f>MIN(100,
  CR102*15
  + CS102*6
  + CT102*3
  + IFERROR(_xlfn.XLOOKUP(CW102,'Lookup Tables'!$M$21:$M$25,'Lookup Tables'!$N$21:$N$25,0),0)
)</f>
        <v/>
      </c>
      <c r="CV102" s="5">
        <f>IFERROR(
CHOOSE(
MATCH("FAIL",CJ102:CQ102,0),
"1-Specificity","2-Metric","3-Baseline","4-Target",
"5-Time Horizon","6-Scope","7-Verification","8-Consistency"
),
IFERROR(
CHOOSE(
MATCH("PARTIAL",CJ102:CQ102,0),
"1-Specificity","2-Metric","3-Baseline","4-Target",
"5-Time Horizon","6-Scope","7-Verification","8-Consistency"
),
"No failures"
)
)</f>
        <v/>
      </c>
      <c r="CW102" s="5" t="n"/>
      <c r="CX102" s="5" t="n"/>
      <c r="CY102" s="5" t="n"/>
      <c r="CZ102" s="5" t="n"/>
      <c r="DA102" s="5">
        <f>IF(OR(CU102&gt;=50,CW102="Material",CW102="Severe",AS102="Material",AS102="Severe",BF102="Material",BF102="Severe — Exclusion Trigger",AND(ISNUMBER(BS102),BS102&lt;30)),"Yes","No")</f>
        <v/>
      </c>
      <c r="DB102" s="5">
        <f>IF(OR(CR102&gt;=6,AW102="Confirmed Violation",AX102="Confirmed Breach"),"Yes — Automatic",IF(CW102="Severe","Yes — Requires Captain Confirmation","No"))</f>
        <v/>
      </c>
      <c r="DC102" s="5" t="n"/>
      <c r="DD102" s="5" t="n"/>
      <c r="DE102" s="5" t="n"/>
      <c r="DF102" s="5" t="n"/>
      <c r="DG102" s="5" t="n"/>
      <c r="DH102" s="5" t="n"/>
      <c r="DI102" s="5" t="n"/>
      <c r="DJ102" s="5" t="n"/>
      <c r="DK102" s="5" t="n"/>
      <c r="DL102" s="5">
        <f>IF(OR(IFERROR(VALUE(LEFT(DF102,1)),99)&lt;=2,IFERROR(VALUE(LEFT(DG102,1)),99)&lt;=2),"Flagged","Clear")</f>
        <v/>
      </c>
      <c r="DM102" s="5">
        <f>IF(OR(DA102="Yes",DB102&lt;&gt;"No",DH102="Unverified",DL102="Flagged"),"Yes","No")</f>
        <v/>
      </c>
      <c r="DN102" s="5">
        <f t="array" ref="DN102">MIN(100,
  IF(ISNUMBER(V102), _xlfn.IFS(V102&gt;=3,25, V102=2,15, V102=1,5, TRUE,0), 0)
  + IFERROR(_xlfn.IFS(VALUE(LEFT(DF102,1))=5,25, VALUE(LEFT(DF102,1))=4,20, VALUE(LEFT(DF102,1))=3,15, VALUE(LEFT(DF102,1))=2,8, TRUE,0), 15)
  + IFERROR(_xlfn.IFS(VALUE(LEFT(DG102,1))=5,25, VALUE(LEFT(DG102,1))=4,20, VALUE(LEFT(DG102,1))=3,15, VALUE(LEFT(DG102,1))=2,8, TRUE,0), 15)
  + _xlfn.IFS(DH102="Fully Verified",25, DH102="Partially Verified",12, TRUE,0)
)</f>
        <v/>
      </c>
      <c r="DO102" s="5">
        <f t="array" ref="DO102">_xlfn.IFS(
  ISBLANK(AR102), "Insufficient Evidence",
  AND(AR102&gt;=65, AJ102="Approved"), "Strong",
  AR102&gt;=65, "Adequate",
  AR102&gt;=40, "Adequate",
  AR102&gt;=20, "Weak",
  TRUE, "Insufficient Evidence"
)</f>
        <v/>
      </c>
      <c r="DP102" s="5">
        <f t="array" ref="DP102">_xlfn.IFS(
  ISBLANK(BS102), "Insufficient Evidence",
  BS102&gt;=65, "Strong",
  BS102&gt;=40, "Adequate",
  BS102&gt;=20, "Weak",
  TRUE, "Insufficient Evidence"
)</f>
        <v/>
      </c>
      <c r="DQ102" s="5">
        <f t="array" ref="DQ102">_xlfn.IFS(
  ISBLANK(BE102), "Insufficient Evidence",
  OR(AW102="Confirmed Violation", AX102="Confirmed Breach"), "Severe — Hard Trigger",
  BE102&gt;=65, "Strong",
  BE102&gt;=40, "Adequate",
  BE102&gt;=20, "Weak",
  TRUE, "Insufficient Evidence"
)</f>
        <v/>
      </c>
      <c r="DR102" s="5">
        <f t="array" ref="DR102">_xlfn.IFS(
  ISBLANK(CU102), "Insufficient Evidence",
  CU102&lt;=20, "Low Risk",
  CU102&lt;=50, "Moderate Risk",
  CU102&lt;=75, "High Risk",
  TRUE, "Very High Risk"
)</f>
        <v/>
      </c>
      <c r="DS102" s="5">
        <f t="array" ref="DS102">_xlfn.IFS(
  ISBLANK(CE102), "Insufficient Evidence",
  AND(ISNUMBER(BW102),ISNUMBER(BV102),BW102&gt;BV102), "Overclaiming Risk",
  CE102&gt;=65, "Strong",
  CE102&gt;=40, "Adequate",
  TRUE, "Weak"
)</f>
        <v/>
      </c>
      <c r="DT102" s="5">
        <f>IF(DB102="Yes — Automatic",0,ROUND((IF(ISNUMBER(AR102),AR102,0)*0.3+IF(ISNUMBER(BS102),BS102,0)*0.2+IF(ISNUMBER(BE102),BE102,0)*0.2+IF(ISNUMBER(CE102),CE102,0)*0.15+(100-IF(ISNUMBER(CU102),CU102,50))*0.15)*IF(DN102&gt;=75,1,IF(DN102&gt;=50,0.9,IF(DN102&gt;=25,0.75,0.6))),1))</f>
        <v/>
      </c>
      <c r="DU102" s="5">
        <f t="array" ref="DU102">_xlfn.IFS(
  DV102="Upgraded to Clear", "Clear",
  DV102="Downgraded to Watchlist", "Watchlist",
  DV102="Downgraded to Exclusion", "Exclusion Risk",
  DB102="Yes — Automatic", "Exclusion Risk",
  OR(AW102="Confirmed Violation", AX102="Confirmed Breach"), "Exclusion Risk",
  OR(V102=0, ISBLANK(V102), DN102&lt;20), "Insufficient Evidence",
  AND(DT102&gt;=65, DA102="No", DB102="No"), "Clear",
  OR(DT102&gt;=40, DA102="Yes"), "Watchlist",
  TRUE, "Exclusion Risk"
)</f>
        <v/>
      </c>
      <c r="DV102" s="5" t="n"/>
      <c r="DW102" s="5">
        <f t="array" ref="DW102">_xlfn.IFS(
  DU102="Exclusion Risk", "Exclude — Hard Trigger",
  DU102="Insufficient Evidence", "Watchlist — Further Evidence Needed",
  DU102="Watchlist", "Watchlist — Further Evidence Needed",
  AND(DU102="Clear", DT102&gt;=80), "Include — No Conditions",
  DU102="Clear", "Include — Monitor",
  TRUE, "Watchlist — Further Evidence Needed"
)</f>
        <v/>
      </c>
      <c r="DX102" s="5" t="n"/>
      <c r="DY102" s="5" t="n"/>
      <c r="DZ102" s="5" t="n"/>
      <c r="EA102" s="5" t="n"/>
      <c r="EB102" s="5">
        <f>IF(OR(V102=0, ISBLANK(V102)), "MISSING — No sources reviewed", "")</f>
        <v/>
      </c>
      <c r="EC102" s="5">
        <f>IF(AND(NOT(ISBLANK(DC102)), ISBLANK(DE102)), "PAGE REF MISSING", "")</f>
        <v/>
      </c>
    </row>
    <row r="103" ht="18" customHeight="1" s="60">
      <c r="A103" s="3" t="inlineStr">
        <is>
          <t>Banco Bilbao Vizcaya Argentaria SA</t>
        </is>
      </c>
      <c r="B103" s="3" t="inlineStr">
        <is>
          <t>BOY</t>
        </is>
      </c>
      <c r="C103" s="3">
        <f>IF(ISBLANK('Universe Tracker'!D78),"",'Universe Tracker'!D78)</f>
        <v/>
      </c>
      <c r="D103" s="3" t="n"/>
      <c r="E103" s="3" t="n"/>
      <c r="F103" s="3">
        <f>IF(ISBLANK('Universe Tracker'!F78),"",'Universe Tracker'!F78)</f>
        <v/>
      </c>
      <c r="G103" s="3">
        <f>IF(ISBLANK('Universe Tracker'!G78),"",'Universe Tracker'!G78)</f>
        <v/>
      </c>
      <c r="H103" s="3" t="n"/>
      <c r="I103" s="3" t="n"/>
      <c r="J103" s="3">
        <f>IF(ISBLANK(B103),"",B103&amp;"_"&amp;C103)</f>
        <v/>
      </c>
      <c r="K103" s="3" t="n"/>
      <c r="L103" s="3" t="n"/>
      <c r="M103" s="3" t="n"/>
      <c r="N103" s="3" t="n"/>
      <c r="O103" s="3" t="n"/>
      <c r="P103" s="3" t="n"/>
      <c r="Q103" s="3" t="n"/>
      <c r="R103" s="3" t="n"/>
      <c r="S103" s="3" t="n"/>
      <c r="T103" s="3" t="n"/>
      <c r="U103" s="3" t="n"/>
      <c r="V103" s="3" t="n"/>
      <c r="W103" s="3" t="n"/>
      <c r="X103" s="3" t="n"/>
      <c r="Y103" s="3">
        <f>IF(AND(V103&gt;=2,K103="Yes",L103="Yes"),"Sufficient",IF(AND(V103&gt;=1,OR(K103="Yes",L103="Yes")),"Thin","Insufficient"))</f>
        <v/>
      </c>
      <c r="Z103" s="3" t="n"/>
      <c r="AA103" s="3" t="n"/>
      <c r="AB103" s="3" t="n"/>
      <c r="AC103" s="3" t="n"/>
      <c r="AD103" s="3" t="n"/>
      <c r="AE103" s="3" t="n"/>
      <c r="AF103" s="3" t="n"/>
      <c r="AG103" s="3" t="n"/>
      <c r="AH103" s="3" t="n"/>
      <c r="AI103" s="3" t="n"/>
      <c r="AJ103" s="3" t="n"/>
      <c r="AK103" s="3" t="n"/>
      <c r="AL103" s="3" t="n"/>
      <c r="AM103" s="3" t="n"/>
      <c r="AN103" s="3" t="n"/>
      <c r="AO103" s="3" t="n"/>
      <c r="AP103" s="3" t="n"/>
      <c r="AQ103" s="3" t="n"/>
      <c r="AR103" s="40">
        <f t="array" ref="AR103">MIN(100, MAX(0,
  IFERROR(_xlfn.XLOOKUP(AJ103,'Lookup Tables'!$A$2:$A$7,'Lookup Tables'!$B$2:$B$7,0),0)
  + IF(Z103="Yes", IF(IFERROR(_xlfn.XLOOKUP(AJ103,'Lookup Tables'!$A$2:$A$7,'Lookup Tables'!$B$2:$B$7,0),0)&lt;20, 5, 0), 0)
  + _xlfn.IFS(AB103="Yes", IF(ISNUMBER(AC103)*AND(AC103&lt;=2030),15,10), AB103="Long-term Only", 5, AB103="No", 0, TRUE, 0)
  + _xlfn.IFS(AF103="Full",10, AF103="Partial",5, AF103="Scope 2 Only",3, TRUE,0)
  + _xlfn.IFS(AG103="Yes", IF(ISNUMBER(AH103)*AND(AH103&gt;=5),10,6), AG103="Partial",4, TRUE,0)
  + _xlfn.IFS(AI103="Yes",5, AI103="Partial (material categories only)",3, TRUE,0)
  + _xlfn.IFS(AL103="Yes — Detailed",10, AL103="Yes — High Level",5, TRUE,0)
  + _xlfn.IFS(AM103="Yes — Quantified",15, AM103="Yes — Directional Only",7, TRUE,0)
  + _xlfn.IFS(AP103="Formal",5, AP103="Referenced",2, TRUE,0)
  + _xlfn.IFS(AQ103="No Issues Found",5, AQ103="Concern Identified",-5, AQ103="Severe Contradiction",-15, TRUE,0)
  + _xlfn.IFS(BC103="Reasonable Assurance",5, BC103="Limited Assurance",3, TRUE,0)
  - IF(AND(Z103="Yes", AI103="No"), 10, 0)
  - IF(AND(Z103="Yes", AM103="No"), 10, 0)
))</f>
        <v/>
      </c>
      <c r="AS103" s="3" t="n"/>
      <c r="AT103" s="3" t="n"/>
      <c r="AU103" s="3" t="n"/>
      <c r="AV103" s="3" t="n"/>
      <c r="AW103" s="3" t="n"/>
      <c r="AX103" s="3" t="n"/>
      <c r="AY103" s="3" t="n"/>
      <c r="AZ103" s="3" t="n"/>
      <c r="BA103" s="3" t="n"/>
      <c r="BB103" s="3" t="n"/>
      <c r="BC103" s="3" t="n"/>
      <c r="BD103" s="3" t="n"/>
      <c r="BE103" s="40">
        <f t="array" ref="BE103">MIN(100, MAX(0,
  IFERROR(_xlfn.XLOOKUP(AT103,'Lookup Tables'!$D$2:$D$6,'Lookup Tables'!$E$2:$E$6,0),0)
  + IFERROR(_xlfn.XLOOKUP(AV103,'Lookup Tables'!$G$2:$G$5,'Lookup Tables'!$H$2:$H$5,0),0)
  + IFERROR(_xlfn.XLOOKUP(AW103,'Lookup Tables'!$J$2:$J$5,'Lookup Tables'!$K$2:$K$5,0),0)
  + _xlfn.IFS(AX103="No Issues",10, AX103="Complaint Filed",3, AX103="Confirmed Breach",-15, TRUE,0)
  + IFERROR(_xlfn.XLOOKUP(AY103,'Lookup Tables'!$M$2:$M$6,'Lookup Tables'!$N$2:$N$6,0),0)
  + IFERROR(_xlfn.XLOOKUP(AZ103,'Lookup Tables'!$P$2:$P$6,'Lookup Tables'!$Q$2:$Q$6,0),0)
  + _xlfn.IFS(BA103="Formal Board Committee",5, BA103="Board Oversight Mentioned",2, TRUE,0)
  + _xlfn.IFS(BB103="Yes — Quantified Targets",5, BB103="Yes — Discretionary Only",2, TRUE,0)
  + _xlfn.IFS(BC103="Reasonable Assurance",5, BC103="Limited Assurance",3, BC103="Management Review Only",1, TRUE,0)
))</f>
        <v/>
      </c>
      <c r="BF103" s="3" t="n"/>
      <c r="BG103" s="3" t="n"/>
      <c r="BH103" s="3" t="n"/>
      <c r="BI103" s="3" t="n"/>
      <c r="BJ103" s="3" t="n"/>
      <c r="BK103" s="3" t="n"/>
      <c r="BL103" s="3" t="n"/>
      <c r="BM103" s="3" t="n"/>
      <c r="BN103" s="3" t="n"/>
      <c r="BO103" s="3" t="n"/>
      <c r="BP103" s="3" t="n"/>
      <c r="BQ103" s="3" t="n"/>
      <c r="BR103" s="3" t="n"/>
      <c r="BS103" s="42">
        <f t="array" ref="BS103">MIN(100, MAX(0,
  IFERROR(_xlfn.XLOOKUP(BG103,'Lookup Tables'!$A$11:$A$16,'Lookup Tables'!$B$11:$B$16,0),0)
  + IFERROR(_xlfn.XLOOKUP(BR103,'Lookup Tables'!$M$11:$M$14,'Lookup Tables'!$N$11:$N$14,0),0)
  + IFERROR(_xlfn.XLOOKUP(BQ103,'Lookup Tables'!$J$11:$J$15,'Lookup Tables'!$K$11:$K$15,0),0)
  + IFERROR(_xlfn.XLOOKUP(BH103,'Lookup Tables'!$D$11:$D$15,'Lookup Tables'!$E$11:$E$15,0),0)
  + IFERROR(_xlfn.XLOOKUP(BJ103,'Lookup Tables'!$G$11:$G$16,'Lookup Tables'!$H$11:$H$16,0),0)
  + IFERROR(_xlfn.XLOOKUP(BN103,'Lookup Tables'!$P$11:$P$15,'Lookup Tables'!$Q$11:$Q$15,0),0)
  + _xlfn.IFS(BM103="No Evidence",10, BM103="Unknown",3, BM103="Likely",0, BM103="Confirmed",-10, TRUE,3)
  + IFERROR(_xlfn.XLOOKUP(BP103,'Lookup Tables'!$J$21:$J$24,'Lookup Tables'!$K$21:$K$24,0),0)
))</f>
        <v/>
      </c>
      <c r="BT103" s="3" t="n"/>
      <c r="BU103" s="3" t="n"/>
      <c r="BV103" s="3" t="n"/>
      <c r="BW103" s="3" t="n"/>
      <c r="BX103" s="3" t="n"/>
      <c r="BY103" s="3" t="n"/>
      <c r="BZ103" s="3" t="n"/>
      <c r="CA103" s="3" t="n"/>
      <c r="CB103" s="3" t="n"/>
      <c r="CC103" s="3" t="n"/>
      <c r="CD103" s="3" t="n"/>
      <c r="CE103" s="44">
        <f t="array" ref="CE103">MIN(100, MAX(0,
  IF(ISNUMBER(BV103)*AND(BV103&gt;0), 10, 0)
  + _xlfn.IFS(BY103="Independently Verified",25, BY103="Yes",15, TRUE,0)
  + IFERROR(_xlfn.XLOOKUP(BZ103,'Lookup Tables'!$A$21:$A$24,'Lookup Tables'!$B$21:$B$24,0),0)
  + IFERROR(_xlfn.XLOOKUP(CA103,'Lookup Tables'!$D$21:$D$24,'Lookup Tables'!$E$21:$E$24,0),0)
  + _xlfn.IFS(ISNUMBER(CB103)*AND(CB103&gt;=11),15, ISNUMBER(CB103)*AND(CB103&gt;=6),10, ISNUMBER(CB103)*AND(CB103&gt;=1),5, TRUE,0)
  + IFERROR(_xlfn.XLOOKUP(CC103,'Lookup Tables'!$G$21:$G$25,'Lookup Tables'!$H$21:$H$25,0),0)
  - IF(ISNUMBER(BW103)*AND(ISNUMBER(BV103))*AND(BW103&gt;BV103), 20, 0)
  - IF(AND(BY103="Yes", ISNUMBER(BW103), BW103&gt;60), 10, 0)
))</f>
        <v/>
      </c>
      <c r="CF103" s="3" t="n"/>
      <c r="CG103" s="3" t="n"/>
      <c r="CH103" s="3" t="n"/>
      <c r="CI103" s="3" t="n"/>
      <c r="CJ103" s="3" t="n"/>
      <c r="CK103" s="3" t="n"/>
      <c r="CL103" s="3" t="n"/>
      <c r="CM103" s="3" t="n"/>
      <c r="CN103" s="3" t="n"/>
      <c r="CO103" s="3" t="n"/>
      <c r="CP103" s="3" t="n"/>
      <c r="CQ103" s="3" t="n"/>
      <c r="CR103" s="3">
        <f>COUNTIF(CJ103:CQ103,"FAIL")</f>
        <v/>
      </c>
      <c r="CS103" s="3">
        <f>COUNTIF(CJ103:CQ103,"PARTIAL")</f>
        <v/>
      </c>
      <c r="CT103" s="3">
        <f>COUNTIF(CJ103:CQ103,"MISSING")</f>
        <v/>
      </c>
      <c r="CU103" s="3">
        <f>MIN(100,
  CR103*15
  + CS103*6
  + CT103*3
  + IFERROR(_xlfn.XLOOKUP(CW103,'Lookup Tables'!$M$21:$M$25,'Lookup Tables'!$N$21:$N$25,0),0)
)</f>
        <v/>
      </c>
      <c r="CV103" s="3">
        <f>IFERROR(
CHOOSE(
MATCH("FAIL",CJ103:CQ103,0),
"1-Specificity","2-Metric","3-Baseline","4-Target",
"5-Time Horizon","6-Scope","7-Verification","8-Consistency"
),
IFERROR(
CHOOSE(
MATCH("PARTIAL",CJ103:CQ103,0),
"1-Specificity","2-Metric","3-Baseline","4-Target",
"5-Time Horizon","6-Scope","7-Verification","8-Consistency"
),
"No failures"
)
)</f>
        <v/>
      </c>
      <c r="CW103" s="3" t="n"/>
      <c r="CX103" s="3" t="n"/>
      <c r="CY103" s="3" t="n"/>
      <c r="CZ103" s="3" t="n"/>
      <c r="DA103" s="3">
        <f>IF(OR(CU103&gt;=50,CW103="Material",CW103="Severe",AS103="Material",AS103="Severe",BF103="Material",BF103="Severe — Exclusion Trigger",AND(ISNUMBER(BS103),BS103&lt;30)),"Yes","No")</f>
        <v/>
      </c>
      <c r="DB103" s="3">
        <f>IF(OR(CR103&gt;=6,AW103="Confirmed Violation",AX103="Confirmed Breach"),"Yes — Automatic",IF(CW103="Severe","Yes — Requires Captain Confirmation","No"))</f>
        <v/>
      </c>
      <c r="DC103" s="3" t="n"/>
      <c r="DD103" s="3" t="n"/>
      <c r="DE103" s="3" t="n"/>
      <c r="DF103" s="3" t="n"/>
      <c r="DG103" s="3" t="n"/>
      <c r="DH103" s="3" t="n"/>
      <c r="DI103" s="3" t="n"/>
      <c r="DJ103" s="3" t="n"/>
      <c r="DK103" s="3" t="n"/>
      <c r="DL103" s="3">
        <f>IF(OR(IFERROR(VALUE(LEFT(DF103,1)),99)&lt;=2,IFERROR(VALUE(LEFT(DG103,1)),99)&lt;=2),"Flagged","Clear")</f>
        <v/>
      </c>
      <c r="DM103" s="3">
        <f>IF(OR(DA103="Yes",DB103&lt;&gt;"No",DH103="Unverified",DL103="Flagged"),"Yes","No")</f>
        <v/>
      </c>
      <c r="DN103" s="3">
        <f t="array" ref="DN103">MIN(100,
  IF(ISNUMBER(V103), _xlfn.IFS(V103&gt;=3,25, V103=2,15, V103=1,5, TRUE,0), 0)
  + IFERROR(_xlfn.IFS(VALUE(LEFT(DF103,1))=5,25, VALUE(LEFT(DF103,1))=4,20, VALUE(LEFT(DF103,1))=3,15, VALUE(LEFT(DF103,1))=2,8, TRUE,0), 15)
  + IFERROR(_xlfn.IFS(VALUE(LEFT(DG103,1))=5,25, VALUE(LEFT(DG103,1))=4,20, VALUE(LEFT(DG103,1))=3,15, VALUE(LEFT(DG103,1))=2,8, TRUE,0), 15)
  + _xlfn.IFS(DH103="Fully Verified",25, DH103="Partially Verified",12, TRUE,0)
)</f>
        <v/>
      </c>
      <c r="DO103" s="3">
        <f t="array" ref="DO103">_xlfn.IFS(
  ISBLANK(AR103), "Insufficient Evidence",
  AND(AR103&gt;=65, AJ103="Approved"), "Strong",
  AR103&gt;=65, "Adequate",
  AR103&gt;=40, "Adequate",
  AR103&gt;=20, "Weak",
  TRUE, "Insufficient Evidence"
)</f>
        <v/>
      </c>
      <c r="DP103" s="3">
        <f t="array" ref="DP103">_xlfn.IFS(
  ISBLANK(BS103), "Insufficient Evidence",
  BS103&gt;=65, "Strong",
  BS103&gt;=40, "Adequate",
  BS103&gt;=20, "Weak",
  TRUE, "Insufficient Evidence"
)</f>
        <v/>
      </c>
      <c r="DQ103" s="3">
        <f t="array" ref="DQ103">_xlfn.IFS(
  ISBLANK(BE103), "Insufficient Evidence",
  OR(AW103="Confirmed Violation", AX103="Confirmed Breach"), "Severe — Hard Trigger",
  BE103&gt;=65, "Strong",
  BE103&gt;=40, "Adequate",
  BE103&gt;=20, "Weak",
  TRUE, "Insufficient Evidence"
)</f>
        <v/>
      </c>
      <c r="DR103" s="3">
        <f t="array" ref="DR103">_xlfn.IFS(
  ISBLANK(CU103), "Insufficient Evidence",
  CU103&lt;=20, "Low Risk",
  CU103&lt;=50, "Moderate Risk",
  CU103&lt;=75, "High Risk",
  TRUE, "Very High Risk"
)</f>
        <v/>
      </c>
      <c r="DS103" s="3">
        <f t="array" ref="DS103">_xlfn.IFS(
  ISBLANK(CE103), "Insufficient Evidence",
  AND(ISNUMBER(BW103),ISNUMBER(BV103),BW103&gt;BV103), "Overclaiming Risk",
  CE103&gt;=65, "Strong",
  CE103&gt;=40, "Adequate",
  TRUE, "Weak"
)</f>
        <v/>
      </c>
      <c r="DT103" s="3">
        <f>IF(DB103="Yes — Automatic",0,ROUND((IF(ISNUMBER(AR103),AR103,0)*0.3+IF(ISNUMBER(BS103),BS103,0)*0.2+IF(ISNUMBER(BE103),BE103,0)*0.2+IF(ISNUMBER(CE103),CE103,0)*0.15+(100-IF(ISNUMBER(CU103),CU103,50))*0.15)*IF(DN103&gt;=75,1,IF(DN103&gt;=50,0.9,IF(DN103&gt;=25,0.75,0.6))),1))</f>
        <v/>
      </c>
      <c r="DU103" s="3">
        <f t="array" ref="DU103">_xlfn.IFS(
  DV103="Upgraded to Clear", "Clear",
  DV103="Downgraded to Watchlist", "Watchlist",
  DV103="Downgraded to Exclusion", "Exclusion Risk",
  DB103="Yes — Automatic", "Exclusion Risk",
  OR(AW103="Confirmed Violation", AX103="Confirmed Breach"), "Exclusion Risk",
  OR(V103=0, ISBLANK(V103), DN103&lt;20), "Insufficient Evidence",
  AND(DT103&gt;=65, DA103="No", DB103="No"), "Clear",
  OR(DT103&gt;=40, DA103="Yes"), "Watchlist",
  TRUE, "Exclusion Risk"
)</f>
        <v/>
      </c>
      <c r="DV103" s="3" t="n"/>
      <c r="DW103" s="3">
        <f t="array" ref="DW103">_xlfn.IFS(
  DU103="Exclusion Risk", "Exclude — Hard Trigger",
  DU103="Insufficient Evidence", "Watchlist — Further Evidence Needed",
  DU103="Watchlist", "Watchlist — Further Evidence Needed",
  AND(DU103="Clear", DT103&gt;=80), "Include — No Conditions",
  DU103="Clear", "Include — Monitor",
  TRUE, "Watchlist — Further Evidence Needed"
)</f>
        <v/>
      </c>
      <c r="DX103" s="3" t="n"/>
      <c r="DY103" s="3" t="n"/>
      <c r="DZ103" s="3" t="n"/>
      <c r="EA103" s="3" t="n"/>
      <c r="EB103" s="3">
        <f>IF(OR(V103=0, ISBLANK(V103)), "MISSING — No sources reviewed", "")</f>
        <v/>
      </c>
      <c r="EC103" s="3">
        <f>IF(AND(NOT(ISBLANK(DC103)), ISBLANK(DE103)), "PAGE REF MISSING", "")</f>
        <v/>
      </c>
    </row>
    <row r="104" ht="18" customHeight="1" s="60">
      <c r="A104" s="5" t="inlineStr">
        <is>
          <t>A2A SpA</t>
        </is>
      </c>
      <c r="B104" s="5" t="inlineStr">
        <is>
          <t>EAM</t>
        </is>
      </c>
      <c r="C104" s="5">
        <f>IF(ISBLANK('Universe Tracker'!D79),"",'Universe Tracker'!D79)</f>
        <v/>
      </c>
      <c r="D104" s="5" t="n"/>
      <c r="E104" s="5" t="n"/>
      <c r="F104" s="5">
        <f>IF(ISBLANK('Universe Tracker'!F79),"",'Universe Tracker'!F79)</f>
        <v/>
      </c>
      <c r="G104" s="5">
        <f>IF(ISBLANK('Universe Tracker'!G79),"",'Universe Tracker'!G79)</f>
        <v/>
      </c>
      <c r="H104" s="5" t="n"/>
      <c r="I104" s="5" t="n"/>
      <c r="J104" s="5">
        <f>IF(ISBLANK(B104),"",B104&amp;"_"&amp;C104)</f>
        <v/>
      </c>
      <c r="K104" s="5" t="n"/>
      <c r="L104" s="5" t="n"/>
      <c r="M104" s="5" t="n"/>
      <c r="N104" s="5" t="n"/>
      <c r="O104" s="5" t="n"/>
      <c r="P104" s="5" t="n"/>
      <c r="Q104" s="5" t="n"/>
      <c r="R104" s="5" t="n"/>
      <c r="S104" s="5" t="n"/>
      <c r="T104" s="5" t="n"/>
      <c r="U104" s="5" t="n"/>
      <c r="V104" s="5" t="n"/>
      <c r="W104" s="5" t="n"/>
      <c r="X104" s="5" t="n"/>
      <c r="Y104" s="5">
        <f>IF(AND(V104&gt;=2,K104="Yes",L104="Yes"),"Sufficient",IF(AND(V104&gt;=1,OR(K104="Yes",L104="Yes")),"Thin","Insufficient"))</f>
        <v/>
      </c>
      <c r="Z104" s="5" t="n"/>
      <c r="AA104" s="5" t="n"/>
      <c r="AB104" s="5" t="n"/>
      <c r="AC104" s="5" t="n"/>
      <c r="AD104" s="5" t="n"/>
      <c r="AE104" s="5" t="n"/>
      <c r="AF104" s="5" t="n"/>
      <c r="AG104" s="5" t="n"/>
      <c r="AH104" s="5" t="n"/>
      <c r="AI104" s="5" t="n"/>
      <c r="AJ104" s="5" t="n"/>
      <c r="AK104" s="5" t="n"/>
      <c r="AL104" s="5" t="n"/>
      <c r="AM104" s="5" t="n"/>
      <c r="AN104" s="5" t="n"/>
      <c r="AO104" s="5" t="n"/>
      <c r="AP104" s="5" t="n"/>
      <c r="AQ104" s="5" t="n"/>
      <c r="AR104" s="40">
        <f t="array" ref="AR104">MIN(100, MAX(0,
  IFERROR(_xlfn.XLOOKUP(AJ104,'Lookup Tables'!$A$2:$A$7,'Lookup Tables'!$B$2:$B$7,0),0)
  + IF(Z104="Yes", IF(IFERROR(_xlfn.XLOOKUP(AJ104,'Lookup Tables'!$A$2:$A$7,'Lookup Tables'!$B$2:$B$7,0),0)&lt;20, 5, 0), 0)
  + _xlfn.IFS(AB104="Yes", IF(ISNUMBER(AC104)*AND(AC104&lt;=2030),15,10), AB104="Long-term Only", 5, AB104="No", 0, TRUE, 0)
  + _xlfn.IFS(AF104="Full",10, AF104="Partial",5, AF104="Scope 2 Only",3, TRUE,0)
  + _xlfn.IFS(AG104="Yes", IF(ISNUMBER(AH104)*AND(AH104&gt;=5),10,6), AG104="Partial",4, TRUE,0)
  + _xlfn.IFS(AI104="Yes",5, AI104="Partial (material categories only)",3, TRUE,0)
  + _xlfn.IFS(AL104="Yes — Detailed",10, AL104="Yes — High Level",5, TRUE,0)
  + _xlfn.IFS(AM104="Yes — Quantified",15, AM104="Yes — Directional Only",7, TRUE,0)
  + _xlfn.IFS(AP104="Formal",5, AP104="Referenced",2, TRUE,0)
  + _xlfn.IFS(AQ104="No Issues Found",5, AQ104="Concern Identified",-5, AQ104="Severe Contradiction",-15, TRUE,0)
  + _xlfn.IFS(BC104="Reasonable Assurance",5, BC104="Limited Assurance",3, TRUE,0)
  - IF(AND(Z104="Yes", AI104="No"), 10, 0)
  - IF(AND(Z104="Yes", AM104="No"), 10, 0)
))</f>
        <v/>
      </c>
      <c r="AS104" s="5" t="n"/>
      <c r="AT104" s="5" t="n"/>
      <c r="AU104" s="5" t="n"/>
      <c r="AV104" s="5" t="n"/>
      <c r="AW104" s="5" t="n"/>
      <c r="AX104" s="5" t="n"/>
      <c r="AY104" s="5" t="n"/>
      <c r="AZ104" s="5" t="n"/>
      <c r="BA104" s="5" t="n"/>
      <c r="BB104" s="5" t="n"/>
      <c r="BC104" s="5" t="n"/>
      <c r="BD104" s="5" t="n"/>
      <c r="BE104" s="39">
        <f t="array" ref="BE104">MIN(100, MAX(0,
  IFERROR(_xlfn.XLOOKUP(AT104,'Lookup Tables'!$D$2:$D$6,'Lookup Tables'!$E$2:$E$6,0),0)
  + IFERROR(_xlfn.XLOOKUP(AV104,'Lookup Tables'!$G$2:$G$5,'Lookup Tables'!$H$2:$H$5,0),0)
  + IFERROR(_xlfn.XLOOKUP(AW104,'Lookup Tables'!$J$2:$J$5,'Lookup Tables'!$K$2:$K$5,0),0)
  + _xlfn.IFS(AX104="No Issues",10, AX104="Complaint Filed",3, AX104="Confirmed Breach",-15, TRUE,0)
  + IFERROR(_xlfn.XLOOKUP(AY104,'Lookup Tables'!$M$2:$M$6,'Lookup Tables'!$N$2:$N$6,0),0)
  + IFERROR(_xlfn.XLOOKUP(AZ104,'Lookup Tables'!$P$2:$P$6,'Lookup Tables'!$Q$2:$Q$6,0),0)
  + _xlfn.IFS(BA104="Formal Board Committee",5, BA104="Board Oversight Mentioned",2, TRUE,0)
  + _xlfn.IFS(BB104="Yes — Quantified Targets",5, BB104="Yes — Discretionary Only",2, TRUE,0)
  + _xlfn.IFS(BC104="Reasonable Assurance",5, BC104="Limited Assurance",3, BC104="Management Review Only",1, TRUE,0)
))</f>
        <v/>
      </c>
      <c r="BF104" s="5" t="n"/>
      <c r="BG104" s="5" t="n"/>
      <c r="BH104" s="5" t="n"/>
      <c r="BI104" s="5" t="n"/>
      <c r="BJ104" s="5" t="n"/>
      <c r="BK104" s="5" t="n"/>
      <c r="BL104" s="5" t="n"/>
      <c r="BM104" s="5" t="n"/>
      <c r="BN104" s="5" t="n"/>
      <c r="BO104" s="5" t="n"/>
      <c r="BP104" s="5" t="n"/>
      <c r="BQ104" s="5" t="n"/>
      <c r="BR104" s="5" t="n"/>
      <c r="BS104" s="41">
        <f t="array" ref="BS104">MIN(100, MAX(0,
  IFERROR(_xlfn.XLOOKUP(BG104,'Lookup Tables'!$A$11:$A$16,'Lookup Tables'!$B$11:$B$16,0),0)
  + IFERROR(_xlfn.XLOOKUP(BR104,'Lookup Tables'!$M$11:$M$14,'Lookup Tables'!$N$11:$N$14,0),0)
  + IFERROR(_xlfn.XLOOKUP(BQ104,'Lookup Tables'!$J$11:$J$15,'Lookup Tables'!$K$11:$K$15,0),0)
  + IFERROR(_xlfn.XLOOKUP(BH104,'Lookup Tables'!$D$11:$D$15,'Lookup Tables'!$E$11:$E$15,0),0)
  + IFERROR(_xlfn.XLOOKUP(BJ104,'Lookup Tables'!$G$11:$G$16,'Lookup Tables'!$H$11:$H$16,0),0)
  + IFERROR(_xlfn.XLOOKUP(BN104,'Lookup Tables'!$P$11:$P$15,'Lookup Tables'!$Q$11:$Q$15,0),0)
  + _xlfn.IFS(BM104="No Evidence",10, BM104="Unknown",3, BM104="Likely",0, BM104="Confirmed",-10, TRUE,3)
  + IFERROR(_xlfn.XLOOKUP(BP104,'Lookup Tables'!$J$21:$J$24,'Lookup Tables'!$K$21:$K$24,0),0)
))</f>
        <v/>
      </c>
      <c r="BT104" s="5" t="n"/>
      <c r="BU104" s="5" t="n"/>
      <c r="BV104" s="5" t="n"/>
      <c r="BW104" s="5" t="n"/>
      <c r="BX104" s="5" t="n"/>
      <c r="BY104" s="5" t="n"/>
      <c r="BZ104" s="5" t="n"/>
      <c r="CA104" s="5" t="n"/>
      <c r="CB104" s="5" t="n"/>
      <c r="CC104" s="5" t="n"/>
      <c r="CD104" s="5" t="n"/>
      <c r="CE104" s="43">
        <f t="array" ref="CE104">MIN(100, MAX(0,
  IF(ISNUMBER(BV104)*AND(BV104&gt;0), 10, 0)
  + _xlfn.IFS(BY104="Independently Verified",25, BY104="Yes",15, TRUE,0)
  + IFERROR(_xlfn.XLOOKUP(BZ104,'Lookup Tables'!$A$21:$A$24,'Lookup Tables'!$B$21:$B$24,0),0)
  + IFERROR(_xlfn.XLOOKUP(CA104,'Lookup Tables'!$D$21:$D$24,'Lookup Tables'!$E$21:$E$24,0),0)
  + _xlfn.IFS(ISNUMBER(CB104)*AND(CB104&gt;=11),15, ISNUMBER(CB104)*AND(CB104&gt;=6),10, ISNUMBER(CB104)*AND(CB104&gt;=1),5, TRUE,0)
  + IFERROR(_xlfn.XLOOKUP(CC104,'Lookup Tables'!$G$21:$G$25,'Lookup Tables'!$H$21:$H$25,0),0)
  - IF(ISNUMBER(BW104)*AND(ISNUMBER(BV104))*AND(BW104&gt;BV104), 20, 0)
  - IF(AND(BY104="Yes", ISNUMBER(BW104), BW104&gt;60), 10, 0)
))</f>
        <v/>
      </c>
      <c r="CF104" s="5" t="n"/>
      <c r="CG104" s="5" t="n"/>
      <c r="CH104" s="5" t="n"/>
      <c r="CI104" s="5" t="n"/>
      <c r="CJ104" s="5" t="n"/>
      <c r="CK104" s="5" t="n"/>
      <c r="CL104" s="5" t="n"/>
      <c r="CM104" s="5" t="n"/>
      <c r="CN104" s="5" t="n"/>
      <c r="CO104" s="5" t="n"/>
      <c r="CP104" s="5" t="n"/>
      <c r="CQ104" s="5" t="n"/>
      <c r="CR104" s="5">
        <f>COUNTIF(CJ104:CQ104,"FAIL")</f>
        <v/>
      </c>
      <c r="CS104" s="5">
        <f>COUNTIF(CJ104:CQ104,"PARTIAL")</f>
        <v/>
      </c>
      <c r="CT104" s="5">
        <f>COUNTIF(CJ104:CQ104,"MISSING")</f>
        <v/>
      </c>
      <c r="CU104" s="5">
        <f>MIN(100,
  CR104*15
  + CS104*6
  + CT104*3
  + IFERROR(_xlfn.XLOOKUP(CW104,'Lookup Tables'!$M$21:$M$25,'Lookup Tables'!$N$21:$N$25,0),0)
)</f>
        <v/>
      </c>
      <c r="CV104" s="5">
        <f>IFERROR(
CHOOSE(
MATCH("FAIL",CJ104:CQ104,0),
"1-Specificity","2-Metric","3-Baseline","4-Target",
"5-Time Horizon","6-Scope","7-Verification","8-Consistency"
),
IFERROR(
CHOOSE(
MATCH("PARTIAL",CJ104:CQ104,0),
"1-Specificity","2-Metric","3-Baseline","4-Target",
"5-Time Horizon","6-Scope","7-Verification","8-Consistency"
),
"No failures"
)
)</f>
        <v/>
      </c>
      <c r="CW104" s="5" t="n"/>
      <c r="CX104" s="5" t="n"/>
      <c r="CY104" s="5" t="n"/>
      <c r="CZ104" s="5" t="n"/>
      <c r="DA104" s="5">
        <f>IF(OR(CU104&gt;=50,CW104="Material",CW104="Severe",AS104="Material",AS104="Severe",BF104="Material",BF104="Severe — Exclusion Trigger",AND(ISNUMBER(BS104),BS104&lt;30)),"Yes","No")</f>
        <v/>
      </c>
      <c r="DB104" s="5">
        <f>IF(OR(CR104&gt;=6,AW104="Confirmed Violation",AX104="Confirmed Breach"),"Yes — Automatic",IF(CW104="Severe","Yes — Requires Captain Confirmation","No"))</f>
        <v/>
      </c>
      <c r="DC104" s="5" t="n"/>
      <c r="DD104" s="5" t="n"/>
      <c r="DE104" s="5" t="n"/>
      <c r="DF104" s="5" t="n"/>
      <c r="DG104" s="5" t="n"/>
      <c r="DH104" s="5" t="n"/>
      <c r="DI104" s="5" t="n"/>
      <c r="DJ104" s="5" t="n"/>
      <c r="DK104" s="5" t="n"/>
      <c r="DL104" s="5">
        <f>IF(OR(IFERROR(VALUE(LEFT(DF104,1)),99)&lt;=2,IFERROR(VALUE(LEFT(DG104,1)),99)&lt;=2),"Flagged","Clear")</f>
        <v/>
      </c>
      <c r="DM104" s="5">
        <f>IF(OR(DA104="Yes",DB104&lt;&gt;"No",DH104="Unverified",DL104="Flagged"),"Yes","No")</f>
        <v/>
      </c>
      <c r="DN104" s="5">
        <f t="array" ref="DN104">MIN(100,
  IF(ISNUMBER(V104), _xlfn.IFS(V104&gt;=3,25, V104=2,15, V104=1,5, TRUE,0), 0)
  + IFERROR(_xlfn.IFS(VALUE(LEFT(DF104,1))=5,25, VALUE(LEFT(DF104,1))=4,20, VALUE(LEFT(DF104,1))=3,15, VALUE(LEFT(DF104,1))=2,8, TRUE,0), 15)
  + IFERROR(_xlfn.IFS(VALUE(LEFT(DG104,1))=5,25, VALUE(LEFT(DG104,1))=4,20, VALUE(LEFT(DG104,1))=3,15, VALUE(LEFT(DG104,1))=2,8, TRUE,0), 15)
  + _xlfn.IFS(DH104="Fully Verified",25, DH104="Partially Verified",12, TRUE,0)
)</f>
        <v/>
      </c>
      <c r="DO104" s="5">
        <f t="array" ref="DO104">_xlfn.IFS(
  ISBLANK(AR104), "Insufficient Evidence",
  AND(AR104&gt;=65, AJ104="Approved"), "Strong",
  AR104&gt;=65, "Adequate",
  AR104&gt;=40, "Adequate",
  AR104&gt;=20, "Weak",
  TRUE, "Insufficient Evidence"
)</f>
        <v/>
      </c>
      <c r="DP104" s="5">
        <f t="array" ref="DP104">_xlfn.IFS(
  ISBLANK(BS104), "Insufficient Evidence",
  BS104&gt;=65, "Strong",
  BS104&gt;=40, "Adequate",
  BS104&gt;=20, "Weak",
  TRUE, "Insufficient Evidence"
)</f>
        <v/>
      </c>
      <c r="DQ104" s="5">
        <f t="array" ref="DQ104">_xlfn.IFS(
  ISBLANK(BE104), "Insufficient Evidence",
  OR(AW104="Confirmed Violation", AX104="Confirmed Breach"), "Severe — Hard Trigger",
  BE104&gt;=65, "Strong",
  BE104&gt;=40, "Adequate",
  BE104&gt;=20, "Weak",
  TRUE, "Insufficient Evidence"
)</f>
        <v/>
      </c>
      <c r="DR104" s="5">
        <f t="array" ref="DR104">_xlfn.IFS(
  ISBLANK(CU104), "Insufficient Evidence",
  CU104&lt;=20, "Low Risk",
  CU104&lt;=50, "Moderate Risk",
  CU104&lt;=75, "High Risk",
  TRUE, "Very High Risk"
)</f>
        <v/>
      </c>
      <c r="DS104" s="5">
        <f t="array" ref="DS104">_xlfn.IFS(
  ISBLANK(CE104), "Insufficient Evidence",
  AND(ISNUMBER(BW104),ISNUMBER(BV104),BW104&gt;BV104), "Overclaiming Risk",
  CE104&gt;=65, "Strong",
  CE104&gt;=40, "Adequate",
  TRUE, "Weak"
)</f>
        <v/>
      </c>
      <c r="DT104" s="5">
        <f>IF(DB104="Yes — Automatic",0,ROUND((IF(ISNUMBER(AR104),AR104,0)*0.3+IF(ISNUMBER(BS104),BS104,0)*0.2+IF(ISNUMBER(BE104),BE104,0)*0.2+IF(ISNUMBER(CE104),CE104,0)*0.15+(100-IF(ISNUMBER(CU104),CU104,50))*0.15)*IF(DN104&gt;=75,1,IF(DN104&gt;=50,0.9,IF(DN104&gt;=25,0.75,0.6))),1))</f>
        <v/>
      </c>
      <c r="DU104" s="5">
        <f t="array" ref="DU104">_xlfn.IFS(
  DV104="Upgraded to Clear", "Clear",
  DV104="Downgraded to Watchlist", "Watchlist",
  DV104="Downgraded to Exclusion", "Exclusion Risk",
  DB104="Yes — Automatic", "Exclusion Risk",
  OR(AW104="Confirmed Violation", AX104="Confirmed Breach"), "Exclusion Risk",
  OR(V104=0, ISBLANK(V104), DN104&lt;20), "Insufficient Evidence",
  AND(DT104&gt;=65, DA104="No", DB104="No"), "Clear",
  OR(DT104&gt;=40, DA104="Yes"), "Watchlist",
  TRUE, "Exclusion Risk"
)</f>
        <v/>
      </c>
      <c r="DV104" s="5" t="n"/>
      <c r="DW104" s="5">
        <f t="array" ref="DW104">_xlfn.IFS(
  DU104="Exclusion Risk", "Exclude — Hard Trigger",
  DU104="Insufficient Evidence", "Watchlist — Further Evidence Needed",
  DU104="Watchlist", "Watchlist — Further Evidence Needed",
  AND(DU104="Clear", DT104&gt;=80), "Include — No Conditions",
  DU104="Clear", "Include — Monitor",
  TRUE, "Watchlist — Further Evidence Needed"
)</f>
        <v/>
      </c>
      <c r="DX104" s="5" t="n"/>
      <c r="DY104" s="5" t="n"/>
      <c r="DZ104" s="5" t="n"/>
      <c r="EA104" s="5" t="n"/>
      <c r="EB104" s="5">
        <f>IF(OR(V104=0, ISBLANK(V104)), "MISSING — No sources reviewed", "")</f>
        <v/>
      </c>
      <c r="EC104" s="5">
        <f>IF(AND(NOT(ISBLANK(DC104)), ISBLANK(DE104)), "PAGE REF MISSING", "")</f>
        <v/>
      </c>
    </row>
    <row r="105" ht="18" customHeight="1" s="60">
      <c r="A105" s="3" t="inlineStr">
        <is>
          <t>ALK-Abello A/S</t>
        </is>
      </c>
      <c r="B105" s="3" t="inlineStr">
        <is>
          <t>4AJ0</t>
        </is>
      </c>
      <c r="C105" s="3">
        <f>IF(ISBLANK('Universe Tracker'!D80),"",'Universe Tracker'!D80)</f>
        <v/>
      </c>
      <c r="D105" s="3" t="n"/>
      <c r="E105" s="3" t="n"/>
      <c r="F105" s="3">
        <f>IF(ISBLANK('Universe Tracker'!F80),"",'Universe Tracker'!F80)</f>
        <v/>
      </c>
      <c r="G105" s="3">
        <f>IF(ISBLANK('Universe Tracker'!G80),"",'Universe Tracker'!G80)</f>
        <v/>
      </c>
      <c r="H105" s="3" t="n"/>
      <c r="I105" s="3" t="n"/>
      <c r="J105" s="3">
        <f>IF(ISBLANK(B105),"",B105&amp;"_"&amp;C105)</f>
        <v/>
      </c>
      <c r="K105" s="3" t="n"/>
      <c r="L105" s="3" t="n"/>
      <c r="M105" s="3" t="n"/>
      <c r="N105" s="3" t="n"/>
      <c r="O105" s="3" t="n"/>
      <c r="P105" s="3" t="n"/>
      <c r="Q105" s="3" t="n"/>
      <c r="R105" s="3" t="n"/>
      <c r="S105" s="3" t="n"/>
      <c r="T105" s="3" t="n"/>
      <c r="U105" s="3" t="n"/>
      <c r="V105" s="3" t="n"/>
      <c r="W105" s="3" t="n"/>
      <c r="X105" s="3" t="n"/>
      <c r="Y105" s="3">
        <f>IF(AND(V105&gt;=2,K105="Yes",L105="Yes"),"Sufficient",IF(AND(V105&gt;=1,OR(K105="Yes",L105="Yes")),"Thin","Insufficient"))</f>
        <v/>
      </c>
      <c r="Z105" s="3" t="n"/>
      <c r="AA105" s="3" t="n"/>
      <c r="AB105" s="3" t="n"/>
      <c r="AC105" s="3" t="n"/>
      <c r="AD105" s="3" t="n"/>
      <c r="AE105" s="3" t="n"/>
      <c r="AF105" s="3" t="n"/>
      <c r="AG105" s="3" t="n"/>
      <c r="AH105" s="3" t="n"/>
      <c r="AI105" s="3" t="n"/>
      <c r="AJ105" s="3" t="n"/>
      <c r="AK105" s="3" t="n"/>
      <c r="AL105" s="3" t="n"/>
      <c r="AM105" s="3" t="n"/>
      <c r="AN105" s="3" t="n"/>
      <c r="AO105" s="3" t="n"/>
      <c r="AP105" s="3" t="n"/>
      <c r="AQ105" s="3" t="n"/>
      <c r="AR105" s="40">
        <f t="array" ref="AR105">MIN(100, MAX(0,
  IFERROR(_xlfn.XLOOKUP(AJ105,'Lookup Tables'!$A$2:$A$7,'Lookup Tables'!$B$2:$B$7,0),0)
  + IF(Z105="Yes", IF(IFERROR(_xlfn.XLOOKUP(AJ105,'Lookup Tables'!$A$2:$A$7,'Lookup Tables'!$B$2:$B$7,0),0)&lt;20, 5, 0), 0)
  + _xlfn.IFS(AB105="Yes", IF(ISNUMBER(AC105)*AND(AC105&lt;=2030),15,10), AB105="Long-term Only", 5, AB105="No", 0, TRUE, 0)
  + _xlfn.IFS(AF105="Full",10, AF105="Partial",5, AF105="Scope 2 Only",3, TRUE,0)
  + _xlfn.IFS(AG105="Yes", IF(ISNUMBER(AH105)*AND(AH105&gt;=5),10,6), AG105="Partial",4, TRUE,0)
  + _xlfn.IFS(AI105="Yes",5, AI105="Partial (material categories only)",3, TRUE,0)
  + _xlfn.IFS(AL105="Yes — Detailed",10, AL105="Yes — High Level",5, TRUE,0)
  + _xlfn.IFS(AM105="Yes — Quantified",15, AM105="Yes — Directional Only",7, TRUE,0)
  + _xlfn.IFS(AP105="Formal",5, AP105="Referenced",2, TRUE,0)
  + _xlfn.IFS(AQ105="No Issues Found",5, AQ105="Concern Identified",-5, AQ105="Severe Contradiction",-15, TRUE,0)
  + _xlfn.IFS(BC105="Reasonable Assurance",5, BC105="Limited Assurance",3, TRUE,0)
  - IF(AND(Z105="Yes", AI105="No"), 10, 0)
  - IF(AND(Z105="Yes", AM105="No"), 10, 0)
))</f>
        <v/>
      </c>
      <c r="AS105" s="3" t="n"/>
      <c r="AT105" s="3" t="n"/>
      <c r="AU105" s="3" t="n"/>
      <c r="AV105" s="3" t="n"/>
      <c r="AW105" s="3" t="n"/>
      <c r="AX105" s="3" t="n"/>
      <c r="AY105" s="3" t="n"/>
      <c r="AZ105" s="3" t="n"/>
      <c r="BA105" s="3" t="n"/>
      <c r="BB105" s="3" t="n"/>
      <c r="BC105" s="3" t="n"/>
      <c r="BD105" s="3" t="n"/>
      <c r="BE105" s="40">
        <f t="array" ref="BE105">MIN(100, MAX(0,
  IFERROR(_xlfn.XLOOKUP(AT105,'Lookup Tables'!$D$2:$D$6,'Lookup Tables'!$E$2:$E$6,0),0)
  + IFERROR(_xlfn.XLOOKUP(AV105,'Lookup Tables'!$G$2:$G$5,'Lookup Tables'!$H$2:$H$5,0),0)
  + IFERROR(_xlfn.XLOOKUP(AW105,'Lookup Tables'!$J$2:$J$5,'Lookup Tables'!$K$2:$K$5,0),0)
  + _xlfn.IFS(AX105="No Issues",10, AX105="Complaint Filed",3, AX105="Confirmed Breach",-15, TRUE,0)
  + IFERROR(_xlfn.XLOOKUP(AY105,'Lookup Tables'!$M$2:$M$6,'Lookup Tables'!$N$2:$N$6,0),0)
  + IFERROR(_xlfn.XLOOKUP(AZ105,'Lookup Tables'!$P$2:$P$6,'Lookup Tables'!$Q$2:$Q$6,0),0)
  + _xlfn.IFS(BA105="Formal Board Committee",5, BA105="Board Oversight Mentioned",2, TRUE,0)
  + _xlfn.IFS(BB105="Yes — Quantified Targets",5, BB105="Yes — Discretionary Only",2, TRUE,0)
  + _xlfn.IFS(BC105="Reasonable Assurance",5, BC105="Limited Assurance",3, BC105="Management Review Only",1, TRUE,0)
))</f>
        <v/>
      </c>
      <c r="BF105" s="3" t="n"/>
      <c r="BG105" s="3" t="n"/>
      <c r="BH105" s="3" t="n"/>
      <c r="BI105" s="3" t="n"/>
      <c r="BJ105" s="3" t="n"/>
      <c r="BK105" s="3" t="n"/>
      <c r="BL105" s="3" t="n"/>
      <c r="BM105" s="3" t="n"/>
      <c r="BN105" s="3" t="n"/>
      <c r="BO105" s="3" t="n"/>
      <c r="BP105" s="3" t="n"/>
      <c r="BQ105" s="3" t="n"/>
      <c r="BR105" s="3" t="n"/>
      <c r="BS105" s="42">
        <f t="array" ref="BS105">MIN(100, MAX(0,
  IFERROR(_xlfn.XLOOKUP(BG105,'Lookup Tables'!$A$11:$A$16,'Lookup Tables'!$B$11:$B$16,0),0)
  + IFERROR(_xlfn.XLOOKUP(BR105,'Lookup Tables'!$M$11:$M$14,'Lookup Tables'!$N$11:$N$14,0),0)
  + IFERROR(_xlfn.XLOOKUP(BQ105,'Lookup Tables'!$J$11:$J$15,'Lookup Tables'!$K$11:$K$15,0),0)
  + IFERROR(_xlfn.XLOOKUP(BH105,'Lookup Tables'!$D$11:$D$15,'Lookup Tables'!$E$11:$E$15,0),0)
  + IFERROR(_xlfn.XLOOKUP(BJ105,'Lookup Tables'!$G$11:$G$16,'Lookup Tables'!$H$11:$H$16,0),0)
  + IFERROR(_xlfn.XLOOKUP(BN105,'Lookup Tables'!$P$11:$P$15,'Lookup Tables'!$Q$11:$Q$15,0),0)
  + _xlfn.IFS(BM105="No Evidence",10, BM105="Unknown",3, BM105="Likely",0, BM105="Confirmed",-10, TRUE,3)
  + IFERROR(_xlfn.XLOOKUP(BP105,'Lookup Tables'!$J$21:$J$24,'Lookup Tables'!$K$21:$K$24,0),0)
))</f>
        <v/>
      </c>
      <c r="BT105" s="3" t="n"/>
      <c r="BU105" s="3" t="n"/>
      <c r="BV105" s="3" t="n"/>
      <c r="BW105" s="3" t="n"/>
      <c r="BX105" s="3" t="n"/>
      <c r="BY105" s="3" t="n"/>
      <c r="BZ105" s="3" t="n"/>
      <c r="CA105" s="3" t="n"/>
      <c r="CB105" s="3" t="n"/>
      <c r="CC105" s="3" t="n"/>
      <c r="CD105" s="3" t="n"/>
      <c r="CE105" s="44">
        <f t="array" ref="CE105">MIN(100, MAX(0,
  IF(ISNUMBER(BV105)*AND(BV105&gt;0), 10, 0)
  + _xlfn.IFS(BY105="Independently Verified",25, BY105="Yes",15, TRUE,0)
  + IFERROR(_xlfn.XLOOKUP(BZ105,'Lookup Tables'!$A$21:$A$24,'Lookup Tables'!$B$21:$B$24,0),0)
  + IFERROR(_xlfn.XLOOKUP(CA105,'Lookup Tables'!$D$21:$D$24,'Lookup Tables'!$E$21:$E$24,0),0)
  + _xlfn.IFS(ISNUMBER(CB105)*AND(CB105&gt;=11),15, ISNUMBER(CB105)*AND(CB105&gt;=6),10, ISNUMBER(CB105)*AND(CB105&gt;=1),5, TRUE,0)
  + IFERROR(_xlfn.XLOOKUP(CC105,'Lookup Tables'!$G$21:$G$25,'Lookup Tables'!$H$21:$H$25,0),0)
  - IF(ISNUMBER(BW105)*AND(ISNUMBER(BV105))*AND(BW105&gt;BV105), 20, 0)
  - IF(AND(BY105="Yes", ISNUMBER(BW105), BW105&gt;60), 10, 0)
))</f>
        <v/>
      </c>
      <c r="CF105" s="3" t="n"/>
      <c r="CG105" s="3" t="n"/>
      <c r="CH105" s="3" t="n"/>
      <c r="CI105" s="3" t="n"/>
      <c r="CJ105" s="3" t="n"/>
      <c r="CK105" s="3" t="n"/>
      <c r="CL105" s="3" t="n"/>
      <c r="CM105" s="3" t="n"/>
      <c r="CN105" s="3" t="n"/>
      <c r="CO105" s="3" t="n"/>
      <c r="CP105" s="3" t="n"/>
      <c r="CQ105" s="3" t="n"/>
      <c r="CR105" s="3">
        <f>COUNTIF(CJ105:CQ105,"FAIL")</f>
        <v/>
      </c>
      <c r="CS105" s="3">
        <f>COUNTIF(CJ105:CQ105,"PARTIAL")</f>
        <v/>
      </c>
      <c r="CT105" s="3">
        <f>COUNTIF(CJ105:CQ105,"MISSING")</f>
        <v/>
      </c>
      <c r="CU105" s="3">
        <f>MIN(100,
  CR105*15
  + CS105*6
  + CT105*3
  + IFERROR(_xlfn.XLOOKUP(CW105,'Lookup Tables'!$M$21:$M$25,'Lookup Tables'!$N$21:$N$25,0),0)
)</f>
        <v/>
      </c>
      <c r="CV105" s="3">
        <f>IFERROR(
CHOOSE(
MATCH("FAIL",CJ105:CQ105,0),
"1-Specificity","2-Metric","3-Baseline","4-Target",
"5-Time Horizon","6-Scope","7-Verification","8-Consistency"
),
IFERROR(
CHOOSE(
MATCH("PARTIAL",CJ105:CQ105,0),
"1-Specificity","2-Metric","3-Baseline","4-Target",
"5-Time Horizon","6-Scope","7-Verification","8-Consistency"
),
"No failures"
)
)</f>
        <v/>
      </c>
      <c r="CW105" s="3" t="n"/>
      <c r="CX105" s="3" t="n"/>
      <c r="CY105" s="3" t="n"/>
      <c r="CZ105" s="3" t="n"/>
      <c r="DA105" s="3">
        <f>IF(OR(CU105&gt;=50,CW105="Material",CW105="Severe",AS105="Material",AS105="Severe",BF105="Material",BF105="Severe — Exclusion Trigger",AND(ISNUMBER(BS105),BS105&lt;30)),"Yes","No")</f>
        <v/>
      </c>
      <c r="DB105" s="3">
        <f>IF(OR(CR105&gt;=6,AW105="Confirmed Violation",AX105="Confirmed Breach"),"Yes — Automatic",IF(CW105="Severe","Yes — Requires Captain Confirmation","No"))</f>
        <v/>
      </c>
      <c r="DC105" s="3" t="n"/>
      <c r="DD105" s="3" t="n"/>
      <c r="DE105" s="3" t="n"/>
      <c r="DF105" s="3" t="n"/>
      <c r="DG105" s="3" t="n"/>
      <c r="DH105" s="3" t="n"/>
      <c r="DI105" s="3" t="n"/>
      <c r="DJ105" s="3" t="n"/>
      <c r="DK105" s="3" t="n"/>
      <c r="DL105" s="3">
        <f>IF(OR(IFERROR(VALUE(LEFT(DF105,1)),99)&lt;=2,IFERROR(VALUE(LEFT(DG105,1)),99)&lt;=2),"Flagged","Clear")</f>
        <v/>
      </c>
      <c r="DM105" s="3">
        <f>IF(OR(DA105="Yes",DB105&lt;&gt;"No",DH105="Unverified",DL105="Flagged"),"Yes","No")</f>
        <v/>
      </c>
      <c r="DN105" s="3">
        <f t="array" ref="DN105">MIN(100,
  IF(ISNUMBER(V105), _xlfn.IFS(V105&gt;=3,25, V105=2,15, V105=1,5, TRUE,0), 0)
  + IFERROR(_xlfn.IFS(VALUE(LEFT(DF105,1))=5,25, VALUE(LEFT(DF105,1))=4,20, VALUE(LEFT(DF105,1))=3,15, VALUE(LEFT(DF105,1))=2,8, TRUE,0), 15)
  + IFERROR(_xlfn.IFS(VALUE(LEFT(DG105,1))=5,25, VALUE(LEFT(DG105,1))=4,20, VALUE(LEFT(DG105,1))=3,15, VALUE(LEFT(DG105,1))=2,8, TRUE,0), 15)
  + _xlfn.IFS(DH105="Fully Verified",25, DH105="Partially Verified",12, TRUE,0)
)</f>
        <v/>
      </c>
      <c r="DO105" s="3">
        <f t="array" ref="DO105">_xlfn.IFS(
  ISBLANK(AR105), "Insufficient Evidence",
  AND(AR105&gt;=65, AJ105="Approved"), "Strong",
  AR105&gt;=65, "Adequate",
  AR105&gt;=40, "Adequate",
  AR105&gt;=20, "Weak",
  TRUE, "Insufficient Evidence"
)</f>
        <v/>
      </c>
      <c r="DP105" s="3">
        <f t="array" ref="DP105">_xlfn.IFS(
  ISBLANK(BS105), "Insufficient Evidence",
  BS105&gt;=65, "Strong",
  BS105&gt;=40, "Adequate",
  BS105&gt;=20, "Weak",
  TRUE, "Insufficient Evidence"
)</f>
        <v/>
      </c>
      <c r="DQ105" s="3">
        <f t="array" ref="DQ105">_xlfn.IFS(
  ISBLANK(BE105), "Insufficient Evidence",
  OR(AW105="Confirmed Violation", AX105="Confirmed Breach"), "Severe — Hard Trigger",
  BE105&gt;=65, "Strong",
  BE105&gt;=40, "Adequate",
  BE105&gt;=20, "Weak",
  TRUE, "Insufficient Evidence"
)</f>
        <v/>
      </c>
      <c r="DR105" s="3">
        <f t="array" ref="DR105">_xlfn.IFS(
  ISBLANK(CU105), "Insufficient Evidence",
  CU105&lt;=20, "Low Risk",
  CU105&lt;=50, "Moderate Risk",
  CU105&lt;=75, "High Risk",
  TRUE, "Very High Risk"
)</f>
        <v/>
      </c>
      <c r="DS105" s="3">
        <f t="array" ref="DS105">_xlfn.IFS(
  ISBLANK(CE105), "Insufficient Evidence",
  AND(ISNUMBER(BW105),ISNUMBER(BV105),BW105&gt;BV105), "Overclaiming Risk",
  CE105&gt;=65, "Strong",
  CE105&gt;=40, "Adequate",
  TRUE, "Weak"
)</f>
        <v/>
      </c>
      <c r="DT105" s="3">
        <f>IF(DB105="Yes — Automatic",0,ROUND((IF(ISNUMBER(AR105),AR105,0)*0.3+IF(ISNUMBER(BS105),BS105,0)*0.2+IF(ISNUMBER(BE105),BE105,0)*0.2+IF(ISNUMBER(CE105),CE105,0)*0.15+(100-IF(ISNUMBER(CU105),CU105,50))*0.15)*IF(DN105&gt;=75,1,IF(DN105&gt;=50,0.9,IF(DN105&gt;=25,0.75,0.6))),1))</f>
        <v/>
      </c>
      <c r="DU105" s="3">
        <f t="array" ref="DU105">_xlfn.IFS(
  DV105="Upgraded to Clear", "Clear",
  DV105="Downgraded to Watchlist", "Watchlist",
  DV105="Downgraded to Exclusion", "Exclusion Risk",
  DB105="Yes — Automatic", "Exclusion Risk",
  OR(AW105="Confirmed Violation", AX105="Confirmed Breach"), "Exclusion Risk",
  OR(V105=0, ISBLANK(V105), DN105&lt;20), "Insufficient Evidence",
  AND(DT105&gt;=65, DA105="No", DB105="No"), "Clear",
  OR(DT105&gt;=40, DA105="Yes"), "Watchlist",
  TRUE, "Exclusion Risk"
)</f>
        <v/>
      </c>
      <c r="DV105" s="3" t="n"/>
      <c r="DW105" s="3">
        <f t="array" ref="DW105">_xlfn.IFS(
  DU105="Exclusion Risk", "Exclude — Hard Trigger",
  DU105="Insufficient Evidence", "Watchlist — Further Evidence Needed",
  DU105="Watchlist", "Watchlist — Further Evidence Needed",
  AND(DU105="Clear", DT105&gt;=80), "Include — No Conditions",
  DU105="Clear", "Include — Monitor",
  TRUE, "Watchlist — Further Evidence Needed"
)</f>
        <v/>
      </c>
      <c r="DX105" s="3" t="n"/>
      <c r="DY105" s="3" t="n"/>
      <c r="DZ105" s="3" t="n"/>
      <c r="EA105" s="3" t="n"/>
      <c r="EB105" s="3">
        <f>IF(OR(V105=0, ISBLANK(V105)), "MISSING — No sources reviewed", "")</f>
        <v/>
      </c>
      <c r="EC105" s="3">
        <f>IF(AND(NOT(ISBLANK(DC105)), ISBLANK(DE105)), "PAGE REF MISSING", "")</f>
        <v/>
      </c>
    </row>
    <row r="106" ht="18" customHeight="1" s="60">
      <c r="A106" s="5" t="inlineStr">
        <is>
          <t>ACS Actividades de Construccion y Servicios SA</t>
        </is>
      </c>
      <c r="B106" s="5" t="inlineStr">
        <is>
          <t>OCI1</t>
        </is>
      </c>
      <c r="C106" s="5">
        <f>IF(ISBLANK('Universe Tracker'!D81),"",'Universe Tracker'!D81)</f>
        <v/>
      </c>
      <c r="D106" s="5" t="n"/>
      <c r="E106" s="5" t="n"/>
      <c r="F106" s="5">
        <f>IF(ISBLANK('Universe Tracker'!F81),"",'Universe Tracker'!F81)</f>
        <v/>
      </c>
      <c r="G106" s="5">
        <f>IF(ISBLANK('Universe Tracker'!G81),"",'Universe Tracker'!G81)</f>
        <v/>
      </c>
      <c r="H106" s="5" t="n"/>
      <c r="I106" s="5" t="n"/>
      <c r="J106" s="5">
        <f>IF(ISBLANK(B106),"",B106&amp;"_"&amp;C106)</f>
        <v/>
      </c>
      <c r="K106" s="5" t="n"/>
      <c r="L106" s="5" t="n"/>
      <c r="M106" s="5" t="n"/>
      <c r="N106" s="5" t="n"/>
      <c r="O106" s="5" t="n"/>
      <c r="P106" s="5" t="n"/>
      <c r="Q106" s="5" t="n"/>
      <c r="R106" s="5" t="n"/>
      <c r="S106" s="5" t="n"/>
      <c r="T106" s="5" t="n"/>
      <c r="U106" s="5" t="n"/>
      <c r="V106" s="5" t="n"/>
      <c r="W106" s="5" t="n"/>
      <c r="X106" s="5" t="n"/>
      <c r="Y106" s="5">
        <f>IF(AND(V106&gt;=2,K106="Yes",L106="Yes"),"Sufficient",IF(AND(V106&gt;=1,OR(K106="Yes",L106="Yes")),"Thin","Insufficient"))</f>
        <v/>
      </c>
      <c r="Z106" s="5" t="n"/>
      <c r="AA106" s="5" t="n"/>
      <c r="AB106" s="5" t="n"/>
      <c r="AC106" s="5" t="n"/>
      <c r="AD106" s="5" t="n"/>
      <c r="AE106" s="5" t="n"/>
      <c r="AF106" s="5" t="n"/>
      <c r="AG106" s="5" t="n"/>
      <c r="AH106" s="5" t="n"/>
      <c r="AI106" s="5" t="n"/>
      <c r="AJ106" s="5" t="n"/>
      <c r="AK106" s="5" t="n"/>
      <c r="AL106" s="5" t="n"/>
      <c r="AM106" s="5" t="n"/>
      <c r="AN106" s="5" t="n"/>
      <c r="AO106" s="5" t="n"/>
      <c r="AP106" s="5" t="n"/>
      <c r="AQ106" s="5" t="n"/>
      <c r="AR106" s="40">
        <f t="array" ref="AR106">MIN(100, MAX(0,
  IFERROR(_xlfn.XLOOKUP(AJ106,'Lookup Tables'!$A$2:$A$7,'Lookup Tables'!$B$2:$B$7,0),0)
  + IF(Z106="Yes", IF(IFERROR(_xlfn.XLOOKUP(AJ106,'Lookup Tables'!$A$2:$A$7,'Lookup Tables'!$B$2:$B$7,0),0)&lt;20, 5, 0), 0)
  + _xlfn.IFS(AB106="Yes", IF(ISNUMBER(AC106)*AND(AC106&lt;=2030),15,10), AB106="Long-term Only", 5, AB106="No", 0, TRUE, 0)
  + _xlfn.IFS(AF106="Full",10, AF106="Partial",5, AF106="Scope 2 Only",3, TRUE,0)
  + _xlfn.IFS(AG106="Yes", IF(ISNUMBER(AH106)*AND(AH106&gt;=5),10,6), AG106="Partial",4, TRUE,0)
  + _xlfn.IFS(AI106="Yes",5, AI106="Partial (material categories only)",3, TRUE,0)
  + _xlfn.IFS(AL106="Yes — Detailed",10, AL106="Yes — High Level",5, TRUE,0)
  + _xlfn.IFS(AM106="Yes — Quantified",15, AM106="Yes — Directional Only",7, TRUE,0)
  + _xlfn.IFS(AP106="Formal",5, AP106="Referenced",2, TRUE,0)
  + _xlfn.IFS(AQ106="No Issues Found",5, AQ106="Concern Identified",-5, AQ106="Severe Contradiction",-15, TRUE,0)
  + _xlfn.IFS(BC106="Reasonable Assurance",5, BC106="Limited Assurance",3, TRUE,0)
  - IF(AND(Z106="Yes", AI106="No"), 10, 0)
  - IF(AND(Z106="Yes", AM106="No"), 10, 0)
))</f>
        <v/>
      </c>
      <c r="AS106" s="5" t="n"/>
      <c r="AT106" s="5" t="n"/>
      <c r="AU106" s="5" t="n"/>
      <c r="AV106" s="5" t="n"/>
      <c r="AW106" s="5" t="n"/>
      <c r="AX106" s="5" t="n"/>
      <c r="AY106" s="5" t="n"/>
      <c r="AZ106" s="5" t="n"/>
      <c r="BA106" s="5" t="n"/>
      <c r="BB106" s="5" t="n"/>
      <c r="BC106" s="5" t="n"/>
      <c r="BD106" s="5" t="n"/>
      <c r="BE106" s="39">
        <f t="array" ref="BE106">MIN(100, MAX(0,
  IFERROR(_xlfn.XLOOKUP(AT106,'Lookup Tables'!$D$2:$D$6,'Lookup Tables'!$E$2:$E$6,0),0)
  + IFERROR(_xlfn.XLOOKUP(AV106,'Lookup Tables'!$G$2:$G$5,'Lookup Tables'!$H$2:$H$5,0),0)
  + IFERROR(_xlfn.XLOOKUP(AW106,'Lookup Tables'!$J$2:$J$5,'Lookup Tables'!$K$2:$K$5,0),0)
  + _xlfn.IFS(AX106="No Issues",10, AX106="Complaint Filed",3, AX106="Confirmed Breach",-15, TRUE,0)
  + IFERROR(_xlfn.XLOOKUP(AY106,'Lookup Tables'!$M$2:$M$6,'Lookup Tables'!$N$2:$N$6,0),0)
  + IFERROR(_xlfn.XLOOKUP(AZ106,'Lookup Tables'!$P$2:$P$6,'Lookup Tables'!$Q$2:$Q$6,0),0)
  + _xlfn.IFS(BA106="Formal Board Committee",5, BA106="Board Oversight Mentioned",2, TRUE,0)
  + _xlfn.IFS(BB106="Yes — Quantified Targets",5, BB106="Yes — Discretionary Only",2, TRUE,0)
  + _xlfn.IFS(BC106="Reasonable Assurance",5, BC106="Limited Assurance",3, BC106="Management Review Only",1, TRUE,0)
))</f>
        <v/>
      </c>
      <c r="BF106" s="5" t="n"/>
      <c r="BG106" s="5" t="n"/>
      <c r="BH106" s="5" t="n"/>
      <c r="BI106" s="5" t="n"/>
      <c r="BJ106" s="5" t="n"/>
      <c r="BK106" s="5" t="n"/>
      <c r="BL106" s="5" t="n"/>
      <c r="BM106" s="5" t="n"/>
      <c r="BN106" s="5" t="n"/>
      <c r="BO106" s="5" t="n"/>
      <c r="BP106" s="5" t="n"/>
      <c r="BQ106" s="5" t="n"/>
      <c r="BR106" s="5" t="n"/>
      <c r="BS106" s="41">
        <f t="array" ref="BS106">MIN(100, MAX(0,
  IFERROR(_xlfn.XLOOKUP(BG106,'Lookup Tables'!$A$11:$A$16,'Lookup Tables'!$B$11:$B$16,0),0)
  + IFERROR(_xlfn.XLOOKUP(BR106,'Lookup Tables'!$M$11:$M$14,'Lookup Tables'!$N$11:$N$14,0),0)
  + IFERROR(_xlfn.XLOOKUP(BQ106,'Lookup Tables'!$J$11:$J$15,'Lookup Tables'!$K$11:$K$15,0),0)
  + IFERROR(_xlfn.XLOOKUP(BH106,'Lookup Tables'!$D$11:$D$15,'Lookup Tables'!$E$11:$E$15,0),0)
  + IFERROR(_xlfn.XLOOKUP(BJ106,'Lookup Tables'!$G$11:$G$16,'Lookup Tables'!$H$11:$H$16,0),0)
  + IFERROR(_xlfn.XLOOKUP(BN106,'Lookup Tables'!$P$11:$P$15,'Lookup Tables'!$Q$11:$Q$15,0),0)
  + _xlfn.IFS(BM106="No Evidence",10, BM106="Unknown",3, BM106="Likely",0, BM106="Confirmed",-10, TRUE,3)
  + IFERROR(_xlfn.XLOOKUP(BP106,'Lookup Tables'!$J$21:$J$24,'Lookup Tables'!$K$21:$K$24,0),0)
))</f>
        <v/>
      </c>
      <c r="BT106" s="5" t="n"/>
      <c r="BU106" s="5" t="n"/>
      <c r="BV106" s="5" t="n"/>
      <c r="BW106" s="5" t="n"/>
      <c r="BX106" s="5" t="n"/>
      <c r="BY106" s="5" t="n"/>
      <c r="BZ106" s="5" t="n"/>
      <c r="CA106" s="5" t="n"/>
      <c r="CB106" s="5" t="n"/>
      <c r="CC106" s="5" t="n"/>
      <c r="CD106" s="5" t="n"/>
      <c r="CE106" s="43">
        <f t="array" ref="CE106">MIN(100, MAX(0,
  IF(ISNUMBER(BV106)*AND(BV106&gt;0), 10, 0)
  + _xlfn.IFS(BY106="Independently Verified",25, BY106="Yes",15, TRUE,0)
  + IFERROR(_xlfn.XLOOKUP(BZ106,'Lookup Tables'!$A$21:$A$24,'Lookup Tables'!$B$21:$B$24,0),0)
  + IFERROR(_xlfn.XLOOKUP(CA106,'Lookup Tables'!$D$21:$D$24,'Lookup Tables'!$E$21:$E$24,0),0)
  + _xlfn.IFS(ISNUMBER(CB106)*AND(CB106&gt;=11),15, ISNUMBER(CB106)*AND(CB106&gt;=6),10, ISNUMBER(CB106)*AND(CB106&gt;=1),5, TRUE,0)
  + IFERROR(_xlfn.XLOOKUP(CC106,'Lookup Tables'!$G$21:$G$25,'Lookup Tables'!$H$21:$H$25,0),0)
  - IF(ISNUMBER(BW106)*AND(ISNUMBER(BV106))*AND(BW106&gt;BV106), 20, 0)
  - IF(AND(BY106="Yes", ISNUMBER(BW106), BW106&gt;60), 10, 0)
))</f>
        <v/>
      </c>
      <c r="CF106" s="5" t="n"/>
      <c r="CG106" s="5" t="n"/>
      <c r="CH106" s="5" t="n"/>
      <c r="CI106" s="5" t="n"/>
      <c r="CJ106" s="5" t="n"/>
      <c r="CK106" s="5" t="n"/>
      <c r="CL106" s="5" t="n"/>
      <c r="CM106" s="5" t="n"/>
      <c r="CN106" s="5" t="n"/>
      <c r="CO106" s="5" t="n"/>
      <c r="CP106" s="5" t="n"/>
      <c r="CQ106" s="5" t="n"/>
      <c r="CR106" s="5">
        <f>COUNTIF(CJ106:CQ106,"FAIL")</f>
        <v/>
      </c>
      <c r="CS106" s="5">
        <f>COUNTIF(CJ106:CQ106,"PARTIAL")</f>
        <v/>
      </c>
      <c r="CT106" s="5">
        <f>COUNTIF(CJ106:CQ106,"MISSING")</f>
        <v/>
      </c>
      <c r="CU106" s="5">
        <f>MIN(100,
  CR106*15
  + CS106*6
  + CT106*3
  + IFERROR(_xlfn.XLOOKUP(CW106,'Lookup Tables'!$M$21:$M$25,'Lookup Tables'!$N$21:$N$25,0),0)
)</f>
        <v/>
      </c>
      <c r="CV106" s="5">
        <f>IFERROR(
CHOOSE(
MATCH("FAIL",CJ106:CQ106,0),
"1-Specificity","2-Metric","3-Baseline","4-Target",
"5-Time Horizon","6-Scope","7-Verification","8-Consistency"
),
IFERROR(
CHOOSE(
MATCH("PARTIAL",CJ106:CQ106,0),
"1-Specificity","2-Metric","3-Baseline","4-Target",
"5-Time Horizon","6-Scope","7-Verification","8-Consistency"
),
"No failures"
)
)</f>
        <v/>
      </c>
      <c r="CW106" s="5" t="n"/>
      <c r="CX106" s="5" t="n"/>
      <c r="CY106" s="5" t="n"/>
      <c r="CZ106" s="5" t="n"/>
      <c r="DA106" s="5">
        <f>IF(OR(CU106&gt;=50,CW106="Material",CW106="Severe",AS106="Material",AS106="Severe",BF106="Material",BF106="Severe — Exclusion Trigger",AND(ISNUMBER(BS106),BS106&lt;30)),"Yes","No")</f>
        <v/>
      </c>
      <c r="DB106" s="5">
        <f>IF(OR(CR106&gt;=6,AW106="Confirmed Violation",AX106="Confirmed Breach"),"Yes — Automatic",IF(CW106="Severe","Yes — Requires Captain Confirmation","No"))</f>
        <v/>
      </c>
      <c r="DC106" s="5" t="n"/>
      <c r="DD106" s="5" t="n"/>
      <c r="DE106" s="5" t="n"/>
      <c r="DF106" s="5" t="n"/>
      <c r="DG106" s="5" t="n"/>
      <c r="DH106" s="5" t="n"/>
      <c r="DI106" s="5" t="n"/>
      <c r="DJ106" s="5" t="n"/>
      <c r="DK106" s="5" t="n"/>
      <c r="DL106" s="5">
        <f>IF(OR(IFERROR(VALUE(LEFT(DF106,1)),99)&lt;=2,IFERROR(VALUE(LEFT(DG106,1)),99)&lt;=2),"Flagged","Clear")</f>
        <v/>
      </c>
      <c r="DM106" s="5">
        <f>IF(OR(DA106="Yes",DB106&lt;&gt;"No",DH106="Unverified",DL106="Flagged"),"Yes","No")</f>
        <v/>
      </c>
      <c r="DN106" s="5">
        <f t="array" ref="DN106">MIN(100,
  IF(ISNUMBER(V106), _xlfn.IFS(V106&gt;=3,25, V106=2,15, V106=1,5, TRUE,0), 0)
  + IFERROR(_xlfn.IFS(VALUE(LEFT(DF106,1))=5,25, VALUE(LEFT(DF106,1))=4,20, VALUE(LEFT(DF106,1))=3,15, VALUE(LEFT(DF106,1))=2,8, TRUE,0), 15)
  + IFERROR(_xlfn.IFS(VALUE(LEFT(DG106,1))=5,25, VALUE(LEFT(DG106,1))=4,20, VALUE(LEFT(DG106,1))=3,15, VALUE(LEFT(DG106,1))=2,8, TRUE,0), 15)
  + _xlfn.IFS(DH106="Fully Verified",25, DH106="Partially Verified",12, TRUE,0)
)</f>
        <v/>
      </c>
      <c r="DO106" s="5">
        <f t="array" ref="DO106">_xlfn.IFS(
  ISBLANK(AR106), "Insufficient Evidence",
  AND(AR106&gt;=65, AJ106="Approved"), "Strong",
  AR106&gt;=65, "Adequate",
  AR106&gt;=40, "Adequate",
  AR106&gt;=20, "Weak",
  TRUE, "Insufficient Evidence"
)</f>
        <v/>
      </c>
      <c r="DP106" s="5">
        <f t="array" ref="DP106">_xlfn.IFS(
  ISBLANK(BS106), "Insufficient Evidence",
  BS106&gt;=65, "Strong",
  BS106&gt;=40, "Adequate",
  BS106&gt;=20, "Weak",
  TRUE, "Insufficient Evidence"
)</f>
        <v/>
      </c>
      <c r="DQ106" s="5">
        <f t="array" ref="DQ106">_xlfn.IFS(
  ISBLANK(BE106), "Insufficient Evidence",
  OR(AW106="Confirmed Violation", AX106="Confirmed Breach"), "Severe — Hard Trigger",
  BE106&gt;=65, "Strong",
  BE106&gt;=40, "Adequate",
  BE106&gt;=20, "Weak",
  TRUE, "Insufficient Evidence"
)</f>
        <v/>
      </c>
      <c r="DR106" s="5">
        <f t="array" ref="DR106">_xlfn.IFS(
  ISBLANK(CU106), "Insufficient Evidence",
  CU106&lt;=20, "Low Risk",
  CU106&lt;=50, "Moderate Risk",
  CU106&lt;=75, "High Risk",
  TRUE, "Very High Risk"
)</f>
        <v/>
      </c>
      <c r="DS106" s="5">
        <f t="array" ref="DS106">_xlfn.IFS(
  ISBLANK(CE106), "Insufficient Evidence",
  AND(ISNUMBER(BW106),ISNUMBER(BV106),BW106&gt;BV106), "Overclaiming Risk",
  CE106&gt;=65, "Strong",
  CE106&gt;=40, "Adequate",
  TRUE, "Weak"
)</f>
        <v/>
      </c>
      <c r="DT106" s="5">
        <f>IF(DB106="Yes — Automatic",0,ROUND((IF(ISNUMBER(AR106),AR106,0)*0.3+IF(ISNUMBER(BS106),BS106,0)*0.2+IF(ISNUMBER(BE106),BE106,0)*0.2+IF(ISNUMBER(CE106),CE106,0)*0.15+(100-IF(ISNUMBER(CU106),CU106,50))*0.15)*IF(DN106&gt;=75,1,IF(DN106&gt;=50,0.9,IF(DN106&gt;=25,0.75,0.6))),1))</f>
        <v/>
      </c>
      <c r="DU106" s="5">
        <f t="array" ref="DU106">_xlfn.IFS(
  DV106="Upgraded to Clear", "Clear",
  DV106="Downgraded to Watchlist", "Watchlist",
  DV106="Downgraded to Exclusion", "Exclusion Risk",
  DB106="Yes — Automatic", "Exclusion Risk",
  OR(AW106="Confirmed Violation", AX106="Confirmed Breach"), "Exclusion Risk",
  OR(V106=0, ISBLANK(V106), DN106&lt;20), "Insufficient Evidence",
  AND(DT106&gt;=65, DA106="No", DB106="No"), "Clear",
  OR(DT106&gt;=40, DA106="Yes"), "Watchlist",
  TRUE, "Exclusion Risk"
)</f>
        <v/>
      </c>
      <c r="DV106" s="5" t="n"/>
      <c r="DW106" s="5">
        <f t="array" ref="DW106">_xlfn.IFS(
  DU106="Exclusion Risk", "Exclude — Hard Trigger",
  DU106="Insufficient Evidence", "Watchlist — Further Evidence Needed",
  DU106="Watchlist", "Watchlist — Further Evidence Needed",
  AND(DU106="Clear", DT106&gt;=80), "Include — No Conditions",
  DU106="Clear", "Include — Monitor",
  TRUE, "Watchlist — Further Evidence Needed"
)</f>
        <v/>
      </c>
      <c r="DX106" s="5" t="n"/>
      <c r="DY106" s="5" t="n"/>
      <c r="DZ106" s="5" t="n"/>
      <c r="EA106" s="5" t="n"/>
      <c r="EB106" s="5">
        <f>IF(OR(V106=0, ISBLANK(V106)), "MISSING — No sources reviewed", "")</f>
        <v/>
      </c>
      <c r="EC106" s="5">
        <f>IF(AND(NOT(ISBLANK(DC106)), ISBLANK(DE106)), "PAGE REF MISSING", "")</f>
        <v/>
      </c>
    </row>
    <row r="107" ht="18" customHeight="1" s="60">
      <c r="A107" s="5" t="inlineStr">
        <is>
          <t>Ferrari NV</t>
        </is>
      </c>
      <c r="B107" s="5" t="inlineStr">
        <is>
          <t>2FE</t>
        </is>
      </c>
      <c r="C107" s="5">
        <f>IF(ISBLANK('Universe Tracker'!D82),"",'Universe Tracker'!D82)</f>
        <v/>
      </c>
      <c r="D107" s="5" t="n"/>
      <c r="E107" s="5" t="n"/>
      <c r="F107" s="5">
        <f>IF(ISBLANK('Universe Tracker'!F82),"",'Universe Tracker'!F82)</f>
        <v/>
      </c>
      <c r="G107" s="5">
        <f>IF(ISBLANK('Universe Tracker'!G82),"",'Universe Tracker'!G82)</f>
        <v/>
      </c>
      <c r="H107" s="5" t="n"/>
      <c r="I107" s="5" t="n"/>
      <c r="J107" s="5">
        <f>IF(ISBLANK(B107),"",B107&amp;"_"&amp;C107)</f>
        <v/>
      </c>
      <c r="K107" s="5" t="n"/>
      <c r="L107" s="5" t="n"/>
      <c r="M107" s="5" t="n"/>
      <c r="N107" s="5" t="n"/>
      <c r="O107" s="5" t="n"/>
      <c r="P107" s="5" t="n"/>
      <c r="Q107" s="5" t="n"/>
      <c r="R107" s="5" t="n"/>
      <c r="S107" s="5" t="n"/>
      <c r="T107" s="5" t="n"/>
      <c r="U107" s="5" t="n"/>
      <c r="V107" s="5" t="n"/>
      <c r="W107" s="5" t="n"/>
      <c r="X107" s="5" t="n"/>
      <c r="Y107" s="5">
        <f>IF(AND(V107&gt;=2,K107="Yes",L107="Yes"),"Sufficient",IF(AND(V107&gt;=1,OR(K107="Yes",L107="Yes")),"Thin","Insufficient"))</f>
        <v/>
      </c>
      <c r="Z107" s="5" t="n"/>
      <c r="AA107" s="5" t="n"/>
      <c r="AB107" s="5" t="n"/>
      <c r="AC107" s="5" t="n"/>
      <c r="AD107" s="5" t="n"/>
      <c r="AE107" s="5" t="n"/>
      <c r="AF107" s="5" t="n"/>
      <c r="AG107" s="5" t="n"/>
      <c r="AH107" s="5" t="n"/>
      <c r="AI107" s="5" t="n"/>
      <c r="AJ107" s="5" t="n"/>
      <c r="AK107" s="5" t="n"/>
      <c r="AL107" s="5" t="n"/>
      <c r="AM107" s="5" t="n"/>
      <c r="AN107" s="5" t="n"/>
      <c r="AO107" s="5" t="n"/>
      <c r="AP107" s="5" t="n"/>
      <c r="AQ107" s="5" t="n"/>
      <c r="AR107" s="40">
        <f t="array" ref="AR107">MIN(100, MAX(0,
  IFERROR(_xlfn.XLOOKUP(AJ107,'Lookup Tables'!$A$2:$A$7,'Lookup Tables'!$B$2:$B$7,0),0)
  + IF(Z107="Yes", IF(IFERROR(_xlfn.XLOOKUP(AJ107,'Lookup Tables'!$A$2:$A$7,'Lookup Tables'!$B$2:$B$7,0),0)&lt;20, 5, 0), 0)
  + _xlfn.IFS(AB107="Yes", IF(ISNUMBER(AC107)*AND(AC107&lt;=2030),15,10), AB107="Long-term Only", 5, AB107="No", 0, TRUE, 0)
  + _xlfn.IFS(AF107="Full",10, AF107="Partial",5, AF107="Scope 2 Only",3, TRUE,0)
  + _xlfn.IFS(AG107="Yes", IF(ISNUMBER(AH107)*AND(AH107&gt;=5),10,6), AG107="Partial",4, TRUE,0)
  + _xlfn.IFS(AI107="Yes",5, AI107="Partial (material categories only)",3, TRUE,0)
  + _xlfn.IFS(AL107="Yes — Detailed",10, AL107="Yes — High Level",5, TRUE,0)
  + _xlfn.IFS(AM107="Yes — Quantified",15, AM107="Yes — Directional Only",7, TRUE,0)
  + _xlfn.IFS(AP107="Formal",5, AP107="Referenced",2, TRUE,0)
  + _xlfn.IFS(AQ107="No Issues Found",5, AQ107="Concern Identified",-5, AQ107="Severe Contradiction",-15, TRUE,0)
  + _xlfn.IFS(BC107="Reasonable Assurance",5, BC107="Limited Assurance",3, TRUE,0)
  - IF(AND(Z107="Yes", AI107="No"), 10, 0)
  - IF(AND(Z107="Yes", AM107="No"), 10, 0)
))</f>
        <v/>
      </c>
      <c r="AS107" s="5" t="n"/>
      <c r="AT107" s="5" t="n"/>
      <c r="AU107" s="5" t="n"/>
      <c r="AV107" s="5" t="n"/>
      <c r="AW107" s="5" t="n"/>
      <c r="AX107" s="5" t="n"/>
      <c r="AY107" s="5" t="n"/>
      <c r="AZ107" s="5" t="n"/>
      <c r="BA107" s="5" t="n"/>
      <c r="BB107" s="5" t="n"/>
      <c r="BC107" s="5" t="n"/>
      <c r="BD107" s="5" t="n"/>
      <c r="BE107" s="39">
        <f t="array" ref="BE107">MIN(100, MAX(0,
  IFERROR(_xlfn.XLOOKUP(AT107,'Lookup Tables'!$D$2:$D$6,'Lookup Tables'!$E$2:$E$6,0),0)
  + IFERROR(_xlfn.XLOOKUP(AV107,'Lookup Tables'!$G$2:$G$5,'Lookup Tables'!$H$2:$H$5,0),0)
  + IFERROR(_xlfn.XLOOKUP(AW107,'Lookup Tables'!$J$2:$J$5,'Lookup Tables'!$K$2:$K$5,0),0)
  + _xlfn.IFS(AX107="No Issues",10, AX107="Complaint Filed",3, AX107="Confirmed Breach",-15, TRUE,0)
  + IFERROR(_xlfn.XLOOKUP(AY107,'Lookup Tables'!$M$2:$M$6,'Lookup Tables'!$N$2:$N$6,0),0)
  + IFERROR(_xlfn.XLOOKUP(AZ107,'Lookup Tables'!$P$2:$P$6,'Lookup Tables'!$Q$2:$Q$6,0),0)
  + _xlfn.IFS(BA107="Formal Board Committee",5, BA107="Board Oversight Mentioned",2, TRUE,0)
  + _xlfn.IFS(BB107="Yes — Quantified Targets",5, BB107="Yes — Discretionary Only",2, TRUE,0)
  + _xlfn.IFS(BC107="Reasonable Assurance",5, BC107="Limited Assurance",3, BC107="Management Review Only",1, TRUE,0)
))</f>
        <v/>
      </c>
      <c r="BF107" s="5" t="n"/>
      <c r="BG107" s="5" t="n"/>
      <c r="BH107" s="5" t="n"/>
      <c r="BI107" s="5" t="n"/>
      <c r="BJ107" s="5" t="n"/>
      <c r="BK107" s="5" t="n"/>
      <c r="BL107" s="5" t="n"/>
      <c r="BM107" s="5" t="n"/>
      <c r="BN107" s="5" t="n"/>
      <c r="BO107" s="5" t="n"/>
      <c r="BP107" s="5" t="n"/>
      <c r="BQ107" s="5" t="n"/>
      <c r="BR107" s="5" t="n"/>
      <c r="BS107" s="41">
        <f t="array" ref="BS107">MIN(100, MAX(0,
  IFERROR(_xlfn.XLOOKUP(BG107,'Lookup Tables'!$A$11:$A$16,'Lookup Tables'!$B$11:$B$16,0),0)
  + IFERROR(_xlfn.XLOOKUP(BR107,'Lookup Tables'!$M$11:$M$14,'Lookup Tables'!$N$11:$N$14,0),0)
  + IFERROR(_xlfn.XLOOKUP(BQ107,'Lookup Tables'!$J$11:$J$15,'Lookup Tables'!$K$11:$K$15,0),0)
  + IFERROR(_xlfn.XLOOKUP(BH107,'Lookup Tables'!$D$11:$D$15,'Lookup Tables'!$E$11:$E$15,0),0)
  + IFERROR(_xlfn.XLOOKUP(BJ107,'Lookup Tables'!$G$11:$G$16,'Lookup Tables'!$H$11:$H$16,0),0)
  + IFERROR(_xlfn.XLOOKUP(BN107,'Lookup Tables'!$P$11:$P$15,'Lookup Tables'!$Q$11:$Q$15,0),0)
  + _xlfn.IFS(BM107="No Evidence",10, BM107="Unknown",3, BM107="Likely",0, BM107="Confirmed",-10, TRUE,3)
  + IFERROR(_xlfn.XLOOKUP(BP107,'Lookup Tables'!$J$21:$J$24,'Lookup Tables'!$K$21:$K$24,0),0)
))</f>
        <v/>
      </c>
      <c r="BT107" s="5" t="n"/>
      <c r="BU107" s="5" t="n"/>
      <c r="BV107" s="5" t="n"/>
      <c r="BW107" s="5" t="n"/>
      <c r="BX107" s="5" t="n"/>
      <c r="BY107" s="5" t="n"/>
      <c r="BZ107" s="5" t="n"/>
      <c r="CA107" s="5" t="n"/>
      <c r="CB107" s="5" t="n"/>
      <c r="CC107" s="5" t="n"/>
      <c r="CD107" s="5" t="n"/>
      <c r="CE107" s="43">
        <f t="array" ref="CE107">MIN(100, MAX(0,
  IF(ISNUMBER(BV107)*AND(BV107&gt;0), 10, 0)
  + _xlfn.IFS(BY107="Independently Verified",25, BY107="Yes",15, TRUE,0)
  + IFERROR(_xlfn.XLOOKUP(BZ107,'Lookup Tables'!$A$21:$A$24,'Lookup Tables'!$B$21:$B$24,0),0)
  + IFERROR(_xlfn.XLOOKUP(CA107,'Lookup Tables'!$D$21:$D$24,'Lookup Tables'!$E$21:$E$24,0),0)
  + _xlfn.IFS(ISNUMBER(CB107)*AND(CB107&gt;=11),15, ISNUMBER(CB107)*AND(CB107&gt;=6),10, ISNUMBER(CB107)*AND(CB107&gt;=1),5, TRUE,0)
  + IFERROR(_xlfn.XLOOKUP(CC107,'Lookup Tables'!$G$21:$G$25,'Lookup Tables'!$H$21:$H$25,0),0)
  - IF(ISNUMBER(BW107)*AND(ISNUMBER(BV107))*AND(BW107&gt;BV107), 20, 0)
  - IF(AND(BY107="Yes", ISNUMBER(BW107), BW107&gt;60), 10, 0)
))</f>
        <v/>
      </c>
      <c r="CF107" s="5" t="n"/>
      <c r="CG107" s="5" t="n"/>
      <c r="CH107" s="5" t="n"/>
      <c r="CI107" s="5" t="n"/>
      <c r="CJ107" s="5" t="n"/>
      <c r="CK107" s="5" t="n"/>
      <c r="CL107" s="5" t="n"/>
      <c r="CM107" s="5" t="n"/>
      <c r="CN107" s="5" t="n"/>
      <c r="CO107" s="5" t="n"/>
      <c r="CP107" s="5" t="n"/>
      <c r="CQ107" s="5" t="n"/>
      <c r="CR107" s="5">
        <f>COUNTIF(CJ107:CQ107,"FAIL")</f>
        <v/>
      </c>
      <c r="CS107" s="5">
        <f>COUNTIF(CJ107:CQ107,"PARTIAL")</f>
        <v/>
      </c>
      <c r="CT107" s="5">
        <f>COUNTIF(CJ107:CQ107,"MISSING")</f>
        <v/>
      </c>
      <c r="CU107" s="5">
        <f>MIN(100,
  CR107*15
  + CS107*6
  + CT107*3
  + IFERROR(_xlfn.XLOOKUP(CW107,'Lookup Tables'!$M$21:$M$25,'Lookup Tables'!$N$21:$N$25,0),0)
)</f>
        <v/>
      </c>
      <c r="CV107" s="5">
        <f>IFERROR(
CHOOSE(
MATCH("FAIL",CJ107:CQ107,0),
"1-Specificity","2-Metric","3-Baseline","4-Target",
"5-Time Horizon","6-Scope","7-Verification","8-Consistency"
),
IFERROR(
CHOOSE(
MATCH("PARTIAL",CJ107:CQ107,0),
"1-Specificity","2-Metric","3-Baseline","4-Target",
"5-Time Horizon","6-Scope","7-Verification","8-Consistency"
),
"No failures"
)
)</f>
        <v/>
      </c>
      <c r="CW107" s="5" t="n"/>
      <c r="CX107" s="5" t="n"/>
      <c r="CY107" s="5" t="n"/>
      <c r="CZ107" s="5" t="n"/>
      <c r="DA107" s="5">
        <f>IF(OR(CU107&gt;=50,CW107="Material",CW107="Severe",AS107="Material",AS107="Severe",BF107="Material",BF107="Severe — Exclusion Trigger",AND(ISNUMBER(BS107),BS107&lt;30)),"Yes","No")</f>
        <v/>
      </c>
      <c r="DB107" s="5">
        <f>IF(OR(CR107&gt;=6,AW107="Confirmed Violation",AX107="Confirmed Breach"),"Yes — Automatic",IF(CW107="Severe","Yes — Requires Captain Confirmation","No"))</f>
        <v/>
      </c>
      <c r="DC107" s="5" t="n"/>
      <c r="DD107" s="5" t="n"/>
      <c r="DE107" s="5" t="n"/>
      <c r="DF107" s="5" t="n"/>
      <c r="DG107" s="5" t="n"/>
      <c r="DH107" s="5" t="n"/>
      <c r="DI107" s="5" t="n"/>
      <c r="DJ107" s="5" t="n"/>
      <c r="DK107" s="5" t="n"/>
      <c r="DL107" s="5">
        <f>IF(OR(IFERROR(VALUE(LEFT(DF107,1)),99)&lt;=2,IFERROR(VALUE(LEFT(DG107,1)),99)&lt;=2),"Flagged","Clear")</f>
        <v/>
      </c>
      <c r="DM107" s="5">
        <f>IF(OR(DA107="Yes",DB107&lt;&gt;"No",DH107="Unverified",DL107="Flagged"),"Yes","No")</f>
        <v/>
      </c>
      <c r="DN107" s="5">
        <f t="array" ref="DN107">MIN(100,
  IF(ISNUMBER(V107), _xlfn.IFS(V107&gt;=3,25, V107=2,15, V107=1,5, TRUE,0), 0)
  + IFERROR(_xlfn.IFS(VALUE(LEFT(DF107,1))=5,25, VALUE(LEFT(DF107,1))=4,20, VALUE(LEFT(DF107,1))=3,15, VALUE(LEFT(DF107,1))=2,8, TRUE,0), 15)
  + IFERROR(_xlfn.IFS(VALUE(LEFT(DG107,1))=5,25, VALUE(LEFT(DG107,1))=4,20, VALUE(LEFT(DG107,1))=3,15, VALUE(LEFT(DG107,1))=2,8, TRUE,0), 15)
  + _xlfn.IFS(DH107="Fully Verified",25, DH107="Partially Verified",12, TRUE,0)
)</f>
        <v/>
      </c>
      <c r="DO107" s="5">
        <f t="array" ref="DO107">_xlfn.IFS(
  ISBLANK(AR107), "Insufficient Evidence",
  AND(AR107&gt;=65, AJ107="Approved"), "Strong",
  AR107&gt;=65, "Adequate",
  AR107&gt;=40, "Adequate",
  AR107&gt;=20, "Weak",
  TRUE, "Insufficient Evidence"
)</f>
        <v/>
      </c>
      <c r="DP107" s="5">
        <f t="array" ref="DP107">_xlfn.IFS(
  ISBLANK(BS107), "Insufficient Evidence",
  BS107&gt;=65, "Strong",
  BS107&gt;=40, "Adequate",
  BS107&gt;=20, "Weak",
  TRUE, "Insufficient Evidence"
)</f>
        <v/>
      </c>
      <c r="DQ107" s="5">
        <f t="array" ref="DQ107">_xlfn.IFS(
  ISBLANK(BE107), "Insufficient Evidence",
  OR(AW107="Confirmed Violation", AX107="Confirmed Breach"), "Severe — Hard Trigger",
  BE107&gt;=65, "Strong",
  BE107&gt;=40, "Adequate",
  BE107&gt;=20, "Weak",
  TRUE, "Insufficient Evidence"
)</f>
        <v/>
      </c>
      <c r="DR107" s="5">
        <f t="array" ref="DR107">_xlfn.IFS(
  ISBLANK(CU107), "Insufficient Evidence",
  CU107&lt;=20, "Low Risk",
  CU107&lt;=50, "Moderate Risk",
  CU107&lt;=75, "High Risk",
  TRUE, "Very High Risk"
)</f>
        <v/>
      </c>
      <c r="DS107" s="5">
        <f t="array" ref="DS107">_xlfn.IFS(
  ISBLANK(CE107), "Insufficient Evidence",
  AND(ISNUMBER(BW107),ISNUMBER(BV107),BW107&gt;BV107), "Overclaiming Risk",
  CE107&gt;=65, "Strong",
  CE107&gt;=40, "Adequate",
  TRUE, "Weak"
)</f>
        <v/>
      </c>
      <c r="DT107" s="5">
        <f>IF(DB107="Yes — Automatic",0,ROUND((IF(ISNUMBER(AR107),AR107,0)*0.3+IF(ISNUMBER(BS107),BS107,0)*0.2+IF(ISNUMBER(BE107),BE107,0)*0.2+IF(ISNUMBER(CE107),CE107,0)*0.15+(100-IF(ISNUMBER(CU107),CU107,50))*0.15)*IF(DN107&gt;=75,1,IF(DN107&gt;=50,0.9,IF(DN107&gt;=25,0.75,0.6))),1))</f>
        <v/>
      </c>
      <c r="DU107" s="5">
        <f t="array" ref="DU107">_xlfn.IFS(
  DV107="Upgraded to Clear", "Clear",
  DV107="Downgraded to Watchlist", "Watchlist",
  DV107="Downgraded to Exclusion", "Exclusion Risk",
  DB107="Yes — Automatic", "Exclusion Risk",
  OR(AW107="Confirmed Violation", AX107="Confirmed Breach"), "Exclusion Risk",
  OR(V107=0, ISBLANK(V107), DN107&lt;20), "Insufficient Evidence",
  AND(DT107&gt;=65, DA107="No", DB107="No"), "Clear",
  OR(DT107&gt;=40, DA107="Yes"), "Watchlist",
  TRUE, "Exclusion Risk"
)</f>
        <v/>
      </c>
      <c r="DV107" s="5" t="n"/>
      <c r="DW107" s="5">
        <f t="array" ref="DW107">_xlfn.IFS(
  DU107="Exclusion Risk", "Exclude — Hard Trigger",
  DU107="Insufficient Evidence", "Watchlist — Further Evidence Needed",
  DU107="Watchlist", "Watchlist — Further Evidence Needed",
  AND(DU107="Clear", DT107&gt;=80), "Include — No Conditions",
  DU107="Clear", "Include — Monitor",
  TRUE, "Watchlist — Further Evidence Needed"
)</f>
        <v/>
      </c>
      <c r="DX107" s="5" t="n"/>
      <c r="DY107" s="5" t="n"/>
      <c r="DZ107" s="5" t="n"/>
      <c r="EA107" s="5" t="n"/>
      <c r="EB107" s="5">
        <f>IF(OR(V107=0, ISBLANK(V107)), "MISSING — No sources reviewed", "")</f>
        <v/>
      </c>
      <c r="EC107" s="5">
        <f>IF(AND(NOT(ISBLANK(DC107)), ISBLANK(DE107)), "PAGE REF MISSING", "")</f>
        <v/>
      </c>
    </row>
    <row r="108" ht="18" customHeight="1" s="60">
      <c r="A108" s="5" t="inlineStr">
        <is>
          <t>Brunello Cucinelli SpA</t>
        </is>
      </c>
      <c r="B108" s="5" t="inlineStr">
        <is>
          <t>8BU</t>
        </is>
      </c>
      <c r="C108" s="5">
        <f>IF(ISBLANK('Universe Tracker'!D83),"",'Universe Tracker'!D83)</f>
        <v/>
      </c>
      <c r="D108" s="5" t="n"/>
      <c r="E108" s="5" t="n"/>
      <c r="F108" s="5">
        <f>IF(ISBLANK('Universe Tracker'!F83),"",'Universe Tracker'!F83)</f>
        <v/>
      </c>
      <c r="G108" s="5">
        <f>IF(ISBLANK('Universe Tracker'!G83),"",'Universe Tracker'!G83)</f>
        <v/>
      </c>
      <c r="H108" s="5" t="n"/>
      <c r="I108" s="5" t="n"/>
      <c r="J108" s="5">
        <f>IF(ISBLANK(B108),"",B108&amp;"_"&amp;C108)</f>
        <v/>
      </c>
      <c r="K108" s="5" t="n"/>
      <c r="L108" s="5" t="n"/>
      <c r="M108" s="5" t="n"/>
      <c r="N108" s="5" t="n"/>
      <c r="O108" s="5" t="n"/>
      <c r="P108" s="5" t="n"/>
      <c r="Q108" s="5" t="n"/>
      <c r="R108" s="5" t="n"/>
      <c r="S108" s="5" t="n"/>
      <c r="T108" s="5" t="n"/>
      <c r="U108" s="5" t="n"/>
      <c r="V108" s="5" t="n"/>
      <c r="W108" s="5" t="n"/>
      <c r="X108" s="5" t="n"/>
      <c r="Y108" s="5">
        <f>IF(AND(V108&gt;=2,K108="Yes",L108="Yes"),"Sufficient",IF(AND(V108&gt;=1,OR(K108="Yes",L108="Yes")),"Thin","Insufficient"))</f>
        <v/>
      </c>
      <c r="Z108" s="5" t="n"/>
      <c r="AA108" s="5" t="n"/>
      <c r="AB108" s="5" t="n"/>
      <c r="AC108" s="5" t="n"/>
      <c r="AD108" s="5" t="n"/>
      <c r="AE108" s="5" t="n"/>
      <c r="AF108" s="5" t="n"/>
      <c r="AG108" s="5" t="n"/>
      <c r="AH108" s="5" t="n"/>
      <c r="AI108" s="5" t="n"/>
      <c r="AJ108" s="5" t="n"/>
      <c r="AK108" s="5" t="n"/>
      <c r="AL108" s="5" t="n"/>
      <c r="AM108" s="5" t="n"/>
      <c r="AN108" s="5" t="n"/>
      <c r="AO108" s="5" t="n"/>
      <c r="AP108" s="5" t="n"/>
      <c r="AQ108" s="5" t="n"/>
      <c r="AR108" s="40">
        <f t="array" ref="AR108">MIN(100, MAX(0,
  IFERROR(_xlfn.XLOOKUP(AJ108,'Lookup Tables'!$A$2:$A$7,'Lookup Tables'!$B$2:$B$7,0),0)
  + IF(Z108="Yes", IF(IFERROR(_xlfn.XLOOKUP(AJ108,'Lookup Tables'!$A$2:$A$7,'Lookup Tables'!$B$2:$B$7,0),0)&lt;20, 5, 0), 0)
  + _xlfn.IFS(AB108="Yes", IF(ISNUMBER(AC108)*AND(AC108&lt;=2030),15,10), AB108="Long-term Only", 5, AB108="No", 0, TRUE, 0)
  + _xlfn.IFS(AF108="Full",10, AF108="Partial",5, AF108="Scope 2 Only",3, TRUE,0)
  + _xlfn.IFS(AG108="Yes", IF(ISNUMBER(AH108)*AND(AH108&gt;=5),10,6), AG108="Partial",4, TRUE,0)
  + _xlfn.IFS(AI108="Yes",5, AI108="Partial (material categories only)",3, TRUE,0)
  + _xlfn.IFS(AL108="Yes — Detailed",10, AL108="Yes — High Level",5, TRUE,0)
  + _xlfn.IFS(AM108="Yes — Quantified",15, AM108="Yes — Directional Only",7, TRUE,0)
  + _xlfn.IFS(AP108="Formal",5, AP108="Referenced",2, TRUE,0)
  + _xlfn.IFS(AQ108="No Issues Found",5, AQ108="Concern Identified",-5, AQ108="Severe Contradiction",-15, TRUE,0)
  + _xlfn.IFS(BC108="Reasonable Assurance",5, BC108="Limited Assurance",3, TRUE,0)
  - IF(AND(Z108="Yes", AI108="No"), 10, 0)
  - IF(AND(Z108="Yes", AM108="No"), 10, 0)
))</f>
        <v/>
      </c>
      <c r="AS108" s="5" t="n"/>
      <c r="AT108" s="5" t="n"/>
      <c r="AU108" s="5" t="n"/>
      <c r="AV108" s="5" t="n"/>
      <c r="AW108" s="5" t="n"/>
      <c r="AX108" s="5" t="n"/>
      <c r="AY108" s="5" t="n"/>
      <c r="AZ108" s="5" t="n"/>
      <c r="BA108" s="5" t="n"/>
      <c r="BB108" s="5" t="n"/>
      <c r="BC108" s="5" t="n"/>
      <c r="BD108" s="5" t="n"/>
      <c r="BE108" s="39">
        <f t="array" ref="BE108">MIN(100, MAX(0,
  IFERROR(_xlfn.XLOOKUP(AT108,'Lookup Tables'!$D$2:$D$6,'Lookup Tables'!$E$2:$E$6,0),0)
  + IFERROR(_xlfn.XLOOKUP(AV108,'Lookup Tables'!$G$2:$G$5,'Lookup Tables'!$H$2:$H$5,0),0)
  + IFERROR(_xlfn.XLOOKUP(AW108,'Lookup Tables'!$J$2:$J$5,'Lookup Tables'!$K$2:$K$5,0),0)
  + _xlfn.IFS(AX108="No Issues",10, AX108="Complaint Filed",3, AX108="Confirmed Breach",-15, TRUE,0)
  + IFERROR(_xlfn.XLOOKUP(AY108,'Lookup Tables'!$M$2:$M$6,'Lookup Tables'!$N$2:$N$6,0),0)
  + IFERROR(_xlfn.XLOOKUP(AZ108,'Lookup Tables'!$P$2:$P$6,'Lookup Tables'!$Q$2:$Q$6,0),0)
  + _xlfn.IFS(BA108="Formal Board Committee",5, BA108="Board Oversight Mentioned",2, TRUE,0)
  + _xlfn.IFS(BB108="Yes — Quantified Targets",5, BB108="Yes — Discretionary Only",2, TRUE,0)
  + _xlfn.IFS(BC108="Reasonable Assurance",5, BC108="Limited Assurance",3, BC108="Management Review Only",1, TRUE,0)
))</f>
        <v/>
      </c>
      <c r="BF108" s="5" t="n"/>
      <c r="BG108" s="5" t="n"/>
      <c r="BH108" s="5" t="n"/>
      <c r="BI108" s="5" t="n"/>
      <c r="BJ108" s="5" t="n"/>
      <c r="BK108" s="5" t="n"/>
      <c r="BL108" s="5" t="n"/>
      <c r="BM108" s="5" t="n"/>
      <c r="BN108" s="5" t="n"/>
      <c r="BO108" s="5" t="n"/>
      <c r="BP108" s="5" t="n"/>
      <c r="BQ108" s="5" t="n"/>
      <c r="BR108" s="5" t="n"/>
      <c r="BS108" s="41">
        <f t="array" ref="BS108">MIN(100, MAX(0,
  IFERROR(_xlfn.XLOOKUP(BG108,'Lookup Tables'!$A$11:$A$16,'Lookup Tables'!$B$11:$B$16,0),0)
  + IFERROR(_xlfn.XLOOKUP(BR108,'Lookup Tables'!$M$11:$M$14,'Lookup Tables'!$N$11:$N$14,0),0)
  + IFERROR(_xlfn.XLOOKUP(BQ108,'Lookup Tables'!$J$11:$J$15,'Lookup Tables'!$K$11:$K$15,0),0)
  + IFERROR(_xlfn.XLOOKUP(BH108,'Lookup Tables'!$D$11:$D$15,'Lookup Tables'!$E$11:$E$15,0),0)
  + IFERROR(_xlfn.XLOOKUP(BJ108,'Lookup Tables'!$G$11:$G$16,'Lookup Tables'!$H$11:$H$16,0),0)
  + IFERROR(_xlfn.XLOOKUP(BN108,'Lookup Tables'!$P$11:$P$15,'Lookup Tables'!$Q$11:$Q$15,0),0)
  + _xlfn.IFS(BM108="No Evidence",10, BM108="Unknown",3, BM108="Likely",0, BM108="Confirmed",-10, TRUE,3)
  + IFERROR(_xlfn.XLOOKUP(BP108,'Lookup Tables'!$J$21:$J$24,'Lookup Tables'!$K$21:$K$24,0),0)
))</f>
        <v/>
      </c>
      <c r="BT108" s="5" t="n"/>
      <c r="BU108" s="5" t="n"/>
      <c r="BV108" s="5" t="n"/>
      <c r="BW108" s="5" t="n"/>
      <c r="BX108" s="5" t="n"/>
      <c r="BY108" s="5" t="n"/>
      <c r="BZ108" s="5" t="n"/>
      <c r="CA108" s="5" t="n"/>
      <c r="CB108" s="5" t="n"/>
      <c r="CC108" s="5" t="n"/>
      <c r="CD108" s="5" t="n"/>
      <c r="CE108" s="43">
        <f t="array" ref="CE108">MIN(100, MAX(0,
  IF(ISNUMBER(BV108)*AND(BV108&gt;0), 10, 0)
  + _xlfn.IFS(BY108="Independently Verified",25, BY108="Yes",15, TRUE,0)
  + IFERROR(_xlfn.XLOOKUP(BZ108,'Lookup Tables'!$A$21:$A$24,'Lookup Tables'!$B$21:$B$24,0),0)
  + IFERROR(_xlfn.XLOOKUP(CA108,'Lookup Tables'!$D$21:$D$24,'Lookup Tables'!$E$21:$E$24,0),0)
  + _xlfn.IFS(ISNUMBER(CB108)*AND(CB108&gt;=11),15, ISNUMBER(CB108)*AND(CB108&gt;=6),10, ISNUMBER(CB108)*AND(CB108&gt;=1),5, TRUE,0)
  + IFERROR(_xlfn.XLOOKUP(CC108,'Lookup Tables'!$G$21:$G$25,'Lookup Tables'!$H$21:$H$25,0),0)
  - IF(ISNUMBER(BW108)*AND(ISNUMBER(BV108))*AND(BW108&gt;BV108), 20, 0)
  - IF(AND(BY108="Yes", ISNUMBER(BW108), BW108&gt;60), 10, 0)
))</f>
        <v/>
      </c>
      <c r="CF108" s="5" t="n"/>
      <c r="CG108" s="5" t="n"/>
      <c r="CH108" s="5" t="n"/>
      <c r="CI108" s="5" t="n"/>
      <c r="CJ108" s="5" t="n"/>
      <c r="CK108" s="5" t="n"/>
      <c r="CL108" s="5" t="n"/>
      <c r="CM108" s="5" t="n"/>
      <c r="CN108" s="5" t="n"/>
      <c r="CO108" s="5" t="n"/>
      <c r="CP108" s="5" t="n"/>
      <c r="CQ108" s="5" t="n"/>
      <c r="CR108" s="5">
        <f>COUNTIF(CJ108:CQ108,"FAIL")</f>
        <v/>
      </c>
      <c r="CS108" s="5">
        <f>COUNTIF(CJ108:CQ108,"PARTIAL")</f>
        <v/>
      </c>
      <c r="CT108" s="5">
        <f>COUNTIF(CJ108:CQ108,"MISSING")</f>
        <v/>
      </c>
      <c r="CU108" s="5">
        <f>MIN(100,
  CR108*15
  + CS108*6
  + CT108*3
  + IFERROR(_xlfn.XLOOKUP(CW108,'Lookup Tables'!$M$21:$M$25,'Lookup Tables'!$N$21:$N$25,0),0)
)</f>
        <v/>
      </c>
      <c r="CV108" s="5">
        <f>IFERROR(
CHOOSE(
MATCH("FAIL",CJ108:CQ108,0),
"1-Specificity","2-Metric","3-Baseline","4-Target",
"5-Time Horizon","6-Scope","7-Verification","8-Consistency"
),
IFERROR(
CHOOSE(
MATCH("PARTIAL",CJ108:CQ108,0),
"1-Specificity","2-Metric","3-Baseline","4-Target",
"5-Time Horizon","6-Scope","7-Verification","8-Consistency"
),
"No failures"
)
)</f>
        <v/>
      </c>
      <c r="CW108" s="5" t="n"/>
      <c r="CX108" s="5" t="n"/>
      <c r="CY108" s="5" t="n"/>
      <c r="CZ108" s="5" t="n"/>
      <c r="DA108" s="5">
        <f>IF(OR(CU108&gt;=50,CW108="Material",CW108="Severe",AS108="Material",AS108="Severe",BF108="Material",BF108="Severe — Exclusion Trigger",AND(ISNUMBER(BS108),BS108&lt;30)),"Yes","No")</f>
        <v/>
      </c>
      <c r="DB108" s="5">
        <f>IF(OR(CR108&gt;=6,AW108="Confirmed Violation",AX108="Confirmed Breach"),"Yes — Automatic",IF(CW108="Severe","Yes — Requires Captain Confirmation","No"))</f>
        <v/>
      </c>
      <c r="DC108" s="5" t="n"/>
      <c r="DD108" s="5" t="n"/>
      <c r="DE108" s="5" t="n"/>
      <c r="DF108" s="5" t="n"/>
      <c r="DG108" s="5" t="n"/>
      <c r="DH108" s="5" t="n"/>
      <c r="DI108" s="5" t="n"/>
      <c r="DJ108" s="5" t="n"/>
      <c r="DK108" s="5" t="n"/>
      <c r="DL108" s="5">
        <f>IF(OR(IFERROR(VALUE(LEFT(DF108,1)),99)&lt;=2,IFERROR(VALUE(LEFT(DG108,1)),99)&lt;=2),"Flagged","Clear")</f>
        <v/>
      </c>
      <c r="DM108" s="5">
        <f>IF(OR(DA108="Yes",DB108&lt;&gt;"No",DH108="Unverified",DL108="Flagged"),"Yes","No")</f>
        <v/>
      </c>
      <c r="DN108" s="5">
        <f t="array" ref="DN108">MIN(100,
  IF(ISNUMBER(V108), _xlfn.IFS(V108&gt;=3,25, V108=2,15, V108=1,5, TRUE,0), 0)
  + IFERROR(_xlfn.IFS(VALUE(LEFT(DF108,1))=5,25, VALUE(LEFT(DF108,1))=4,20, VALUE(LEFT(DF108,1))=3,15, VALUE(LEFT(DF108,1))=2,8, TRUE,0), 15)
  + IFERROR(_xlfn.IFS(VALUE(LEFT(DG108,1))=5,25, VALUE(LEFT(DG108,1))=4,20, VALUE(LEFT(DG108,1))=3,15, VALUE(LEFT(DG108,1))=2,8, TRUE,0), 15)
  + _xlfn.IFS(DH108="Fully Verified",25, DH108="Partially Verified",12, TRUE,0)
)</f>
        <v/>
      </c>
      <c r="DO108" s="5">
        <f t="array" ref="DO108">_xlfn.IFS(
  ISBLANK(AR108), "Insufficient Evidence",
  AND(AR108&gt;=65, AJ108="Approved"), "Strong",
  AR108&gt;=65, "Adequate",
  AR108&gt;=40, "Adequate",
  AR108&gt;=20, "Weak",
  TRUE, "Insufficient Evidence"
)</f>
        <v/>
      </c>
      <c r="DP108" s="5">
        <f t="array" ref="DP108">_xlfn.IFS(
  ISBLANK(BS108), "Insufficient Evidence",
  BS108&gt;=65, "Strong",
  BS108&gt;=40, "Adequate",
  BS108&gt;=20, "Weak",
  TRUE, "Insufficient Evidence"
)</f>
        <v/>
      </c>
      <c r="DQ108" s="5">
        <f t="array" ref="DQ108">_xlfn.IFS(
  ISBLANK(BE108), "Insufficient Evidence",
  OR(AW108="Confirmed Violation", AX108="Confirmed Breach"), "Severe — Hard Trigger",
  BE108&gt;=65, "Strong",
  BE108&gt;=40, "Adequate",
  BE108&gt;=20, "Weak",
  TRUE, "Insufficient Evidence"
)</f>
        <v/>
      </c>
      <c r="DR108" s="5">
        <f t="array" ref="DR108">_xlfn.IFS(
  ISBLANK(CU108), "Insufficient Evidence",
  CU108&lt;=20, "Low Risk",
  CU108&lt;=50, "Moderate Risk",
  CU108&lt;=75, "High Risk",
  TRUE, "Very High Risk"
)</f>
        <v/>
      </c>
      <c r="DS108" s="5">
        <f t="array" ref="DS108">_xlfn.IFS(
  ISBLANK(CE108), "Insufficient Evidence",
  AND(ISNUMBER(BW108),ISNUMBER(BV108),BW108&gt;BV108), "Overclaiming Risk",
  CE108&gt;=65, "Strong",
  CE108&gt;=40, "Adequate",
  TRUE, "Weak"
)</f>
        <v/>
      </c>
      <c r="DT108" s="5">
        <f>IF(DB108="Yes — Automatic",0,ROUND((IF(ISNUMBER(AR108),AR108,0)*0.3+IF(ISNUMBER(BS108),BS108,0)*0.2+IF(ISNUMBER(BE108),BE108,0)*0.2+IF(ISNUMBER(CE108),CE108,0)*0.15+(100-IF(ISNUMBER(CU108),CU108,50))*0.15)*IF(DN108&gt;=75,1,IF(DN108&gt;=50,0.9,IF(DN108&gt;=25,0.75,0.6))),1))</f>
        <v/>
      </c>
      <c r="DU108" s="5">
        <f t="array" ref="DU108">_xlfn.IFS(
  DV108="Upgraded to Clear", "Clear",
  DV108="Downgraded to Watchlist", "Watchlist",
  DV108="Downgraded to Exclusion", "Exclusion Risk",
  DB108="Yes — Automatic", "Exclusion Risk",
  OR(AW108="Confirmed Violation", AX108="Confirmed Breach"), "Exclusion Risk",
  OR(V108=0, ISBLANK(V108), DN108&lt;20), "Insufficient Evidence",
  AND(DT108&gt;=65, DA108="No", DB108="No"), "Clear",
  OR(DT108&gt;=40, DA108="Yes"), "Watchlist",
  TRUE, "Exclusion Risk"
)</f>
        <v/>
      </c>
      <c r="DV108" s="5" t="n"/>
      <c r="DW108" s="5">
        <f t="array" ref="DW108">_xlfn.IFS(
  DU108="Exclusion Risk", "Exclude — Hard Trigger",
  DU108="Insufficient Evidence", "Watchlist — Further Evidence Needed",
  DU108="Watchlist", "Watchlist — Further Evidence Needed",
  AND(DU108="Clear", DT108&gt;=80), "Include — No Conditions",
  DU108="Clear", "Include — Monitor",
  TRUE, "Watchlist — Further Evidence Needed"
)</f>
        <v/>
      </c>
      <c r="DX108" s="5" t="n"/>
      <c r="DY108" s="5" t="n"/>
      <c r="DZ108" s="5" t="n"/>
      <c r="EA108" s="5" t="n"/>
      <c r="EB108" s="5">
        <f>IF(OR(V108=0, ISBLANK(V108)), "MISSING — No sources reviewed", "")</f>
        <v/>
      </c>
      <c r="EC108" s="5">
        <f>IF(AND(NOT(ISBLANK(DC108)), ISBLANK(DE108)), "PAGE REF MISSING", "")</f>
        <v/>
      </c>
    </row>
    <row r="109" ht="18" customHeight="1" s="60">
      <c r="A109" s="5" t="inlineStr">
        <is>
          <t>Iberdrola SA</t>
        </is>
      </c>
      <c r="B109" s="5" t="inlineStr">
        <is>
          <t>IBE1</t>
        </is>
      </c>
      <c r="C109" s="5">
        <f>IF(ISBLANK('Universe Tracker'!D84),"",'Universe Tracker'!D84)</f>
        <v/>
      </c>
      <c r="D109" s="5" t="n"/>
      <c r="E109" s="5" t="n"/>
      <c r="F109" s="5">
        <f>IF(ISBLANK('Universe Tracker'!F84),"",'Universe Tracker'!F84)</f>
        <v/>
      </c>
      <c r="G109" s="5">
        <f>IF(ISBLANK('Universe Tracker'!G84),"",'Universe Tracker'!G84)</f>
        <v/>
      </c>
      <c r="H109" s="5" t="n"/>
      <c r="I109" s="5" t="n"/>
      <c r="J109" s="5">
        <f>IF(ISBLANK(B109),"",B109&amp;"_"&amp;C109)</f>
        <v/>
      </c>
      <c r="K109" s="5" t="n"/>
      <c r="L109" s="5" t="n"/>
      <c r="M109" s="5" t="n"/>
      <c r="N109" s="5" t="n"/>
      <c r="O109" s="5" t="n"/>
      <c r="P109" s="5" t="n"/>
      <c r="Q109" s="5" t="n"/>
      <c r="R109" s="5" t="n"/>
      <c r="S109" s="5" t="n"/>
      <c r="T109" s="5" t="n"/>
      <c r="U109" s="5" t="n"/>
      <c r="V109" s="5" t="n"/>
      <c r="W109" s="5" t="n"/>
      <c r="X109" s="5" t="n"/>
      <c r="Y109" s="5">
        <f>IF(AND(V109&gt;=2,K109="Yes",L109="Yes"),"Sufficient",IF(AND(V109&gt;=1,OR(K109="Yes",L109="Yes")),"Thin","Insufficient"))</f>
        <v/>
      </c>
      <c r="Z109" s="5" t="n"/>
      <c r="AA109" s="5" t="n"/>
      <c r="AB109" s="5" t="n"/>
      <c r="AC109" s="5" t="n"/>
      <c r="AD109" s="5" t="n"/>
      <c r="AE109" s="5" t="n"/>
      <c r="AF109" s="5" t="n"/>
      <c r="AG109" s="5" t="n"/>
      <c r="AH109" s="5" t="n"/>
      <c r="AI109" s="5" t="n"/>
      <c r="AJ109" s="5" t="n"/>
      <c r="AK109" s="5" t="n"/>
      <c r="AL109" s="5" t="n"/>
      <c r="AM109" s="5" t="n"/>
      <c r="AN109" s="5" t="n"/>
      <c r="AO109" s="5" t="n"/>
      <c r="AP109" s="5" t="n"/>
      <c r="AQ109" s="5" t="n"/>
      <c r="AR109" s="40">
        <f t="array" ref="AR109">MIN(100, MAX(0,
  IFERROR(_xlfn.XLOOKUP(AJ109,'Lookup Tables'!$A$2:$A$7,'Lookup Tables'!$B$2:$B$7,0),0)
  + IF(Z109="Yes", IF(IFERROR(_xlfn.XLOOKUP(AJ109,'Lookup Tables'!$A$2:$A$7,'Lookup Tables'!$B$2:$B$7,0),0)&lt;20, 5, 0), 0)
  + _xlfn.IFS(AB109="Yes", IF(ISNUMBER(AC109)*AND(AC109&lt;=2030),15,10), AB109="Long-term Only", 5, AB109="No", 0, TRUE, 0)
  + _xlfn.IFS(AF109="Full",10, AF109="Partial",5, AF109="Scope 2 Only",3, TRUE,0)
  + _xlfn.IFS(AG109="Yes", IF(ISNUMBER(AH109)*AND(AH109&gt;=5),10,6), AG109="Partial",4, TRUE,0)
  + _xlfn.IFS(AI109="Yes",5, AI109="Partial (material categories only)",3, TRUE,0)
  + _xlfn.IFS(AL109="Yes — Detailed",10, AL109="Yes — High Level",5, TRUE,0)
  + _xlfn.IFS(AM109="Yes — Quantified",15, AM109="Yes — Directional Only",7, TRUE,0)
  + _xlfn.IFS(AP109="Formal",5, AP109="Referenced",2, TRUE,0)
  + _xlfn.IFS(AQ109="No Issues Found",5, AQ109="Concern Identified",-5, AQ109="Severe Contradiction",-15, TRUE,0)
  + _xlfn.IFS(BC109="Reasonable Assurance",5, BC109="Limited Assurance",3, TRUE,0)
  - IF(AND(Z109="Yes", AI109="No"), 10, 0)
  - IF(AND(Z109="Yes", AM109="No"), 10, 0)
))</f>
        <v/>
      </c>
      <c r="AS109" s="5" t="n"/>
      <c r="AT109" s="5" t="n"/>
      <c r="AU109" s="5" t="n"/>
      <c r="AV109" s="5" t="n"/>
      <c r="AW109" s="5" t="n"/>
      <c r="AX109" s="5" t="n"/>
      <c r="AY109" s="5" t="n"/>
      <c r="AZ109" s="5" t="n"/>
      <c r="BA109" s="5" t="n"/>
      <c r="BB109" s="5" t="n"/>
      <c r="BC109" s="5" t="n"/>
      <c r="BD109" s="5" t="n"/>
      <c r="BE109" s="39">
        <f t="array" ref="BE109">MIN(100, MAX(0,
  IFERROR(_xlfn.XLOOKUP(AT109,'Lookup Tables'!$D$2:$D$6,'Lookup Tables'!$E$2:$E$6,0),0)
  + IFERROR(_xlfn.XLOOKUP(AV109,'Lookup Tables'!$G$2:$G$5,'Lookup Tables'!$H$2:$H$5,0),0)
  + IFERROR(_xlfn.XLOOKUP(AW109,'Lookup Tables'!$J$2:$J$5,'Lookup Tables'!$K$2:$K$5,0),0)
  + _xlfn.IFS(AX109="No Issues",10, AX109="Complaint Filed",3, AX109="Confirmed Breach",-15, TRUE,0)
  + IFERROR(_xlfn.XLOOKUP(AY109,'Lookup Tables'!$M$2:$M$6,'Lookup Tables'!$N$2:$N$6,0),0)
  + IFERROR(_xlfn.XLOOKUP(AZ109,'Lookup Tables'!$P$2:$P$6,'Lookup Tables'!$Q$2:$Q$6,0),0)
  + _xlfn.IFS(BA109="Formal Board Committee",5, BA109="Board Oversight Mentioned",2, TRUE,0)
  + _xlfn.IFS(BB109="Yes — Quantified Targets",5, BB109="Yes — Discretionary Only",2, TRUE,0)
  + _xlfn.IFS(BC109="Reasonable Assurance",5, BC109="Limited Assurance",3, BC109="Management Review Only",1, TRUE,0)
))</f>
        <v/>
      </c>
      <c r="BF109" s="5" t="n"/>
      <c r="BG109" s="5" t="n"/>
      <c r="BH109" s="5" t="n"/>
      <c r="BI109" s="5" t="n"/>
      <c r="BJ109" s="5" t="n"/>
      <c r="BK109" s="5" t="n"/>
      <c r="BL109" s="5" t="n"/>
      <c r="BM109" s="5" t="n"/>
      <c r="BN109" s="5" t="n"/>
      <c r="BO109" s="5" t="n"/>
      <c r="BP109" s="5" t="n"/>
      <c r="BQ109" s="5" t="n"/>
      <c r="BR109" s="5" t="n"/>
      <c r="BS109" s="41">
        <f t="array" ref="BS109">MIN(100, MAX(0,
  IFERROR(_xlfn.XLOOKUP(BG109,'Lookup Tables'!$A$11:$A$16,'Lookup Tables'!$B$11:$B$16,0),0)
  + IFERROR(_xlfn.XLOOKUP(BR109,'Lookup Tables'!$M$11:$M$14,'Lookup Tables'!$N$11:$N$14,0),0)
  + IFERROR(_xlfn.XLOOKUP(BQ109,'Lookup Tables'!$J$11:$J$15,'Lookup Tables'!$K$11:$K$15,0),0)
  + IFERROR(_xlfn.XLOOKUP(BH109,'Lookup Tables'!$D$11:$D$15,'Lookup Tables'!$E$11:$E$15,0),0)
  + IFERROR(_xlfn.XLOOKUP(BJ109,'Lookup Tables'!$G$11:$G$16,'Lookup Tables'!$H$11:$H$16,0),0)
  + IFERROR(_xlfn.XLOOKUP(BN109,'Lookup Tables'!$P$11:$P$15,'Lookup Tables'!$Q$11:$Q$15,0),0)
  + _xlfn.IFS(BM109="No Evidence",10, BM109="Unknown",3, BM109="Likely",0, BM109="Confirmed",-10, TRUE,3)
  + IFERROR(_xlfn.XLOOKUP(BP109,'Lookup Tables'!$J$21:$J$24,'Lookup Tables'!$K$21:$K$24,0),0)
))</f>
        <v/>
      </c>
      <c r="BT109" s="5" t="n"/>
      <c r="BU109" s="5" t="n"/>
      <c r="BV109" s="5" t="n"/>
      <c r="BW109" s="5" t="n"/>
      <c r="BX109" s="5" t="n"/>
      <c r="BY109" s="5" t="n"/>
      <c r="BZ109" s="5" t="n"/>
      <c r="CA109" s="5" t="n"/>
      <c r="CB109" s="5" t="n"/>
      <c r="CC109" s="5" t="n"/>
      <c r="CD109" s="5" t="n"/>
      <c r="CE109" s="43">
        <f t="array" ref="CE109">MIN(100, MAX(0,
  IF(ISNUMBER(BV109)*AND(BV109&gt;0), 10, 0)
  + _xlfn.IFS(BY109="Independently Verified",25, BY109="Yes",15, TRUE,0)
  + IFERROR(_xlfn.XLOOKUP(BZ109,'Lookup Tables'!$A$21:$A$24,'Lookup Tables'!$B$21:$B$24,0),0)
  + IFERROR(_xlfn.XLOOKUP(CA109,'Lookup Tables'!$D$21:$D$24,'Lookup Tables'!$E$21:$E$24,0),0)
  + _xlfn.IFS(ISNUMBER(CB109)*AND(CB109&gt;=11),15, ISNUMBER(CB109)*AND(CB109&gt;=6),10, ISNUMBER(CB109)*AND(CB109&gt;=1),5, TRUE,0)
  + IFERROR(_xlfn.XLOOKUP(CC109,'Lookup Tables'!$G$21:$G$25,'Lookup Tables'!$H$21:$H$25,0),0)
  - IF(ISNUMBER(BW109)*AND(ISNUMBER(BV109))*AND(BW109&gt;BV109), 20, 0)
  - IF(AND(BY109="Yes", ISNUMBER(BW109), BW109&gt;60), 10, 0)
))</f>
        <v/>
      </c>
      <c r="CF109" s="5" t="n"/>
      <c r="CG109" s="5" t="n"/>
      <c r="CH109" s="5" t="n"/>
      <c r="CI109" s="5" t="n"/>
      <c r="CJ109" s="5" t="n"/>
      <c r="CK109" s="5" t="n"/>
      <c r="CL109" s="5" t="n"/>
      <c r="CM109" s="5" t="n"/>
      <c r="CN109" s="5" t="n"/>
      <c r="CO109" s="5" t="n"/>
      <c r="CP109" s="5" t="n"/>
      <c r="CQ109" s="5" t="n"/>
      <c r="CR109" s="5">
        <f>COUNTIF(CJ109:CQ109,"FAIL")</f>
        <v/>
      </c>
      <c r="CS109" s="5">
        <f>COUNTIF(CJ109:CQ109,"PARTIAL")</f>
        <v/>
      </c>
      <c r="CT109" s="5">
        <f>COUNTIF(CJ109:CQ109,"MISSING")</f>
        <v/>
      </c>
      <c r="CU109" s="5">
        <f>MIN(100,
  CR109*15
  + CS109*6
  + CT109*3
  + IFERROR(_xlfn.XLOOKUP(CW109,'Lookup Tables'!$M$21:$M$25,'Lookup Tables'!$N$21:$N$25,0),0)
)</f>
        <v/>
      </c>
      <c r="CV109" s="5">
        <f>IFERROR(
CHOOSE(
MATCH("FAIL",CJ109:CQ109,0),
"1-Specificity","2-Metric","3-Baseline","4-Target",
"5-Time Horizon","6-Scope","7-Verification","8-Consistency"
),
IFERROR(
CHOOSE(
MATCH("PARTIAL",CJ109:CQ109,0),
"1-Specificity","2-Metric","3-Baseline","4-Target",
"5-Time Horizon","6-Scope","7-Verification","8-Consistency"
),
"No failures"
)
)</f>
        <v/>
      </c>
      <c r="CW109" s="5" t="n"/>
      <c r="CX109" s="5" t="n"/>
      <c r="CY109" s="5" t="n"/>
      <c r="CZ109" s="5" t="n"/>
      <c r="DA109" s="5">
        <f>IF(OR(CU109&gt;=50,CW109="Material",CW109="Severe",AS109="Material",AS109="Severe",BF109="Material",BF109="Severe — Exclusion Trigger",AND(ISNUMBER(BS109),BS109&lt;30)),"Yes","No")</f>
        <v/>
      </c>
      <c r="DB109" s="5">
        <f>IF(OR(CR109&gt;=6,AW109="Confirmed Violation",AX109="Confirmed Breach"),"Yes — Automatic",IF(CW109="Severe","Yes — Requires Captain Confirmation","No"))</f>
        <v/>
      </c>
      <c r="DC109" s="5" t="n"/>
      <c r="DD109" s="5" t="n"/>
      <c r="DE109" s="5" t="n"/>
      <c r="DF109" s="5" t="n"/>
      <c r="DG109" s="5" t="n"/>
      <c r="DH109" s="5" t="n"/>
      <c r="DI109" s="5" t="n"/>
      <c r="DJ109" s="5" t="n"/>
      <c r="DK109" s="5" t="n"/>
      <c r="DL109" s="5">
        <f>IF(OR(IFERROR(VALUE(LEFT(DF109,1)),99)&lt;=2,IFERROR(VALUE(LEFT(DG109,1)),99)&lt;=2),"Flagged","Clear")</f>
        <v/>
      </c>
      <c r="DM109" s="5">
        <f>IF(OR(DA109="Yes",DB109&lt;&gt;"No",DH109="Unverified",DL109="Flagged"),"Yes","No")</f>
        <v/>
      </c>
      <c r="DN109" s="5">
        <f t="array" ref="DN109">MIN(100,
  IF(ISNUMBER(V109), _xlfn.IFS(V109&gt;=3,25, V109=2,15, V109=1,5, TRUE,0), 0)
  + IFERROR(_xlfn.IFS(VALUE(LEFT(DF109,1))=5,25, VALUE(LEFT(DF109,1))=4,20, VALUE(LEFT(DF109,1))=3,15, VALUE(LEFT(DF109,1))=2,8, TRUE,0), 15)
  + IFERROR(_xlfn.IFS(VALUE(LEFT(DG109,1))=5,25, VALUE(LEFT(DG109,1))=4,20, VALUE(LEFT(DG109,1))=3,15, VALUE(LEFT(DG109,1))=2,8, TRUE,0), 15)
  + _xlfn.IFS(DH109="Fully Verified",25, DH109="Partially Verified",12, TRUE,0)
)</f>
        <v/>
      </c>
      <c r="DO109" s="5">
        <f t="array" ref="DO109">_xlfn.IFS(
  ISBLANK(AR109), "Insufficient Evidence",
  AND(AR109&gt;=65, AJ109="Approved"), "Strong",
  AR109&gt;=65, "Adequate",
  AR109&gt;=40, "Adequate",
  AR109&gt;=20, "Weak",
  TRUE, "Insufficient Evidence"
)</f>
        <v/>
      </c>
      <c r="DP109" s="5">
        <f t="array" ref="DP109">_xlfn.IFS(
  ISBLANK(BS109), "Insufficient Evidence",
  BS109&gt;=65, "Strong",
  BS109&gt;=40, "Adequate",
  BS109&gt;=20, "Weak",
  TRUE, "Insufficient Evidence"
)</f>
        <v/>
      </c>
      <c r="DQ109" s="5">
        <f t="array" ref="DQ109">_xlfn.IFS(
  ISBLANK(BE109), "Insufficient Evidence",
  OR(AW109="Confirmed Violation", AX109="Confirmed Breach"), "Severe — Hard Trigger",
  BE109&gt;=65, "Strong",
  BE109&gt;=40, "Adequate",
  BE109&gt;=20, "Weak",
  TRUE, "Insufficient Evidence"
)</f>
        <v/>
      </c>
      <c r="DR109" s="5">
        <f t="array" ref="DR109">_xlfn.IFS(
  ISBLANK(CU109), "Insufficient Evidence",
  CU109&lt;=20, "Low Risk",
  CU109&lt;=50, "Moderate Risk",
  CU109&lt;=75, "High Risk",
  TRUE, "Very High Risk"
)</f>
        <v/>
      </c>
      <c r="DS109" s="5">
        <f t="array" ref="DS109">_xlfn.IFS(
  ISBLANK(CE109), "Insufficient Evidence",
  AND(ISNUMBER(BW109),ISNUMBER(BV109),BW109&gt;BV109), "Overclaiming Risk",
  CE109&gt;=65, "Strong",
  CE109&gt;=40, "Adequate",
  TRUE, "Weak"
)</f>
        <v/>
      </c>
      <c r="DT109" s="5">
        <f>IF(DB109="Yes — Automatic",0,ROUND((IF(ISNUMBER(AR109),AR109,0)*0.3+IF(ISNUMBER(BS109),BS109,0)*0.2+IF(ISNUMBER(BE109),BE109,0)*0.2+IF(ISNUMBER(CE109),CE109,0)*0.15+(100-IF(ISNUMBER(CU109),CU109,50))*0.15)*IF(DN109&gt;=75,1,IF(DN109&gt;=50,0.9,IF(DN109&gt;=25,0.75,0.6))),1))</f>
        <v/>
      </c>
      <c r="DU109" s="5">
        <f t="array" ref="DU109">_xlfn.IFS(
  DV109="Upgraded to Clear", "Clear",
  DV109="Downgraded to Watchlist", "Watchlist",
  DV109="Downgraded to Exclusion", "Exclusion Risk",
  DB109="Yes — Automatic", "Exclusion Risk",
  OR(AW109="Confirmed Violation", AX109="Confirmed Breach"), "Exclusion Risk",
  OR(V109=0, ISBLANK(V109), DN109&lt;20), "Insufficient Evidence",
  AND(DT109&gt;=65, DA109="No", DB109="No"), "Clear",
  OR(DT109&gt;=40, DA109="Yes"), "Watchlist",
  TRUE, "Exclusion Risk"
)</f>
        <v/>
      </c>
      <c r="DV109" s="5" t="n"/>
      <c r="DW109" s="5">
        <f t="array" ref="DW109">_xlfn.IFS(
  DU109="Exclusion Risk", "Exclude — Hard Trigger",
  DU109="Insufficient Evidence", "Watchlist — Further Evidence Needed",
  DU109="Watchlist", "Watchlist — Further Evidence Needed",
  AND(DU109="Clear", DT109&gt;=80), "Include — No Conditions",
  DU109="Clear", "Include — Monitor",
  TRUE, "Watchlist — Further Evidence Needed"
)</f>
        <v/>
      </c>
      <c r="DX109" s="5" t="n"/>
      <c r="DY109" s="5" t="n"/>
      <c r="DZ109" s="5" t="n"/>
      <c r="EA109" s="5" t="n"/>
      <c r="EB109" s="5">
        <f>IF(OR(V109=0, ISBLANK(V109)), "MISSING — No sources reviewed", "")</f>
        <v/>
      </c>
      <c r="EC109" s="5">
        <f>IF(AND(NOT(ISBLANK(DC109)), ISBLANK(DE109)), "PAGE REF MISSING", "")</f>
        <v/>
      </c>
    </row>
    <row r="110" ht="18" customHeight="1" s="60">
      <c r="A110" s="5" t="inlineStr">
        <is>
          <t>Tele2 AB</t>
        </is>
      </c>
      <c r="B110" s="5" t="inlineStr">
        <is>
          <t>NCYD</t>
        </is>
      </c>
      <c r="C110" s="5" t="inlineStr">
        <is>
          <t>SE0005190238</t>
        </is>
      </c>
      <c r="D110" s="5" t="n"/>
      <c r="E110" s="5" t="n"/>
      <c r="F110" s="5">
        <f>IF(ISBLANK('Universe Tracker'!F85),"",'Universe Tracker'!F85)</f>
        <v/>
      </c>
      <c r="G110" s="5">
        <f>IF(ISBLANK('Universe Tracker'!G85),"",'Universe Tracker'!G85)</f>
        <v/>
      </c>
      <c r="H110" s="5" t="n"/>
      <c r="I110" s="5" t="n"/>
      <c r="J110" s="5">
        <f>IF(ISBLANK(B110),"",B110&amp;"_"&amp;C110)</f>
        <v/>
      </c>
      <c r="K110" s="5" t="n"/>
      <c r="L110" s="5" t="n"/>
      <c r="M110" s="5" t="n"/>
      <c r="N110" s="5" t="n"/>
      <c r="O110" s="5" t="inlineStr">
        <is>
          <t>Yes</t>
        </is>
      </c>
      <c r="P110" s="5" t="inlineStr">
        <is>
          <t>Yes</t>
        </is>
      </c>
      <c r="Q110" s="5" t="n"/>
      <c r="R110" s="5" t="n"/>
      <c r="S110" s="5" t="n"/>
      <c r="T110" s="5" t="n"/>
      <c r="U110" s="5" t="n"/>
      <c r="V110" s="5" t="n"/>
      <c r="W110" s="5" t="n"/>
      <c r="X110" s="5" t="n"/>
      <c r="Y110" s="5">
        <f>IF(AND(V110&gt;=2,K110="Yes",L110="Yes"),"Sufficient",IF(AND(V110&gt;=1,OR(K110="Yes",L110="Yes")),"Thin","Insufficient"))</f>
        <v/>
      </c>
      <c r="Z110" s="5" t="n"/>
      <c r="AA110" s="5" t="n"/>
      <c r="AB110" s="5" t="n"/>
      <c r="AC110" s="5" t="n"/>
      <c r="AD110" s="5" t="n"/>
      <c r="AE110" s="5" t="n"/>
      <c r="AF110" s="5" t="n"/>
      <c r="AG110" s="5" t="n"/>
      <c r="AH110" s="5" t="n"/>
      <c r="AI110" s="5" t="n"/>
      <c r="AJ110" s="5" t="inlineStr">
        <is>
          <t>Targets set (1.5°C)</t>
        </is>
      </c>
      <c r="AK110" s="5" t="inlineStr">
        <is>
          <t>2029</t>
        </is>
      </c>
      <c r="AL110" s="5" t="n"/>
      <c r="AM110" s="5" t="n"/>
      <c r="AN110" s="5" t="n"/>
      <c r="AO110" s="5" t="n"/>
      <c r="AP110" s="5" t="n"/>
      <c r="AQ110" s="5" t="n"/>
      <c r="AR110" s="40">
        <f t="array" ref="AR110">MIN(100, MAX(0,
  IFERROR(_xlfn.XLOOKUP(AJ110,'Lookup Tables'!$A$2:$A$7,'Lookup Tables'!$B$2:$B$7,0),0)
  + IF(Z110="Yes", IF(IFERROR(_xlfn.XLOOKUP(AJ110,'Lookup Tables'!$A$2:$A$7,'Lookup Tables'!$B$2:$B$7,0),0)&lt;20, 5, 0), 0)
  + _xlfn.IFS(AB110="Yes", IF(ISNUMBER(AC110)*AND(AC110&lt;=2030),15,10), AB110="Long-term Only", 5, AB110="No", 0, TRUE, 0)
  + _xlfn.IFS(AF110="Full",10, AF110="Partial",5, AF110="Scope 2 Only",3, TRUE,0)
  + _xlfn.IFS(AG110="Yes", IF(ISNUMBER(AH110)*AND(AH110&gt;=5),10,6), AG110="Partial",4, TRUE,0)
  + _xlfn.IFS(AI110="Yes",5, AI110="Partial (material categories only)",3, TRUE,0)
  + _xlfn.IFS(AL110="Yes — Detailed",10, AL110="Yes — High Level",5, TRUE,0)
  + _xlfn.IFS(AM110="Yes — Quantified",15, AM110="Yes — Directional Only",7, TRUE,0)
  + _xlfn.IFS(AP110="Formal",5, AP110="Referenced",2, TRUE,0)
  + _xlfn.IFS(AQ110="No Issues Found",5, AQ110="Concern Identified",-5, AQ110="Severe Contradiction",-15, TRUE,0)
  + _xlfn.IFS(BC110="Reasonable Assurance",5, BC110="Limited Assurance",3, TRUE,0)
  - IF(AND(Z110="Yes", AI110="No"), 10, 0)
  - IF(AND(Z110="Yes", AM110="No"), 10, 0)
))</f>
        <v/>
      </c>
      <c r="AS110" s="5" t="n"/>
      <c r="AT110" s="5" t="n"/>
      <c r="AU110" s="5" t="n"/>
      <c r="AV110" s="5" t="n"/>
      <c r="AW110" s="5" t="n"/>
      <c r="AX110" s="5" t="n"/>
      <c r="AY110" s="5" t="n"/>
      <c r="AZ110" s="5" t="n"/>
      <c r="BA110" s="5" t="n"/>
      <c r="BB110" s="5" t="n"/>
      <c r="BC110" s="5" t="n"/>
      <c r="BD110" s="5" t="n"/>
      <c r="BE110" s="39">
        <f t="array" ref="BE110">MIN(100, MAX(0,
  IFERROR(_xlfn.XLOOKUP(AT110,'Lookup Tables'!$D$2:$D$6,'Lookup Tables'!$E$2:$E$6,0),0)
  + IFERROR(_xlfn.XLOOKUP(AV110,'Lookup Tables'!$G$2:$G$5,'Lookup Tables'!$H$2:$H$5,0),0)
  + IFERROR(_xlfn.XLOOKUP(AW110,'Lookup Tables'!$J$2:$J$5,'Lookup Tables'!$K$2:$K$5,0),0)
  + _xlfn.IFS(AX110="No Issues",10, AX110="Complaint Filed",3, AX110="Confirmed Breach",-15, TRUE,0)
  + IFERROR(_xlfn.XLOOKUP(AY110,'Lookup Tables'!$M$2:$M$6,'Lookup Tables'!$N$2:$N$6,0),0)
  + IFERROR(_xlfn.XLOOKUP(AZ110,'Lookup Tables'!$P$2:$P$6,'Lookup Tables'!$Q$2:$Q$6,0),0)
  + _xlfn.IFS(BA110="Formal Board Committee",5, BA110="Board Oversight Mentioned",2, TRUE,0)
  + _xlfn.IFS(BB110="Yes — Quantified Targets",5, BB110="Yes — Discretionary Only",2, TRUE,0)
  + _xlfn.IFS(BC110="Reasonable Assurance",5, BC110="Limited Assurance",3, BC110="Management Review Only",1, TRUE,0)
))</f>
        <v/>
      </c>
      <c r="BF110" s="5" t="n"/>
      <c r="BG110" s="5" t="n"/>
      <c r="BH110" s="5" t="n"/>
      <c r="BI110" s="5" t="n"/>
      <c r="BJ110" s="5" t="n"/>
      <c r="BK110" s="5" t="n"/>
      <c r="BL110" s="5" t="n"/>
      <c r="BM110" s="5" t="n"/>
      <c r="BN110" s="5" t="n"/>
      <c r="BO110" s="5" t="n"/>
      <c r="BP110" s="5" t="n"/>
      <c r="BQ110" s="5" t="n"/>
      <c r="BR110" s="5" t="n"/>
      <c r="BS110" s="41">
        <f t="array" ref="BS110">MIN(100, MAX(0,
  IFERROR(_xlfn.XLOOKUP(BG110,'Lookup Tables'!$A$11:$A$16,'Lookup Tables'!$B$11:$B$16,0),0)
  + IFERROR(_xlfn.XLOOKUP(BR110,'Lookup Tables'!$M$11:$M$14,'Lookup Tables'!$N$11:$N$14,0),0)
  + IFERROR(_xlfn.XLOOKUP(BQ110,'Lookup Tables'!$J$11:$J$15,'Lookup Tables'!$K$11:$K$15,0),0)
  + IFERROR(_xlfn.XLOOKUP(BH110,'Lookup Tables'!$D$11:$D$15,'Lookup Tables'!$E$11:$E$15,0),0)
  + IFERROR(_xlfn.XLOOKUP(BJ110,'Lookup Tables'!$G$11:$G$16,'Lookup Tables'!$H$11:$H$16,0),0)
  + IFERROR(_xlfn.XLOOKUP(BN110,'Lookup Tables'!$P$11:$P$15,'Lookup Tables'!$Q$11:$Q$15,0),0)
  + _xlfn.IFS(BM110="No Evidence",10, BM110="Unknown",3, BM110="Likely",0, BM110="Confirmed",-10, TRUE,3)
  + IFERROR(_xlfn.XLOOKUP(BP110,'Lookup Tables'!$J$21:$J$24,'Lookup Tables'!$K$21:$K$24,0),0)
))</f>
        <v/>
      </c>
      <c r="BT110" s="5" t="n"/>
      <c r="BU110" s="5" t="n"/>
      <c r="BV110" s="5" t="n"/>
      <c r="BW110" s="5" t="n"/>
      <c r="BX110" s="5" t="n"/>
      <c r="BY110" s="5" t="n"/>
      <c r="BZ110" s="5" t="n"/>
      <c r="CA110" s="5" t="n"/>
      <c r="CB110" s="5" t="n"/>
      <c r="CC110" s="5" t="n"/>
      <c r="CD110" s="5" t="n"/>
      <c r="CE110" s="43">
        <f t="array" ref="CE110">MIN(100, MAX(0,
  IF(ISNUMBER(BV110)*AND(BV110&gt;0), 10, 0)
  + _xlfn.IFS(BY110="Independently Verified",25, BY110="Yes",15, TRUE,0)
  + IFERROR(_xlfn.XLOOKUP(BZ110,'Lookup Tables'!$A$21:$A$24,'Lookup Tables'!$B$21:$B$24,0),0)
  + IFERROR(_xlfn.XLOOKUP(CA110,'Lookup Tables'!$D$21:$D$24,'Lookup Tables'!$E$21:$E$24,0),0)
  + _xlfn.IFS(ISNUMBER(CB110)*AND(CB110&gt;=11),15, ISNUMBER(CB110)*AND(CB110&gt;=6),10, ISNUMBER(CB110)*AND(CB110&gt;=1),5, TRUE,0)
  + IFERROR(_xlfn.XLOOKUP(CC110,'Lookup Tables'!$G$21:$G$25,'Lookup Tables'!$H$21:$H$25,0),0)
  - IF(ISNUMBER(BW110)*AND(ISNUMBER(BV110))*AND(BW110&gt;BV110), 20, 0)
  - IF(AND(BY110="Yes", ISNUMBER(BW110), BW110&gt;60), 10, 0)
))</f>
        <v/>
      </c>
      <c r="CF110" s="5" t="n"/>
      <c r="CG110" s="5" t="inlineStr">
        <is>
          <t>aiming for net zero greenhouse gas [emissions] ... targeting net-zero by 2035</t>
        </is>
      </c>
      <c r="CH110" s="5" t="inlineStr">
        <is>
          <t>tele2-annual-and-sustainability-report-2025.pdf</t>
        </is>
      </c>
      <c r="CI110" s="5" t="n">
        <v>68</v>
      </c>
      <c r="CJ110" s="5" t="inlineStr">
        <is>
          <t>PASS</t>
        </is>
      </c>
      <c r="CK110" s="5" t="inlineStr">
        <is>
          <t>PASS</t>
        </is>
      </c>
      <c r="CL110" s="5" t="inlineStr">
        <is>
          <t>PASS</t>
        </is>
      </c>
      <c r="CM110" s="5" t="inlineStr">
        <is>
          <t>PASS</t>
        </is>
      </c>
      <c r="CN110" s="5" t="inlineStr">
        <is>
          <t>PASS</t>
        </is>
      </c>
      <c r="CO110" s="5" t="inlineStr">
        <is>
          <t>PASS</t>
        </is>
      </c>
      <c r="CP110" s="5" t="inlineStr">
        <is>
          <t>PASS</t>
        </is>
      </c>
      <c r="CQ110" s="5" t="inlineStr">
        <is>
          <t>PASS</t>
        </is>
      </c>
      <c r="CR110" s="5">
        <f>COUNTIF(CJ110:CQ110,"FAIL")</f>
        <v/>
      </c>
      <c r="CS110" s="5">
        <f>COUNTIF(CJ110:CQ110,"PARTIAL")</f>
        <v/>
      </c>
      <c r="CT110" s="5">
        <f>COUNTIF(CJ110:CQ110,"MISSING")</f>
        <v/>
      </c>
      <c r="CU110" s="5">
        <f>MIN(100,
  CR110*15
  + CS110*6
  + CT110*3
  + IFERROR(_xlfn.XLOOKUP(CW110,'Lookup Tables'!$M$21:$M$25,'Lookup Tables'!$N$21:$N$25,0),0)
)</f>
        <v/>
      </c>
      <c r="CV110" s="5">
        <f>IFERROR(
CHOOSE(
MATCH("FAIL",CJ110:CQ110,0),
"1-Specificity","2-Metric","3-Baseline","4-Target",
"5-Time Horizon","6-Scope","7-Verification","8-Consistency"
),
IFERROR(
CHOOSE(
MATCH("PARTIAL",CJ110:CQ110,0),
"1-Specificity","2-Metric","3-Baseline","4-Target",
"5-Time Horizon","6-Scope","7-Verification","8-Consistency"
),
"No failures"
)
)</f>
        <v/>
      </c>
      <c r="CW110" s="5" t="n"/>
      <c r="CX110" s="5" t="n"/>
      <c r="CY110" s="5" t="n"/>
      <c r="CZ110" s="5" t="n"/>
      <c r="DA110" s="5">
        <f>IF(OR(CU110&gt;=50,CW110="Material",CW110="Severe",AS110="Material",AS110="Severe",BF110="Material",BF110="Severe — Exclusion Trigger",AND(ISNUMBER(BS110),BS110&lt;30)),"Yes","No")</f>
        <v/>
      </c>
      <c r="DB110" s="5">
        <f>IF(OR(CR110&gt;=6,AW110="Confirmed Violation",AX110="Confirmed Breach"),"Yes — Automatic",IF(CW110="Severe","Yes — Requires Captain Confirmation","No"))</f>
        <v/>
      </c>
      <c r="DC110" s="5" t="inlineStr">
        <is>
          <t>aiming for net zero greenhouse gas [emissions] ... targeting net-zero by 2035</t>
        </is>
      </c>
      <c r="DD110" s="5" t="inlineStr">
        <is>
          <t>tele2-annual-and-sustainability-report-2025.pdf</t>
        </is>
      </c>
      <c r="DE110" s="5" t="n">
        <v>68</v>
      </c>
      <c r="DF110" s="5" t="n">
        <v>4</v>
      </c>
      <c r="DG110" s="5" t="n">
        <v>4</v>
      </c>
      <c r="DH110" s="5" t="inlineStr">
        <is>
          <t>PENDING</t>
        </is>
      </c>
      <c r="DI110" s="5" t="n"/>
      <c r="DJ110" s="5" t="n"/>
      <c r="DK110" s="5" t="n"/>
      <c r="DL110" s="5">
        <f>IF(OR(IFERROR(VALUE(LEFT(DF110,1)),99)&lt;=2,IFERROR(VALUE(LEFT(DG110,1)),99)&lt;=2),"Flagged","Clear")</f>
        <v/>
      </c>
      <c r="DM110" s="5">
        <f>IF(OR(DA110="Yes",DB110&lt;&gt;"No",DH110="Unverified",DL110="Flagged"),"Yes","No")</f>
        <v/>
      </c>
      <c r="DN110" s="5">
        <f t="array" ref="DN110">MIN(100,
  IF(ISNUMBER(V110), _xlfn.IFS(V110&gt;=3,25, V110=2,15, V110=1,5, TRUE,0), 0)
  + IFERROR(_xlfn.IFS(VALUE(LEFT(DF110,1))=5,25, VALUE(LEFT(DF110,1))=4,20, VALUE(LEFT(DF110,1))=3,15, VALUE(LEFT(DF110,1))=2,8, TRUE,0), 15)
  + IFERROR(_xlfn.IFS(VALUE(LEFT(DG110,1))=5,25, VALUE(LEFT(DG110,1))=4,20, VALUE(LEFT(DG110,1))=3,15, VALUE(LEFT(DG110,1))=2,8, TRUE,0), 15)
  + _xlfn.IFS(DH110="Fully Verified",25, DH110="Partially Verified",12, TRUE,0)
)</f>
        <v/>
      </c>
      <c r="DO110" s="5">
        <f t="array" ref="DO110">_xlfn.IFS(
  ISBLANK(AR110), "Insufficient Evidence",
  AND(AR110&gt;=65, AJ110="Approved"), "Strong",
  AR110&gt;=65, "Adequate",
  AR110&gt;=40, "Adequate",
  AR110&gt;=20, "Weak",
  TRUE, "Insufficient Evidence"
)</f>
        <v/>
      </c>
      <c r="DP110" s="5">
        <f t="array" ref="DP110">_xlfn.IFS(
  ISBLANK(BS110), "Insufficient Evidence",
  BS110&gt;=65, "Strong",
  BS110&gt;=40, "Adequate",
  BS110&gt;=20, "Weak",
  TRUE, "Insufficient Evidence"
)</f>
        <v/>
      </c>
      <c r="DQ110" s="5">
        <f t="array" ref="DQ110">_xlfn.IFS(
  ISBLANK(BE110), "Insufficient Evidence",
  OR(AW110="Confirmed Violation", AX110="Confirmed Breach"), "Severe — Hard Trigger",
  BE110&gt;=65, "Strong",
  BE110&gt;=40, "Adequate",
  BE110&gt;=20, "Weak",
  TRUE, "Insufficient Evidence"
)</f>
        <v/>
      </c>
      <c r="DR110" s="5">
        <f t="array" ref="DR110">_xlfn.IFS(
  ISBLANK(CU110), "Insufficient Evidence",
  CU110&lt;=20, "Low Risk",
  CU110&lt;=50, "Moderate Risk",
  CU110&lt;=75, "High Risk",
  TRUE, "Very High Risk"
)</f>
        <v/>
      </c>
      <c r="DS110" s="5">
        <f t="array" ref="DS110">_xlfn.IFS(
  ISBLANK(CE110), "Insufficient Evidence",
  AND(ISNUMBER(BW110),ISNUMBER(BV110),BW110&gt;BV110), "Overclaiming Risk",
  CE110&gt;=65, "Strong",
  CE110&gt;=40, "Adequate",
  TRUE, "Weak"
)</f>
        <v/>
      </c>
      <c r="DT110" s="5">
        <f>IF(DB110="Yes — Automatic",0,ROUND((IF(ISNUMBER(AR110),AR110,0)*0.3+IF(ISNUMBER(BS110),BS110,0)*0.2+IF(ISNUMBER(BE110),BE110,0)*0.2+IF(ISNUMBER(CE110),CE110,0)*0.15+(100-IF(ISNUMBER(CU110),CU110,50))*0.15)*IF(DN110&gt;=75,1,IF(DN110&gt;=50,0.9,IF(DN110&gt;=25,0.75,0.6))),1))</f>
        <v/>
      </c>
      <c r="DU110" s="5">
        <f t="array" ref="DU110">_xlfn.IFS(
  DV110="Upgraded to Clear", "Clear",
  DV110="Downgraded to Watchlist", "Watchlist",
  DV110="Downgraded to Exclusion", "Exclusion Risk",
  DB110="Yes — Automatic", "Exclusion Risk",
  OR(AW110="Confirmed Violation", AX110="Confirmed Breach"), "Exclusion Risk",
  OR(V110=0, ISBLANK(V110), DN110&lt;20), "Insufficient Evidence",
  AND(DT110&gt;=65, DA110="No", DB110="No"), "Clear",
  OR(DT110&gt;=40, DA110="Yes"), "Watchlist",
  TRUE, "Exclusion Risk"
)</f>
        <v/>
      </c>
      <c r="DV110" s="5" t="n"/>
      <c r="DW110" s="5">
        <f t="array" ref="DW110">_xlfn.IFS(
  DU110="Exclusion Risk", "Exclude — Hard Trigger",
  DU110="Insufficient Evidence", "Watchlist — Further Evidence Needed",
  DU110="Watchlist", "Watchlist — Further Evidence Needed",
  AND(DU110="Clear", DT110&gt;=80), "Include — No Conditions",
  DU110="Clear", "Include — Monitor",
  TRUE, "Watchlist — Further Evidence Needed"
)</f>
        <v/>
      </c>
      <c r="DX110" s="5" t="inlineStr">
        <is>
          <t>Main claim: "aiming for net zero greenhouse gas [emissions] ... targeting net-zero by 2035" (tele2-annual-and-sustainability-report-2025.pdf, p68). SBTi: Targets set, 1.5°C near-term target (2029). 8-Test: 0 PARTIAL, 0 FAIL, 0 MISSING -&gt; PASS. Telecom annual &amp; sustainability report. Strong climate disclosure — science-based targets 1.5C-aligned, near-dated net-zero (2035) with 2027/2029 milestones, 2019 baseline, KPMG limited assurance. One MED (limited assurance level).</t>
        </is>
      </c>
      <c r="DY110" s="5" t="n"/>
      <c r="DZ110" s="5" t="n"/>
      <c r="EA110" s="5" t="n"/>
      <c r="EB110" s="5">
        <f>IF(OR(V110=0, ISBLANK(V110)), "MISSING — No sources reviewed", "")</f>
        <v/>
      </c>
      <c r="EC110" s="5">
        <f>IF(AND(NOT(ISBLANK(DC110)), ISBLANK(DE110)), "PAGE REF MISSING", "")</f>
        <v/>
      </c>
    </row>
    <row r="111" ht="18" customHeight="1" s="60">
      <c r="A111" s="5" t="inlineStr">
        <is>
          <t>CaixaBank SA</t>
        </is>
      </c>
      <c r="B111" s="5" t="inlineStr">
        <is>
          <t>48CA</t>
        </is>
      </c>
      <c r="C111" s="5">
        <f>IF(ISBLANK('Universe Tracker'!D86),"",'Universe Tracker'!D86)</f>
        <v/>
      </c>
      <c r="D111" s="5" t="n"/>
      <c r="E111" s="5" t="n"/>
      <c r="F111" s="5">
        <f>IF(ISBLANK('Universe Tracker'!F86),"",'Universe Tracker'!F86)</f>
        <v/>
      </c>
      <c r="G111" s="5">
        <f>IF(ISBLANK('Universe Tracker'!G86),"",'Universe Tracker'!G86)</f>
        <v/>
      </c>
      <c r="H111" s="5" t="n"/>
      <c r="I111" s="5" t="n"/>
      <c r="J111" s="5">
        <f>IF(ISBLANK(B111),"",B111&amp;"_"&amp;C111)</f>
        <v/>
      </c>
      <c r="K111" s="5" t="n"/>
      <c r="L111" s="5" t="n"/>
      <c r="M111" s="5" t="n"/>
      <c r="N111" s="5" t="n"/>
      <c r="O111" s="5" t="n"/>
      <c r="P111" s="5" t="n"/>
      <c r="Q111" s="5" t="n"/>
      <c r="R111" s="5" t="n"/>
      <c r="S111" s="5" t="n"/>
      <c r="T111" s="5" t="n"/>
      <c r="U111" s="5" t="n"/>
      <c r="V111" s="5" t="n"/>
      <c r="W111" s="5" t="n"/>
      <c r="X111" s="5" t="n"/>
      <c r="Y111" s="5">
        <f>IF(AND(V111&gt;=2,K111="Yes",L111="Yes"),"Sufficient",IF(AND(V111&gt;=1,OR(K111="Yes",L111="Yes")),"Thin","Insufficient"))</f>
        <v/>
      </c>
      <c r="Z111" s="5" t="n"/>
      <c r="AA111" s="5" t="n"/>
      <c r="AB111" s="5" t="n"/>
      <c r="AC111" s="5" t="n"/>
      <c r="AD111" s="5" t="n"/>
      <c r="AE111" s="5" t="n"/>
      <c r="AF111" s="5" t="n"/>
      <c r="AG111" s="5" t="n"/>
      <c r="AH111" s="5" t="n"/>
      <c r="AI111" s="5" t="n"/>
      <c r="AJ111" s="5" t="n"/>
      <c r="AK111" s="5" t="n"/>
      <c r="AL111" s="5" t="n"/>
      <c r="AM111" s="5" t="n"/>
      <c r="AN111" s="5" t="n"/>
      <c r="AO111" s="5" t="n"/>
      <c r="AP111" s="5" t="n"/>
      <c r="AQ111" s="5" t="n"/>
      <c r="AR111" s="40">
        <f t="array" ref="AR111">MIN(100, MAX(0,
  IFERROR(_xlfn.XLOOKUP(AJ111,'Lookup Tables'!$A$2:$A$7,'Lookup Tables'!$B$2:$B$7,0),0)
  + IF(Z111="Yes", IF(IFERROR(_xlfn.XLOOKUP(AJ111,'Lookup Tables'!$A$2:$A$7,'Lookup Tables'!$B$2:$B$7,0),0)&lt;20, 5, 0), 0)
  + _xlfn.IFS(AB111="Yes", IF(ISNUMBER(AC111)*AND(AC111&lt;=2030),15,10), AB111="Long-term Only", 5, AB111="No", 0, TRUE, 0)
  + _xlfn.IFS(AF111="Full",10, AF111="Partial",5, AF111="Scope 2 Only",3, TRUE,0)
  + _xlfn.IFS(AG111="Yes", IF(ISNUMBER(AH111)*AND(AH111&gt;=5),10,6), AG111="Partial",4, TRUE,0)
  + _xlfn.IFS(AI111="Yes",5, AI111="Partial (material categories only)",3, TRUE,0)
  + _xlfn.IFS(AL111="Yes — Detailed",10, AL111="Yes — High Level",5, TRUE,0)
  + _xlfn.IFS(AM111="Yes — Quantified",15, AM111="Yes — Directional Only",7, TRUE,0)
  + _xlfn.IFS(AP111="Formal",5, AP111="Referenced",2, TRUE,0)
  + _xlfn.IFS(AQ111="No Issues Found",5, AQ111="Concern Identified",-5, AQ111="Severe Contradiction",-15, TRUE,0)
  + _xlfn.IFS(BC111="Reasonable Assurance",5, BC111="Limited Assurance",3, TRUE,0)
  - IF(AND(Z111="Yes", AI111="No"), 10, 0)
  - IF(AND(Z111="Yes", AM111="No"), 10, 0)
))</f>
        <v/>
      </c>
      <c r="AS111" s="5" t="n"/>
      <c r="AT111" s="5" t="n"/>
      <c r="AU111" s="5" t="n"/>
      <c r="AV111" s="5" t="n"/>
      <c r="AW111" s="5" t="n"/>
      <c r="AX111" s="5" t="n"/>
      <c r="AY111" s="5" t="n"/>
      <c r="AZ111" s="5" t="n"/>
      <c r="BA111" s="5" t="n"/>
      <c r="BB111" s="5" t="n"/>
      <c r="BC111" s="5" t="n"/>
      <c r="BD111" s="5" t="n"/>
      <c r="BE111" s="39">
        <f t="array" ref="BE111">MIN(100, MAX(0,
  IFERROR(_xlfn.XLOOKUP(AT111,'Lookup Tables'!$D$2:$D$6,'Lookup Tables'!$E$2:$E$6,0),0)
  + IFERROR(_xlfn.XLOOKUP(AV111,'Lookup Tables'!$G$2:$G$5,'Lookup Tables'!$H$2:$H$5,0),0)
  + IFERROR(_xlfn.XLOOKUP(AW111,'Lookup Tables'!$J$2:$J$5,'Lookup Tables'!$K$2:$K$5,0),0)
  + _xlfn.IFS(AX111="No Issues",10, AX111="Complaint Filed",3, AX111="Confirmed Breach",-15, TRUE,0)
  + IFERROR(_xlfn.XLOOKUP(AY111,'Lookup Tables'!$M$2:$M$6,'Lookup Tables'!$N$2:$N$6,0),0)
  + IFERROR(_xlfn.XLOOKUP(AZ111,'Lookup Tables'!$P$2:$P$6,'Lookup Tables'!$Q$2:$Q$6,0),0)
  + _xlfn.IFS(BA111="Formal Board Committee",5, BA111="Board Oversight Mentioned",2, TRUE,0)
  + _xlfn.IFS(BB111="Yes — Quantified Targets",5, BB111="Yes — Discretionary Only",2, TRUE,0)
  + _xlfn.IFS(BC111="Reasonable Assurance",5, BC111="Limited Assurance",3, BC111="Management Review Only",1, TRUE,0)
))</f>
        <v/>
      </c>
      <c r="BF111" s="5" t="n"/>
      <c r="BG111" s="5" t="n"/>
      <c r="BH111" s="5" t="n"/>
      <c r="BI111" s="5" t="n"/>
      <c r="BJ111" s="5" t="n"/>
      <c r="BK111" s="5" t="n"/>
      <c r="BL111" s="5" t="n"/>
      <c r="BM111" s="5" t="n"/>
      <c r="BN111" s="5" t="n"/>
      <c r="BO111" s="5" t="n"/>
      <c r="BP111" s="5" t="n"/>
      <c r="BQ111" s="5" t="n"/>
      <c r="BR111" s="5" t="n"/>
      <c r="BS111" s="41">
        <f t="array" ref="BS111">MIN(100, MAX(0,
  IFERROR(_xlfn.XLOOKUP(BG111,'Lookup Tables'!$A$11:$A$16,'Lookup Tables'!$B$11:$B$16,0),0)
  + IFERROR(_xlfn.XLOOKUP(BR111,'Lookup Tables'!$M$11:$M$14,'Lookup Tables'!$N$11:$N$14,0),0)
  + IFERROR(_xlfn.XLOOKUP(BQ111,'Lookup Tables'!$J$11:$J$15,'Lookup Tables'!$K$11:$K$15,0),0)
  + IFERROR(_xlfn.XLOOKUP(BH111,'Lookup Tables'!$D$11:$D$15,'Lookup Tables'!$E$11:$E$15,0),0)
  + IFERROR(_xlfn.XLOOKUP(BJ111,'Lookup Tables'!$G$11:$G$16,'Lookup Tables'!$H$11:$H$16,0),0)
  + IFERROR(_xlfn.XLOOKUP(BN111,'Lookup Tables'!$P$11:$P$15,'Lookup Tables'!$Q$11:$Q$15,0),0)
  + _xlfn.IFS(BM111="No Evidence",10, BM111="Unknown",3, BM111="Likely",0, BM111="Confirmed",-10, TRUE,3)
  + IFERROR(_xlfn.XLOOKUP(BP111,'Lookup Tables'!$J$21:$J$24,'Lookup Tables'!$K$21:$K$24,0),0)
))</f>
        <v/>
      </c>
      <c r="BT111" s="5" t="n"/>
      <c r="BU111" s="5" t="n"/>
      <c r="BV111" s="5" t="n"/>
      <c r="BW111" s="5" t="n"/>
      <c r="BX111" s="5" t="n"/>
      <c r="BY111" s="5" t="n"/>
      <c r="BZ111" s="5" t="n"/>
      <c r="CA111" s="5" t="n"/>
      <c r="CB111" s="5" t="n"/>
      <c r="CC111" s="5" t="n"/>
      <c r="CD111" s="5" t="n"/>
      <c r="CE111" s="43">
        <f t="array" ref="CE111">MIN(100, MAX(0,
  IF(ISNUMBER(BV111)*AND(BV111&gt;0), 10, 0)
  + _xlfn.IFS(BY111="Independently Verified",25, BY111="Yes",15, TRUE,0)
  + IFERROR(_xlfn.XLOOKUP(BZ111,'Lookup Tables'!$A$21:$A$24,'Lookup Tables'!$B$21:$B$24,0),0)
  + IFERROR(_xlfn.XLOOKUP(CA111,'Lookup Tables'!$D$21:$D$24,'Lookup Tables'!$E$21:$E$24,0),0)
  + _xlfn.IFS(ISNUMBER(CB111)*AND(CB111&gt;=11),15, ISNUMBER(CB111)*AND(CB111&gt;=6),10, ISNUMBER(CB111)*AND(CB111&gt;=1),5, TRUE,0)
  + IFERROR(_xlfn.XLOOKUP(CC111,'Lookup Tables'!$G$21:$G$25,'Lookup Tables'!$H$21:$H$25,0),0)
  - IF(ISNUMBER(BW111)*AND(ISNUMBER(BV111))*AND(BW111&gt;BV111), 20, 0)
  - IF(AND(BY111="Yes", ISNUMBER(BW111), BW111&gt;60), 10, 0)
))</f>
        <v/>
      </c>
      <c r="CF111" s="5" t="n"/>
      <c r="CG111" s="5" t="n"/>
      <c r="CH111" s="5" t="n"/>
      <c r="CI111" s="5" t="n"/>
      <c r="CJ111" s="5" t="n"/>
      <c r="CK111" s="5" t="n"/>
      <c r="CL111" s="5" t="n"/>
      <c r="CM111" s="5" t="n"/>
      <c r="CN111" s="5" t="n"/>
      <c r="CO111" s="5" t="n"/>
      <c r="CP111" s="5" t="n"/>
      <c r="CQ111" s="5" t="n"/>
      <c r="CR111" s="5">
        <f>COUNTIF(CJ111:CQ111,"FAIL")</f>
        <v/>
      </c>
      <c r="CS111" s="5">
        <f>COUNTIF(CJ111:CQ111,"PARTIAL")</f>
        <v/>
      </c>
      <c r="CT111" s="5">
        <f>COUNTIF(CJ111:CQ111,"MISSING")</f>
        <v/>
      </c>
      <c r="CU111" s="5">
        <f>MIN(100,
  CR111*15
  + CS111*6
  + CT111*3
  + IFERROR(_xlfn.XLOOKUP(CW111,'Lookup Tables'!$M$21:$M$25,'Lookup Tables'!$N$21:$N$25,0),0)
)</f>
        <v/>
      </c>
      <c r="CV111" s="5">
        <f>IFERROR(
CHOOSE(
MATCH("FAIL",CJ111:CQ111,0),
"1-Specificity","2-Metric","3-Baseline","4-Target",
"5-Time Horizon","6-Scope","7-Verification","8-Consistency"
),
IFERROR(
CHOOSE(
MATCH("PARTIAL",CJ111:CQ111,0),
"1-Specificity","2-Metric","3-Baseline","4-Target",
"5-Time Horizon","6-Scope","7-Verification","8-Consistency"
),
"No failures"
)
)</f>
        <v/>
      </c>
      <c r="CW111" s="5" t="n"/>
      <c r="CX111" s="5" t="n"/>
      <c r="CY111" s="5" t="n"/>
      <c r="CZ111" s="5" t="n"/>
      <c r="DA111" s="5">
        <f>IF(OR(CU111&gt;=50,CW111="Material",CW111="Severe",AS111="Material",AS111="Severe",BF111="Material",BF111="Severe — Exclusion Trigger",AND(ISNUMBER(BS111),BS111&lt;30)),"Yes","No")</f>
        <v/>
      </c>
      <c r="DB111" s="5">
        <f>IF(OR(CR111&gt;=6,AW111="Confirmed Violation",AX111="Confirmed Breach"),"Yes — Automatic",IF(CW111="Severe","Yes — Requires Captain Confirmation","No"))</f>
        <v/>
      </c>
      <c r="DC111" s="5" t="n"/>
      <c r="DD111" s="5" t="n"/>
      <c r="DE111" s="5" t="n"/>
      <c r="DF111" s="5" t="n"/>
      <c r="DG111" s="5" t="n"/>
      <c r="DH111" s="5" t="n"/>
      <c r="DI111" s="5" t="n"/>
      <c r="DJ111" s="5" t="n"/>
      <c r="DK111" s="5" t="n"/>
      <c r="DL111" s="5">
        <f>IF(OR(IFERROR(VALUE(LEFT(DF111,1)),99)&lt;=2,IFERROR(VALUE(LEFT(DG111,1)),99)&lt;=2),"Flagged","Clear")</f>
        <v/>
      </c>
      <c r="DM111" s="5">
        <f>IF(OR(DA111="Yes",DB111&lt;&gt;"No",DH111="Unverified",DL111="Flagged"),"Yes","No")</f>
        <v/>
      </c>
      <c r="DN111" s="5">
        <f t="array" ref="DN111">MIN(100,
  IF(ISNUMBER(V111), _xlfn.IFS(V111&gt;=3,25, V111=2,15, V111=1,5, TRUE,0), 0)
  + IFERROR(_xlfn.IFS(VALUE(LEFT(DF111,1))=5,25, VALUE(LEFT(DF111,1))=4,20, VALUE(LEFT(DF111,1))=3,15, VALUE(LEFT(DF111,1))=2,8, TRUE,0), 15)
  + IFERROR(_xlfn.IFS(VALUE(LEFT(DG111,1))=5,25, VALUE(LEFT(DG111,1))=4,20, VALUE(LEFT(DG111,1))=3,15, VALUE(LEFT(DG111,1))=2,8, TRUE,0), 15)
  + _xlfn.IFS(DH111="Fully Verified",25, DH111="Partially Verified",12, TRUE,0)
)</f>
        <v/>
      </c>
      <c r="DO111" s="5">
        <f t="array" ref="DO111">_xlfn.IFS(
  ISBLANK(AR111), "Insufficient Evidence",
  AND(AR111&gt;=65, AJ111="Approved"), "Strong",
  AR111&gt;=65, "Adequate",
  AR111&gt;=40, "Adequate",
  AR111&gt;=20, "Weak",
  TRUE, "Insufficient Evidence"
)</f>
        <v/>
      </c>
      <c r="DP111" s="5">
        <f t="array" ref="DP111">_xlfn.IFS(
  ISBLANK(BS111), "Insufficient Evidence",
  BS111&gt;=65, "Strong",
  BS111&gt;=40, "Adequate",
  BS111&gt;=20, "Weak",
  TRUE, "Insufficient Evidence"
)</f>
        <v/>
      </c>
      <c r="DQ111" s="5">
        <f t="array" ref="DQ111">_xlfn.IFS(
  ISBLANK(BE111), "Insufficient Evidence",
  OR(AW111="Confirmed Violation", AX111="Confirmed Breach"), "Severe — Hard Trigger",
  BE111&gt;=65, "Strong",
  BE111&gt;=40, "Adequate",
  BE111&gt;=20, "Weak",
  TRUE, "Insufficient Evidence"
)</f>
        <v/>
      </c>
      <c r="DR111" s="5">
        <f t="array" ref="DR111">_xlfn.IFS(
  ISBLANK(CU111), "Insufficient Evidence",
  CU111&lt;=20, "Low Risk",
  CU111&lt;=50, "Moderate Risk",
  CU111&lt;=75, "High Risk",
  TRUE, "Very High Risk"
)</f>
        <v/>
      </c>
      <c r="DS111" s="5">
        <f t="array" ref="DS111">_xlfn.IFS(
  ISBLANK(CE111), "Insufficient Evidence",
  AND(ISNUMBER(BW111),ISNUMBER(BV111),BW111&gt;BV111), "Overclaiming Risk",
  CE111&gt;=65, "Strong",
  CE111&gt;=40, "Adequate",
  TRUE, "Weak"
)</f>
        <v/>
      </c>
      <c r="DT111" s="5">
        <f>IF(DB111="Yes — Automatic",0,ROUND((IF(ISNUMBER(AR111),AR111,0)*0.3+IF(ISNUMBER(BS111),BS111,0)*0.2+IF(ISNUMBER(BE111),BE111,0)*0.2+IF(ISNUMBER(CE111),CE111,0)*0.15+(100-IF(ISNUMBER(CU111),CU111,50))*0.15)*IF(DN111&gt;=75,1,IF(DN111&gt;=50,0.9,IF(DN111&gt;=25,0.75,0.6))),1))</f>
        <v/>
      </c>
      <c r="DU111" s="5">
        <f t="array" ref="DU111">_xlfn.IFS(
  DV111="Upgraded to Clear", "Clear",
  DV111="Downgraded to Watchlist", "Watchlist",
  DV111="Downgraded to Exclusion", "Exclusion Risk",
  DB111="Yes — Automatic", "Exclusion Risk",
  OR(AW111="Confirmed Violation", AX111="Confirmed Breach"), "Exclusion Risk",
  OR(V111=0, ISBLANK(V111), DN111&lt;20), "Insufficient Evidence",
  AND(DT111&gt;=65, DA111="No", DB111="No"), "Clear",
  OR(DT111&gt;=40, DA111="Yes"), "Watchlist",
  TRUE, "Exclusion Risk"
)</f>
        <v/>
      </c>
      <c r="DV111" s="5" t="n"/>
      <c r="DW111" s="5">
        <f t="array" ref="DW111">_xlfn.IFS(
  DU111="Exclusion Risk", "Exclude — Hard Trigger",
  DU111="Insufficient Evidence", "Watchlist — Further Evidence Needed",
  DU111="Watchlist", "Watchlist — Further Evidence Needed",
  AND(DU111="Clear", DT111&gt;=80), "Include — No Conditions",
  DU111="Clear", "Include — Monitor",
  TRUE, "Watchlist — Further Evidence Needed"
)</f>
        <v/>
      </c>
      <c r="DX111" s="5" t="n"/>
      <c r="DY111" s="5" t="n"/>
      <c r="DZ111" s="5" t="n"/>
      <c r="EA111" s="5" t="n"/>
      <c r="EB111" s="5">
        <f>IF(OR(V111=0, ISBLANK(V111)), "MISSING — No sources reviewed", "")</f>
        <v/>
      </c>
      <c r="EC111" s="5">
        <f>IF(AND(NOT(ISBLANK(DC111)), ISBLANK(DE111)), "PAGE REF MISSING", "")</f>
        <v/>
      </c>
    </row>
    <row r="112" ht="18" customHeight="1" s="60">
      <c r="A112" s="5" t="inlineStr">
        <is>
          <t>Glencore PLC</t>
        </is>
      </c>
      <c r="B112" s="5" t="inlineStr">
        <is>
          <t>8GC</t>
        </is>
      </c>
      <c r="C112" s="5">
        <f>IF(ISBLANK('Universe Tracker'!D87),"",'Universe Tracker'!D87)</f>
        <v/>
      </c>
      <c r="D112" s="5" t="n"/>
      <c r="E112" s="5" t="n"/>
      <c r="F112" s="5">
        <f>IF(ISBLANK('Universe Tracker'!F87),"",'Universe Tracker'!F87)</f>
        <v/>
      </c>
      <c r="G112" s="5">
        <f>IF(ISBLANK('Universe Tracker'!G87),"",'Universe Tracker'!G87)</f>
        <v/>
      </c>
      <c r="H112" s="5" t="n"/>
      <c r="I112" s="5" t="n"/>
      <c r="J112" s="5">
        <f>IF(ISBLANK(B112),"",B112&amp;"_"&amp;C112)</f>
        <v/>
      </c>
      <c r="K112" s="5" t="n"/>
      <c r="L112" s="5" t="n"/>
      <c r="M112" s="5" t="n"/>
      <c r="N112" s="5" t="n"/>
      <c r="O112" s="5" t="n"/>
      <c r="P112" s="5" t="n"/>
      <c r="Q112" s="5" t="n"/>
      <c r="R112" s="5" t="n"/>
      <c r="S112" s="5" t="n"/>
      <c r="T112" s="5" t="n"/>
      <c r="U112" s="5" t="n"/>
      <c r="V112" s="5" t="n"/>
      <c r="W112" s="5" t="n"/>
      <c r="X112" s="5" t="n"/>
      <c r="Y112" s="5">
        <f>IF(AND(V112&gt;=2,K112="Yes",L112="Yes"),"Sufficient",IF(AND(V112&gt;=1,OR(K112="Yes",L112="Yes")),"Thin","Insufficient"))</f>
        <v/>
      </c>
      <c r="Z112" s="5" t="n"/>
      <c r="AA112" s="5" t="n"/>
      <c r="AB112" s="5" t="n"/>
      <c r="AC112" s="5" t="n"/>
      <c r="AD112" s="5" t="n"/>
      <c r="AE112" s="5" t="n"/>
      <c r="AF112" s="5" t="n"/>
      <c r="AG112" s="5" t="n"/>
      <c r="AH112" s="5" t="n"/>
      <c r="AI112" s="5" t="n"/>
      <c r="AJ112" s="5" t="n"/>
      <c r="AK112" s="5" t="n"/>
      <c r="AL112" s="5" t="n"/>
      <c r="AM112" s="5" t="n"/>
      <c r="AN112" s="5" t="n"/>
      <c r="AO112" s="5" t="n"/>
      <c r="AP112" s="5" t="n"/>
      <c r="AQ112" s="5" t="n"/>
      <c r="AR112" s="40">
        <f t="array" ref="AR112">MIN(100, MAX(0,
  IFERROR(_xlfn.XLOOKUP(AJ112,'Lookup Tables'!$A$2:$A$7,'Lookup Tables'!$B$2:$B$7,0),0)
  + IF(Z112="Yes", IF(IFERROR(_xlfn.XLOOKUP(AJ112,'Lookup Tables'!$A$2:$A$7,'Lookup Tables'!$B$2:$B$7,0),0)&lt;20, 5, 0), 0)
  + _xlfn.IFS(AB112="Yes", IF(ISNUMBER(AC112)*AND(AC112&lt;=2030),15,10), AB112="Long-term Only", 5, AB112="No", 0, TRUE, 0)
  + _xlfn.IFS(AF112="Full",10, AF112="Partial",5, AF112="Scope 2 Only",3, TRUE,0)
  + _xlfn.IFS(AG112="Yes", IF(ISNUMBER(AH112)*AND(AH112&gt;=5),10,6), AG112="Partial",4, TRUE,0)
  + _xlfn.IFS(AI112="Yes",5, AI112="Partial (material categories only)",3, TRUE,0)
  + _xlfn.IFS(AL112="Yes — Detailed",10, AL112="Yes — High Level",5, TRUE,0)
  + _xlfn.IFS(AM112="Yes — Quantified",15, AM112="Yes — Directional Only",7, TRUE,0)
  + _xlfn.IFS(AP112="Formal",5, AP112="Referenced",2, TRUE,0)
  + _xlfn.IFS(AQ112="No Issues Found",5, AQ112="Concern Identified",-5, AQ112="Severe Contradiction",-15, TRUE,0)
  + _xlfn.IFS(BC112="Reasonable Assurance",5, BC112="Limited Assurance",3, TRUE,0)
  - IF(AND(Z112="Yes", AI112="No"), 10, 0)
  - IF(AND(Z112="Yes", AM112="No"), 10, 0)
))</f>
        <v/>
      </c>
      <c r="AS112" s="5" t="n"/>
      <c r="AT112" s="5" t="n"/>
      <c r="AU112" s="5" t="n"/>
      <c r="AV112" s="5" t="n"/>
      <c r="AW112" s="5" t="n"/>
      <c r="AX112" s="5" t="n"/>
      <c r="AY112" s="5" t="n"/>
      <c r="AZ112" s="5" t="n"/>
      <c r="BA112" s="5" t="n"/>
      <c r="BB112" s="5" t="n"/>
      <c r="BC112" s="5" t="n"/>
      <c r="BD112" s="5" t="n"/>
      <c r="BE112" s="39">
        <f t="array" ref="BE112">MIN(100, MAX(0,
  IFERROR(_xlfn.XLOOKUP(AT112,'Lookup Tables'!$D$2:$D$6,'Lookup Tables'!$E$2:$E$6,0),0)
  + IFERROR(_xlfn.XLOOKUP(AV112,'Lookup Tables'!$G$2:$G$5,'Lookup Tables'!$H$2:$H$5,0),0)
  + IFERROR(_xlfn.XLOOKUP(AW112,'Lookup Tables'!$J$2:$J$5,'Lookup Tables'!$K$2:$K$5,0),0)
  + _xlfn.IFS(AX112="No Issues",10, AX112="Complaint Filed",3, AX112="Confirmed Breach",-15, TRUE,0)
  + IFERROR(_xlfn.XLOOKUP(AY112,'Lookup Tables'!$M$2:$M$6,'Lookup Tables'!$N$2:$N$6,0),0)
  + IFERROR(_xlfn.XLOOKUP(AZ112,'Lookup Tables'!$P$2:$P$6,'Lookup Tables'!$Q$2:$Q$6,0),0)
  + _xlfn.IFS(BA112="Formal Board Committee",5, BA112="Board Oversight Mentioned",2, TRUE,0)
  + _xlfn.IFS(BB112="Yes — Quantified Targets",5, BB112="Yes — Discretionary Only",2, TRUE,0)
  + _xlfn.IFS(BC112="Reasonable Assurance",5, BC112="Limited Assurance",3, BC112="Management Review Only",1, TRUE,0)
))</f>
        <v/>
      </c>
      <c r="BF112" s="5" t="n"/>
      <c r="BG112" s="5" t="n"/>
      <c r="BH112" s="5" t="n"/>
      <c r="BI112" s="5" t="n"/>
      <c r="BJ112" s="5" t="n"/>
      <c r="BK112" s="5" t="n"/>
      <c r="BL112" s="5" t="n"/>
      <c r="BM112" s="5" t="n"/>
      <c r="BN112" s="5" t="n"/>
      <c r="BO112" s="5" t="n"/>
      <c r="BP112" s="5" t="n"/>
      <c r="BQ112" s="5" t="n"/>
      <c r="BR112" s="5" t="n"/>
      <c r="BS112" s="41">
        <f t="array" ref="BS112">MIN(100, MAX(0,
  IFERROR(_xlfn.XLOOKUP(BG112,'Lookup Tables'!$A$11:$A$16,'Lookup Tables'!$B$11:$B$16,0),0)
  + IFERROR(_xlfn.XLOOKUP(BR112,'Lookup Tables'!$M$11:$M$14,'Lookup Tables'!$N$11:$N$14,0),0)
  + IFERROR(_xlfn.XLOOKUP(BQ112,'Lookup Tables'!$J$11:$J$15,'Lookup Tables'!$K$11:$K$15,0),0)
  + IFERROR(_xlfn.XLOOKUP(BH112,'Lookup Tables'!$D$11:$D$15,'Lookup Tables'!$E$11:$E$15,0),0)
  + IFERROR(_xlfn.XLOOKUP(BJ112,'Lookup Tables'!$G$11:$G$16,'Lookup Tables'!$H$11:$H$16,0),0)
  + IFERROR(_xlfn.XLOOKUP(BN112,'Lookup Tables'!$P$11:$P$15,'Lookup Tables'!$Q$11:$Q$15,0),0)
  + _xlfn.IFS(BM112="No Evidence",10, BM112="Unknown",3, BM112="Likely",0, BM112="Confirmed",-10, TRUE,3)
  + IFERROR(_xlfn.XLOOKUP(BP112,'Lookup Tables'!$J$21:$J$24,'Lookup Tables'!$K$21:$K$24,0),0)
))</f>
        <v/>
      </c>
      <c r="BT112" s="5" t="n"/>
      <c r="BU112" s="5" t="n"/>
      <c r="BV112" s="5" t="n"/>
      <c r="BW112" s="5" t="n"/>
      <c r="BX112" s="5" t="n"/>
      <c r="BY112" s="5" t="n"/>
      <c r="BZ112" s="5" t="n"/>
      <c r="CA112" s="5" t="n"/>
      <c r="CB112" s="5" t="n"/>
      <c r="CC112" s="5" t="n"/>
      <c r="CD112" s="5" t="n"/>
      <c r="CE112" s="43">
        <f t="array" ref="CE112">MIN(100, MAX(0,
  IF(ISNUMBER(BV112)*AND(BV112&gt;0), 10, 0)
  + _xlfn.IFS(BY112="Independently Verified",25, BY112="Yes",15, TRUE,0)
  + IFERROR(_xlfn.XLOOKUP(BZ112,'Lookup Tables'!$A$21:$A$24,'Lookup Tables'!$B$21:$B$24,0),0)
  + IFERROR(_xlfn.XLOOKUP(CA112,'Lookup Tables'!$D$21:$D$24,'Lookup Tables'!$E$21:$E$24,0),0)
  + _xlfn.IFS(ISNUMBER(CB112)*AND(CB112&gt;=11),15, ISNUMBER(CB112)*AND(CB112&gt;=6),10, ISNUMBER(CB112)*AND(CB112&gt;=1),5, TRUE,0)
  + IFERROR(_xlfn.XLOOKUP(CC112,'Lookup Tables'!$G$21:$G$25,'Lookup Tables'!$H$21:$H$25,0),0)
  - IF(ISNUMBER(BW112)*AND(ISNUMBER(BV112))*AND(BW112&gt;BV112), 20, 0)
  - IF(AND(BY112="Yes", ISNUMBER(BW112), BW112&gt;60), 10, 0)
))</f>
        <v/>
      </c>
      <c r="CF112" s="5" t="n"/>
      <c r="CG112" s="5" t="n"/>
      <c r="CH112" s="5" t="n"/>
      <c r="CI112" s="5" t="n"/>
      <c r="CJ112" s="5" t="n"/>
      <c r="CK112" s="5" t="n"/>
      <c r="CL112" s="5" t="n"/>
      <c r="CM112" s="5" t="n"/>
      <c r="CN112" s="5" t="n"/>
      <c r="CO112" s="5" t="n"/>
      <c r="CP112" s="5" t="n"/>
      <c r="CQ112" s="5" t="n"/>
      <c r="CR112" s="5">
        <f>COUNTIF(CJ112:CQ112,"FAIL")</f>
        <v/>
      </c>
      <c r="CS112" s="5">
        <f>COUNTIF(CJ112:CQ112,"PARTIAL")</f>
        <v/>
      </c>
      <c r="CT112" s="5">
        <f>COUNTIF(CJ112:CQ112,"MISSING")</f>
        <v/>
      </c>
      <c r="CU112" s="5">
        <f>MIN(100,
  CR112*15
  + CS112*6
  + CT112*3
  + IFERROR(_xlfn.XLOOKUP(CW112,'Lookup Tables'!$M$21:$M$25,'Lookup Tables'!$N$21:$N$25,0),0)
)</f>
        <v/>
      </c>
      <c r="CV112" s="5">
        <f>IFERROR(
CHOOSE(
MATCH("FAIL",CJ112:CQ112,0),
"1-Specificity","2-Metric","3-Baseline","4-Target",
"5-Time Horizon","6-Scope","7-Verification","8-Consistency"
),
IFERROR(
CHOOSE(
MATCH("PARTIAL",CJ112:CQ112,0),
"1-Specificity","2-Metric","3-Baseline","4-Target",
"5-Time Horizon","6-Scope","7-Verification","8-Consistency"
),
"No failures"
)
)</f>
        <v/>
      </c>
      <c r="CW112" s="5" t="n"/>
      <c r="CX112" s="5" t="n"/>
      <c r="CY112" s="5" t="n"/>
      <c r="CZ112" s="5" t="n"/>
      <c r="DA112" s="5">
        <f>IF(OR(CU112&gt;=50,CW112="Material",CW112="Severe",AS112="Material",AS112="Severe",BF112="Material",BF112="Severe — Exclusion Trigger",AND(ISNUMBER(BS112),BS112&lt;30)),"Yes","No")</f>
        <v/>
      </c>
      <c r="DB112" s="5">
        <f>IF(OR(CR112&gt;=6,AW112="Confirmed Violation",AX112="Confirmed Breach"),"Yes — Automatic",IF(CW112="Severe","Yes — Requires Captain Confirmation","No"))</f>
        <v/>
      </c>
      <c r="DC112" s="5" t="n"/>
      <c r="DD112" s="5" t="n"/>
      <c r="DE112" s="5" t="n"/>
      <c r="DF112" s="5" t="n"/>
      <c r="DG112" s="5" t="n"/>
      <c r="DH112" s="5" t="n"/>
      <c r="DI112" s="5" t="n"/>
      <c r="DJ112" s="5" t="n"/>
      <c r="DK112" s="5" t="n"/>
      <c r="DL112" s="5">
        <f>IF(OR(IFERROR(VALUE(LEFT(DF112,1)),99)&lt;=2,IFERROR(VALUE(LEFT(DG112,1)),99)&lt;=2),"Flagged","Clear")</f>
        <v/>
      </c>
      <c r="DM112" s="5">
        <f>IF(OR(DA112="Yes",DB112&lt;&gt;"No",DH112="Unverified",DL112="Flagged"),"Yes","No")</f>
        <v/>
      </c>
      <c r="DN112" s="5">
        <f t="array" ref="DN112">MIN(100,
  IF(ISNUMBER(V112), _xlfn.IFS(V112&gt;=3,25, V112=2,15, V112=1,5, TRUE,0), 0)
  + IFERROR(_xlfn.IFS(VALUE(LEFT(DF112,1))=5,25, VALUE(LEFT(DF112,1))=4,20, VALUE(LEFT(DF112,1))=3,15, VALUE(LEFT(DF112,1))=2,8, TRUE,0), 15)
  + IFERROR(_xlfn.IFS(VALUE(LEFT(DG112,1))=5,25, VALUE(LEFT(DG112,1))=4,20, VALUE(LEFT(DG112,1))=3,15, VALUE(LEFT(DG112,1))=2,8, TRUE,0), 15)
  + _xlfn.IFS(DH112="Fully Verified",25, DH112="Partially Verified",12, TRUE,0)
)</f>
        <v/>
      </c>
      <c r="DO112" s="5">
        <f t="array" ref="DO112">_xlfn.IFS(
  ISBLANK(AR112), "Insufficient Evidence",
  AND(AR112&gt;=65, AJ112="Approved"), "Strong",
  AR112&gt;=65, "Adequate",
  AR112&gt;=40, "Adequate",
  AR112&gt;=20, "Weak",
  TRUE, "Insufficient Evidence"
)</f>
        <v/>
      </c>
      <c r="DP112" s="5">
        <f t="array" ref="DP112">_xlfn.IFS(
  ISBLANK(BS112), "Insufficient Evidence",
  BS112&gt;=65, "Strong",
  BS112&gt;=40, "Adequate",
  BS112&gt;=20, "Weak",
  TRUE, "Insufficient Evidence"
)</f>
        <v/>
      </c>
      <c r="DQ112" s="5">
        <f t="array" ref="DQ112">_xlfn.IFS(
  ISBLANK(BE112), "Insufficient Evidence",
  OR(AW112="Confirmed Violation", AX112="Confirmed Breach"), "Severe — Hard Trigger",
  BE112&gt;=65, "Strong",
  BE112&gt;=40, "Adequate",
  BE112&gt;=20, "Weak",
  TRUE, "Insufficient Evidence"
)</f>
        <v/>
      </c>
      <c r="DR112" s="5">
        <f t="array" ref="DR112">_xlfn.IFS(
  ISBLANK(CU112), "Insufficient Evidence",
  CU112&lt;=20, "Low Risk",
  CU112&lt;=50, "Moderate Risk",
  CU112&lt;=75, "High Risk",
  TRUE, "Very High Risk"
)</f>
        <v/>
      </c>
      <c r="DS112" s="5">
        <f t="array" ref="DS112">_xlfn.IFS(
  ISBLANK(CE112), "Insufficient Evidence",
  AND(ISNUMBER(BW112),ISNUMBER(BV112),BW112&gt;BV112), "Overclaiming Risk",
  CE112&gt;=65, "Strong",
  CE112&gt;=40, "Adequate",
  TRUE, "Weak"
)</f>
        <v/>
      </c>
      <c r="DT112" s="5">
        <f>IF(DB112="Yes — Automatic",0,ROUND((IF(ISNUMBER(AR112),AR112,0)*0.3+IF(ISNUMBER(BS112),BS112,0)*0.2+IF(ISNUMBER(BE112),BE112,0)*0.2+IF(ISNUMBER(CE112),CE112,0)*0.15+(100-IF(ISNUMBER(CU112),CU112,50))*0.15)*IF(DN112&gt;=75,1,IF(DN112&gt;=50,0.9,IF(DN112&gt;=25,0.75,0.6))),1))</f>
        <v/>
      </c>
      <c r="DU112" s="5">
        <f t="array" ref="DU112">_xlfn.IFS(
  DV112="Upgraded to Clear", "Clear",
  DV112="Downgraded to Watchlist", "Watchlist",
  DV112="Downgraded to Exclusion", "Exclusion Risk",
  DB112="Yes — Automatic", "Exclusion Risk",
  OR(AW112="Confirmed Violation", AX112="Confirmed Breach"), "Exclusion Risk",
  OR(V112=0, ISBLANK(V112), DN112&lt;20), "Insufficient Evidence",
  AND(DT112&gt;=65, DA112="No", DB112="No"), "Clear",
  OR(DT112&gt;=40, DA112="Yes"), "Watchlist",
  TRUE, "Exclusion Risk"
)</f>
        <v/>
      </c>
      <c r="DV112" s="5" t="n"/>
      <c r="DW112" s="5">
        <f t="array" ref="DW112">_xlfn.IFS(
  DU112="Exclusion Risk", "Exclude — Hard Trigger",
  DU112="Insufficient Evidence", "Watchlist — Further Evidence Needed",
  DU112="Watchlist", "Watchlist — Further Evidence Needed",
  AND(DU112="Clear", DT112&gt;=80), "Include — No Conditions",
  DU112="Clear", "Include — Monitor",
  TRUE, "Watchlist — Further Evidence Needed"
)</f>
        <v/>
      </c>
      <c r="DX112" s="5" t="n"/>
      <c r="DY112" s="5" t="n"/>
      <c r="DZ112" s="5" t="n"/>
      <c r="EA112" s="5" t="n"/>
      <c r="EB112" s="5">
        <f>IF(OR(V112=0, ISBLANK(V112)), "MISSING — No sources reviewed", "")</f>
        <v/>
      </c>
      <c r="EC112" s="5">
        <f>IF(AND(NOT(ISBLANK(DC112)), ISBLANK(DE112)), "PAGE REF MISSING", "")</f>
        <v/>
      </c>
    </row>
    <row r="113" ht="18" customHeight="1" s="60">
      <c r="A113" s="5" t="inlineStr">
        <is>
          <t>Erste Group Bank AG</t>
        </is>
      </c>
      <c r="B113" s="5" t="inlineStr">
        <is>
          <t>EBO</t>
        </is>
      </c>
      <c r="C113" s="5">
        <f>IF(ISBLANK('Universe Tracker'!D88),"",'Universe Tracker'!D88)</f>
        <v/>
      </c>
      <c r="D113" s="5" t="n"/>
      <c r="E113" s="5" t="n"/>
      <c r="F113" s="5">
        <f>IF(ISBLANK('Universe Tracker'!F88),"",'Universe Tracker'!F88)</f>
        <v/>
      </c>
      <c r="G113" s="5">
        <f>IF(ISBLANK('Universe Tracker'!G88),"",'Universe Tracker'!G88)</f>
        <v/>
      </c>
      <c r="H113" s="5" t="n"/>
      <c r="I113" s="5" t="n"/>
      <c r="J113" s="5">
        <f>IF(ISBLANK(B113),"",B113&amp;"_"&amp;C113)</f>
        <v/>
      </c>
      <c r="K113" s="5" t="n"/>
      <c r="L113" s="5" t="n"/>
      <c r="M113" s="5" t="n"/>
      <c r="N113" s="5" t="n"/>
      <c r="O113" s="5" t="n"/>
      <c r="P113" s="5" t="n"/>
      <c r="Q113" s="5" t="n"/>
      <c r="R113" s="5" t="n"/>
      <c r="S113" s="5" t="n"/>
      <c r="T113" s="5" t="n"/>
      <c r="U113" s="5" t="n"/>
      <c r="V113" s="5" t="n"/>
      <c r="W113" s="5" t="n"/>
      <c r="X113" s="5" t="n"/>
      <c r="Y113" s="5">
        <f>IF(AND(V113&gt;=2,K113="Yes",L113="Yes"),"Sufficient",IF(AND(V113&gt;=1,OR(K113="Yes",L113="Yes")),"Thin","Insufficient"))</f>
        <v/>
      </c>
      <c r="Z113" s="5" t="n"/>
      <c r="AA113" s="5" t="n"/>
      <c r="AB113" s="5" t="n"/>
      <c r="AC113" s="5" t="n"/>
      <c r="AD113" s="5" t="n"/>
      <c r="AE113" s="5" t="n"/>
      <c r="AF113" s="5" t="n"/>
      <c r="AG113" s="5" t="n"/>
      <c r="AH113" s="5" t="n"/>
      <c r="AI113" s="5" t="n"/>
      <c r="AJ113" s="5" t="n"/>
      <c r="AK113" s="5" t="n"/>
      <c r="AL113" s="5" t="n"/>
      <c r="AM113" s="5" t="n"/>
      <c r="AN113" s="5" t="n"/>
      <c r="AO113" s="5" t="n"/>
      <c r="AP113" s="5" t="n"/>
      <c r="AQ113" s="5" t="n"/>
      <c r="AR113" s="40">
        <f t="array" ref="AR113">MIN(100, MAX(0,
  IFERROR(_xlfn.XLOOKUP(AJ113,'Lookup Tables'!$A$2:$A$7,'Lookup Tables'!$B$2:$B$7,0),0)
  + IF(Z113="Yes", IF(IFERROR(_xlfn.XLOOKUP(AJ113,'Lookup Tables'!$A$2:$A$7,'Lookup Tables'!$B$2:$B$7,0),0)&lt;20, 5, 0), 0)
  + _xlfn.IFS(AB113="Yes", IF(ISNUMBER(AC113)*AND(AC113&lt;=2030),15,10), AB113="Long-term Only", 5, AB113="No", 0, TRUE, 0)
  + _xlfn.IFS(AF113="Full",10, AF113="Partial",5, AF113="Scope 2 Only",3, TRUE,0)
  + _xlfn.IFS(AG113="Yes", IF(ISNUMBER(AH113)*AND(AH113&gt;=5),10,6), AG113="Partial",4, TRUE,0)
  + _xlfn.IFS(AI113="Yes",5, AI113="Partial (material categories only)",3, TRUE,0)
  + _xlfn.IFS(AL113="Yes — Detailed",10, AL113="Yes — High Level",5, TRUE,0)
  + _xlfn.IFS(AM113="Yes — Quantified",15, AM113="Yes — Directional Only",7, TRUE,0)
  + _xlfn.IFS(AP113="Formal",5, AP113="Referenced",2, TRUE,0)
  + _xlfn.IFS(AQ113="No Issues Found",5, AQ113="Concern Identified",-5, AQ113="Severe Contradiction",-15, TRUE,0)
  + _xlfn.IFS(BC113="Reasonable Assurance",5, BC113="Limited Assurance",3, TRUE,0)
  - IF(AND(Z113="Yes", AI113="No"), 10, 0)
  - IF(AND(Z113="Yes", AM113="No"), 10, 0)
))</f>
        <v/>
      </c>
      <c r="AS113" s="5" t="n"/>
      <c r="AT113" s="5" t="n"/>
      <c r="AU113" s="5" t="n"/>
      <c r="AV113" s="5" t="n"/>
      <c r="AW113" s="5" t="n"/>
      <c r="AX113" s="5" t="n"/>
      <c r="AY113" s="5" t="n"/>
      <c r="AZ113" s="5" t="n"/>
      <c r="BA113" s="5" t="n"/>
      <c r="BB113" s="5" t="n"/>
      <c r="BC113" s="5" t="n"/>
      <c r="BD113" s="5" t="n"/>
      <c r="BE113" s="39">
        <f t="array" ref="BE113">MIN(100, MAX(0,
  IFERROR(_xlfn.XLOOKUP(AT113,'Lookup Tables'!$D$2:$D$6,'Lookup Tables'!$E$2:$E$6,0),0)
  + IFERROR(_xlfn.XLOOKUP(AV113,'Lookup Tables'!$G$2:$G$5,'Lookup Tables'!$H$2:$H$5,0),0)
  + IFERROR(_xlfn.XLOOKUP(AW113,'Lookup Tables'!$J$2:$J$5,'Lookup Tables'!$K$2:$K$5,0),0)
  + _xlfn.IFS(AX113="No Issues",10, AX113="Complaint Filed",3, AX113="Confirmed Breach",-15, TRUE,0)
  + IFERROR(_xlfn.XLOOKUP(AY113,'Lookup Tables'!$M$2:$M$6,'Lookup Tables'!$N$2:$N$6,0),0)
  + IFERROR(_xlfn.XLOOKUP(AZ113,'Lookup Tables'!$P$2:$P$6,'Lookup Tables'!$Q$2:$Q$6,0),0)
  + _xlfn.IFS(BA113="Formal Board Committee",5, BA113="Board Oversight Mentioned",2, TRUE,0)
  + _xlfn.IFS(BB113="Yes — Quantified Targets",5, BB113="Yes — Discretionary Only",2, TRUE,0)
  + _xlfn.IFS(BC113="Reasonable Assurance",5, BC113="Limited Assurance",3, BC113="Management Review Only",1, TRUE,0)
))</f>
        <v/>
      </c>
      <c r="BF113" s="5" t="n"/>
      <c r="BG113" s="5" t="n"/>
      <c r="BH113" s="5" t="n"/>
      <c r="BI113" s="5" t="n"/>
      <c r="BJ113" s="5" t="n"/>
      <c r="BK113" s="5" t="n"/>
      <c r="BL113" s="5" t="n"/>
      <c r="BM113" s="5" t="n"/>
      <c r="BN113" s="5" t="n"/>
      <c r="BO113" s="5" t="n"/>
      <c r="BP113" s="5" t="n"/>
      <c r="BQ113" s="5" t="n"/>
      <c r="BR113" s="5" t="n"/>
      <c r="BS113" s="41">
        <f t="array" ref="BS113">MIN(100, MAX(0,
  IFERROR(_xlfn.XLOOKUP(BG113,'Lookup Tables'!$A$11:$A$16,'Lookup Tables'!$B$11:$B$16,0),0)
  + IFERROR(_xlfn.XLOOKUP(BR113,'Lookup Tables'!$M$11:$M$14,'Lookup Tables'!$N$11:$N$14,0),0)
  + IFERROR(_xlfn.XLOOKUP(BQ113,'Lookup Tables'!$J$11:$J$15,'Lookup Tables'!$K$11:$K$15,0),0)
  + IFERROR(_xlfn.XLOOKUP(BH113,'Lookup Tables'!$D$11:$D$15,'Lookup Tables'!$E$11:$E$15,0),0)
  + IFERROR(_xlfn.XLOOKUP(BJ113,'Lookup Tables'!$G$11:$G$16,'Lookup Tables'!$H$11:$H$16,0),0)
  + IFERROR(_xlfn.XLOOKUP(BN113,'Lookup Tables'!$P$11:$P$15,'Lookup Tables'!$Q$11:$Q$15,0),0)
  + _xlfn.IFS(BM113="No Evidence",10, BM113="Unknown",3, BM113="Likely",0, BM113="Confirmed",-10, TRUE,3)
  + IFERROR(_xlfn.XLOOKUP(BP113,'Lookup Tables'!$J$21:$J$24,'Lookup Tables'!$K$21:$K$24,0),0)
))</f>
        <v/>
      </c>
      <c r="BT113" s="5" t="n"/>
      <c r="BU113" s="5" t="n"/>
      <c r="BV113" s="5" t="n"/>
      <c r="BW113" s="5" t="n"/>
      <c r="BX113" s="5" t="n"/>
      <c r="BY113" s="5" t="n"/>
      <c r="BZ113" s="5" t="n"/>
      <c r="CA113" s="5" t="n"/>
      <c r="CB113" s="5" t="n"/>
      <c r="CC113" s="5" t="n"/>
      <c r="CD113" s="5" t="n"/>
      <c r="CE113" s="43">
        <f t="array" ref="CE113">MIN(100, MAX(0,
  IF(ISNUMBER(BV113)*AND(BV113&gt;0), 10, 0)
  + _xlfn.IFS(BY113="Independently Verified",25, BY113="Yes",15, TRUE,0)
  + IFERROR(_xlfn.XLOOKUP(BZ113,'Lookup Tables'!$A$21:$A$24,'Lookup Tables'!$B$21:$B$24,0),0)
  + IFERROR(_xlfn.XLOOKUP(CA113,'Lookup Tables'!$D$21:$D$24,'Lookup Tables'!$E$21:$E$24,0),0)
  + _xlfn.IFS(ISNUMBER(CB113)*AND(CB113&gt;=11),15, ISNUMBER(CB113)*AND(CB113&gt;=6),10, ISNUMBER(CB113)*AND(CB113&gt;=1),5, TRUE,0)
  + IFERROR(_xlfn.XLOOKUP(CC113,'Lookup Tables'!$G$21:$G$25,'Lookup Tables'!$H$21:$H$25,0),0)
  - IF(ISNUMBER(BW113)*AND(ISNUMBER(BV113))*AND(BW113&gt;BV113), 20, 0)
  - IF(AND(BY113="Yes", ISNUMBER(BW113), BW113&gt;60), 10, 0)
))</f>
        <v/>
      </c>
      <c r="CF113" s="5" t="n"/>
      <c r="CG113" s="5" t="n"/>
      <c r="CH113" s="5" t="n"/>
      <c r="CI113" s="5" t="n"/>
      <c r="CJ113" s="5" t="n"/>
      <c r="CK113" s="5" t="n"/>
      <c r="CL113" s="5" t="n"/>
      <c r="CM113" s="5" t="n"/>
      <c r="CN113" s="5" t="n"/>
      <c r="CO113" s="5" t="n"/>
      <c r="CP113" s="5" t="n"/>
      <c r="CQ113" s="5" t="n"/>
      <c r="CR113" s="5">
        <f>COUNTIF(CJ113:CQ113,"FAIL")</f>
        <v/>
      </c>
      <c r="CS113" s="5">
        <f>COUNTIF(CJ113:CQ113,"PARTIAL")</f>
        <v/>
      </c>
      <c r="CT113" s="5">
        <f>COUNTIF(CJ113:CQ113,"MISSING")</f>
        <v/>
      </c>
      <c r="CU113" s="5">
        <f>MIN(100,
  CR113*15
  + CS113*6
  + CT113*3
  + IFERROR(_xlfn.XLOOKUP(CW113,'Lookup Tables'!$M$21:$M$25,'Lookup Tables'!$N$21:$N$25,0),0)
)</f>
        <v/>
      </c>
      <c r="CV113" s="5">
        <f>IFERROR(
CHOOSE(
MATCH("FAIL",CJ113:CQ113,0),
"1-Specificity","2-Metric","3-Baseline","4-Target",
"5-Time Horizon","6-Scope","7-Verification","8-Consistency"
),
IFERROR(
CHOOSE(
MATCH("PARTIAL",CJ113:CQ113,0),
"1-Specificity","2-Metric","3-Baseline","4-Target",
"5-Time Horizon","6-Scope","7-Verification","8-Consistency"
),
"No failures"
)
)</f>
        <v/>
      </c>
      <c r="CW113" s="5" t="n"/>
      <c r="CX113" s="5" t="n"/>
      <c r="CY113" s="5" t="n"/>
      <c r="CZ113" s="5" t="n"/>
      <c r="DA113" s="5">
        <f>IF(OR(CU113&gt;=50,CW113="Material",CW113="Severe",AS113="Material",AS113="Severe",BF113="Material",BF113="Severe — Exclusion Trigger",AND(ISNUMBER(BS113),BS113&lt;30)),"Yes","No")</f>
        <v/>
      </c>
      <c r="DB113" s="5">
        <f>IF(OR(CR113&gt;=6,AW113="Confirmed Violation",AX113="Confirmed Breach"),"Yes — Automatic",IF(CW113="Severe","Yes — Requires Captain Confirmation","No"))</f>
        <v/>
      </c>
      <c r="DC113" s="5" t="n"/>
      <c r="DD113" s="5" t="n"/>
      <c r="DE113" s="5" t="n"/>
      <c r="DF113" s="5" t="n"/>
      <c r="DG113" s="5" t="n"/>
      <c r="DH113" s="5" t="n"/>
      <c r="DI113" s="5" t="n"/>
      <c r="DJ113" s="5" t="n"/>
      <c r="DK113" s="5" t="n"/>
      <c r="DL113" s="5">
        <f>IF(OR(IFERROR(VALUE(LEFT(DF113,1)),99)&lt;=2,IFERROR(VALUE(LEFT(DG113,1)),99)&lt;=2),"Flagged","Clear")</f>
        <v/>
      </c>
      <c r="DM113" s="5">
        <f>IF(OR(DA113="Yes",DB113&lt;&gt;"No",DH113="Unverified",DL113="Flagged"),"Yes","No")</f>
        <v/>
      </c>
      <c r="DN113" s="5">
        <f t="array" ref="DN113">MIN(100,
  IF(ISNUMBER(V113), _xlfn.IFS(V113&gt;=3,25, V113=2,15, V113=1,5, TRUE,0), 0)
  + IFERROR(_xlfn.IFS(VALUE(LEFT(DF113,1))=5,25, VALUE(LEFT(DF113,1))=4,20, VALUE(LEFT(DF113,1))=3,15, VALUE(LEFT(DF113,1))=2,8, TRUE,0), 15)
  + IFERROR(_xlfn.IFS(VALUE(LEFT(DG113,1))=5,25, VALUE(LEFT(DG113,1))=4,20, VALUE(LEFT(DG113,1))=3,15, VALUE(LEFT(DG113,1))=2,8, TRUE,0), 15)
  + _xlfn.IFS(DH113="Fully Verified",25, DH113="Partially Verified",12, TRUE,0)
)</f>
        <v/>
      </c>
      <c r="DO113" s="5">
        <f t="array" ref="DO113">_xlfn.IFS(
  ISBLANK(AR113), "Insufficient Evidence",
  AND(AR113&gt;=65, AJ113="Approved"), "Strong",
  AR113&gt;=65, "Adequate",
  AR113&gt;=40, "Adequate",
  AR113&gt;=20, "Weak",
  TRUE, "Insufficient Evidence"
)</f>
        <v/>
      </c>
      <c r="DP113" s="5">
        <f t="array" ref="DP113">_xlfn.IFS(
  ISBLANK(BS113), "Insufficient Evidence",
  BS113&gt;=65, "Strong",
  BS113&gt;=40, "Adequate",
  BS113&gt;=20, "Weak",
  TRUE, "Insufficient Evidence"
)</f>
        <v/>
      </c>
      <c r="DQ113" s="5">
        <f t="array" ref="DQ113">_xlfn.IFS(
  ISBLANK(BE113), "Insufficient Evidence",
  OR(AW113="Confirmed Violation", AX113="Confirmed Breach"), "Severe — Hard Trigger",
  BE113&gt;=65, "Strong",
  BE113&gt;=40, "Adequate",
  BE113&gt;=20, "Weak",
  TRUE, "Insufficient Evidence"
)</f>
        <v/>
      </c>
      <c r="DR113" s="5">
        <f t="array" ref="DR113">_xlfn.IFS(
  ISBLANK(CU113), "Insufficient Evidence",
  CU113&lt;=20, "Low Risk",
  CU113&lt;=50, "Moderate Risk",
  CU113&lt;=75, "High Risk",
  TRUE, "Very High Risk"
)</f>
        <v/>
      </c>
      <c r="DS113" s="5">
        <f t="array" ref="DS113">_xlfn.IFS(
  ISBLANK(CE113), "Insufficient Evidence",
  AND(ISNUMBER(BW113),ISNUMBER(BV113),BW113&gt;BV113), "Overclaiming Risk",
  CE113&gt;=65, "Strong",
  CE113&gt;=40, "Adequate",
  TRUE, "Weak"
)</f>
        <v/>
      </c>
      <c r="DT113" s="5">
        <f>IF(DB113="Yes — Automatic",0,ROUND((IF(ISNUMBER(AR113),AR113,0)*0.3+IF(ISNUMBER(BS113),BS113,0)*0.2+IF(ISNUMBER(BE113),BE113,0)*0.2+IF(ISNUMBER(CE113),CE113,0)*0.15+(100-IF(ISNUMBER(CU113),CU113,50))*0.15)*IF(DN113&gt;=75,1,IF(DN113&gt;=50,0.9,IF(DN113&gt;=25,0.75,0.6))),1))</f>
        <v/>
      </c>
      <c r="DU113" s="5">
        <f t="array" ref="DU113">_xlfn.IFS(
  DV113="Upgraded to Clear", "Clear",
  DV113="Downgraded to Watchlist", "Watchlist",
  DV113="Downgraded to Exclusion", "Exclusion Risk",
  DB113="Yes — Automatic", "Exclusion Risk",
  OR(AW113="Confirmed Violation", AX113="Confirmed Breach"), "Exclusion Risk",
  OR(V113=0, ISBLANK(V113), DN113&lt;20), "Insufficient Evidence",
  AND(DT113&gt;=65, DA113="No", DB113="No"), "Clear",
  OR(DT113&gt;=40, DA113="Yes"), "Watchlist",
  TRUE, "Exclusion Risk"
)</f>
        <v/>
      </c>
      <c r="DV113" s="5" t="n"/>
      <c r="DW113" s="5">
        <f t="array" ref="DW113">_xlfn.IFS(
  DU113="Exclusion Risk", "Exclude — Hard Trigger",
  DU113="Insufficient Evidence", "Watchlist — Further Evidence Needed",
  DU113="Watchlist", "Watchlist — Further Evidence Needed",
  AND(DU113="Clear", DT113&gt;=80), "Include — No Conditions",
  DU113="Clear", "Include — Monitor",
  TRUE, "Watchlist — Further Evidence Needed"
)</f>
        <v/>
      </c>
      <c r="DX113" s="5" t="n"/>
      <c r="DY113" s="5" t="n"/>
      <c r="DZ113" s="5" t="n"/>
      <c r="EA113" s="5" t="n"/>
      <c r="EB113" s="5">
        <f>IF(OR(V113=0, ISBLANK(V113)), "MISSING — No sources reviewed", "")</f>
        <v/>
      </c>
      <c r="EC113" s="5">
        <f>IF(AND(NOT(ISBLANK(DC113)), ISBLANK(DE113)), "PAGE REF MISSING", "")</f>
        <v/>
      </c>
    </row>
    <row r="114" ht="18" customHeight="1" s="60">
      <c r="A114" s="5" t="inlineStr">
        <is>
          <t>Cie Financiere Richemont SA</t>
        </is>
      </c>
      <c r="B114" s="5" t="inlineStr">
        <is>
          <t>RITN</t>
        </is>
      </c>
      <c r="C114" s="5">
        <f>IF(ISBLANK('Universe Tracker'!D89),"",'Universe Tracker'!D89)</f>
        <v/>
      </c>
      <c r="D114" s="5" t="n"/>
      <c r="E114" s="5" t="n"/>
      <c r="F114" s="5">
        <f>IF(ISBLANK('Universe Tracker'!F89),"",'Universe Tracker'!F89)</f>
        <v/>
      </c>
      <c r="G114" s="5">
        <f>IF(ISBLANK('Universe Tracker'!G89),"",'Universe Tracker'!G89)</f>
        <v/>
      </c>
      <c r="H114" s="5" t="n"/>
      <c r="I114" s="5" t="n"/>
      <c r="J114" s="5">
        <f>IF(ISBLANK(B114),"",B114&amp;"_"&amp;C114)</f>
        <v/>
      </c>
      <c r="K114" s="5" t="n"/>
      <c r="L114" s="5" t="n"/>
      <c r="M114" s="5" t="n"/>
      <c r="N114" s="5" t="n"/>
      <c r="O114" s="5" t="n"/>
      <c r="P114" s="5" t="n"/>
      <c r="Q114" s="5" t="n"/>
      <c r="R114" s="5" t="n"/>
      <c r="S114" s="5" t="n"/>
      <c r="T114" s="5" t="n"/>
      <c r="U114" s="5" t="n"/>
      <c r="V114" s="5" t="n"/>
      <c r="W114" s="5" t="n"/>
      <c r="X114" s="5" t="n"/>
      <c r="Y114" s="5">
        <f>IF(AND(V114&gt;=2,K114="Yes",L114="Yes"),"Sufficient",IF(AND(V114&gt;=1,OR(K114="Yes",L114="Yes")),"Thin","Insufficient"))</f>
        <v/>
      </c>
      <c r="Z114" s="5" t="n"/>
      <c r="AA114" s="5" t="n"/>
      <c r="AB114" s="5" t="n"/>
      <c r="AC114" s="5" t="n"/>
      <c r="AD114" s="5" t="n"/>
      <c r="AE114" s="5" t="n"/>
      <c r="AF114" s="5" t="n"/>
      <c r="AG114" s="5" t="n"/>
      <c r="AH114" s="5" t="n"/>
      <c r="AI114" s="5" t="n"/>
      <c r="AJ114" s="5" t="n"/>
      <c r="AK114" s="5" t="n"/>
      <c r="AL114" s="5" t="n"/>
      <c r="AM114" s="5" t="n"/>
      <c r="AN114" s="5" t="n"/>
      <c r="AO114" s="5" t="n"/>
      <c r="AP114" s="5" t="n"/>
      <c r="AQ114" s="5" t="n"/>
      <c r="AR114" s="40">
        <f t="array" ref="AR114">MIN(100, MAX(0,
  IFERROR(_xlfn.XLOOKUP(AJ114,'Lookup Tables'!$A$2:$A$7,'Lookup Tables'!$B$2:$B$7,0),0)
  + IF(Z114="Yes", IF(IFERROR(_xlfn.XLOOKUP(AJ114,'Lookup Tables'!$A$2:$A$7,'Lookup Tables'!$B$2:$B$7,0),0)&lt;20, 5, 0), 0)
  + _xlfn.IFS(AB114="Yes", IF(ISNUMBER(AC114)*AND(AC114&lt;=2030),15,10), AB114="Long-term Only", 5, AB114="No", 0, TRUE, 0)
  + _xlfn.IFS(AF114="Full",10, AF114="Partial",5, AF114="Scope 2 Only",3, TRUE,0)
  + _xlfn.IFS(AG114="Yes", IF(ISNUMBER(AH114)*AND(AH114&gt;=5),10,6), AG114="Partial",4, TRUE,0)
  + _xlfn.IFS(AI114="Yes",5, AI114="Partial (material categories only)",3, TRUE,0)
  + _xlfn.IFS(AL114="Yes — Detailed",10, AL114="Yes — High Level",5, TRUE,0)
  + _xlfn.IFS(AM114="Yes — Quantified",15, AM114="Yes — Directional Only",7, TRUE,0)
  + _xlfn.IFS(AP114="Formal",5, AP114="Referenced",2, TRUE,0)
  + _xlfn.IFS(AQ114="No Issues Found",5, AQ114="Concern Identified",-5, AQ114="Severe Contradiction",-15, TRUE,0)
  + _xlfn.IFS(BC114="Reasonable Assurance",5, BC114="Limited Assurance",3, TRUE,0)
  - IF(AND(Z114="Yes", AI114="No"), 10, 0)
  - IF(AND(Z114="Yes", AM114="No"), 10, 0)
))</f>
        <v/>
      </c>
      <c r="AS114" s="5" t="n"/>
      <c r="AT114" s="5" t="n"/>
      <c r="AU114" s="5" t="n"/>
      <c r="AV114" s="5" t="n"/>
      <c r="AW114" s="5" t="n"/>
      <c r="AX114" s="5" t="n"/>
      <c r="AY114" s="5" t="n"/>
      <c r="AZ114" s="5" t="n"/>
      <c r="BA114" s="5" t="n"/>
      <c r="BB114" s="5" t="n"/>
      <c r="BC114" s="5" t="n"/>
      <c r="BD114" s="5" t="n"/>
      <c r="BE114" s="39">
        <f t="array" ref="BE114">MIN(100, MAX(0,
  IFERROR(_xlfn.XLOOKUP(AT114,'Lookup Tables'!$D$2:$D$6,'Lookup Tables'!$E$2:$E$6,0),0)
  + IFERROR(_xlfn.XLOOKUP(AV114,'Lookup Tables'!$G$2:$G$5,'Lookup Tables'!$H$2:$H$5,0),0)
  + IFERROR(_xlfn.XLOOKUP(AW114,'Lookup Tables'!$J$2:$J$5,'Lookup Tables'!$K$2:$K$5,0),0)
  + _xlfn.IFS(AX114="No Issues",10, AX114="Complaint Filed",3, AX114="Confirmed Breach",-15, TRUE,0)
  + IFERROR(_xlfn.XLOOKUP(AY114,'Lookup Tables'!$M$2:$M$6,'Lookup Tables'!$N$2:$N$6,0),0)
  + IFERROR(_xlfn.XLOOKUP(AZ114,'Lookup Tables'!$P$2:$P$6,'Lookup Tables'!$Q$2:$Q$6,0),0)
  + _xlfn.IFS(BA114="Formal Board Committee",5, BA114="Board Oversight Mentioned",2, TRUE,0)
  + _xlfn.IFS(BB114="Yes — Quantified Targets",5, BB114="Yes — Discretionary Only",2, TRUE,0)
  + _xlfn.IFS(BC114="Reasonable Assurance",5, BC114="Limited Assurance",3, BC114="Management Review Only",1, TRUE,0)
))</f>
        <v/>
      </c>
      <c r="BF114" s="5" t="n"/>
      <c r="BG114" s="5" t="n"/>
      <c r="BH114" s="5" t="n"/>
      <c r="BI114" s="5" t="n"/>
      <c r="BJ114" s="5" t="n"/>
      <c r="BK114" s="5" t="n"/>
      <c r="BL114" s="5" t="n"/>
      <c r="BM114" s="5" t="n"/>
      <c r="BN114" s="5" t="n"/>
      <c r="BO114" s="5" t="n"/>
      <c r="BP114" s="5" t="n"/>
      <c r="BQ114" s="5" t="n"/>
      <c r="BR114" s="5" t="n"/>
      <c r="BS114" s="41">
        <f t="array" ref="BS114">MIN(100, MAX(0,
  IFERROR(_xlfn.XLOOKUP(BG114,'Lookup Tables'!$A$11:$A$16,'Lookup Tables'!$B$11:$B$16,0),0)
  + IFERROR(_xlfn.XLOOKUP(BR114,'Lookup Tables'!$M$11:$M$14,'Lookup Tables'!$N$11:$N$14,0),0)
  + IFERROR(_xlfn.XLOOKUP(BQ114,'Lookup Tables'!$J$11:$J$15,'Lookup Tables'!$K$11:$K$15,0),0)
  + IFERROR(_xlfn.XLOOKUP(BH114,'Lookup Tables'!$D$11:$D$15,'Lookup Tables'!$E$11:$E$15,0),0)
  + IFERROR(_xlfn.XLOOKUP(BJ114,'Lookup Tables'!$G$11:$G$16,'Lookup Tables'!$H$11:$H$16,0),0)
  + IFERROR(_xlfn.XLOOKUP(BN114,'Lookup Tables'!$P$11:$P$15,'Lookup Tables'!$Q$11:$Q$15,0),0)
  + _xlfn.IFS(BM114="No Evidence",10, BM114="Unknown",3, BM114="Likely",0, BM114="Confirmed",-10, TRUE,3)
  + IFERROR(_xlfn.XLOOKUP(BP114,'Lookup Tables'!$J$21:$J$24,'Lookup Tables'!$K$21:$K$24,0),0)
))</f>
        <v/>
      </c>
      <c r="BT114" s="5" t="n"/>
      <c r="BU114" s="5" t="n"/>
      <c r="BV114" s="5" t="n"/>
      <c r="BW114" s="5" t="n"/>
      <c r="BX114" s="5" t="n"/>
      <c r="BY114" s="5" t="n"/>
      <c r="BZ114" s="5" t="n"/>
      <c r="CA114" s="5" t="n"/>
      <c r="CB114" s="5" t="n"/>
      <c r="CC114" s="5" t="n"/>
      <c r="CD114" s="5" t="n"/>
      <c r="CE114" s="43">
        <f t="array" ref="CE114">MIN(100, MAX(0,
  IF(ISNUMBER(BV114)*AND(BV114&gt;0), 10, 0)
  + _xlfn.IFS(BY114="Independently Verified",25, BY114="Yes",15, TRUE,0)
  + IFERROR(_xlfn.XLOOKUP(BZ114,'Lookup Tables'!$A$21:$A$24,'Lookup Tables'!$B$21:$B$24,0),0)
  + IFERROR(_xlfn.XLOOKUP(CA114,'Lookup Tables'!$D$21:$D$24,'Lookup Tables'!$E$21:$E$24,0),0)
  + _xlfn.IFS(ISNUMBER(CB114)*AND(CB114&gt;=11),15, ISNUMBER(CB114)*AND(CB114&gt;=6),10, ISNUMBER(CB114)*AND(CB114&gt;=1),5, TRUE,0)
  + IFERROR(_xlfn.XLOOKUP(CC114,'Lookup Tables'!$G$21:$G$25,'Lookup Tables'!$H$21:$H$25,0),0)
  - IF(ISNUMBER(BW114)*AND(ISNUMBER(BV114))*AND(BW114&gt;BV114), 20, 0)
  - IF(AND(BY114="Yes", ISNUMBER(BW114), BW114&gt;60), 10, 0)
))</f>
        <v/>
      </c>
      <c r="CF114" s="5" t="n"/>
      <c r="CG114" s="5" t="n"/>
      <c r="CH114" s="5" t="n"/>
      <c r="CI114" s="5" t="n"/>
      <c r="CJ114" s="5" t="n"/>
      <c r="CK114" s="5" t="n"/>
      <c r="CL114" s="5" t="n"/>
      <c r="CM114" s="5" t="n"/>
      <c r="CN114" s="5" t="n"/>
      <c r="CO114" s="5" t="n"/>
      <c r="CP114" s="5" t="n"/>
      <c r="CQ114" s="5" t="n"/>
      <c r="CR114" s="5">
        <f>COUNTIF(CJ114:CQ114,"FAIL")</f>
        <v/>
      </c>
      <c r="CS114" s="5">
        <f>COUNTIF(CJ114:CQ114,"PARTIAL")</f>
        <v/>
      </c>
      <c r="CT114" s="5">
        <f>COUNTIF(CJ114:CQ114,"MISSING")</f>
        <v/>
      </c>
      <c r="CU114" s="5">
        <f>MIN(100,
  CR114*15
  + CS114*6
  + CT114*3
  + IFERROR(_xlfn.XLOOKUP(CW114,'Lookup Tables'!$M$21:$M$25,'Lookup Tables'!$N$21:$N$25,0),0)
)</f>
        <v/>
      </c>
      <c r="CV114" s="5">
        <f>IFERROR(
CHOOSE(
MATCH("FAIL",CJ114:CQ114,0),
"1-Specificity","2-Metric","3-Baseline","4-Target",
"5-Time Horizon","6-Scope","7-Verification","8-Consistency"
),
IFERROR(
CHOOSE(
MATCH("PARTIAL",CJ114:CQ114,0),
"1-Specificity","2-Metric","3-Baseline","4-Target",
"5-Time Horizon","6-Scope","7-Verification","8-Consistency"
),
"No failures"
)
)</f>
        <v/>
      </c>
      <c r="CW114" s="5" t="n"/>
      <c r="CX114" s="5" t="n"/>
      <c r="CY114" s="5" t="n"/>
      <c r="CZ114" s="5" t="n"/>
      <c r="DA114" s="5">
        <f>IF(OR(CU114&gt;=50,CW114="Material",CW114="Severe",AS114="Material",AS114="Severe",BF114="Material",BF114="Severe — Exclusion Trigger",AND(ISNUMBER(BS114),BS114&lt;30)),"Yes","No")</f>
        <v/>
      </c>
      <c r="DB114" s="5">
        <f>IF(OR(CR114&gt;=6,AW114="Confirmed Violation",AX114="Confirmed Breach"),"Yes — Automatic",IF(CW114="Severe","Yes — Requires Captain Confirmation","No"))</f>
        <v/>
      </c>
      <c r="DC114" s="5" t="n"/>
      <c r="DD114" s="5" t="n"/>
      <c r="DE114" s="5" t="n"/>
      <c r="DF114" s="5" t="n"/>
      <c r="DG114" s="5" t="n"/>
      <c r="DH114" s="5" t="n"/>
      <c r="DI114" s="5" t="n"/>
      <c r="DJ114" s="5" t="n"/>
      <c r="DK114" s="5" t="n"/>
      <c r="DL114" s="5">
        <f>IF(OR(IFERROR(VALUE(LEFT(DF114,1)),99)&lt;=2,IFERROR(VALUE(LEFT(DG114,1)),99)&lt;=2),"Flagged","Clear")</f>
        <v/>
      </c>
      <c r="DM114" s="5">
        <f>IF(OR(DA114="Yes",DB114&lt;&gt;"No",DH114="Unverified",DL114="Flagged"),"Yes","No")</f>
        <v/>
      </c>
      <c r="DN114" s="5">
        <f t="array" ref="DN114">MIN(100,
  IF(ISNUMBER(V114), _xlfn.IFS(V114&gt;=3,25, V114=2,15, V114=1,5, TRUE,0), 0)
  + IFERROR(_xlfn.IFS(VALUE(LEFT(DF114,1))=5,25, VALUE(LEFT(DF114,1))=4,20, VALUE(LEFT(DF114,1))=3,15, VALUE(LEFT(DF114,1))=2,8, TRUE,0), 15)
  + IFERROR(_xlfn.IFS(VALUE(LEFT(DG114,1))=5,25, VALUE(LEFT(DG114,1))=4,20, VALUE(LEFT(DG114,1))=3,15, VALUE(LEFT(DG114,1))=2,8, TRUE,0), 15)
  + _xlfn.IFS(DH114="Fully Verified",25, DH114="Partially Verified",12, TRUE,0)
)</f>
        <v/>
      </c>
      <c r="DO114" s="5">
        <f t="array" ref="DO114">_xlfn.IFS(
  ISBLANK(AR114), "Insufficient Evidence",
  AND(AR114&gt;=65, AJ114="Approved"), "Strong",
  AR114&gt;=65, "Adequate",
  AR114&gt;=40, "Adequate",
  AR114&gt;=20, "Weak",
  TRUE, "Insufficient Evidence"
)</f>
        <v/>
      </c>
      <c r="DP114" s="5">
        <f t="array" ref="DP114">_xlfn.IFS(
  ISBLANK(BS114), "Insufficient Evidence",
  BS114&gt;=65, "Strong",
  BS114&gt;=40, "Adequate",
  BS114&gt;=20, "Weak",
  TRUE, "Insufficient Evidence"
)</f>
        <v/>
      </c>
      <c r="DQ114" s="5">
        <f t="array" ref="DQ114">_xlfn.IFS(
  ISBLANK(BE114), "Insufficient Evidence",
  OR(AW114="Confirmed Violation", AX114="Confirmed Breach"), "Severe — Hard Trigger",
  BE114&gt;=65, "Strong",
  BE114&gt;=40, "Adequate",
  BE114&gt;=20, "Weak",
  TRUE, "Insufficient Evidence"
)</f>
        <v/>
      </c>
      <c r="DR114" s="5">
        <f t="array" ref="DR114">_xlfn.IFS(
  ISBLANK(CU114), "Insufficient Evidence",
  CU114&lt;=20, "Low Risk",
  CU114&lt;=50, "Moderate Risk",
  CU114&lt;=75, "High Risk",
  TRUE, "Very High Risk"
)</f>
        <v/>
      </c>
      <c r="DS114" s="5">
        <f t="array" ref="DS114">_xlfn.IFS(
  ISBLANK(CE114), "Insufficient Evidence",
  AND(ISNUMBER(BW114),ISNUMBER(BV114),BW114&gt;BV114), "Overclaiming Risk",
  CE114&gt;=65, "Strong",
  CE114&gt;=40, "Adequate",
  TRUE, "Weak"
)</f>
        <v/>
      </c>
      <c r="DT114" s="5">
        <f>IF(DB114="Yes — Automatic",0,ROUND((IF(ISNUMBER(AR114),AR114,0)*0.3+IF(ISNUMBER(BS114),BS114,0)*0.2+IF(ISNUMBER(BE114),BE114,0)*0.2+IF(ISNUMBER(CE114),CE114,0)*0.15+(100-IF(ISNUMBER(CU114),CU114,50))*0.15)*IF(DN114&gt;=75,1,IF(DN114&gt;=50,0.9,IF(DN114&gt;=25,0.75,0.6))),1))</f>
        <v/>
      </c>
      <c r="DU114" s="5">
        <f t="array" ref="DU114">_xlfn.IFS(
  DV114="Upgraded to Clear", "Clear",
  DV114="Downgraded to Watchlist", "Watchlist",
  DV114="Downgraded to Exclusion", "Exclusion Risk",
  DB114="Yes — Automatic", "Exclusion Risk",
  OR(AW114="Confirmed Violation", AX114="Confirmed Breach"), "Exclusion Risk",
  OR(V114=0, ISBLANK(V114), DN114&lt;20), "Insufficient Evidence",
  AND(DT114&gt;=65, DA114="No", DB114="No"), "Clear",
  OR(DT114&gt;=40, DA114="Yes"), "Watchlist",
  TRUE, "Exclusion Risk"
)</f>
        <v/>
      </c>
      <c r="DV114" s="5" t="n"/>
      <c r="DW114" s="5">
        <f t="array" ref="DW114">_xlfn.IFS(
  DU114="Exclusion Risk", "Exclude — Hard Trigger",
  DU114="Insufficient Evidence", "Watchlist — Further Evidence Needed",
  DU114="Watchlist", "Watchlist — Further Evidence Needed",
  AND(DU114="Clear", DT114&gt;=80), "Include — No Conditions",
  DU114="Clear", "Include — Monitor",
  TRUE, "Watchlist — Further Evidence Needed"
)</f>
        <v/>
      </c>
      <c r="DX114" s="5" t="n"/>
      <c r="DY114" s="5" t="n"/>
      <c r="DZ114" s="5" t="n"/>
      <c r="EA114" s="5" t="n"/>
      <c r="EB114" s="5">
        <f>IF(OR(V114=0, ISBLANK(V114)), "MISSING — No sources reviewed", "")</f>
        <v/>
      </c>
      <c r="EC114" s="5">
        <f>IF(AND(NOT(ISBLANK(DC114)), ISBLANK(DE114)), "PAGE REF MISSING", "")</f>
        <v/>
      </c>
    </row>
    <row r="115" ht="18" customHeight="1" s="60">
      <c r="A115" s="5" t="inlineStr">
        <is>
          <t>Helvetia Holding AG</t>
        </is>
      </c>
      <c r="B115" s="5" t="inlineStr">
        <is>
          <t>HVXA</t>
        </is>
      </c>
      <c r="C115" s="5">
        <f>IF(ISBLANK('Universe Tracker'!D90),"",'Universe Tracker'!D90)</f>
        <v/>
      </c>
      <c r="D115" s="5" t="n"/>
      <c r="E115" s="5" t="n"/>
      <c r="F115" s="5">
        <f>IF(ISBLANK('Universe Tracker'!F90),"",'Universe Tracker'!F90)</f>
        <v/>
      </c>
      <c r="G115" s="5">
        <f>IF(ISBLANK('Universe Tracker'!G90),"",'Universe Tracker'!G90)</f>
        <v/>
      </c>
      <c r="H115" s="5" t="n"/>
      <c r="I115" s="5" t="n"/>
      <c r="J115" s="5">
        <f>IF(ISBLANK(B115),"",B115&amp;"_"&amp;C115)</f>
        <v/>
      </c>
      <c r="K115" s="5" t="n"/>
      <c r="L115" s="5" t="n"/>
      <c r="M115" s="5" t="n"/>
      <c r="N115" s="5" t="n"/>
      <c r="O115" s="5" t="n"/>
      <c r="P115" s="5" t="n"/>
      <c r="Q115" s="5" t="n"/>
      <c r="R115" s="5" t="n"/>
      <c r="S115" s="5" t="n"/>
      <c r="T115" s="5" t="n"/>
      <c r="U115" s="5" t="n"/>
      <c r="V115" s="5" t="n"/>
      <c r="W115" s="5" t="n"/>
      <c r="X115" s="5" t="n"/>
      <c r="Y115" s="5">
        <f>IF(AND(V115&gt;=2,K115="Yes",L115="Yes"),"Sufficient",IF(AND(V115&gt;=1,OR(K115="Yes",L115="Yes")),"Thin","Insufficient"))</f>
        <v/>
      </c>
      <c r="Z115" s="5" t="n"/>
      <c r="AA115" s="5" t="n"/>
      <c r="AB115" s="5" t="n"/>
      <c r="AC115" s="5" t="n"/>
      <c r="AD115" s="5" t="n"/>
      <c r="AE115" s="5" t="n"/>
      <c r="AF115" s="5" t="n"/>
      <c r="AG115" s="5" t="n"/>
      <c r="AH115" s="5" t="n"/>
      <c r="AI115" s="5" t="n"/>
      <c r="AJ115" s="5" t="n"/>
      <c r="AK115" s="5" t="n"/>
      <c r="AL115" s="5" t="n"/>
      <c r="AM115" s="5" t="n"/>
      <c r="AN115" s="5" t="n"/>
      <c r="AO115" s="5" t="n"/>
      <c r="AP115" s="5" t="n"/>
      <c r="AQ115" s="5" t="n"/>
      <c r="AR115" s="40">
        <f t="array" ref="AR115">MIN(100, MAX(0,
  IFERROR(_xlfn.XLOOKUP(AJ115,'Lookup Tables'!$A$2:$A$7,'Lookup Tables'!$B$2:$B$7,0),0)
  + IF(Z115="Yes", IF(IFERROR(_xlfn.XLOOKUP(AJ115,'Lookup Tables'!$A$2:$A$7,'Lookup Tables'!$B$2:$B$7,0),0)&lt;20, 5, 0), 0)
  + _xlfn.IFS(AB115="Yes", IF(ISNUMBER(AC115)*AND(AC115&lt;=2030),15,10), AB115="Long-term Only", 5, AB115="No", 0, TRUE, 0)
  + _xlfn.IFS(AF115="Full",10, AF115="Partial",5, AF115="Scope 2 Only",3, TRUE,0)
  + _xlfn.IFS(AG115="Yes", IF(ISNUMBER(AH115)*AND(AH115&gt;=5),10,6), AG115="Partial",4, TRUE,0)
  + _xlfn.IFS(AI115="Yes",5, AI115="Partial (material categories only)",3, TRUE,0)
  + _xlfn.IFS(AL115="Yes — Detailed",10, AL115="Yes — High Level",5, TRUE,0)
  + _xlfn.IFS(AM115="Yes — Quantified",15, AM115="Yes — Directional Only",7, TRUE,0)
  + _xlfn.IFS(AP115="Formal",5, AP115="Referenced",2, TRUE,0)
  + _xlfn.IFS(AQ115="No Issues Found",5, AQ115="Concern Identified",-5, AQ115="Severe Contradiction",-15, TRUE,0)
  + _xlfn.IFS(BC115="Reasonable Assurance",5, BC115="Limited Assurance",3, TRUE,0)
  - IF(AND(Z115="Yes", AI115="No"), 10, 0)
  - IF(AND(Z115="Yes", AM115="No"), 10, 0)
))</f>
        <v/>
      </c>
      <c r="AS115" s="5" t="n"/>
      <c r="AT115" s="5" t="n"/>
      <c r="AU115" s="5" t="n"/>
      <c r="AV115" s="5" t="n"/>
      <c r="AW115" s="5" t="n"/>
      <c r="AX115" s="5" t="n"/>
      <c r="AY115" s="5" t="n"/>
      <c r="AZ115" s="5" t="n"/>
      <c r="BA115" s="5" t="n"/>
      <c r="BB115" s="5" t="n"/>
      <c r="BC115" s="5" t="n"/>
      <c r="BD115" s="5" t="n"/>
      <c r="BE115" s="39">
        <f t="array" ref="BE115">MIN(100, MAX(0,
  IFERROR(_xlfn.XLOOKUP(AT115,'Lookup Tables'!$D$2:$D$6,'Lookup Tables'!$E$2:$E$6,0),0)
  + IFERROR(_xlfn.XLOOKUP(AV115,'Lookup Tables'!$G$2:$G$5,'Lookup Tables'!$H$2:$H$5,0),0)
  + IFERROR(_xlfn.XLOOKUP(AW115,'Lookup Tables'!$J$2:$J$5,'Lookup Tables'!$K$2:$K$5,0),0)
  + _xlfn.IFS(AX115="No Issues",10, AX115="Complaint Filed",3, AX115="Confirmed Breach",-15, TRUE,0)
  + IFERROR(_xlfn.XLOOKUP(AY115,'Lookup Tables'!$M$2:$M$6,'Lookup Tables'!$N$2:$N$6,0),0)
  + IFERROR(_xlfn.XLOOKUP(AZ115,'Lookup Tables'!$P$2:$P$6,'Lookup Tables'!$Q$2:$Q$6,0),0)
  + _xlfn.IFS(BA115="Formal Board Committee",5, BA115="Board Oversight Mentioned",2, TRUE,0)
  + _xlfn.IFS(BB115="Yes — Quantified Targets",5, BB115="Yes — Discretionary Only",2, TRUE,0)
  + _xlfn.IFS(BC115="Reasonable Assurance",5, BC115="Limited Assurance",3, BC115="Management Review Only",1, TRUE,0)
))</f>
        <v/>
      </c>
      <c r="BF115" s="5" t="n"/>
      <c r="BG115" s="5" t="n"/>
      <c r="BH115" s="5" t="n"/>
      <c r="BI115" s="5" t="n"/>
      <c r="BJ115" s="5" t="n"/>
      <c r="BK115" s="5" t="n"/>
      <c r="BL115" s="5" t="n"/>
      <c r="BM115" s="5" t="n"/>
      <c r="BN115" s="5" t="n"/>
      <c r="BO115" s="5" t="n"/>
      <c r="BP115" s="5" t="n"/>
      <c r="BQ115" s="5" t="n"/>
      <c r="BR115" s="5" t="n"/>
      <c r="BS115" s="41">
        <f t="array" ref="BS115">MIN(100, MAX(0,
  IFERROR(_xlfn.XLOOKUP(BG115,'Lookup Tables'!$A$11:$A$16,'Lookup Tables'!$B$11:$B$16,0),0)
  + IFERROR(_xlfn.XLOOKUP(BR115,'Lookup Tables'!$M$11:$M$14,'Lookup Tables'!$N$11:$N$14,0),0)
  + IFERROR(_xlfn.XLOOKUP(BQ115,'Lookup Tables'!$J$11:$J$15,'Lookup Tables'!$K$11:$K$15,0),0)
  + IFERROR(_xlfn.XLOOKUP(BH115,'Lookup Tables'!$D$11:$D$15,'Lookup Tables'!$E$11:$E$15,0),0)
  + IFERROR(_xlfn.XLOOKUP(BJ115,'Lookup Tables'!$G$11:$G$16,'Lookup Tables'!$H$11:$H$16,0),0)
  + IFERROR(_xlfn.XLOOKUP(BN115,'Lookup Tables'!$P$11:$P$15,'Lookup Tables'!$Q$11:$Q$15,0),0)
  + _xlfn.IFS(BM115="No Evidence",10, BM115="Unknown",3, BM115="Likely",0, BM115="Confirmed",-10, TRUE,3)
  + IFERROR(_xlfn.XLOOKUP(BP115,'Lookup Tables'!$J$21:$J$24,'Lookup Tables'!$K$21:$K$24,0),0)
))</f>
        <v/>
      </c>
      <c r="BT115" s="5" t="n"/>
      <c r="BU115" s="5" t="n"/>
      <c r="BV115" s="5" t="n"/>
      <c r="BW115" s="5" t="n"/>
      <c r="BX115" s="5" t="n"/>
      <c r="BY115" s="5" t="n"/>
      <c r="BZ115" s="5" t="n"/>
      <c r="CA115" s="5" t="n"/>
      <c r="CB115" s="5" t="n"/>
      <c r="CC115" s="5" t="n"/>
      <c r="CD115" s="5" t="n"/>
      <c r="CE115" s="43">
        <f t="array" ref="CE115">MIN(100, MAX(0,
  IF(ISNUMBER(BV115)*AND(BV115&gt;0), 10, 0)
  + _xlfn.IFS(BY115="Independently Verified",25, BY115="Yes",15, TRUE,0)
  + IFERROR(_xlfn.XLOOKUP(BZ115,'Lookup Tables'!$A$21:$A$24,'Lookup Tables'!$B$21:$B$24,0),0)
  + IFERROR(_xlfn.XLOOKUP(CA115,'Lookup Tables'!$D$21:$D$24,'Lookup Tables'!$E$21:$E$24,0),0)
  + _xlfn.IFS(ISNUMBER(CB115)*AND(CB115&gt;=11),15, ISNUMBER(CB115)*AND(CB115&gt;=6),10, ISNUMBER(CB115)*AND(CB115&gt;=1),5, TRUE,0)
  + IFERROR(_xlfn.XLOOKUP(CC115,'Lookup Tables'!$G$21:$G$25,'Lookup Tables'!$H$21:$H$25,0),0)
  - IF(ISNUMBER(BW115)*AND(ISNUMBER(BV115))*AND(BW115&gt;BV115), 20, 0)
  - IF(AND(BY115="Yes", ISNUMBER(BW115), BW115&gt;60), 10, 0)
))</f>
        <v/>
      </c>
      <c r="CF115" s="5" t="n"/>
      <c r="CG115" s="5" t="n"/>
      <c r="CH115" s="5" t="n"/>
      <c r="CI115" s="5" t="n"/>
      <c r="CJ115" s="5" t="n"/>
      <c r="CK115" s="5" t="n"/>
      <c r="CL115" s="5" t="n"/>
      <c r="CM115" s="5" t="n"/>
      <c r="CN115" s="5" t="n"/>
      <c r="CO115" s="5" t="n"/>
      <c r="CP115" s="5" t="n"/>
      <c r="CQ115" s="5" t="n"/>
      <c r="CR115" s="5">
        <f>COUNTIF(CJ115:CQ115,"FAIL")</f>
        <v/>
      </c>
      <c r="CS115" s="5">
        <f>COUNTIF(CJ115:CQ115,"PARTIAL")</f>
        <v/>
      </c>
      <c r="CT115" s="5">
        <f>COUNTIF(CJ115:CQ115,"MISSING")</f>
        <v/>
      </c>
      <c r="CU115" s="5">
        <f>MIN(100,
  CR115*15
  + CS115*6
  + CT115*3
  + IFERROR(_xlfn.XLOOKUP(CW115,'Lookup Tables'!$M$21:$M$25,'Lookup Tables'!$N$21:$N$25,0),0)
)</f>
        <v/>
      </c>
      <c r="CV115" s="5">
        <f>IFERROR(
CHOOSE(
MATCH("FAIL",CJ115:CQ115,0),
"1-Specificity","2-Metric","3-Baseline","4-Target",
"5-Time Horizon","6-Scope","7-Verification","8-Consistency"
),
IFERROR(
CHOOSE(
MATCH("PARTIAL",CJ115:CQ115,0),
"1-Specificity","2-Metric","3-Baseline","4-Target",
"5-Time Horizon","6-Scope","7-Verification","8-Consistency"
),
"No failures"
)
)</f>
        <v/>
      </c>
      <c r="CW115" s="5" t="n"/>
      <c r="CX115" s="5" t="n"/>
      <c r="CY115" s="5" t="n"/>
      <c r="CZ115" s="5" t="n"/>
      <c r="DA115" s="5">
        <f>IF(OR(CU115&gt;=50,CW115="Material",CW115="Severe",AS115="Material",AS115="Severe",BF115="Material",BF115="Severe — Exclusion Trigger",AND(ISNUMBER(BS115),BS115&lt;30)),"Yes","No")</f>
        <v/>
      </c>
      <c r="DB115" s="5">
        <f>IF(OR(CR115&gt;=6,AW115="Confirmed Violation",AX115="Confirmed Breach"),"Yes — Automatic",IF(CW115="Severe","Yes — Requires Captain Confirmation","No"))</f>
        <v/>
      </c>
      <c r="DC115" s="5" t="n"/>
      <c r="DD115" s="5" t="n"/>
      <c r="DE115" s="5" t="n"/>
      <c r="DF115" s="5" t="n"/>
      <c r="DG115" s="5" t="n"/>
      <c r="DH115" s="5" t="n"/>
      <c r="DI115" s="5" t="n"/>
      <c r="DJ115" s="5" t="n"/>
      <c r="DK115" s="5" t="n"/>
      <c r="DL115" s="5">
        <f>IF(OR(IFERROR(VALUE(LEFT(DF115,1)),99)&lt;=2,IFERROR(VALUE(LEFT(DG115,1)),99)&lt;=2),"Flagged","Clear")</f>
        <v/>
      </c>
      <c r="DM115" s="5">
        <f>IF(OR(DA115="Yes",DB115&lt;&gt;"No",DH115="Unverified",DL115="Flagged"),"Yes","No")</f>
        <v/>
      </c>
      <c r="DN115" s="5">
        <f t="array" ref="DN115">MIN(100,
  IF(ISNUMBER(V115), _xlfn.IFS(V115&gt;=3,25, V115=2,15, V115=1,5, TRUE,0), 0)
  + IFERROR(_xlfn.IFS(VALUE(LEFT(DF115,1))=5,25, VALUE(LEFT(DF115,1))=4,20, VALUE(LEFT(DF115,1))=3,15, VALUE(LEFT(DF115,1))=2,8, TRUE,0), 15)
  + IFERROR(_xlfn.IFS(VALUE(LEFT(DG115,1))=5,25, VALUE(LEFT(DG115,1))=4,20, VALUE(LEFT(DG115,1))=3,15, VALUE(LEFT(DG115,1))=2,8, TRUE,0), 15)
  + _xlfn.IFS(DH115="Fully Verified",25, DH115="Partially Verified",12, TRUE,0)
)</f>
        <v/>
      </c>
      <c r="DO115" s="5">
        <f t="array" ref="DO115">_xlfn.IFS(
  ISBLANK(AR115), "Insufficient Evidence",
  AND(AR115&gt;=65, AJ115="Approved"), "Strong",
  AR115&gt;=65, "Adequate",
  AR115&gt;=40, "Adequate",
  AR115&gt;=20, "Weak",
  TRUE, "Insufficient Evidence"
)</f>
        <v/>
      </c>
      <c r="DP115" s="5">
        <f t="array" ref="DP115">_xlfn.IFS(
  ISBLANK(BS115), "Insufficient Evidence",
  BS115&gt;=65, "Strong",
  BS115&gt;=40, "Adequate",
  BS115&gt;=20, "Weak",
  TRUE, "Insufficient Evidence"
)</f>
        <v/>
      </c>
      <c r="DQ115" s="5">
        <f t="array" ref="DQ115">_xlfn.IFS(
  ISBLANK(BE115), "Insufficient Evidence",
  OR(AW115="Confirmed Violation", AX115="Confirmed Breach"), "Severe — Hard Trigger",
  BE115&gt;=65, "Strong",
  BE115&gt;=40, "Adequate",
  BE115&gt;=20, "Weak",
  TRUE, "Insufficient Evidence"
)</f>
        <v/>
      </c>
      <c r="DR115" s="5">
        <f t="array" ref="DR115">_xlfn.IFS(
  ISBLANK(CU115), "Insufficient Evidence",
  CU115&lt;=20, "Low Risk",
  CU115&lt;=50, "Moderate Risk",
  CU115&lt;=75, "High Risk",
  TRUE, "Very High Risk"
)</f>
        <v/>
      </c>
      <c r="DS115" s="5">
        <f t="array" ref="DS115">_xlfn.IFS(
  ISBLANK(CE115), "Insufficient Evidence",
  AND(ISNUMBER(BW115),ISNUMBER(BV115),BW115&gt;BV115), "Overclaiming Risk",
  CE115&gt;=65, "Strong",
  CE115&gt;=40, "Adequate",
  TRUE, "Weak"
)</f>
        <v/>
      </c>
      <c r="DT115" s="5">
        <f>IF(DB115="Yes — Automatic",0,ROUND((IF(ISNUMBER(AR115),AR115,0)*0.3+IF(ISNUMBER(BS115),BS115,0)*0.2+IF(ISNUMBER(BE115),BE115,0)*0.2+IF(ISNUMBER(CE115),CE115,0)*0.15+(100-IF(ISNUMBER(CU115),CU115,50))*0.15)*IF(DN115&gt;=75,1,IF(DN115&gt;=50,0.9,IF(DN115&gt;=25,0.75,0.6))),1))</f>
        <v/>
      </c>
      <c r="DU115" s="5">
        <f t="array" ref="DU115">_xlfn.IFS(
  DV115="Upgraded to Clear", "Clear",
  DV115="Downgraded to Watchlist", "Watchlist",
  DV115="Downgraded to Exclusion", "Exclusion Risk",
  DB115="Yes — Automatic", "Exclusion Risk",
  OR(AW115="Confirmed Violation", AX115="Confirmed Breach"), "Exclusion Risk",
  OR(V115=0, ISBLANK(V115), DN115&lt;20), "Insufficient Evidence",
  AND(DT115&gt;=65, DA115="No", DB115="No"), "Clear",
  OR(DT115&gt;=40, DA115="Yes"), "Watchlist",
  TRUE, "Exclusion Risk"
)</f>
        <v/>
      </c>
      <c r="DV115" s="5" t="n"/>
      <c r="DW115" s="5">
        <f t="array" ref="DW115">_xlfn.IFS(
  DU115="Exclusion Risk", "Exclude — Hard Trigger",
  DU115="Insufficient Evidence", "Watchlist — Further Evidence Needed",
  DU115="Watchlist", "Watchlist — Further Evidence Needed",
  AND(DU115="Clear", DT115&gt;=80), "Include — No Conditions",
  DU115="Clear", "Include — Monitor",
  TRUE, "Watchlist — Further Evidence Needed"
)</f>
        <v/>
      </c>
      <c r="DX115" s="5" t="n"/>
      <c r="DY115" s="5" t="n"/>
      <c r="DZ115" s="5" t="n"/>
      <c r="EA115" s="5" t="n"/>
      <c r="EB115" s="5">
        <f>IF(OR(V115=0, ISBLANK(V115)), "MISSING — No sources reviewed", "")</f>
        <v/>
      </c>
      <c r="EC115" s="5">
        <f>IF(AND(NOT(ISBLANK(DC115)), ISBLANK(DE115)), "PAGE REF MISSING", "")</f>
        <v/>
      </c>
    </row>
    <row r="116" ht="18" customHeight="1" s="60">
      <c r="A116" s="5" t="inlineStr">
        <is>
          <t>Bankinter SA</t>
        </is>
      </c>
      <c r="B116" s="5" t="inlineStr">
        <is>
          <t>BAKA</t>
        </is>
      </c>
      <c r="C116" s="5">
        <f>IF(ISBLANK('Universe Tracker'!D91),"",'Universe Tracker'!D91)</f>
        <v/>
      </c>
      <c r="D116" s="5" t="n"/>
      <c r="E116" s="5" t="n"/>
      <c r="F116" s="5">
        <f>IF(ISBLANK('Universe Tracker'!F91),"",'Universe Tracker'!F91)</f>
        <v/>
      </c>
      <c r="G116" s="5">
        <f>IF(ISBLANK('Universe Tracker'!G91),"",'Universe Tracker'!G91)</f>
        <v/>
      </c>
      <c r="H116" s="5" t="n"/>
      <c r="I116" s="5" t="n"/>
      <c r="J116" s="5">
        <f>IF(ISBLANK(B116),"",B116&amp;"_"&amp;C116)</f>
        <v/>
      </c>
      <c r="K116" s="5" t="n"/>
      <c r="L116" s="5" t="n"/>
      <c r="M116" s="5" t="n"/>
      <c r="N116" s="5" t="n"/>
      <c r="O116" s="5" t="n"/>
      <c r="P116" s="5" t="n"/>
      <c r="Q116" s="5" t="n"/>
      <c r="R116" s="5" t="n"/>
      <c r="S116" s="5" t="n"/>
      <c r="T116" s="5" t="n"/>
      <c r="U116" s="5" t="n"/>
      <c r="V116" s="5" t="n"/>
      <c r="W116" s="5" t="n"/>
      <c r="X116" s="5" t="n"/>
      <c r="Y116" s="5">
        <f>IF(AND(V116&gt;=2,K116="Yes",L116="Yes"),"Sufficient",IF(AND(V116&gt;=1,OR(K116="Yes",L116="Yes")),"Thin","Insufficient"))</f>
        <v/>
      </c>
      <c r="Z116" s="5" t="n"/>
      <c r="AA116" s="5" t="n"/>
      <c r="AB116" s="5" t="n"/>
      <c r="AC116" s="5" t="n"/>
      <c r="AD116" s="5" t="n"/>
      <c r="AE116" s="5" t="n"/>
      <c r="AF116" s="5" t="n"/>
      <c r="AG116" s="5" t="n"/>
      <c r="AH116" s="5" t="n"/>
      <c r="AI116" s="5" t="n"/>
      <c r="AJ116" s="5" t="n"/>
      <c r="AK116" s="5" t="n"/>
      <c r="AL116" s="5" t="n"/>
      <c r="AM116" s="5" t="n"/>
      <c r="AN116" s="5" t="n"/>
      <c r="AO116" s="5" t="n"/>
      <c r="AP116" s="5" t="n"/>
      <c r="AQ116" s="5" t="n"/>
      <c r="AR116" s="40">
        <f t="array" ref="AR116">MIN(100, MAX(0,
  IFERROR(_xlfn.XLOOKUP(AJ116,'Lookup Tables'!$A$2:$A$7,'Lookup Tables'!$B$2:$B$7,0),0)
  + IF(Z116="Yes", IF(IFERROR(_xlfn.XLOOKUP(AJ116,'Lookup Tables'!$A$2:$A$7,'Lookup Tables'!$B$2:$B$7,0),0)&lt;20, 5, 0), 0)
  + _xlfn.IFS(AB116="Yes", IF(ISNUMBER(AC116)*AND(AC116&lt;=2030),15,10), AB116="Long-term Only", 5, AB116="No", 0, TRUE, 0)
  + _xlfn.IFS(AF116="Full",10, AF116="Partial",5, AF116="Scope 2 Only",3, TRUE,0)
  + _xlfn.IFS(AG116="Yes", IF(ISNUMBER(AH116)*AND(AH116&gt;=5),10,6), AG116="Partial",4, TRUE,0)
  + _xlfn.IFS(AI116="Yes",5, AI116="Partial (material categories only)",3, TRUE,0)
  + _xlfn.IFS(AL116="Yes — Detailed",10, AL116="Yes — High Level",5, TRUE,0)
  + _xlfn.IFS(AM116="Yes — Quantified",15, AM116="Yes — Directional Only",7, TRUE,0)
  + _xlfn.IFS(AP116="Formal",5, AP116="Referenced",2, TRUE,0)
  + _xlfn.IFS(AQ116="No Issues Found",5, AQ116="Concern Identified",-5, AQ116="Severe Contradiction",-15, TRUE,0)
  + _xlfn.IFS(BC116="Reasonable Assurance",5, BC116="Limited Assurance",3, TRUE,0)
  - IF(AND(Z116="Yes", AI116="No"), 10, 0)
  - IF(AND(Z116="Yes", AM116="No"), 10, 0)
))</f>
        <v/>
      </c>
      <c r="AS116" s="5" t="n"/>
      <c r="AT116" s="5" t="n"/>
      <c r="AU116" s="5" t="n"/>
      <c r="AV116" s="5" t="n"/>
      <c r="AW116" s="5" t="n"/>
      <c r="AX116" s="5" t="n"/>
      <c r="AY116" s="5" t="n"/>
      <c r="AZ116" s="5" t="n"/>
      <c r="BA116" s="5" t="n"/>
      <c r="BB116" s="5" t="n"/>
      <c r="BC116" s="5" t="n"/>
      <c r="BD116" s="5" t="n"/>
      <c r="BE116" s="39">
        <f t="array" ref="BE116">MIN(100, MAX(0,
  IFERROR(_xlfn.XLOOKUP(AT116,'Lookup Tables'!$D$2:$D$6,'Lookup Tables'!$E$2:$E$6,0),0)
  + IFERROR(_xlfn.XLOOKUP(AV116,'Lookup Tables'!$G$2:$G$5,'Lookup Tables'!$H$2:$H$5,0),0)
  + IFERROR(_xlfn.XLOOKUP(AW116,'Lookup Tables'!$J$2:$J$5,'Lookup Tables'!$K$2:$K$5,0),0)
  + _xlfn.IFS(AX116="No Issues",10, AX116="Complaint Filed",3, AX116="Confirmed Breach",-15, TRUE,0)
  + IFERROR(_xlfn.XLOOKUP(AY116,'Lookup Tables'!$M$2:$M$6,'Lookup Tables'!$N$2:$N$6,0),0)
  + IFERROR(_xlfn.XLOOKUP(AZ116,'Lookup Tables'!$P$2:$P$6,'Lookup Tables'!$Q$2:$Q$6,0),0)
  + _xlfn.IFS(BA116="Formal Board Committee",5, BA116="Board Oversight Mentioned",2, TRUE,0)
  + _xlfn.IFS(BB116="Yes — Quantified Targets",5, BB116="Yes — Discretionary Only",2, TRUE,0)
  + _xlfn.IFS(BC116="Reasonable Assurance",5, BC116="Limited Assurance",3, BC116="Management Review Only",1, TRUE,0)
))</f>
        <v/>
      </c>
      <c r="BF116" s="5" t="n"/>
      <c r="BG116" s="5" t="n"/>
      <c r="BH116" s="5" t="n"/>
      <c r="BI116" s="5" t="n"/>
      <c r="BJ116" s="5" t="n"/>
      <c r="BK116" s="5" t="n"/>
      <c r="BL116" s="5" t="n"/>
      <c r="BM116" s="5" t="n"/>
      <c r="BN116" s="5" t="n"/>
      <c r="BO116" s="5" t="n"/>
      <c r="BP116" s="5" t="n"/>
      <c r="BQ116" s="5" t="n"/>
      <c r="BR116" s="5" t="n"/>
      <c r="BS116" s="41">
        <f t="array" ref="BS116">MIN(100, MAX(0,
  IFERROR(_xlfn.XLOOKUP(BG116,'Lookup Tables'!$A$11:$A$16,'Lookup Tables'!$B$11:$B$16,0),0)
  + IFERROR(_xlfn.XLOOKUP(BR116,'Lookup Tables'!$M$11:$M$14,'Lookup Tables'!$N$11:$N$14,0),0)
  + IFERROR(_xlfn.XLOOKUP(BQ116,'Lookup Tables'!$J$11:$J$15,'Lookup Tables'!$K$11:$K$15,0),0)
  + IFERROR(_xlfn.XLOOKUP(BH116,'Lookup Tables'!$D$11:$D$15,'Lookup Tables'!$E$11:$E$15,0),0)
  + IFERROR(_xlfn.XLOOKUP(BJ116,'Lookup Tables'!$G$11:$G$16,'Lookup Tables'!$H$11:$H$16,0),0)
  + IFERROR(_xlfn.XLOOKUP(BN116,'Lookup Tables'!$P$11:$P$15,'Lookup Tables'!$Q$11:$Q$15,0),0)
  + _xlfn.IFS(BM116="No Evidence",10, BM116="Unknown",3, BM116="Likely",0, BM116="Confirmed",-10, TRUE,3)
  + IFERROR(_xlfn.XLOOKUP(BP116,'Lookup Tables'!$J$21:$J$24,'Lookup Tables'!$K$21:$K$24,0),0)
))</f>
        <v/>
      </c>
      <c r="BT116" s="5" t="n"/>
      <c r="BU116" s="5" t="n"/>
      <c r="BV116" s="5" t="n"/>
      <c r="BW116" s="5" t="n"/>
      <c r="BX116" s="5" t="n"/>
      <c r="BY116" s="5" t="n"/>
      <c r="BZ116" s="5" t="n"/>
      <c r="CA116" s="5" t="n"/>
      <c r="CB116" s="5" t="n"/>
      <c r="CC116" s="5" t="n"/>
      <c r="CD116" s="5" t="n"/>
      <c r="CE116" s="43">
        <f t="array" ref="CE116">MIN(100, MAX(0,
  IF(ISNUMBER(BV116)*AND(BV116&gt;0), 10, 0)
  + _xlfn.IFS(BY116="Independently Verified",25, BY116="Yes",15, TRUE,0)
  + IFERROR(_xlfn.XLOOKUP(BZ116,'Lookup Tables'!$A$21:$A$24,'Lookup Tables'!$B$21:$B$24,0),0)
  + IFERROR(_xlfn.XLOOKUP(CA116,'Lookup Tables'!$D$21:$D$24,'Lookup Tables'!$E$21:$E$24,0),0)
  + _xlfn.IFS(ISNUMBER(CB116)*AND(CB116&gt;=11),15, ISNUMBER(CB116)*AND(CB116&gt;=6),10, ISNUMBER(CB116)*AND(CB116&gt;=1),5, TRUE,0)
  + IFERROR(_xlfn.XLOOKUP(CC116,'Lookup Tables'!$G$21:$G$25,'Lookup Tables'!$H$21:$H$25,0),0)
  - IF(ISNUMBER(BW116)*AND(ISNUMBER(BV116))*AND(BW116&gt;BV116), 20, 0)
  - IF(AND(BY116="Yes", ISNUMBER(BW116), BW116&gt;60), 10, 0)
))</f>
        <v/>
      </c>
      <c r="CF116" s="5" t="n"/>
      <c r="CG116" s="5" t="n"/>
      <c r="CH116" s="5" t="n"/>
      <c r="CI116" s="5" t="n"/>
      <c r="CJ116" s="5" t="n"/>
      <c r="CK116" s="5" t="n"/>
      <c r="CL116" s="5" t="n"/>
      <c r="CM116" s="5" t="n"/>
      <c r="CN116" s="5" t="n"/>
      <c r="CO116" s="5" t="n"/>
      <c r="CP116" s="5" t="n"/>
      <c r="CQ116" s="5" t="n"/>
      <c r="CR116" s="5">
        <f>COUNTIF(CJ116:CQ116,"FAIL")</f>
        <v/>
      </c>
      <c r="CS116" s="5">
        <f>COUNTIF(CJ116:CQ116,"PARTIAL")</f>
        <v/>
      </c>
      <c r="CT116" s="5">
        <f>COUNTIF(CJ116:CQ116,"MISSING")</f>
        <v/>
      </c>
      <c r="CU116" s="5">
        <f>MIN(100,
  CR116*15
  + CS116*6
  + CT116*3
  + IFERROR(_xlfn.XLOOKUP(CW116,'Lookup Tables'!$M$21:$M$25,'Lookup Tables'!$N$21:$N$25,0),0)
)</f>
        <v/>
      </c>
      <c r="CV116" s="5">
        <f>IFERROR(
CHOOSE(
MATCH("FAIL",CJ116:CQ116,0),
"1-Specificity","2-Metric","3-Baseline","4-Target",
"5-Time Horizon","6-Scope","7-Verification","8-Consistency"
),
IFERROR(
CHOOSE(
MATCH("PARTIAL",CJ116:CQ116,0),
"1-Specificity","2-Metric","3-Baseline","4-Target",
"5-Time Horizon","6-Scope","7-Verification","8-Consistency"
),
"No failures"
)
)</f>
        <v/>
      </c>
      <c r="CW116" s="5" t="n"/>
      <c r="CX116" s="5" t="n"/>
      <c r="CY116" s="5" t="n"/>
      <c r="CZ116" s="5" t="n"/>
      <c r="DA116" s="5">
        <f>IF(OR(CU116&gt;=50,CW116="Material",CW116="Severe",AS116="Material",AS116="Severe",BF116="Material",BF116="Severe — Exclusion Trigger",AND(ISNUMBER(BS116),BS116&lt;30)),"Yes","No")</f>
        <v/>
      </c>
      <c r="DB116" s="5">
        <f>IF(OR(CR116&gt;=6,AW116="Confirmed Violation",AX116="Confirmed Breach"),"Yes — Automatic",IF(CW116="Severe","Yes — Requires Captain Confirmation","No"))</f>
        <v/>
      </c>
      <c r="DC116" s="5" t="n"/>
      <c r="DD116" s="5" t="n"/>
      <c r="DE116" s="5" t="n"/>
      <c r="DF116" s="5" t="n"/>
      <c r="DG116" s="5" t="n"/>
      <c r="DH116" s="5" t="n"/>
      <c r="DI116" s="5" t="n"/>
      <c r="DJ116" s="5" t="n"/>
      <c r="DK116" s="5" t="n"/>
      <c r="DL116" s="5">
        <f>IF(OR(IFERROR(VALUE(LEFT(DF116,1)),99)&lt;=2,IFERROR(VALUE(LEFT(DG116,1)),99)&lt;=2),"Flagged","Clear")</f>
        <v/>
      </c>
      <c r="DM116" s="5">
        <f>IF(OR(DA116="Yes",DB116&lt;&gt;"No",DH116="Unverified",DL116="Flagged"),"Yes","No")</f>
        <v/>
      </c>
      <c r="DN116" s="5">
        <f t="array" ref="DN116">MIN(100,
  IF(ISNUMBER(V116), _xlfn.IFS(V116&gt;=3,25, V116=2,15, V116=1,5, TRUE,0), 0)
  + IFERROR(_xlfn.IFS(VALUE(LEFT(DF116,1))=5,25, VALUE(LEFT(DF116,1))=4,20, VALUE(LEFT(DF116,1))=3,15, VALUE(LEFT(DF116,1))=2,8, TRUE,0), 15)
  + IFERROR(_xlfn.IFS(VALUE(LEFT(DG116,1))=5,25, VALUE(LEFT(DG116,1))=4,20, VALUE(LEFT(DG116,1))=3,15, VALUE(LEFT(DG116,1))=2,8, TRUE,0), 15)
  + _xlfn.IFS(DH116="Fully Verified",25, DH116="Partially Verified",12, TRUE,0)
)</f>
        <v/>
      </c>
      <c r="DO116" s="5">
        <f t="array" ref="DO116">_xlfn.IFS(
  ISBLANK(AR116), "Insufficient Evidence",
  AND(AR116&gt;=65, AJ116="Approved"), "Strong",
  AR116&gt;=65, "Adequate",
  AR116&gt;=40, "Adequate",
  AR116&gt;=20, "Weak",
  TRUE, "Insufficient Evidence"
)</f>
        <v/>
      </c>
      <c r="DP116" s="5">
        <f t="array" ref="DP116">_xlfn.IFS(
  ISBLANK(BS116), "Insufficient Evidence",
  BS116&gt;=65, "Strong",
  BS116&gt;=40, "Adequate",
  BS116&gt;=20, "Weak",
  TRUE, "Insufficient Evidence"
)</f>
        <v/>
      </c>
      <c r="DQ116" s="5">
        <f t="array" ref="DQ116">_xlfn.IFS(
  ISBLANK(BE116), "Insufficient Evidence",
  OR(AW116="Confirmed Violation", AX116="Confirmed Breach"), "Severe — Hard Trigger",
  BE116&gt;=65, "Strong",
  BE116&gt;=40, "Adequate",
  BE116&gt;=20, "Weak",
  TRUE, "Insufficient Evidence"
)</f>
        <v/>
      </c>
      <c r="DR116" s="5">
        <f t="array" ref="DR116">_xlfn.IFS(
  ISBLANK(CU116), "Insufficient Evidence",
  CU116&lt;=20, "Low Risk",
  CU116&lt;=50, "Moderate Risk",
  CU116&lt;=75, "High Risk",
  TRUE, "Very High Risk"
)</f>
        <v/>
      </c>
      <c r="DS116" s="5">
        <f t="array" ref="DS116">_xlfn.IFS(
  ISBLANK(CE116), "Insufficient Evidence",
  AND(ISNUMBER(BW116),ISNUMBER(BV116),BW116&gt;BV116), "Overclaiming Risk",
  CE116&gt;=65, "Strong",
  CE116&gt;=40, "Adequate",
  TRUE, "Weak"
)</f>
        <v/>
      </c>
      <c r="DT116" s="5">
        <f>IF(DB116="Yes — Automatic",0,ROUND((IF(ISNUMBER(AR116),AR116,0)*0.3+IF(ISNUMBER(BS116),BS116,0)*0.2+IF(ISNUMBER(BE116),BE116,0)*0.2+IF(ISNUMBER(CE116),CE116,0)*0.15+(100-IF(ISNUMBER(CU116),CU116,50))*0.15)*IF(DN116&gt;=75,1,IF(DN116&gt;=50,0.9,IF(DN116&gt;=25,0.75,0.6))),1))</f>
        <v/>
      </c>
      <c r="DU116" s="5">
        <f t="array" ref="DU116">_xlfn.IFS(
  DV116="Upgraded to Clear", "Clear",
  DV116="Downgraded to Watchlist", "Watchlist",
  DV116="Downgraded to Exclusion", "Exclusion Risk",
  DB116="Yes — Automatic", "Exclusion Risk",
  OR(AW116="Confirmed Violation", AX116="Confirmed Breach"), "Exclusion Risk",
  OR(V116=0, ISBLANK(V116), DN116&lt;20), "Insufficient Evidence",
  AND(DT116&gt;=65, DA116="No", DB116="No"), "Clear",
  OR(DT116&gt;=40, DA116="Yes"), "Watchlist",
  TRUE, "Exclusion Risk"
)</f>
        <v/>
      </c>
      <c r="DV116" s="5" t="n"/>
      <c r="DW116" s="5">
        <f t="array" ref="DW116">_xlfn.IFS(
  DU116="Exclusion Risk", "Exclude — Hard Trigger",
  DU116="Insufficient Evidence", "Watchlist — Further Evidence Needed",
  DU116="Watchlist", "Watchlist — Further Evidence Needed",
  AND(DU116="Clear", DT116&gt;=80), "Include — No Conditions",
  DU116="Clear", "Include — Monitor",
  TRUE, "Watchlist — Further Evidence Needed"
)</f>
        <v/>
      </c>
      <c r="DX116" s="5" t="n"/>
      <c r="DY116" s="5" t="n"/>
      <c r="DZ116" s="5" t="n"/>
      <c r="EA116" s="5" t="n"/>
      <c r="EB116" s="5">
        <f>IF(OR(V116=0, ISBLANK(V116)), "MISSING — No sources reviewed", "")</f>
        <v/>
      </c>
      <c r="EC116" s="5">
        <f>IF(AND(NOT(ISBLANK(DC116)), ISBLANK(DE116)), "PAGE REF MISSING", "")</f>
        <v/>
      </c>
    </row>
    <row r="117" ht="18" customHeight="1" s="60">
      <c r="A117" s="5" t="inlineStr">
        <is>
          <t>FinecoBank Banca Fineco SpA</t>
        </is>
      </c>
      <c r="B117" s="5" t="inlineStr">
        <is>
          <t>ZS3</t>
        </is>
      </c>
      <c r="C117" s="5">
        <f>IF(ISBLANK('Universe Tracker'!D92),"",'Universe Tracker'!D92)</f>
        <v/>
      </c>
      <c r="D117" s="5" t="n"/>
      <c r="E117" s="5" t="n"/>
      <c r="F117" s="5">
        <f>IF(ISBLANK('Universe Tracker'!F92),"",'Universe Tracker'!F92)</f>
        <v/>
      </c>
      <c r="G117" s="5">
        <f>IF(ISBLANK('Universe Tracker'!G92),"",'Universe Tracker'!G92)</f>
        <v/>
      </c>
      <c r="H117" s="5" t="n"/>
      <c r="I117" s="5" t="n"/>
      <c r="J117" s="5">
        <f>IF(ISBLANK(B117),"",B117&amp;"_"&amp;C117)</f>
        <v/>
      </c>
      <c r="K117" s="5" t="n"/>
      <c r="L117" s="5" t="n"/>
      <c r="M117" s="5" t="n"/>
      <c r="N117" s="5" t="n"/>
      <c r="O117" s="5" t="n"/>
      <c r="P117" s="5" t="n"/>
      <c r="Q117" s="5" t="n"/>
      <c r="R117" s="5" t="n"/>
      <c r="S117" s="5" t="n"/>
      <c r="T117" s="5" t="n"/>
      <c r="U117" s="5" t="n"/>
      <c r="V117" s="5" t="n"/>
      <c r="W117" s="5" t="n"/>
      <c r="X117" s="5" t="n"/>
      <c r="Y117" s="5">
        <f>IF(AND(V117&gt;=2,K117="Yes",L117="Yes"),"Sufficient",IF(AND(V117&gt;=1,OR(K117="Yes",L117="Yes")),"Thin","Insufficient"))</f>
        <v/>
      </c>
      <c r="Z117" s="5" t="n"/>
      <c r="AA117" s="5" t="n"/>
      <c r="AB117" s="5" t="n"/>
      <c r="AC117" s="5" t="n"/>
      <c r="AD117" s="5" t="n"/>
      <c r="AE117" s="5" t="n"/>
      <c r="AF117" s="5" t="n"/>
      <c r="AG117" s="5" t="n"/>
      <c r="AH117" s="5" t="n"/>
      <c r="AI117" s="5" t="n"/>
      <c r="AJ117" s="5" t="n"/>
      <c r="AK117" s="5" t="n"/>
      <c r="AL117" s="5" t="n"/>
      <c r="AM117" s="5" t="n"/>
      <c r="AN117" s="5" t="n"/>
      <c r="AO117" s="5" t="n"/>
      <c r="AP117" s="5" t="n"/>
      <c r="AQ117" s="5" t="n"/>
      <c r="AR117" s="40">
        <f t="array" ref="AR117">MIN(100, MAX(0,
  IFERROR(_xlfn.XLOOKUP(AJ117,'Lookup Tables'!$A$2:$A$7,'Lookup Tables'!$B$2:$B$7,0),0)
  + IF(Z117="Yes", IF(IFERROR(_xlfn.XLOOKUP(AJ117,'Lookup Tables'!$A$2:$A$7,'Lookup Tables'!$B$2:$B$7,0),0)&lt;20, 5, 0), 0)
  + _xlfn.IFS(AB117="Yes", IF(ISNUMBER(AC117)*AND(AC117&lt;=2030),15,10), AB117="Long-term Only", 5, AB117="No", 0, TRUE, 0)
  + _xlfn.IFS(AF117="Full",10, AF117="Partial",5, AF117="Scope 2 Only",3, TRUE,0)
  + _xlfn.IFS(AG117="Yes", IF(ISNUMBER(AH117)*AND(AH117&gt;=5),10,6), AG117="Partial",4, TRUE,0)
  + _xlfn.IFS(AI117="Yes",5, AI117="Partial (material categories only)",3, TRUE,0)
  + _xlfn.IFS(AL117="Yes — Detailed",10, AL117="Yes — High Level",5, TRUE,0)
  + _xlfn.IFS(AM117="Yes — Quantified",15, AM117="Yes — Directional Only",7, TRUE,0)
  + _xlfn.IFS(AP117="Formal",5, AP117="Referenced",2, TRUE,0)
  + _xlfn.IFS(AQ117="No Issues Found",5, AQ117="Concern Identified",-5, AQ117="Severe Contradiction",-15, TRUE,0)
  + _xlfn.IFS(BC117="Reasonable Assurance",5, BC117="Limited Assurance",3, TRUE,0)
  - IF(AND(Z117="Yes", AI117="No"), 10, 0)
  - IF(AND(Z117="Yes", AM117="No"), 10, 0)
))</f>
        <v/>
      </c>
      <c r="AS117" s="5" t="n"/>
      <c r="AT117" s="5" t="n"/>
      <c r="AU117" s="5" t="n"/>
      <c r="AV117" s="5" t="n"/>
      <c r="AW117" s="5" t="n"/>
      <c r="AX117" s="5" t="n"/>
      <c r="AY117" s="5" t="n"/>
      <c r="AZ117" s="5" t="n"/>
      <c r="BA117" s="5" t="n"/>
      <c r="BB117" s="5" t="n"/>
      <c r="BC117" s="5" t="n"/>
      <c r="BD117" s="5" t="n"/>
      <c r="BE117" s="39">
        <f t="array" ref="BE117">MIN(100, MAX(0,
  IFERROR(_xlfn.XLOOKUP(AT117,'Lookup Tables'!$D$2:$D$6,'Lookup Tables'!$E$2:$E$6,0),0)
  + IFERROR(_xlfn.XLOOKUP(AV117,'Lookup Tables'!$G$2:$G$5,'Lookup Tables'!$H$2:$H$5,0),0)
  + IFERROR(_xlfn.XLOOKUP(AW117,'Lookup Tables'!$J$2:$J$5,'Lookup Tables'!$K$2:$K$5,0),0)
  + _xlfn.IFS(AX117="No Issues",10, AX117="Complaint Filed",3, AX117="Confirmed Breach",-15, TRUE,0)
  + IFERROR(_xlfn.XLOOKUP(AY117,'Lookup Tables'!$M$2:$M$6,'Lookup Tables'!$N$2:$N$6,0),0)
  + IFERROR(_xlfn.XLOOKUP(AZ117,'Lookup Tables'!$P$2:$P$6,'Lookup Tables'!$Q$2:$Q$6,0),0)
  + _xlfn.IFS(BA117="Formal Board Committee",5, BA117="Board Oversight Mentioned",2, TRUE,0)
  + _xlfn.IFS(BB117="Yes — Quantified Targets",5, BB117="Yes — Discretionary Only",2, TRUE,0)
  + _xlfn.IFS(BC117="Reasonable Assurance",5, BC117="Limited Assurance",3, BC117="Management Review Only",1, TRUE,0)
))</f>
        <v/>
      </c>
      <c r="BF117" s="5" t="n"/>
      <c r="BG117" s="5" t="n"/>
      <c r="BH117" s="5" t="n"/>
      <c r="BI117" s="5" t="n"/>
      <c r="BJ117" s="5" t="n"/>
      <c r="BK117" s="5" t="n"/>
      <c r="BL117" s="5" t="n"/>
      <c r="BM117" s="5" t="n"/>
      <c r="BN117" s="5" t="n"/>
      <c r="BO117" s="5" t="n"/>
      <c r="BP117" s="5" t="n"/>
      <c r="BQ117" s="5" t="n"/>
      <c r="BR117" s="5" t="n"/>
      <c r="BS117" s="41">
        <f t="array" ref="BS117">MIN(100, MAX(0,
  IFERROR(_xlfn.XLOOKUP(BG117,'Lookup Tables'!$A$11:$A$16,'Lookup Tables'!$B$11:$B$16,0),0)
  + IFERROR(_xlfn.XLOOKUP(BR117,'Lookup Tables'!$M$11:$M$14,'Lookup Tables'!$N$11:$N$14,0),0)
  + IFERROR(_xlfn.XLOOKUP(BQ117,'Lookup Tables'!$J$11:$J$15,'Lookup Tables'!$K$11:$K$15,0),0)
  + IFERROR(_xlfn.XLOOKUP(BH117,'Lookup Tables'!$D$11:$D$15,'Lookup Tables'!$E$11:$E$15,0),0)
  + IFERROR(_xlfn.XLOOKUP(BJ117,'Lookup Tables'!$G$11:$G$16,'Lookup Tables'!$H$11:$H$16,0),0)
  + IFERROR(_xlfn.XLOOKUP(BN117,'Lookup Tables'!$P$11:$P$15,'Lookup Tables'!$Q$11:$Q$15,0),0)
  + _xlfn.IFS(BM117="No Evidence",10, BM117="Unknown",3, BM117="Likely",0, BM117="Confirmed",-10, TRUE,3)
  + IFERROR(_xlfn.XLOOKUP(BP117,'Lookup Tables'!$J$21:$J$24,'Lookup Tables'!$K$21:$K$24,0),0)
))</f>
        <v/>
      </c>
      <c r="BT117" s="5" t="n"/>
      <c r="BU117" s="5" t="n"/>
      <c r="BV117" s="5" t="n"/>
      <c r="BW117" s="5" t="n"/>
      <c r="BX117" s="5" t="n"/>
      <c r="BY117" s="5" t="n"/>
      <c r="BZ117" s="5" t="n"/>
      <c r="CA117" s="5" t="n"/>
      <c r="CB117" s="5" t="n"/>
      <c r="CC117" s="5" t="n"/>
      <c r="CD117" s="5" t="n"/>
      <c r="CE117" s="43">
        <f t="array" ref="CE117">MIN(100, MAX(0,
  IF(ISNUMBER(BV117)*AND(BV117&gt;0), 10, 0)
  + _xlfn.IFS(BY117="Independently Verified",25, BY117="Yes",15, TRUE,0)
  + IFERROR(_xlfn.XLOOKUP(BZ117,'Lookup Tables'!$A$21:$A$24,'Lookup Tables'!$B$21:$B$24,0),0)
  + IFERROR(_xlfn.XLOOKUP(CA117,'Lookup Tables'!$D$21:$D$24,'Lookup Tables'!$E$21:$E$24,0),0)
  + _xlfn.IFS(ISNUMBER(CB117)*AND(CB117&gt;=11),15, ISNUMBER(CB117)*AND(CB117&gt;=6),10, ISNUMBER(CB117)*AND(CB117&gt;=1),5, TRUE,0)
  + IFERROR(_xlfn.XLOOKUP(CC117,'Lookup Tables'!$G$21:$G$25,'Lookup Tables'!$H$21:$H$25,0),0)
  - IF(ISNUMBER(BW117)*AND(ISNUMBER(BV117))*AND(BW117&gt;BV117), 20, 0)
  - IF(AND(BY117="Yes", ISNUMBER(BW117), BW117&gt;60), 10, 0)
))</f>
        <v/>
      </c>
      <c r="CF117" s="5" t="n"/>
      <c r="CG117" s="5" t="n"/>
      <c r="CH117" s="5" t="n"/>
      <c r="CI117" s="5" t="n"/>
      <c r="CJ117" s="5" t="n"/>
      <c r="CK117" s="5" t="n"/>
      <c r="CL117" s="5" t="n"/>
      <c r="CM117" s="5" t="n"/>
      <c r="CN117" s="5" t="n"/>
      <c r="CO117" s="5" t="n"/>
      <c r="CP117" s="5" t="n"/>
      <c r="CQ117" s="5" t="n"/>
      <c r="CR117" s="5">
        <f>COUNTIF(CJ117:CQ117,"FAIL")</f>
        <v/>
      </c>
      <c r="CS117" s="5">
        <f>COUNTIF(CJ117:CQ117,"PARTIAL")</f>
        <v/>
      </c>
      <c r="CT117" s="5">
        <f>COUNTIF(CJ117:CQ117,"MISSING")</f>
        <v/>
      </c>
      <c r="CU117" s="5">
        <f>MIN(100,
  CR117*15
  + CS117*6
  + CT117*3
  + IFERROR(_xlfn.XLOOKUP(CW117,'Lookup Tables'!$M$21:$M$25,'Lookup Tables'!$N$21:$N$25,0),0)
)</f>
        <v/>
      </c>
      <c r="CV117" s="5">
        <f>IFERROR(
CHOOSE(
MATCH("FAIL",CJ117:CQ117,0),
"1-Specificity","2-Metric","3-Baseline","4-Target",
"5-Time Horizon","6-Scope","7-Verification","8-Consistency"
),
IFERROR(
CHOOSE(
MATCH("PARTIAL",CJ117:CQ117,0),
"1-Specificity","2-Metric","3-Baseline","4-Target",
"5-Time Horizon","6-Scope","7-Verification","8-Consistency"
),
"No failures"
)
)</f>
        <v/>
      </c>
      <c r="CW117" s="5" t="n"/>
      <c r="CX117" s="5" t="n"/>
      <c r="CY117" s="5" t="n"/>
      <c r="CZ117" s="5" t="n"/>
      <c r="DA117" s="5">
        <f>IF(OR(CU117&gt;=50,CW117="Material",CW117="Severe",AS117="Material",AS117="Severe",BF117="Material",BF117="Severe — Exclusion Trigger",AND(ISNUMBER(BS117),BS117&lt;30)),"Yes","No")</f>
        <v/>
      </c>
      <c r="DB117" s="5">
        <f>IF(OR(CR117&gt;=6,AW117="Confirmed Violation",AX117="Confirmed Breach"),"Yes — Automatic",IF(CW117="Severe","Yes — Requires Captain Confirmation","No"))</f>
        <v/>
      </c>
      <c r="DC117" s="5" t="n"/>
      <c r="DD117" s="5" t="n"/>
      <c r="DE117" s="5" t="n"/>
      <c r="DF117" s="5" t="n"/>
      <c r="DG117" s="5" t="n"/>
      <c r="DH117" s="5" t="n"/>
      <c r="DI117" s="5" t="n"/>
      <c r="DJ117" s="5" t="n"/>
      <c r="DK117" s="5" t="n"/>
      <c r="DL117" s="5">
        <f>IF(OR(IFERROR(VALUE(LEFT(DF117,1)),99)&lt;=2,IFERROR(VALUE(LEFT(DG117,1)),99)&lt;=2),"Flagged","Clear")</f>
        <v/>
      </c>
      <c r="DM117" s="5">
        <f>IF(OR(DA117="Yes",DB117&lt;&gt;"No",DH117="Unverified",DL117="Flagged"),"Yes","No")</f>
        <v/>
      </c>
      <c r="DN117" s="5">
        <f t="array" ref="DN117">MIN(100,
  IF(ISNUMBER(V117), _xlfn.IFS(V117&gt;=3,25, V117=2,15, V117=1,5, TRUE,0), 0)
  + IFERROR(_xlfn.IFS(VALUE(LEFT(DF117,1))=5,25, VALUE(LEFT(DF117,1))=4,20, VALUE(LEFT(DF117,1))=3,15, VALUE(LEFT(DF117,1))=2,8, TRUE,0), 15)
  + IFERROR(_xlfn.IFS(VALUE(LEFT(DG117,1))=5,25, VALUE(LEFT(DG117,1))=4,20, VALUE(LEFT(DG117,1))=3,15, VALUE(LEFT(DG117,1))=2,8, TRUE,0), 15)
  + _xlfn.IFS(DH117="Fully Verified",25, DH117="Partially Verified",12, TRUE,0)
)</f>
        <v/>
      </c>
      <c r="DO117" s="5">
        <f t="array" ref="DO117">_xlfn.IFS(
  ISBLANK(AR117), "Insufficient Evidence",
  AND(AR117&gt;=65, AJ117="Approved"), "Strong",
  AR117&gt;=65, "Adequate",
  AR117&gt;=40, "Adequate",
  AR117&gt;=20, "Weak",
  TRUE, "Insufficient Evidence"
)</f>
        <v/>
      </c>
      <c r="DP117" s="5">
        <f t="array" ref="DP117">_xlfn.IFS(
  ISBLANK(BS117), "Insufficient Evidence",
  BS117&gt;=65, "Strong",
  BS117&gt;=40, "Adequate",
  BS117&gt;=20, "Weak",
  TRUE, "Insufficient Evidence"
)</f>
        <v/>
      </c>
      <c r="DQ117" s="5">
        <f t="array" ref="DQ117">_xlfn.IFS(
  ISBLANK(BE117), "Insufficient Evidence",
  OR(AW117="Confirmed Violation", AX117="Confirmed Breach"), "Severe — Hard Trigger",
  BE117&gt;=65, "Strong",
  BE117&gt;=40, "Adequate",
  BE117&gt;=20, "Weak",
  TRUE, "Insufficient Evidence"
)</f>
        <v/>
      </c>
      <c r="DR117" s="5">
        <f t="array" ref="DR117">_xlfn.IFS(
  ISBLANK(CU117), "Insufficient Evidence",
  CU117&lt;=20, "Low Risk",
  CU117&lt;=50, "Moderate Risk",
  CU117&lt;=75, "High Risk",
  TRUE, "Very High Risk"
)</f>
        <v/>
      </c>
      <c r="DS117" s="5">
        <f t="array" ref="DS117">_xlfn.IFS(
  ISBLANK(CE117), "Insufficient Evidence",
  AND(ISNUMBER(BW117),ISNUMBER(BV117),BW117&gt;BV117), "Overclaiming Risk",
  CE117&gt;=65, "Strong",
  CE117&gt;=40, "Adequate",
  TRUE, "Weak"
)</f>
        <v/>
      </c>
      <c r="DT117" s="5">
        <f>IF(DB117="Yes — Automatic",0,ROUND((IF(ISNUMBER(AR117),AR117,0)*0.3+IF(ISNUMBER(BS117),BS117,0)*0.2+IF(ISNUMBER(BE117),BE117,0)*0.2+IF(ISNUMBER(CE117),CE117,0)*0.15+(100-IF(ISNUMBER(CU117),CU117,50))*0.15)*IF(DN117&gt;=75,1,IF(DN117&gt;=50,0.9,IF(DN117&gt;=25,0.75,0.6))),1))</f>
        <v/>
      </c>
      <c r="DU117" s="5">
        <f t="array" ref="DU117">_xlfn.IFS(
  DV117="Upgraded to Clear", "Clear",
  DV117="Downgraded to Watchlist", "Watchlist",
  DV117="Downgraded to Exclusion", "Exclusion Risk",
  DB117="Yes — Automatic", "Exclusion Risk",
  OR(AW117="Confirmed Violation", AX117="Confirmed Breach"), "Exclusion Risk",
  OR(V117=0, ISBLANK(V117), DN117&lt;20), "Insufficient Evidence",
  AND(DT117&gt;=65, DA117="No", DB117="No"), "Clear",
  OR(DT117&gt;=40, DA117="Yes"), "Watchlist",
  TRUE, "Exclusion Risk"
)</f>
        <v/>
      </c>
      <c r="DV117" s="5" t="n"/>
      <c r="DW117" s="5">
        <f t="array" ref="DW117">_xlfn.IFS(
  DU117="Exclusion Risk", "Exclude — Hard Trigger",
  DU117="Insufficient Evidence", "Watchlist — Further Evidence Needed",
  DU117="Watchlist", "Watchlist — Further Evidence Needed",
  AND(DU117="Clear", DT117&gt;=80), "Include — No Conditions",
  DU117="Clear", "Include — Monitor",
  TRUE, "Watchlist — Further Evidence Needed"
)</f>
        <v/>
      </c>
      <c r="DX117" s="5" t="n"/>
      <c r="DY117" s="5" t="n"/>
      <c r="DZ117" s="5" t="n"/>
      <c r="EA117" s="5" t="n"/>
      <c r="EB117" s="5">
        <f>IF(OR(V117=0, ISBLANK(V117)), "MISSING — No sources reviewed", "")</f>
        <v/>
      </c>
      <c r="EC117" s="5">
        <f>IF(AND(NOT(ISBLANK(DC117)), ISBLANK(DE117)), "PAGE REF MISSING", "")</f>
        <v/>
      </c>
    </row>
    <row r="118" ht="18" customHeight="1" s="60">
      <c r="A118" s="5" t="inlineStr">
        <is>
          <t>KGHM Polska Miedz SA</t>
        </is>
      </c>
      <c r="B118" s="5" t="inlineStr">
        <is>
          <t>KGHA</t>
        </is>
      </c>
      <c r="C118" s="5">
        <f>IF(ISBLANK('Universe Tracker'!D93),"",'Universe Tracker'!D93)</f>
        <v/>
      </c>
      <c r="D118" s="5" t="n"/>
      <c r="E118" s="5" t="n"/>
      <c r="F118" s="5">
        <f>IF(ISBLANK('Universe Tracker'!F93),"",'Universe Tracker'!F93)</f>
        <v/>
      </c>
      <c r="G118" s="5">
        <f>IF(ISBLANK('Universe Tracker'!G93),"",'Universe Tracker'!G93)</f>
        <v/>
      </c>
      <c r="H118" s="5" t="n"/>
      <c r="I118" s="5" t="n"/>
      <c r="J118" s="5">
        <f>IF(ISBLANK(B118),"",B118&amp;"_"&amp;C118)</f>
        <v/>
      </c>
      <c r="K118" s="5" t="n"/>
      <c r="L118" s="5" t="n"/>
      <c r="M118" s="5" t="n"/>
      <c r="N118" s="5" t="n"/>
      <c r="O118" s="5" t="n"/>
      <c r="P118" s="5" t="n"/>
      <c r="Q118" s="5" t="n"/>
      <c r="R118" s="5" t="n"/>
      <c r="S118" s="5" t="n"/>
      <c r="T118" s="5" t="n"/>
      <c r="U118" s="5" t="n"/>
      <c r="V118" s="5" t="n"/>
      <c r="W118" s="5" t="n"/>
      <c r="X118" s="5" t="n"/>
      <c r="Y118" s="5">
        <f>IF(AND(V118&gt;=2,K118="Yes",L118="Yes"),"Sufficient",IF(AND(V118&gt;=1,OR(K118="Yes",L118="Yes")),"Thin","Insufficient"))</f>
        <v/>
      </c>
      <c r="Z118" s="5" t="n"/>
      <c r="AA118" s="5" t="n"/>
      <c r="AB118" s="5" t="n"/>
      <c r="AC118" s="5" t="n"/>
      <c r="AD118" s="5" t="n"/>
      <c r="AE118" s="5" t="n"/>
      <c r="AF118" s="5" t="n"/>
      <c r="AG118" s="5" t="n"/>
      <c r="AH118" s="5" t="n"/>
      <c r="AI118" s="5" t="n"/>
      <c r="AJ118" s="5" t="n"/>
      <c r="AK118" s="5" t="n"/>
      <c r="AL118" s="5" t="n"/>
      <c r="AM118" s="5" t="n"/>
      <c r="AN118" s="5" t="n"/>
      <c r="AO118" s="5" t="n"/>
      <c r="AP118" s="5" t="n"/>
      <c r="AQ118" s="5" t="n"/>
      <c r="AR118" s="40">
        <f t="array" ref="AR118">MIN(100, MAX(0,
  IFERROR(_xlfn.XLOOKUP(AJ118,'Lookup Tables'!$A$2:$A$7,'Lookup Tables'!$B$2:$B$7,0),0)
  + IF(Z118="Yes", IF(IFERROR(_xlfn.XLOOKUP(AJ118,'Lookup Tables'!$A$2:$A$7,'Lookup Tables'!$B$2:$B$7,0),0)&lt;20, 5, 0), 0)
  + _xlfn.IFS(AB118="Yes", IF(ISNUMBER(AC118)*AND(AC118&lt;=2030),15,10), AB118="Long-term Only", 5, AB118="No", 0, TRUE, 0)
  + _xlfn.IFS(AF118="Full",10, AF118="Partial",5, AF118="Scope 2 Only",3, TRUE,0)
  + _xlfn.IFS(AG118="Yes", IF(ISNUMBER(AH118)*AND(AH118&gt;=5),10,6), AG118="Partial",4, TRUE,0)
  + _xlfn.IFS(AI118="Yes",5, AI118="Partial (material categories only)",3, TRUE,0)
  + _xlfn.IFS(AL118="Yes — Detailed",10, AL118="Yes — High Level",5, TRUE,0)
  + _xlfn.IFS(AM118="Yes — Quantified",15, AM118="Yes — Directional Only",7, TRUE,0)
  + _xlfn.IFS(AP118="Formal",5, AP118="Referenced",2, TRUE,0)
  + _xlfn.IFS(AQ118="No Issues Found",5, AQ118="Concern Identified",-5, AQ118="Severe Contradiction",-15, TRUE,0)
  + _xlfn.IFS(BC118="Reasonable Assurance",5, BC118="Limited Assurance",3, TRUE,0)
  - IF(AND(Z118="Yes", AI118="No"), 10, 0)
  - IF(AND(Z118="Yes", AM118="No"), 10, 0)
))</f>
        <v/>
      </c>
      <c r="AS118" s="5" t="n"/>
      <c r="AT118" s="5" t="n"/>
      <c r="AU118" s="5" t="n"/>
      <c r="AV118" s="5" t="n"/>
      <c r="AW118" s="5" t="n"/>
      <c r="AX118" s="5" t="n"/>
      <c r="AY118" s="5" t="n"/>
      <c r="AZ118" s="5" t="n"/>
      <c r="BA118" s="5" t="n"/>
      <c r="BB118" s="5" t="n"/>
      <c r="BC118" s="5" t="n"/>
      <c r="BD118" s="5" t="n"/>
      <c r="BE118" s="39">
        <f t="array" ref="BE118">MIN(100, MAX(0,
  IFERROR(_xlfn.XLOOKUP(AT118,'Lookup Tables'!$D$2:$D$6,'Lookup Tables'!$E$2:$E$6,0),0)
  + IFERROR(_xlfn.XLOOKUP(AV118,'Lookup Tables'!$G$2:$G$5,'Lookup Tables'!$H$2:$H$5,0),0)
  + IFERROR(_xlfn.XLOOKUP(AW118,'Lookup Tables'!$J$2:$J$5,'Lookup Tables'!$K$2:$K$5,0),0)
  + _xlfn.IFS(AX118="No Issues",10, AX118="Complaint Filed",3, AX118="Confirmed Breach",-15, TRUE,0)
  + IFERROR(_xlfn.XLOOKUP(AY118,'Lookup Tables'!$M$2:$M$6,'Lookup Tables'!$N$2:$N$6,0),0)
  + IFERROR(_xlfn.XLOOKUP(AZ118,'Lookup Tables'!$P$2:$P$6,'Lookup Tables'!$Q$2:$Q$6,0),0)
  + _xlfn.IFS(BA118="Formal Board Committee",5, BA118="Board Oversight Mentioned",2, TRUE,0)
  + _xlfn.IFS(BB118="Yes — Quantified Targets",5, BB118="Yes — Discretionary Only",2, TRUE,0)
  + _xlfn.IFS(BC118="Reasonable Assurance",5, BC118="Limited Assurance",3, BC118="Management Review Only",1, TRUE,0)
))</f>
        <v/>
      </c>
      <c r="BF118" s="5" t="n"/>
      <c r="BG118" s="5" t="n"/>
      <c r="BH118" s="5" t="n"/>
      <c r="BI118" s="5" t="n"/>
      <c r="BJ118" s="5" t="n"/>
      <c r="BK118" s="5" t="n"/>
      <c r="BL118" s="5" t="n"/>
      <c r="BM118" s="5" t="n"/>
      <c r="BN118" s="5" t="n"/>
      <c r="BO118" s="5" t="n"/>
      <c r="BP118" s="5" t="n"/>
      <c r="BQ118" s="5" t="n"/>
      <c r="BR118" s="5" t="n"/>
      <c r="BS118" s="41">
        <f t="array" ref="BS118">MIN(100, MAX(0,
  IFERROR(_xlfn.XLOOKUP(BG118,'Lookup Tables'!$A$11:$A$16,'Lookup Tables'!$B$11:$B$16,0),0)
  + IFERROR(_xlfn.XLOOKUP(BR118,'Lookup Tables'!$M$11:$M$14,'Lookup Tables'!$N$11:$N$14,0),0)
  + IFERROR(_xlfn.XLOOKUP(BQ118,'Lookup Tables'!$J$11:$J$15,'Lookup Tables'!$K$11:$K$15,0),0)
  + IFERROR(_xlfn.XLOOKUP(BH118,'Lookup Tables'!$D$11:$D$15,'Lookup Tables'!$E$11:$E$15,0),0)
  + IFERROR(_xlfn.XLOOKUP(BJ118,'Lookup Tables'!$G$11:$G$16,'Lookup Tables'!$H$11:$H$16,0),0)
  + IFERROR(_xlfn.XLOOKUP(BN118,'Lookup Tables'!$P$11:$P$15,'Lookup Tables'!$Q$11:$Q$15,0),0)
  + _xlfn.IFS(BM118="No Evidence",10, BM118="Unknown",3, BM118="Likely",0, BM118="Confirmed",-10, TRUE,3)
  + IFERROR(_xlfn.XLOOKUP(BP118,'Lookup Tables'!$J$21:$J$24,'Lookup Tables'!$K$21:$K$24,0),0)
))</f>
        <v/>
      </c>
      <c r="BT118" s="5" t="n"/>
      <c r="BU118" s="5" t="n"/>
      <c r="BV118" s="5" t="n"/>
      <c r="BW118" s="5" t="n"/>
      <c r="BX118" s="5" t="n"/>
      <c r="BY118" s="5" t="n"/>
      <c r="BZ118" s="5" t="n"/>
      <c r="CA118" s="5" t="n"/>
      <c r="CB118" s="5" t="n"/>
      <c r="CC118" s="5" t="n"/>
      <c r="CD118" s="5" t="n"/>
      <c r="CE118" s="43">
        <f t="array" ref="CE118">MIN(100, MAX(0,
  IF(ISNUMBER(BV118)*AND(BV118&gt;0), 10, 0)
  + _xlfn.IFS(BY118="Independently Verified",25, BY118="Yes",15, TRUE,0)
  + IFERROR(_xlfn.XLOOKUP(BZ118,'Lookup Tables'!$A$21:$A$24,'Lookup Tables'!$B$21:$B$24,0),0)
  + IFERROR(_xlfn.XLOOKUP(CA118,'Lookup Tables'!$D$21:$D$24,'Lookup Tables'!$E$21:$E$24,0),0)
  + _xlfn.IFS(ISNUMBER(CB118)*AND(CB118&gt;=11),15, ISNUMBER(CB118)*AND(CB118&gt;=6),10, ISNUMBER(CB118)*AND(CB118&gt;=1),5, TRUE,0)
  + IFERROR(_xlfn.XLOOKUP(CC118,'Lookup Tables'!$G$21:$G$25,'Lookup Tables'!$H$21:$H$25,0),0)
  - IF(ISNUMBER(BW118)*AND(ISNUMBER(BV118))*AND(BW118&gt;BV118), 20, 0)
  - IF(AND(BY118="Yes", ISNUMBER(BW118), BW118&gt;60), 10, 0)
))</f>
        <v/>
      </c>
      <c r="CF118" s="5" t="n"/>
      <c r="CG118" s="5" t="n"/>
      <c r="CH118" s="5" t="n"/>
      <c r="CI118" s="5" t="n"/>
      <c r="CJ118" s="5" t="n"/>
      <c r="CK118" s="5" t="n"/>
      <c r="CL118" s="5" t="n"/>
      <c r="CM118" s="5" t="n"/>
      <c r="CN118" s="5" t="n"/>
      <c r="CO118" s="5" t="n"/>
      <c r="CP118" s="5" t="n"/>
      <c r="CQ118" s="5" t="n"/>
      <c r="CR118" s="5">
        <f>COUNTIF(CJ118:CQ118,"FAIL")</f>
        <v/>
      </c>
      <c r="CS118" s="5">
        <f>COUNTIF(CJ118:CQ118,"PARTIAL")</f>
        <v/>
      </c>
      <c r="CT118" s="5">
        <f>COUNTIF(CJ118:CQ118,"MISSING")</f>
        <v/>
      </c>
      <c r="CU118" s="5">
        <f>MIN(100,
  CR118*15
  + CS118*6
  + CT118*3
  + IFERROR(_xlfn.XLOOKUP(CW118,'Lookup Tables'!$M$21:$M$25,'Lookup Tables'!$N$21:$N$25,0),0)
)</f>
        <v/>
      </c>
      <c r="CV118" s="5">
        <f>IFERROR(
CHOOSE(
MATCH("FAIL",CJ118:CQ118,0),
"1-Specificity","2-Metric","3-Baseline","4-Target",
"5-Time Horizon","6-Scope","7-Verification","8-Consistency"
),
IFERROR(
CHOOSE(
MATCH("PARTIAL",CJ118:CQ118,0),
"1-Specificity","2-Metric","3-Baseline","4-Target",
"5-Time Horizon","6-Scope","7-Verification","8-Consistency"
),
"No failures"
)
)</f>
        <v/>
      </c>
      <c r="CW118" s="5" t="n"/>
      <c r="CX118" s="5" t="n"/>
      <c r="CY118" s="5" t="n"/>
      <c r="CZ118" s="5" t="n"/>
      <c r="DA118" s="5">
        <f>IF(OR(CU118&gt;=50,CW118="Material",CW118="Severe",AS118="Material",AS118="Severe",BF118="Material",BF118="Severe — Exclusion Trigger",AND(ISNUMBER(BS118),BS118&lt;30)),"Yes","No")</f>
        <v/>
      </c>
      <c r="DB118" s="5">
        <f>IF(OR(CR118&gt;=6,AW118="Confirmed Violation",AX118="Confirmed Breach"),"Yes — Automatic",IF(CW118="Severe","Yes — Requires Captain Confirmation","No"))</f>
        <v/>
      </c>
      <c r="DC118" s="5" t="n"/>
      <c r="DD118" s="5" t="n"/>
      <c r="DE118" s="5" t="n"/>
      <c r="DF118" s="5" t="n"/>
      <c r="DG118" s="5" t="n"/>
      <c r="DH118" s="5" t="n"/>
      <c r="DI118" s="5" t="n"/>
      <c r="DJ118" s="5" t="n"/>
      <c r="DK118" s="5" t="n"/>
      <c r="DL118" s="5">
        <f>IF(OR(IFERROR(VALUE(LEFT(DF118,1)),99)&lt;=2,IFERROR(VALUE(LEFT(DG118,1)),99)&lt;=2),"Flagged","Clear")</f>
        <v/>
      </c>
      <c r="DM118" s="5">
        <f>IF(OR(DA118="Yes",DB118&lt;&gt;"No",DH118="Unverified",DL118="Flagged"),"Yes","No")</f>
        <v/>
      </c>
      <c r="DN118" s="5">
        <f t="array" ref="DN118">MIN(100,
  IF(ISNUMBER(V118), _xlfn.IFS(V118&gt;=3,25, V118=2,15, V118=1,5, TRUE,0), 0)
  + IFERROR(_xlfn.IFS(VALUE(LEFT(DF118,1))=5,25, VALUE(LEFT(DF118,1))=4,20, VALUE(LEFT(DF118,1))=3,15, VALUE(LEFT(DF118,1))=2,8, TRUE,0), 15)
  + IFERROR(_xlfn.IFS(VALUE(LEFT(DG118,1))=5,25, VALUE(LEFT(DG118,1))=4,20, VALUE(LEFT(DG118,1))=3,15, VALUE(LEFT(DG118,1))=2,8, TRUE,0), 15)
  + _xlfn.IFS(DH118="Fully Verified",25, DH118="Partially Verified",12, TRUE,0)
)</f>
        <v/>
      </c>
      <c r="DO118" s="5">
        <f t="array" ref="DO118">_xlfn.IFS(
  ISBLANK(AR118), "Insufficient Evidence",
  AND(AR118&gt;=65, AJ118="Approved"), "Strong",
  AR118&gt;=65, "Adequate",
  AR118&gt;=40, "Adequate",
  AR118&gt;=20, "Weak",
  TRUE, "Insufficient Evidence"
)</f>
        <v/>
      </c>
      <c r="DP118" s="5">
        <f t="array" ref="DP118">_xlfn.IFS(
  ISBLANK(BS118), "Insufficient Evidence",
  BS118&gt;=65, "Strong",
  BS118&gt;=40, "Adequate",
  BS118&gt;=20, "Weak",
  TRUE, "Insufficient Evidence"
)</f>
        <v/>
      </c>
      <c r="DQ118" s="5">
        <f t="array" ref="DQ118">_xlfn.IFS(
  ISBLANK(BE118), "Insufficient Evidence",
  OR(AW118="Confirmed Violation", AX118="Confirmed Breach"), "Severe — Hard Trigger",
  BE118&gt;=65, "Strong",
  BE118&gt;=40, "Adequate",
  BE118&gt;=20, "Weak",
  TRUE, "Insufficient Evidence"
)</f>
        <v/>
      </c>
      <c r="DR118" s="5">
        <f t="array" ref="DR118">_xlfn.IFS(
  ISBLANK(CU118), "Insufficient Evidence",
  CU118&lt;=20, "Low Risk",
  CU118&lt;=50, "Moderate Risk",
  CU118&lt;=75, "High Risk",
  TRUE, "Very High Risk"
)</f>
        <v/>
      </c>
      <c r="DS118" s="5">
        <f t="array" ref="DS118">_xlfn.IFS(
  ISBLANK(CE118), "Insufficient Evidence",
  AND(ISNUMBER(BW118),ISNUMBER(BV118),BW118&gt;BV118), "Overclaiming Risk",
  CE118&gt;=65, "Strong",
  CE118&gt;=40, "Adequate",
  TRUE, "Weak"
)</f>
        <v/>
      </c>
      <c r="DT118" s="5">
        <f>IF(DB118="Yes — Automatic",0,ROUND((IF(ISNUMBER(AR118),AR118,0)*0.3+IF(ISNUMBER(BS118),BS118,0)*0.2+IF(ISNUMBER(BE118),BE118,0)*0.2+IF(ISNUMBER(CE118),CE118,0)*0.15+(100-IF(ISNUMBER(CU118),CU118,50))*0.15)*IF(DN118&gt;=75,1,IF(DN118&gt;=50,0.9,IF(DN118&gt;=25,0.75,0.6))),1))</f>
        <v/>
      </c>
      <c r="DU118" s="5">
        <f t="array" ref="DU118">_xlfn.IFS(
  DV118="Upgraded to Clear", "Clear",
  DV118="Downgraded to Watchlist", "Watchlist",
  DV118="Downgraded to Exclusion", "Exclusion Risk",
  DB118="Yes — Automatic", "Exclusion Risk",
  OR(AW118="Confirmed Violation", AX118="Confirmed Breach"), "Exclusion Risk",
  OR(V118=0, ISBLANK(V118), DN118&lt;20), "Insufficient Evidence",
  AND(DT118&gt;=65, DA118="No", DB118="No"), "Clear",
  OR(DT118&gt;=40, DA118="Yes"), "Watchlist",
  TRUE, "Exclusion Risk"
)</f>
        <v/>
      </c>
      <c r="DV118" s="5" t="n"/>
      <c r="DW118" s="5">
        <f t="array" ref="DW118">_xlfn.IFS(
  DU118="Exclusion Risk", "Exclude — Hard Trigger",
  DU118="Insufficient Evidence", "Watchlist — Further Evidence Needed",
  DU118="Watchlist", "Watchlist — Further Evidence Needed",
  AND(DU118="Clear", DT118&gt;=80), "Include — No Conditions",
  DU118="Clear", "Include — Monitor",
  TRUE, "Watchlist — Further Evidence Needed"
)</f>
        <v/>
      </c>
      <c r="DX118" s="5" t="n"/>
      <c r="DY118" s="5" t="n"/>
      <c r="DZ118" s="5" t="n"/>
      <c r="EA118" s="5" t="n"/>
      <c r="EB118" s="5">
        <f>IF(OR(V118=0, ISBLANK(V118)), "MISSING — No sources reviewed", "")</f>
        <v/>
      </c>
      <c r="EC118" s="5">
        <f>IF(AND(NOT(ISBLANK(DC118)), ISBLANK(DE118)), "PAGE REF MISSING", "")</f>
        <v/>
      </c>
    </row>
    <row r="119" ht="18" customHeight="1" s="60">
      <c r="A119" s="5" t="inlineStr">
        <is>
          <t>Sectra AB</t>
        </is>
      </c>
      <c r="B119" s="5" t="inlineStr">
        <is>
          <t>61L0</t>
        </is>
      </c>
      <c r="C119" s="5">
        <f>IF(ISBLANK('Universe Tracker'!D94),"",'Universe Tracker'!D94)</f>
        <v/>
      </c>
      <c r="D119" s="5" t="n"/>
      <c r="E119" s="5" t="n"/>
      <c r="F119" s="5">
        <f>IF(ISBLANK('Universe Tracker'!F94),"",'Universe Tracker'!F94)</f>
        <v/>
      </c>
      <c r="G119" s="5">
        <f>IF(ISBLANK('Universe Tracker'!G94),"",'Universe Tracker'!G94)</f>
        <v/>
      </c>
      <c r="H119" s="5" t="n"/>
      <c r="I119" s="5" t="n"/>
      <c r="J119" s="5">
        <f>IF(ISBLANK(B119),"",B119&amp;"_"&amp;C119)</f>
        <v/>
      </c>
      <c r="K119" s="5" t="n"/>
      <c r="L119" s="5" t="n"/>
      <c r="M119" s="5" t="n"/>
      <c r="N119" s="5" t="n"/>
      <c r="O119" s="5" t="n"/>
      <c r="P119" s="5" t="n"/>
      <c r="Q119" s="5" t="n"/>
      <c r="R119" s="5" t="n"/>
      <c r="S119" s="5" t="n"/>
      <c r="T119" s="5" t="n"/>
      <c r="U119" s="5" t="n"/>
      <c r="V119" s="5" t="n"/>
      <c r="W119" s="5" t="n"/>
      <c r="X119" s="5" t="n"/>
      <c r="Y119" s="5">
        <f>IF(AND(V119&gt;=2,K119="Yes",L119="Yes"),"Sufficient",IF(AND(V119&gt;=1,OR(K119="Yes",L119="Yes")),"Thin","Insufficient"))</f>
        <v/>
      </c>
      <c r="Z119" s="5" t="n"/>
      <c r="AA119" s="5" t="n"/>
      <c r="AB119" s="5" t="n"/>
      <c r="AC119" s="5" t="n"/>
      <c r="AD119" s="5" t="n"/>
      <c r="AE119" s="5" t="n"/>
      <c r="AF119" s="5" t="n"/>
      <c r="AG119" s="5" t="n"/>
      <c r="AH119" s="5" t="n"/>
      <c r="AI119" s="5" t="n"/>
      <c r="AJ119" s="5" t="n"/>
      <c r="AK119" s="5" t="n"/>
      <c r="AL119" s="5" t="n"/>
      <c r="AM119" s="5" t="n"/>
      <c r="AN119" s="5" t="n"/>
      <c r="AO119" s="5" t="n"/>
      <c r="AP119" s="5" t="n"/>
      <c r="AQ119" s="5" t="n"/>
      <c r="AR119" s="40">
        <f t="array" ref="AR119">MIN(100, MAX(0,
  IFERROR(_xlfn.XLOOKUP(AJ119,'Lookup Tables'!$A$2:$A$7,'Lookup Tables'!$B$2:$B$7,0),0)
  + IF(Z119="Yes", IF(IFERROR(_xlfn.XLOOKUP(AJ119,'Lookup Tables'!$A$2:$A$7,'Lookup Tables'!$B$2:$B$7,0),0)&lt;20, 5, 0), 0)
  + _xlfn.IFS(AB119="Yes", IF(ISNUMBER(AC119)*AND(AC119&lt;=2030),15,10), AB119="Long-term Only", 5, AB119="No", 0, TRUE, 0)
  + _xlfn.IFS(AF119="Full",10, AF119="Partial",5, AF119="Scope 2 Only",3, TRUE,0)
  + _xlfn.IFS(AG119="Yes", IF(ISNUMBER(AH119)*AND(AH119&gt;=5),10,6), AG119="Partial",4, TRUE,0)
  + _xlfn.IFS(AI119="Yes",5, AI119="Partial (material categories only)",3, TRUE,0)
  + _xlfn.IFS(AL119="Yes — Detailed",10, AL119="Yes — High Level",5, TRUE,0)
  + _xlfn.IFS(AM119="Yes — Quantified",15, AM119="Yes — Directional Only",7, TRUE,0)
  + _xlfn.IFS(AP119="Formal",5, AP119="Referenced",2, TRUE,0)
  + _xlfn.IFS(AQ119="No Issues Found",5, AQ119="Concern Identified",-5, AQ119="Severe Contradiction",-15, TRUE,0)
  + _xlfn.IFS(BC119="Reasonable Assurance",5, BC119="Limited Assurance",3, TRUE,0)
  - IF(AND(Z119="Yes", AI119="No"), 10, 0)
  - IF(AND(Z119="Yes", AM119="No"), 10, 0)
))</f>
        <v/>
      </c>
      <c r="AS119" s="5" t="n"/>
      <c r="AT119" s="5" t="n"/>
      <c r="AU119" s="5" t="n"/>
      <c r="AV119" s="5" t="n"/>
      <c r="AW119" s="5" t="n"/>
      <c r="AX119" s="5" t="n"/>
      <c r="AY119" s="5" t="n"/>
      <c r="AZ119" s="5" t="n"/>
      <c r="BA119" s="5" t="n"/>
      <c r="BB119" s="5" t="n"/>
      <c r="BC119" s="5" t="n"/>
      <c r="BD119" s="5" t="n"/>
      <c r="BE119" s="39">
        <f t="array" ref="BE119">MIN(100, MAX(0,
  IFERROR(_xlfn.XLOOKUP(AT119,'Lookup Tables'!$D$2:$D$6,'Lookup Tables'!$E$2:$E$6,0),0)
  + IFERROR(_xlfn.XLOOKUP(AV119,'Lookup Tables'!$G$2:$G$5,'Lookup Tables'!$H$2:$H$5,0),0)
  + IFERROR(_xlfn.XLOOKUP(AW119,'Lookup Tables'!$J$2:$J$5,'Lookup Tables'!$K$2:$K$5,0),0)
  + _xlfn.IFS(AX119="No Issues",10, AX119="Complaint Filed",3, AX119="Confirmed Breach",-15, TRUE,0)
  + IFERROR(_xlfn.XLOOKUP(AY119,'Lookup Tables'!$M$2:$M$6,'Lookup Tables'!$N$2:$N$6,0),0)
  + IFERROR(_xlfn.XLOOKUP(AZ119,'Lookup Tables'!$P$2:$P$6,'Lookup Tables'!$Q$2:$Q$6,0),0)
  + _xlfn.IFS(BA119="Formal Board Committee",5, BA119="Board Oversight Mentioned",2, TRUE,0)
  + _xlfn.IFS(BB119="Yes — Quantified Targets",5, BB119="Yes — Discretionary Only",2, TRUE,0)
  + _xlfn.IFS(BC119="Reasonable Assurance",5, BC119="Limited Assurance",3, BC119="Management Review Only",1, TRUE,0)
))</f>
        <v/>
      </c>
      <c r="BF119" s="5" t="n"/>
      <c r="BG119" s="5" t="n"/>
      <c r="BH119" s="5" t="n"/>
      <c r="BI119" s="5" t="n"/>
      <c r="BJ119" s="5" t="n"/>
      <c r="BK119" s="5" t="n"/>
      <c r="BL119" s="5" t="n"/>
      <c r="BM119" s="5" t="n"/>
      <c r="BN119" s="5" t="n"/>
      <c r="BO119" s="5" t="n"/>
      <c r="BP119" s="5" t="n"/>
      <c r="BQ119" s="5" t="n"/>
      <c r="BR119" s="5" t="n"/>
      <c r="BS119" s="41">
        <f t="array" ref="BS119">MIN(100, MAX(0,
  IFERROR(_xlfn.XLOOKUP(BG119,'Lookup Tables'!$A$11:$A$16,'Lookup Tables'!$B$11:$B$16,0),0)
  + IFERROR(_xlfn.XLOOKUP(BR119,'Lookup Tables'!$M$11:$M$14,'Lookup Tables'!$N$11:$N$14,0),0)
  + IFERROR(_xlfn.XLOOKUP(BQ119,'Lookup Tables'!$J$11:$J$15,'Lookup Tables'!$K$11:$K$15,0),0)
  + IFERROR(_xlfn.XLOOKUP(BH119,'Lookup Tables'!$D$11:$D$15,'Lookup Tables'!$E$11:$E$15,0),0)
  + IFERROR(_xlfn.XLOOKUP(BJ119,'Lookup Tables'!$G$11:$G$16,'Lookup Tables'!$H$11:$H$16,0),0)
  + IFERROR(_xlfn.XLOOKUP(BN119,'Lookup Tables'!$P$11:$P$15,'Lookup Tables'!$Q$11:$Q$15,0),0)
  + _xlfn.IFS(BM119="No Evidence",10, BM119="Unknown",3, BM119="Likely",0, BM119="Confirmed",-10, TRUE,3)
  + IFERROR(_xlfn.XLOOKUP(BP119,'Lookup Tables'!$J$21:$J$24,'Lookup Tables'!$K$21:$K$24,0),0)
))</f>
        <v/>
      </c>
      <c r="BT119" s="5" t="n"/>
      <c r="BU119" s="5" t="n"/>
      <c r="BV119" s="5" t="n"/>
      <c r="BW119" s="5" t="n"/>
      <c r="BX119" s="5" t="n"/>
      <c r="BY119" s="5" t="n"/>
      <c r="BZ119" s="5" t="n"/>
      <c r="CA119" s="5" t="n"/>
      <c r="CB119" s="5" t="n"/>
      <c r="CC119" s="5" t="n"/>
      <c r="CD119" s="5" t="n"/>
      <c r="CE119" s="43">
        <f t="array" ref="CE119">MIN(100, MAX(0,
  IF(ISNUMBER(BV119)*AND(BV119&gt;0), 10, 0)
  + _xlfn.IFS(BY119="Independently Verified",25, BY119="Yes",15, TRUE,0)
  + IFERROR(_xlfn.XLOOKUP(BZ119,'Lookup Tables'!$A$21:$A$24,'Lookup Tables'!$B$21:$B$24,0),0)
  + IFERROR(_xlfn.XLOOKUP(CA119,'Lookup Tables'!$D$21:$D$24,'Lookup Tables'!$E$21:$E$24,0),0)
  + _xlfn.IFS(ISNUMBER(CB119)*AND(CB119&gt;=11),15, ISNUMBER(CB119)*AND(CB119&gt;=6),10, ISNUMBER(CB119)*AND(CB119&gt;=1),5, TRUE,0)
  + IFERROR(_xlfn.XLOOKUP(CC119,'Lookup Tables'!$G$21:$G$25,'Lookup Tables'!$H$21:$H$25,0),0)
  - IF(ISNUMBER(BW119)*AND(ISNUMBER(BV119))*AND(BW119&gt;BV119), 20, 0)
  - IF(AND(BY119="Yes", ISNUMBER(BW119), BW119&gt;60), 10, 0)
))</f>
        <v/>
      </c>
      <c r="CF119" s="5" t="n"/>
      <c r="CG119" s="5" t="n"/>
      <c r="CH119" s="5" t="n"/>
      <c r="CI119" s="5" t="n"/>
      <c r="CJ119" s="5" t="n"/>
      <c r="CK119" s="5" t="n"/>
      <c r="CL119" s="5" t="n"/>
      <c r="CM119" s="5" t="n"/>
      <c r="CN119" s="5" t="n"/>
      <c r="CO119" s="5" t="n"/>
      <c r="CP119" s="5" t="n"/>
      <c r="CQ119" s="5" t="n"/>
      <c r="CR119" s="5">
        <f>COUNTIF(CJ119:CQ119,"FAIL")</f>
        <v/>
      </c>
      <c r="CS119" s="5">
        <f>COUNTIF(CJ119:CQ119,"PARTIAL")</f>
        <v/>
      </c>
      <c r="CT119" s="5">
        <f>COUNTIF(CJ119:CQ119,"MISSING")</f>
        <v/>
      </c>
      <c r="CU119" s="5">
        <f>MIN(100,
  CR119*15
  + CS119*6
  + CT119*3
  + IFERROR(_xlfn.XLOOKUP(CW119,'Lookup Tables'!$M$21:$M$25,'Lookup Tables'!$N$21:$N$25,0),0)
)</f>
        <v/>
      </c>
      <c r="CV119" s="5">
        <f>IFERROR(
CHOOSE(
MATCH("FAIL",CJ119:CQ119,0),
"1-Specificity","2-Metric","3-Baseline","4-Target",
"5-Time Horizon","6-Scope","7-Verification","8-Consistency"
),
IFERROR(
CHOOSE(
MATCH("PARTIAL",CJ119:CQ119,0),
"1-Specificity","2-Metric","3-Baseline","4-Target",
"5-Time Horizon","6-Scope","7-Verification","8-Consistency"
),
"No failures"
)
)</f>
        <v/>
      </c>
      <c r="CW119" s="5" t="n"/>
      <c r="CX119" s="5" t="n"/>
      <c r="CY119" s="5" t="n"/>
      <c r="CZ119" s="5" t="n"/>
      <c r="DA119" s="5">
        <f>IF(OR(CU119&gt;=50,CW119="Material",CW119="Severe",AS119="Material",AS119="Severe",BF119="Material",BF119="Severe — Exclusion Trigger",AND(ISNUMBER(BS119),BS119&lt;30)),"Yes","No")</f>
        <v/>
      </c>
      <c r="DB119" s="5">
        <f>IF(OR(CR119&gt;=6,AW119="Confirmed Violation",AX119="Confirmed Breach"),"Yes — Automatic",IF(CW119="Severe","Yes — Requires Captain Confirmation","No"))</f>
        <v/>
      </c>
      <c r="DC119" s="5" t="n"/>
      <c r="DD119" s="5" t="n"/>
      <c r="DE119" s="5" t="n"/>
      <c r="DF119" s="5" t="n"/>
      <c r="DG119" s="5" t="n"/>
      <c r="DH119" s="5" t="n"/>
      <c r="DI119" s="5" t="n"/>
      <c r="DJ119" s="5" t="n"/>
      <c r="DK119" s="5" t="n"/>
      <c r="DL119" s="5">
        <f>IF(OR(IFERROR(VALUE(LEFT(DF119,1)),99)&lt;=2,IFERROR(VALUE(LEFT(DG119,1)),99)&lt;=2),"Flagged","Clear")</f>
        <v/>
      </c>
      <c r="DM119" s="5">
        <f>IF(OR(DA119="Yes",DB119&lt;&gt;"No",DH119="Unverified",DL119="Flagged"),"Yes","No")</f>
        <v/>
      </c>
      <c r="DN119" s="5">
        <f t="array" ref="DN119">MIN(100,
  IF(ISNUMBER(V119), _xlfn.IFS(V119&gt;=3,25, V119=2,15, V119=1,5, TRUE,0), 0)
  + IFERROR(_xlfn.IFS(VALUE(LEFT(DF119,1))=5,25, VALUE(LEFT(DF119,1))=4,20, VALUE(LEFT(DF119,1))=3,15, VALUE(LEFT(DF119,1))=2,8, TRUE,0), 15)
  + IFERROR(_xlfn.IFS(VALUE(LEFT(DG119,1))=5,25, VALUE(LEFT(DG119,1))=4,20, VALUE(LEFT(DG119,1))=3,15, VALUE(LEFT(DG119,1))=2,8, TRUE,0), 15)
  + _xlfn.IFS(DH119="Fully Verified",25, DH119="Partially Verified",12, TRUE,0)
)</f>
        <v/>
      </c>
      <c r="DO119" s="5">
        <f t="array" ref="DO119">_xlfn.IFS(
  ISBLANK(AR119), "Insufficient Evidence",
  AND(AR119&gt;=65, AJ119="Approved"), "Strong",
  AR119&gt;=65, "Adequate",
  AR119&gt;=40, "Adequate",
  AR119&gt;=20, "Weak",
  TRUE, "Insufficient Evidence"
)</f>
        <v/>
      </c>
      <c r="DP119" s="5">
        <f t="array" ref="DP119">_xlfn.IFS(
  ISBLANK(BS119), "Insufficient Evidence",
  BS119&gt;=65, "Strong",
  BS119&gt;=40, "Adequate",
  BS119&gt;=20, "Weak",
  TRUE, "Insufficient Evidence"
)</f>
        <v/>
      </c>
      <c r="DQ119" s="5">
        <f t="array" ref="DQ119">_xlfn.IFS(
  ISBLANK(BE119), "Insufficient Evidence",
  OR(AW119="Confirmed Violation", AX119="Confirmed Breach"), "Severe — Hard Trigger",
  BE119&gt;=65, "Strong",
  BE119&gt;=40, "Adequate",
  BE119&gt;=20, "Weak",
  TRUE, "Insufficient Evidence"
)</f>
        <v/>
      </c>
      <c r="DR119" s="5">
        <f t="array" ref="DR119">_xlfn.IFS(
  ISBLANK(CU119), "Insufficient Evidence",
  CU119&lt;=20, "Low Risk",
  CU119&lt;=50, "Moderate Risk",
  CU119&lt;=75, "High Risk",
  TRUE, "Very High Risk"
)</f>
        <v/>
      </c>
      <c r="DS119" s="5">
        <f t="array" ref="DS119">_xlfn.IFS(
  ISBLANK(CE119), "Insufficient Evidence",
  AND(ISNUMBER(BW119),ISNUMBER(BV119),BW119&gt;BV119), "Overclaiming Risk",
  CE119&gt;=65, "Strong",
  CE119&gt;=40, "Adequate",
  TRUE, "Weak"
)</f>
        <v/>
      </c>
      <c r="DT119" s="5">
        <f>IF(DB119="Yes — Automatic",0,ROUND((IF(ISNUMBER(AR119),AR119,0)*0.3+IF(ISNUMBER(BS119),BS119,0)*0.2+IF(ISNUMBER(BE119),BE119,0)*0.2+IF(ISNUMBER(CE119),CE119,0)*0.15+(100-IF(ISNUMBER(CU119),CU119,50))*0.15)*IF(DN119&gt;=75,1,IF(DN119&gt;=50,0.9,IF(DN119&gt;=25,0.75,0.6))),1))</f>
        <v/>
      </c>
      <c r="DU119" s="5">
        <f t="array" ref="DU119">_xlfn.IFS(
  DV119="Upgraded to Clear", "Clear",
  DV119="Downgraded to Watchlist", "Watchlist",
  DV119="Downgraded to Exclusion", "Exclusion Risk",
  DB119="Yes — Automatic", "Exclusion Risk",
  OR(AW119="Confirmed Violation", AX119="Confirmed Breach"), "Exclusion Risk",
  OR(V119=0, ISBLANK(V119), DN119&lt;20), "Insufficient Evidence",
  AND(DT119&gt;=65, DA119="No", DB119="No"), "Clear",
  OR(DT119&gt;=40, DA119="Yes"), "Watchlist",
  TRUE, "Exclusion Risk"
)</f>
        <v/>
      </c>
      <c r="DV119" s="5" t="n"/>
      <c r="DW119" s="5">
        <f t="array" ref="DW119">_xlfn.IFS(
  DU119="Exclusion Risk", "Exclude — Hard Trigger",
  DU119="Insufficient Evidence", "Watchlist — Further Evidence Needed",
  DU119="Watchlist", "Watchlist — Further Evidence Needed",
  AND(DU119="Clear", DT119&gt;=80), "Include — No Conditions",
  DU119="Clear", "Include — Monitor",
  TRUE, "Watchlist — Further Evidence Needed"
)</f>
        <v/>
      </c>
      <c r="DX119" s="5" t="n"/>
      <c r="DY119" s="5" t="n"/>
      <c r="DZ119" s="5" t="n"/>
      <c r="EA119" s="5" t="n"/>
      <c r="EB119" s="5">
        <f>IF(OR(V119=0, ISBLANK(V119)), "MISSING — No sources reviewed", "")</f>
        <v/>
      </c>
      <c r="EC119" s="5">
        <f>IF(AND(NOT(ISBLANK(DC119)), ISBLANK(DE119)), "PAGE REF MISSING", "")</f>
        <v/>
      </c>
    </row>
    <row r="120" ht="18" customHeight="1" s="60">
      <c r="A120" s="5" t="inlineStr">
        <is>
          <t>Muenchener Rueckversicherungs-Gesellschaft AG in Muenchen</t>
        </is>
      </c>
      <c r="B120" s="5" t="inlineStr">
        <is>
          <t>MUV2</t>
        </is>
      </c>
      <c r="C120" s="5">
        <f>IF(ISBLANK('Universe Tracker'!D95),"",'Universe Tracker'!D95)</f>
        <v/>
      </c>
      <c r="D120" s="5" t="n"/>
      <c r="E120" s="5" t="n"/>
      <c r="F120" s="5">
        <f>IF(ISBLANK('Universe Tracker'!F95),"",'Universe Tracker'!F95)</f>
        <v/>
      </c>
      <c r="G120" s="5">
        <f>IF(ISBLANK('Universe Tracker'!G95),"",'Universe Tracker'!G95)</f>
        <v/>
      </c>
      <c r="H120" s="5" t="n"/>
      <c r="I120" s="5" t="n"/>
      <c r="J120" s="5">
        <f>IF(ISBLANK(B120),"",B120&amp;"_"&amp;C120)</f>
        <v/>
      </c>
      <c r="K120" s="5" t="n"/>
      <c r="L120" s="5" t="n"/>
      <c r="M120" s="5" t="n"/>
      <c r="N120" s="5" t="n"/>
      <c r="O120" s="5" t="n"/>
      <c r="P120" s="5" t="n"/>
      <c r="Q120" s="5" t="n"/>
      <c r="R120" s="5" t="n"/>
      <c r="S120" s="5" t="n"/>
      <c r="T120" s="5" t="n"/>
      <c r="U120" s="5" t="n"/>
      <c r="V120" s="5" t="n"/>
      <c r="W120" s="5" t="n"/>
      <c r="X120" s="5" t="n"/>
      <c r="Y120" s="5">
        <f>IF(AND(V120&gt;=2,K120="Yes",L120="Yes"),"Sufficient",IF(AND(V120&gt;=1,OR(K120="Yes",L120="Yes")),"Thin","Insufficient"))</f>
        <v/>
      </c>
      <c r="Z120" s="5" t="n"/>
      <c r="AA120" s="5" t="n"/>
      <c r="AB120" s="5" t="n"/>
      <c r="AC120" s="5" t="n"/>
      <c r="AD120" s="5" t="n"/>
      <c r="AE120" s="5" t="n"/>
      <c r="AF120" s="5" t="n"/>
      <c r="AG120" s="5" t="n"/>
      <c r="AH120" s="5" t="n"/>
      <c r="AI120" s="5" t="n"/>
      <c r="AJ120" s="5" t="n"/>
      <c r="AK120" s="5" t="n"/>
      <c r="AL120" s="5" t="n"/>
      <c r="AM120" s="5" t="n"/>
      <c r="AN120" s="5" t="n"/>
      <c r="AO120" s="5" t="n"/>
      <c r="AP120" s="5" t="n"/>
      <c r="AQ120" s="5" t="n"/>
      <c r="AR120" s="40">
        <f t="array" ref="AR120">MIN(100, MAX(0,
  IFERROR(_xlfn.XLOOKUP(AJ120,'Lookup Tables'!$A$2:$A$7,'Lookup Tables'!$B$2:$B$7,0),0)
  + IF(Z120="Yes", IF(IFERROR(_xlfn.XLOOKUP(AJ120,'Lookup Tables'!$A$2:$A$7,'Lookup Tables'!$B$2:$B$7,0),0)&lt;20, 5, 0), 0)
  + _xlfn.IFS(AB120="Yes", IF(ISNUMBER(AC120)*AND(AC120&lt;=2030),15,10), AB120="Long-term Only", 5, AB120="No", 0, TRUE, 0)
  + _xlfn.IFS(AF120="Full",10, AF120="Partial",5, AF120="Scope 2 Only",3, TRUE,0)
  + _xlfn.IFS(AG120="Yes", IF(ISNUMBER(AH120)*AND(AH120&gt;=5),10,6), AG120="Partial",4, TRUE,0)
  + _xlfn.IFS(AI120="Yes",5, AI120="Partial (material categories only)",3, TRUE,0)
  + _xlfn.IFS(AL120="Yes — Detailed",10, AL120="Yes — High Level",5, TRUE,0)
  + _xlfn.IFS(AM120="Yes — Quantified",15, AM120="Yes — Directional Only",7, TRUE,0)
  + _xlfn.IFS(AP120="Formal",5, AP120="Referenced",2, TRUE,0)
  + _xlfn.IFS(AQ120="No Issues Found",5, AQ120="Concern Identified",-5, AQ120="Severe Contradiction",-15, TRUE,0)
  + _xlfn.IFS(BC120="Reasonable Assurance",5, BC120="Limited Assurance",3, TRUE,0)
  - IF(AND(Z120="Yes", AI120="No"), 10, 0)
  - IF(AND(Z120="Yes", AM120="No"), 10, 0)
))</f>
        <v/>
      </c>
      <c r="AS120" s="5" t="n"/>
      <c r="AT120" s="5" t="n"/>
      <c r="AU120" s="5" t="n"/>
      <c r="AV120" s="5" t="n"/>
      <c r="AW120" s="5" t="n"/>
      <c r="AX120" s="5" t="n"/>
      <c r="AY120" s="5" t="n"/>
      <c r="AZ120" s="5" t="n"/>
      <c r="BA120" s="5" t="n"/>
      <c r="BB120" s="5" t="n"/>
      <c r="BC120" s="5" t="n"/>
      <c r="BD120" s="5" t="n"/>
      <c r="BE120" s="39">
        <f t="array" ref="BE120">MIN(100, MAX(0,
  IFERROR(_xlfn.XLOOKUP(AT120,'Lookup Tables'!$D$2:$D$6,'Lookup Tables'!$E$2:$E$6,0),0)
  + IFERROR(_xlfn.XLOOKUP(AV120,'Lookup Tables'!$G$2:$G$5,'Lookup Tables'!$H$2:$H$5,0),0)
  + IFERROR(_xlfn.XLOOKUP(AW120,'Lookup Tables'!$J$2:$J$5,'Lookup Tables'!$K$2:$K$5,0),0)
  + _xlfn.IFS(AX120="No Issues",10, AX120="Complaint Filed",3, AX120="Confirmed Breach",-15, TRUE,0)
  + IFERROR(_xlfn.XLOOKUP(AY120,'Lookup Tables'!$M$2:$M$6,'Lookup Tables'!$N$2:$N$6,0),0)
  + IFERROR(_xlfn.XLOOKUP(AZ120,'Lookup Tables'!$P$2:$P$6,'Lookup Tables'!$Q$2:$Q$6,0),0)
  + _xlfn.IFS(BA120="Formal Board Committee",5, BA120="Board Oversight Mentioned",2, TRUE,0)
  + _xlfn.IFS(BB120="Yes — Quantified Targets",5, BB120="Yes — Discretionary Only",2, TRUE,0)
  + _xlfn.IFS(BC120="Reasonable Assurance",5, BC120="Limited Assurance",3, BC120="Management Review Only",1, TRUE,0)
))</f>
        <v/>
      </c>
      <c r="BF120" s="5" t="n"/>
      <c r="BG120" s="5" t="n"/>
      <c r="BH120" s="5" t="n"/>
      <c r="BI120" s="5" t="n"/>
      <c r="BJ120" s="5" t="n"/>
      <c r="BK120" s="5" t="n"/>
      <c r="BL120" s="5" t="n"/>
      <c r="BM120" s="5" t="n"/>
      <c r="BN120" s="5" t="n"/>
      <c r="BO120" s="5" t="n"/>
      <c r="BP120" s="5" t="n"/>
      <c r="BQ120" s="5" t="n"/>
      <c r="BR120" s="5" t="n"/>
      <c r="BS120" s="41">
        <f t="array" ref="BS120">MIN(100, MAX(0,
  IFERROR(_xlfn.XLOOKUP(BG120,'Lookup Tables'!$A$11:$A$16,'Lookup Tables'!$B$11:$B$16,0),0)
  + IFERROR(_xlfn.XLOOKUP(BR120,'Lookup Tables'!$M$11:$M$14,'Lookup Tables'!$N$11:$N$14,0),0)
  + IFERROR(_xlfn.XLOOKUP(BQ120,'Lookup Tables'!$J$11:$J$15,'Lookup Tables'!$K$11:$K$15,0),0)
  + IFERROR(_xlfn.XLOOKUP(BH120,'Lookup Tables'!$D$11:$D$15,'Lookup Tables'!$E$11:$E$15,0),0)
  + IFERROR(_xlfn.XLOOKUP(BJ120,'Lookup Tables'!$G$11:$G$16,'Lookup Tables'!$H$11:$H$16,0),0)
  + IFERROR(_xlfn.XLOOKUP(BN120,'Lookup Tables'!$P$11:$P$15,'Lookup Tables'!$Q$11:$Q$15,0),0)
  + _xlfn.IFS(BM120="No Evidence",10, BM120="Unknown",3, BM120="Likely",0, BM120="Confirmed",-10, TRUE,3)
  + IFERROR(_xlfn.XLOOKUP(BP120,'Lookup Tables'!$J$21:$J$24,'Lookup Tables'!$K$21:$K$24,0),0)
))</f>
        <v/>
      </c>
      <c r="BT120" s="5" t="n"/>
      <c r="BU120" s="5" t="n"/>
      <c r="BV120" s="5" t="n"/>
      <c r="BW120" s="5" t="n"/>
      <c r="BX120" s="5" t="n"/>
      <c r="BY120" s="5" t="n"/>
      <c r="BZ120" s="5" t="n"/>
      <c r="CA120" s="5" t="n"/>
      <c r="CB120" s="5" t="n"/>
      <c r="CC120" s="5" t="n"/>
      <c r="CD120" s="5" t="n"/>
      <c r="CE120" s="43">
        <f t="array" ref="CE120">MIN(100, MAX(0,
  IF(ISNUMBER(BV120)*AND(BV120&gt;0), 10, 0)
  + _xlfn.IFS(BY120="Independently Verified",25, BY120="Yes",15, TRUE,0)
  + IFERROR(_xlfn.XLOOKUP(BZ120,'Lookup Tables'!$A$21:$A$24,'Lookup Tables'!$B$21:$B$24,0),0)
  + IFERROR(_xlfn.XLOOKUP(CA120,'Lookup Tables'!$D$21:$D$24,'Lookup Tables'!$E$21:$E$24,0),0)
  + _xlfn.IFS(ISNUMBER(CB120)*AND(CB120&gt;=11),15, ISNUMBER(CB120)*AND(CB120&gt;=6),10, ISNUMBER(CB120)*AND(CB120&gt;=1),5, TRUE,0)
  + IFERROR(_xlfn.XLOOKUP(CC120,'Lookup Tables'!$G$21:$G$25,'Lookup Tables'!$H$21:$H$25,0),0)
  - IF(ISNUMBER(BW120)*AND(ISNUMBER(BV120))*AND(BW120&gt;BV120), 20, 0)
  - IF(AND(BY120="Yes", ISNUMBER(BW120), BW120&gt;60), 10, 0)
))</f>
        <v/>
      </c>
      <c r="CF120" s="5" t="n"/>
      <c r="CG120" s="5" t="n"/>
      <c r="CH120" s="5" t="n"/>
      <c r="CI120" s="5" t="n"/>
      <c r="CJ120" s="5" t="n"/>
      <c r="CK120" s="5" t="n"/>
      <c r="CL120" s="5" t="n"/>
      <c r="CM120" s="5" t="n"/>
      <c r="CN120" s="5" t="n"/>
      <c r="CO120" s="5" t="n"/>
      <c r="CP120" s="5" t="n"/>
      <c r="CQ120" s="5" t="n"/>
      <c r="CR120" s="5">
        <f>COUNTIF(CJ120:CQ120,"FAIL")</f>
        <v/>
      </c>
      <c r="CS120" s="5">
        <f>COUNTIF(CJ120:CQ120,"PARTIAL")</f>
        <v/>
      </c>
      <c r="CT120" s="5">
        <f>COUNTIF(CJ120:CQ120,"MISSING")</f>
        <v/>
      </c>
      <c r="CU120" s="5">
        <f>MIN(100,
  CR120*15
  + CS120*6
  + CT120*3
  + IFERROR(_xlfn.XLOOKUP(CW120,'Lookup Tables'!$M$21:$M$25,'Lookup Tables'!$N$21:$N$25,0),0)
)</f>
        <v/>
      </c>
      <c r="CV120" s="5">
        <f>IFERROR(
CHOOSE(
MATCH("FAIL",CJ120:CQ120,0),
"1-Specificity","2-Metric","3-Baseline","4-Target",
"5-Time Horizon","6-Scope","7-Verification","8-Consistency"
),
IFERROR(
CHOOSE(
MATCH("PARTIAL",CJ120:CQ120,0),
"1-Specificity","2-Metric","3-Baseline","4-Target",
"5-Time Horizon","6-Scope","7-Verification","8-Consistency"
),
"No failures"
)
)</f>
        <v/>
      </c>
      <c r="CW120" s="5" t="n"/>
      <c r="CX120" s="5" t="n"/>
      <c r="CY120" s="5" t="n"/>
      <c r="CZ120" s="5" t="n"/>
      <c r="DA120" s="5">
        <f>IF(OR(CU120&gt;=50,CW120="Material",CW120="Severe",AS120="Material",AS120="Severe",BF120="Material",BF120="Severe — Exclusion Trigger",AND(ISNUMBER(BS120),BS120&lt;30)),"Yes","No")</f>
        <v/>
      </c>
      <c r="DB120" s="5">
        <f>IF(OR(CR120&gt;=6,AW120="Confirmed Violation",AX120="Confirmed Breach"),"Yes — Automatic",IF(CW120="Severe","Yes — Requires Captain Confirmation","No"))</f>
        <v/>
      </c>
      <c r="DC120" s="5" t="n"/>
      <c r="DD120" s="5" t="n"/>
      <c r="DE120" s="5" t="n"/>
      <c r="DF120" s="5" t="n"/>
      <c r="DG120" s="5" t="n"/>
      <c r="DH120" s="5" t="n"/>
      <c r="DI120" s="5" t="n"/>
      <c r="DJ120" s="5" t="n"/>
      <c r="DK120" s="5" t="n"/>
      <c r="DL120" s="5">
        <f>IF(OR(IFERROR(VALUE(LEFT(DF120,1)),99)&lt;=2,IFERROR(VALUE(LEFT(DG120,1)),99)&lt;=2),"Flagged","Clear")</f>
        <v/>
      </c>
      <c r="DM120" s="5">
        <f>IF(OR(DA120="Yes",DB120&lt;&gt;"No",DH120="Unverified",DL120="Flagged"),"Yes","No")</f>
        <v/>
      </c>
      <c r="DN120" s="5">
        <f t="array" ref="DN120">MIN(100,
  IF(ISNUMBER(V120), _xlfn.IFS(V120&gt;=3,25, V120=2,15, V120=1,5, TRUE,0), 0)
  + IFERROR(_xlfn.IFS(VALUE(LEFT(DF120,1))=5,25, VALUE(LEFT(DF120,1))=4,20, VALUE(LEFT(DF120,1))=3,15, VALUE(LEFT(DF120,1))=2,8, TRUE,0), 15)
  + IFERROR(_xlfn.IFS(VALUE(LEFT(DG120,1))=5,25, VALUE(LEFT(DG120,1))=4,20, VALUE(LEFT(DG120,1))=3,15, VALUE(LEFT(DG120,1))=2,8, TRUE,0), 15)
  + _xlfn.IFS(DH120="Fully Verified",25, DH120="Partially Verified",12, TRUE,0)
)</f>
        <v/>
      </c>
      <c r="DO120" s="5">
        <f t="array" ref="DO120">_xlfn.IFS(
  ISBLANK(AR120), "Insufficient Evidence",
  AND(AR120&gt;=65, AJ120="Approved"), "Strong",
  AR120&gt;=65, "Adequate",
  AR120&gt;=40, "Adequate",
  AR120&gt;=20, "Weak",
  TRUE, "Insufficient Evidence"
)</f>
        <v/>
      </c>
      <c r="DP120" s="5">
        <f t="array" ref="DP120">_xlfn.IFS(
  ISBLANK(BS120), "Insufficient Evidence",
  BS120&gt;=65, "Strong",
  BS120&gt;=40, "Adequate",
  BS120&gt;=20, "Weak",
  TRUE, "Insufficient Evidence"
)</f>
        <v/>
      </c>
      <c r="DQ120" s="5">
        <f t="array" ref="DQ120">_xlfn.IFS(
  ISBLANK(BE120), "Insufficient Evidence",
  OR(AW120="Confirmed Violation", AX120="Confirmed Breach"), "Severe — Hard Trigger",
  BE120&gt;=65, "Strong",
  BE120&gt;=40, "Adequate",
  BE120&gt;=20, "Weak",
  TRUE, "Insufficient Evidence"
)</f>
        <v/>
      </c>
      <c r="DR120" s="5">
        <f t="array" ref="DR120">_xlfn.IFS(
  ISBLANK(CU120), "Insufficient Evidence",
  CU120&lt;=20, "Low Risk",
  CU120&lt;=50, "Moderate Risk",
  CU120&lt;=75, "High Risk",
  TRUE, "Very High Risk"
)</f>
        <v/>
      </c>
      <c r="DS120" s="5">
        <f t="array" ref="DS120">_xlfn.IFS(
  ISBLANK(CE120), "Insufficient Evidence",
  AND(ISNUMBER(BW120),ISNUMBER(BV120),BW120&gt;BV120), "Overclaiming Risk",
  CE120&gt;=65, "Strong",
  CE120&gt;=40, "Adequate",
  TRUE, "Weak"
)</f>
        <v/>
      </c>
      <c r="DT120" s="5">
        <f>IF(DB120="Yes — Automatic",0,ROUND((IF(ISNUMBER(AR120),AR120,0)*0.3+IF(ISNUMBER(BS120),BS120,0)*0.2+IF(ISNUMBER(BE120),BE120,0)*0.2+IF(ISNUMBER(CE120),CE120,0)*0.15+(100-IF(ISNUMBER(CU120),CU120,50))*0.15)*IF(DN120&gt;=75,1,IF(DN120&gt;=50,0.9,IF(DN120&gt;=25,0.75,0.6))),1))</f>
        <v/>
      </c>
      <c r="DU120" s="5">
        <f t="array" ref="DU120">_xlfn.IFS(
  DV120="Upgraded to Clear", "Clear",
  DV120="Downgraded to Watchlist", "Watchlist",
  DV120="Downgraded to Exclusion", "Exclusion Risk",
  DB120="Yes — Automatic", "Exclusion Risk",
  OR(AW120="Confirmed Violation", AX120="Confirmed Breach"), "Exclusion Risk",
  OR(V120=0, ISBLANK(V120), DN120&lt;20), "Insufficient Evidence",
  AND(DT120&gt;=65, DA120="No", DB120="No"), "Clear",
  OR(DT120&gt;=40, DA120="Yes"), "Watchlist",
  TRUE, "Exclusion Risk"
)</f>
        <v/>
      </c>
      <c r="DV120" s="5" t="n"/>
      <c r="DW120" s="5">
        <f t="array" ref="DW120">_xlfn.IFS(
  DU120="Exclusion Risk", "Exclude — Hard Trigger",
  DU120="Insufficient Evidence", "Watchlist — Further Evidence Needed",
  DU120="Watchlist", "Watchlist — Further Evidence Needed",
  AND(DU120="Clear", DT120&gt;=80), "Include — No Conditions",
  DU120="Clear", "Include — Monitor",
  TRUE, "Watchlist — Further Evidence Needed"
)</f>
        <v/>
      </c>
      <c r="DX120" s="5" t="n"/>
      <c r="DY120" s="5" t="n"/>
      <c r="DZ120" s="5" t="n"/>
      <c r="EA120" s="5" t="n"/>
      <c r="EB120" s="5">
        <f>IF(OR(V120=0, ISBLANK(V120)), "MISSING — No sources reviewed", "")</f>
        <v/>
      </c>
      <c r="EC120" s="5">
        <f>IF(AND(NOT(ISBLANK(DC120)), ISBLANK(DE120)), "PAGE REF MISSING", "")</f>
        <v/>
      </c>
    </row>
    <row r="121" ht="18" customHeight="1" s="60">
      <c r="A121" s="5" t="inlineStr">
        <is>
          <t>Investor AB</t>
        </is>
      </c>
      <c r="B121" s="5" t="inlineStr">
        <is>
          <t>IVS</t>
        </is>
      </c>
      <c r="C121" s="5">
        <f>IF(ISBLANK('Universe Tracker'!D96),"",'Universe Tracker'!D96)</f>
        <v/>
      </c>
      <c r="D121" s="5" t="n"/>
      <c r="E121" s="5" t="n"/>
      <c r="F121" s="5">
        <f>IF(ISBLANK('Universe Tracker'!F96),"",'Universe Tracker'!F96)</f>
        <v/>
      </c>
      <c r="G121" s="5">
        <f>IF(ISBLANK('Universe Tracker'!G96),"",'Universe Tracker'!G96)</f>
        <v/>
      </c>
      <c r="H121" s="5" t="n"/>
      <c r="I121" s="5" t="n"/>
      <c r="J121" s="5">
        <f>IF(ISBLANK(B121),"",B121&amp;"_"&amp;C121)</f>
        <v/>
      </c>
      <c r="K121" s="5" t="n"/>
      <c r="L121" s="5" t="n"/>
      <c r="M121" s="5" t="n"/>
      <c r="N121" s="5" t="n"/>
      <c r="O121" s="5" t="n"/>
      <c r="P121" s="5" t="n"/>
      <c r="Q121" s="5" t="n"/>
      <c r="R121" s="5" t="n"/>
      <c r="S121" s="5" t="n"/>
      <c r="T121" s="5" t="n"/>
      <c r="U121" s="5" t="n"/>
      <c r="V121" s="5" t="n"/>
      <c r="W121" s="5" t="n"/>
      <c r="X121" s="5" t="n"/>
      <c r="Y121" s="5">
        <f>IF(AND(V121&gt;=2,K121="Yes",L121="Yes"),"Sufficient",IF(AND(V121&gt;=1,OR(K121="Yes",L121="Yes")),"Thin","Insufficient"))</f>
        <v/>
      </c>
      <c r="Z121" s="5" t="n"/>
      <c r="AA121" s="5" t="n"/>
      <c r="AB121" s="5" t="n"/>
      <c r="AC121" s="5" t="n"/>
      <c r="AD121" s="5" t="n"/>
      <c r="AE121" s="5" t="n"/>
      <c r="AF121" s="5" t="n"/>
      <c r="AG121" s="5" t="n"/>
      <c r="AH121" s="5" t="n"/>
      <c r="AI121" s="5" t="n"/>
      <c r="AJ121" s="5" t="n"/>
      <c r="AK121" s="5" t="n"/>
      <c r="AL121" s="5" t="n"/>
      <c r="AM121" s="5" t="n"/>
      <c r="AN121" s="5" t="n"/>
      <c r="AO121" s="5" t="n"/>
      <c r="AP121" s="5" t="n"/>
      <c r="AQ121" s="5" t="n"/>
      <c r="AR121" s="40">
        <f t="array" ref="AR121">MIN(100, MAX(0,
  IFERROR(_xlfn.XLOOKUP(AJ121,'Lookup Tables'!$A$2:$A$7,'Lookup Tables'!$B$2:$B$7,0),0)
  + IF(Z121="Yes", IF(IFERROR(_xlfn.XLOOKUP(AJ121,'Lookup Tables'!$A$2:$A$7,'Lookup Tables'!$B$2:$B$7,0),0)&lt;20, 5, 0), 0)
  + _xlfn.IFS(AB121="Yes", IF(ISNUMBER(AC121)*AND(AC121&lt;=2030),15,10), AB121="Long-term Only", 5, AB121="No", 0, TRUE, 0)
  + _xlfn.IFS(AF121="Full",10, AF121="Partial",5, AF121="Scope 2 Only",3, TRUE,0)
  + _xlfn.IFS(AG121="Yes", IF(ISNUMBER(AH121)*AND(AH121&gt;=5),10,6), AG121="Partial",4, TRUE,0)
  + _xlfn.IFS(AI121="Yes",5, AI121="Partial (material categories only)",3, TRUE,0)
  + _xlfn.IFS(AL121="Yes — Detailed",10, AL121="Yes — High Level",5, TRUE,0)
  + _xlfn.IFS(AM121="Yes — Quantified",15, AM121="Yes — Directional Only",7, TRUE,0)
  + _xlfn.IFS(AP121="Formal",5, AP121="Referenced",2, TRUE,0)
  + _xlfn.IFS(AQ121="No Issues Found",5, AQ121="Concern Identified",-5, AQ121="Severe Contradiction",-15, TRUE,0)
  + _xlfn.IFS(BC121="Reasonable Assurance",5, BC121="Limited Assurance",3, TRUE,0)
  - IF(AND(Z121="Yes", AI121="No"), 10, 0)
  - IF(AND(Z121="Yes", AM121="No"), 10, 0)
))</f>
        <v/>
      </c>
      <c r="AS121" s="5" t="n"/>
      <c r="AT121" s="5" t="n"/>
      <c r="AU121" s="5" t="n"/>
      <c r="AV121" s="5" t="n"/>
      <c r="AW121" s="5" t="n"/>
      <c r="AX121" s="5" t="n"/>
      <c r="AY121" s="5" t="n"/>
      <c r="AZ121" s="5" t="n"/>
      <c r="BA121" s="5" t="n"/>
      <c r="BB121" s="5" t="n"/>
      <c r="BC121" s="5" t="n"/>
      <c r="BD121" s="5" t="n"/>
      <c r="BE121" s="39">
        <f t="array" ref="BE121">MIN(100, MAX(0,
  IFERROR(_xlfn.XLOOKUP(AT121,'Lookup Tables'!$D$2:$D$6,'Lookup Tables'!$E$2:$E$6,0),0)
  + IFERROR(_xlfn.XLOOKUP(AV121,'Lookup Tables'!$G$2:$G$5,'Lookup Tables'!$H$2:$H$5,0),0)
  + IFERROR(_xlfn.XLOOKUP(AW121,'Lookup Tables'!$J$2:$J$5,'Lookup Tables'!$K$2:$K$5,0),0)
  + _xlfn.IFS(AX121="No Issues",10, AX121="Complaint Filed",3, AX121="Confirmed Breach",-15, TRUE,0)
  + IFERROR(_xlfn.XLOOKUP(AY121,'Lookup Tables'!$M$2:$M$6,'Lookup Tables'!$N$2:$N$6,0),0)
  + IFERROR(_xlfn.XLOOKUP(AZ121,'Lookup Tables'!$P$2:$P$6,'Lookup Tables'!$Q$2:$Q$6,0),0)
  + _xlfn.IFS(BA121="Formal Board Committee",5, BA121="Board Oversight Mentioned",2, TRUE,0)
  + _xlfn.IFS(BB121="Yes — Quantified Targets",5, BB121="Yes — Discretionary Only",2, TRUE,0)
  + _xlfn.IFS(BC121="Reasonable Assurance",5, BC121="Limited Assurance",3, BC121="Management Review Only",1, TRUE,0)
))</f>
        <v/>
      </c>
      <c r="BF121" s="5" t="n"/>
      <c r="BG121" s="5" t="n"/>
      <c r="BH121" s="5" t="n"/>
      <c r="BI121" s="5" t="n"/>
      <c r="BJ121" s="5" t="n"/>
      <c r="BK121" s="5" t="n"/>
      <c r="BL121" s="5" t="n"/>
      <c r="BM121" s="5" t="n"/>
      <c r="BN121" s="5" t="n"/>
      <c r="BO121" s="5" t="n"/>
      <c r="BP121" s="5" t="n"/>
      <c r="BQ121" s="5" t="n"/>
      <c r="BR121" s="5" t="n"/>
      <c r="BS121" s="41">
        <f t="array" ref="BS121">MIN(100, MAX(0,
  IFERROR(_xlfn.XLOOKUP(BG121,'Lookup Tables'!$A$11:$A$16,'Lookup Tables'!$B$11:$B$16,0),0)
  + IFERROR(_xlfn.XLOOKUP(BR121,'Lookup Tables'!$M$11:$M$14,'Lookup Tables'!$N$11:$N$14,0),0)
  + IFERROR(_xlfn.XLOOKUP(BQ121,'Lookup Tables'!$J$11:$J$15,'Lookup Tables'!$K$11:$K$15,0),0)
  + IFERROR(_xlfn.XLOOKUP(BH121,'Lookup Tables'!$D$11:$D$15,'Lookup Tables'!$E$11:$E$15,0),0)
  + IFERROR(_xlfn.XLOOKUP(BJ121,'Lookup Tables'!$G$11:$G$16,'Lookup Tables'!$H$11:$H$16,0),0)
  + IFERROR(_xlfn.XLOOKUP(BN121,'Lookup Tables'!$P$11:$P$15,'Lookup Tables'!$Q$11:$Q$15,0),0)
  + _xlfn.IFS(BM121="No Evidence",10, BM121="Unknown",3, BM121="Likely",0, BM121="Confirmed",-10, TRUE,3)
  + IFERROR(_xlfn.XLOOKUP(BP121,'Lookup Tables'!$J$21:$J$24,'Lookup Tables'!$K$21:$K$24,0),0)
))</f>
        <v/>
      </c>
      <c r="BT121" s="5" t="n"/>
      <c r="BU121" s="5" t="n"/>
      <c r="BV121" s="5" t="n"/>
      <c r="BW121" s="5" t="n"/>
      <c r="BX121" s="5" t="n"/>
      <c r="BY121" s="5" t="n"/>
      <c r="BZ121" s="5" t="n"/>
      <c r="CA121" s="5" t="n"/>
      <c r="CB121" s="5" t="n"/>
      <c r="CC121" s="5" t="n"/>
      <c r="CD121" s="5" t="n"/>
      <c r="CE121" s="43">
        <f t="array" ref="CE121">MIN(100, MAX(0,
  IF(ISNUMBER(BV121)*AND(BV121&gt;0), 10, 0)
  + _xlfn.IFS(BY121="Independently Verified",25, BY121="Yes",15, TRUE,0)
  + IFERROR(_xlfn.XLOOKUP(BZ121,'Lookup Tables'!$A$21:$A$24,'Lookup Tables'!$B$21:$B$24,0),0)
  + IFERROR(_xlfn.XLOOKUP(CA121,'Lookup Tables'!$D$21:$D$24,'Lookup Tables'!$E$21:$E$24,0),0)
  + _xlfn.IFS(ISNUMBER(CB121)*AND(CB121&gt;=11),15, ISNUMBER(CB121)*AND(CB121&gt;=6),10, ISNUMBER(CB121)*AND(CB121&gt;=1),5, TRUE,0)
  + IFERROR(_xlfn.XLOOKUP(CC121,'Lookup Tables'!$G$21:$G$25,'Lookup Tables'!$H$21:$H$25,0),0)
  - IF(ISNUMBER(BW121)*AND(ISNUMBER(BV121))*AND(BW121&gt;BV121), 20, 0)
  - IF(AND(BY121="Yes", ISNUMBER(BW121), BW121&gt;60), 10, 0)
))</f>
        <v/>
      </c>
      <c r="CF121" s="5" t="n"/>
      <c r="CG121" s="5" t="n"/>
      <c r="CH121" s="5" t="n"/>
      <c r="CI121" s="5" t="n"/>
      <c r="CJ121" s="5" t="n"/>
      <c r="CK121" s="5" t="n"/>
      <c r="CL121" s="5" t="n"/>
      <c r="CM121" s="5" t="n"/>
      <c r="CN121" s="5" t="n"/>
      <c r="CO121" s="5" t="n"/>
      <c r="CP121" s="5" t="n"/>
      <c r="CQ121" s="5" t="n"/>
      <c r="CR121" s="5">
        <f>COUNTIF(CJ121:CQ121,"FAIL")</f>
        <v/>
      </c>
      <c r="CS121" s="5">
        <f>COUNTIF(CJ121:CQ121,"PARTIAL")</f>
        <v/>
      </c>
      <c r="CT121" s="5">
        <f>COUNTIF(CJ121:CQ121,"MISSING")</f>
        <v/>
      </c>
      <c r="CU121" s="5">
        <f>MIN(100,
  CR121*15
  + CS121*6
  + CT121*3
  + IFERROR(_xlfn.XLOOKUP(CW121,'Lookup Tables'!$M$21:$M$25,'Lookup Tables'!$N$21:$N$25,0),0)
)</f>
        <v/>
      </c>
      <c r="CV121" s="5">
        <f>IFERROR(
CHOOSE(
MATCH("FAIL",CJ121:CQ121,0),
"1-Specificity","2-Metric","3-Baseline","4-Target",
"5-Time Horizon","6-Scope","7-Verification","8-Consistency"
),
IFERROR(
CHOOSE(
MATCH("PARTIAL",CJ121:CQ121,0),
"1-Specificity","2-Metric","3-Baseline","4-Target",
"5-Time Horizon","6-Scope","7-Verification","8-Consistency"
),
"No failures"
)
)</f>
        <v/>
      </c>
      <c r="CW121" s="5" t="n"/>
      <c r="CX121" s="5" t="n"/>
      <c r="CY121" s="5" t="n"/>
      <c r="CZ121" s="5" t="n"/>
      <c r="DA121" s="5">
        <f>IF(OR(CU121&gt;=50,CW121="Material",CW121="Severe",AS121="Material",AS121="Severe",BF121="Material",BF121="Severe — Exclusion Trigger",AND(ISNUMBER(BS121),BS121&lt;30)),"Yes","No")</f>
        <v/>
      </c>
      <c r="DB121" s="5">
        <f>IF(OR(CR121&gt;=6,AW121="Confirmed Violation",AX121="Confirmed Breach"),"Yes — Automatic",IF(CW121="Severe","Yes — Requires Captain Confirmation","No"))</f>
        <v/>
      </c>
      <c r="DC121" s="5" t="n"/>
      <c r="DD121" s="5" t="n"/>
      <c r="DE121" s="5" t="n"/>
      <c r="DF121" s="5" t="n"/>
      <c r="DG121" s="5" t="n"/>
      <c r="DH121" s="5" t="n"/>
      <c r="DI121" s="5" t="n"/>
      <c r="DJ121" s="5" t="n"/>
      <c r="DK121" s="5" t="n"/>
      <c r="DL121" s="5">
        <f>IF(OR(IFERROR(VALUE(LEFT(DF121,1)),99)&lt;=2,IFERROR(VALUE(LEFT(DG121,1)),99)&lt;=2),"Flagged","Clear")</f>
        <v/>
      </c>
      <c r="DM121" s="5">
        <f>IF(OR(DA121="Yes",DB121&lt;&gt;"No",DH121="Unverified",DL121="Flagged"),"Yes","No")</f>
        <v/>
      </c>
      <c r="DN121" s="5">
        <f t="array" ref="DN121">MIN(100,
  IF(ISNUMBER(V121), _xlfn.IFS(V121&gt;=3,25, V121=2,15, V121=1,5, TRUE,0), 0)
  + IFERROR(_xlfn.IFS(VALUE(LEFT(DF121,1))=5,25, VALUE(LEFT(DF121,1))=4,20, VALUE(LEFT(DF121,1))=3,15, VALUE(LEFT(DF121,1))=2,8, TRUE,0), 15)
  + IFERROR(_xlfn.IFS(VALUE(LEFT(DG121,1))=5,25, VALUE(LEFT(DG121,1))=4,20, VALUE(LEFT(DG121,1))=3,15, VALUE(LEFT(DG121,1))=2,8, TRUE,0), 15)
  + _xlfn.IFS(DH121="Fully Verified",25, DH121="Partially Verified",12, TRUE,0)
)</f>
        <v/>
      </c>
      <c r="DO121" s="5">
        <f t="array" ref="DO121">_xlfn.IFS(
  ISBLANK(AR121), "Insufficient Evidence",
  AND(AR121&gt;=65, AJ121="Approved"), "Strong",
  AR121&gt;=65, "Adequate",
  AR121&gt;=40, "Adequate",
  AR121&gt;=20, "Weak",
  TRUE, "Insufficient Evidence"
)</f>
        <v/>
      </c>
      <c r="DP121" s="5">
        <f t="array" ref="DP121">_xlfn.IFS(
  ISBLANK(BS121), "Insufficient Evidence",
  BS121&gt;=65, "Strong",
  BS121&gt;=40, "Adequate",
  BS121&gt;=20, "Weak",
  TRUE, "Insufficient Evidence"
)</f>
        <v/>
      </c>
      <c r="DQ121" s="5">
        <f t="array" ref="DQ121">_xlfn.IFS(
  ISBLANK(BE121), "Insufficient Evidence",
  OR(AW121="Confirmed Violation", AX121="Confirmed Breach"), "Severe — Hard Trigger",
  BE121&gt;=65, "Strong",
  BE121&gt;=40, "Adequate",
  BE121&gt;=20, "Weak",
  TRUE, "Insufficient Evidence"
)</f>
        <v/>
      </c>
      <c r="DR121" s="5">
        <f t="array" ref="DR121">_xlfn.IFS(
  ISBLANK(CU121), "Insufficient Evidence",
  CU121&lt;=20, "Low Risk",
  CU121&lt;=50, "Moderate Risk",
  CU121&lt;=75, "High Risk",
  TRUE, "Very High Risk"
)</f>
        <v/>
      </c>
      <c r="DS121" s="5">
        <f t="array" ref="DS121">_xlfn.IFS(
  ISBLANK(CE121), "Insufficient Evidence",
  AND(ISNUMBER(BW121),ISNUMBER(BV121),BW121&gt;BV121), "Overclaiming Risk",
  CE121&gt;=65, "Strong",
  CE121&gt;=40, "Adequate",
  TRUE, "Weak"
)</f>
        <v/>
      </c>
      <c r="DT121" s="5">
        <f>IF(DB121="Yes — Automatic",0,ROUND((IF(ISNUMBER(AR121),AR121,0)*0.3+IF(ISNUMBER(BS121),BS121,0)*0.2+IF(ISNUMBER(BE121),BE121,0)*0.2+IF(ISNUMBER(CE121),CE121,0)*0.15+(100-IF(ISNUMBER(CU121),CU121,50))*0.15)*IF(DN121&gt;=75,1,IF(DN121&gt;=50,0.9,IF(DN121&gt;=25,0.75,0.6))),1))</f>
        <v/>
      </c>
      <c r="DU121" s="5">
        <f t="array" ref="DU121">_xlfn.IFS(
  DV121="Upgraded to Clear", "Clear",
  DV121="Downgraded to Watchlist", "Watchlist",
  DV121="Downgraded to Exclusion", "Exclusion Risk",
  DB121="Yes — Automatic", "Exclusion Risk",
  OR(AW121="Confirmed Violation", AX121="Confirmed Breach"), "Exclusion Risk",
  OR(V121=0, ISBLANK(V121), DN121&lt;20), "Insufficient Evidence",
  AND(DT121&gt;=65, DA121="No", DB121="No"), "Clear",
  OR(DT121&gt;=40, DA121="Yes"), "Watchlist",
  TRUE, "Exclusion Risk"
)</f>
        <v/>
      </c>
      <c r="DV121" s="5" t="n"/>
      <c r="DW121" s="5">
        <f t="array" ref="DW121">_xlfn.IFS(
  DU121="Exclusion Risk", "Exclude — Hard Trigger",
  DU121="Insufficient Evidence", "Watchlist — Further Evidence Needed",
  DU121="Watchlist", "Watchlist — Further Evidence Needed",
  AND(DU121="Clear", DT121&gt;=80), "Include — No Conditions",
  DU121="Clear", "Include — Monitor",
  TRUE, "Watchlist — Further Evidence Needed"
)</f>
        <v/>
      </c>
      <c r="DX121" s="5" t="n"/>
      <c r="DY121" s="5" t="n"/>
      <c r="DZ121" s="5" t="n"/>
      <c r="EA121" s="5" t="n"/>
      <c r="EB121" s="5">
        <f>IF(OR(V121=0, ISBLANK(V121)), "MISSING — No sources reviewed", "")</f>
        <v/>
      </c>
      <c r="EC121" s="5">
        <f>IF(AND(NOT(ISBLANK(DC121)), ISBLANK(DE121)), "PAGE REF MISSING", "")</f>
        <v/>
      </c>
    </row>
    <row r="122" ht="18" customHeight="1" s="60">
      <c r="A122" s="5" t="inlineStr">
        <is>
          <t>Intesa Sanpaolo SpA</t>
        </is>
      </c>
      <c r="B122" s="5" t="inlineStr">
        <is>
          <t>IES</t>
        </is>
      </c>
      <c r="C122" s="5">
        <f>IF(ISBLANK('Universe Tracker'!D97),"",'Universe Tracker'!D97)</f>
        <v/>
      </c>
      <c r="D122" s="5" t="n"/>
      <c r="E122" s="5" t="n"/>
      <c r="F122" s="5">
        <f>IF(ISBLANK('Universe Tracker'!F97),"",'Universe Tracker'!F97)</f>
        <v/>
      </c>
      <c r="G122" s="5">
        <f>IF(ISBLANK('Universe Tracker'!G97),"",'Universe Tracker'!G97)</f>
        <v/>
      </c>
      <c r="H122" s="5" t="n"/>
      <c r="I122" s="5" t="n"/>
      <c r="J122" s="5">
        <f>IF(ISBLANK(B122),"",B122&amp;"_"&amp;C122)</f>
        <v/>
      </c>
      <c r="K122" s="5" t="n"/>
      <c r="L122" s="5" t="n"/>
      <c r="M122" s="5" t="n"/>
      <c r="N122" s="5" t="n"/>
      <c r="O122" s="5" t="n"/>
      <c r="P122" s="5" t="n"/>
      <c r="Q122" s="5" t="n"/>
      <c r="R122" s="5" t="n"/>
      <c r="S122" s="5" t="n"/>
      <c r="T122" s="5" t="n"/>
      <c r="U122" s="5" t="n"/>
      <c r="V122" s="5" t="n"/>
      <c r="W122" s="5" t="n"/>
      <c r="X122" s="5" t="n"/>
      <c r="Y122" s="5">
        <f>IF(AND(V122&gt;=2,K122="Yes",L122="Yes"),"Sufficient",IF(AND(V122&gt;=1,OR(K122="Yes",L122="Yes")),"Thin","Insufficient"))</f>
        <v/>
      </c>
      <c r="Z122" s="5" t="n"/>
      <c r="AA122" s="5" t="n"/>
      <c r="AB122" s="5" t="n"/>
      <c r="AC122" s="5" t="n"/>
      <c r="AD122" s="5" t="n"/>
      <c r="AE122" s="5" t="n"/>
      <c r="AF122" s="5" t="n"/>
      <c r="AG122" s="5" t="n"/>
      <c r="AH122" s="5" t="n"/>
      <c r="AI122" s="5" t="n"/>
      <c r="AJ122" s="5" t="n"/>
      <c r="AK122" s="5" t="n"/>
      <c r="AL122" s="5" t="n"/>
      <c r="AM122" s="5" t="n"/>
      <c r="AN122" s="5" t="n"/>
      <c r="AO122" s="5" t="n"/>
      <c r="AP122" s="5" t="n"/>
      <c r="AQ122" s="5" t="n"/>
      <c r="AR122" s="40">
        <f t="array" ref="AR122">MIN(100, MAX(0,
  IFERROR(_xlfn.XLOOKUP(AJ122,'Lookup Tables'!$A$2:$A$7,'Lookup Tables'!$B$2:$B$7,0),0)
  + IF(Z122="Yes", IF(IFERROR(_xlfn.XLOOKUP(AJ122,'Lookup Tables'!$A$2:$A$7,'Lookup Tables'!$B$2:$B$7,0),0)&lt;20, 5, 0), 0)
  + _xlfn.IFS(AB122="Yes", IF(ISNUMBER(AC122)*AND(AC122&lt;=2030),15,10), AB122="Long-term Only", 5, AB122="No", 0, TRUE, 0)
  + _xlfn.IFS(AF122="Full",10, AF122="Partial",5, AF122="Scope 2 Only",3, TRUE,0)
  + _xlfn.IFS(AG122="Yes", IF(ISNUMBER(AH122)*AND(AH122&gt;=5),10,6), AG122="Partial",4, TRUE,0)
  + _xlfn.IFS(AI122="Yes",5, AI122="Partial (material categories only)",3, TRUE,0)
  + _xlfn.IFS(AL122="Yes — Detailed",10, AL122="Yes — High Level",5, TRUE,0)
  + _xlfn.IFS(AM122="Yes — Quantified",15, AM122="Yes — Directional Only",7, TRUE,0)
  + _xlfn.IFS(AP122="Formal",5, AP122="Referenced",2, TRUE,0)
  + _xlfn.IFS(AQ122="No Issues Found",5, AQ122="Concern Identified",-5, AQ122="Severe Contradiction",-15, TRUE,0)
  + _xlfn.IFS(BC122="Reasonable Assurance",5, BC122="Limited Assurance",3, TRUE,0)
  - IF(AND(Z122="Yes", AI122="No"), 10, 0)
  - IF(AND(Z122="Yes", AM122="No"), 10, 0)
))</f>
        <v/>
      </c>
      <c r="AS122" s="5" t="n"/>
      <c r="AT122" s="5" t="n"/>
      <c r="AU122" s="5" t="n"/>
      <c r="AV122" s="5" t="n"/>
      <c r="AW122" s="5" t="n"/>
      <c r="AX122" s="5" t="n"/>
      <c r="AY122" s="5" t="n"/>
      <c r="AZ122" s="5" t="n"/>
      <c r="BA122" s="5" t="n"/>
      <c r="BB122" s="5" t="n"/>
      <c r="BC122" s="5" t="n"/>
      <c r="BD122" s="5" t="n"/>
      <c r="BE122" s="39">
        <f t="array" ref="BE122">MIN(100, MAX(0,
  IFERROR(_xlfn.XLOOKUP(AT122,'Lookup Tables'!$D$2:$D$6,'Lookup Tables'!$E$2:$E$6,0),0)
  + IFERROR(_xlfn.XLOOKUP(AV122,'Lookup Tables'!$G$2:$G$5,'Lookup Tables'!$H$2:$H$5,0),0)
  + IFERROR(_xlfn.XLOOKUP(AW122,'Lookup Tables'!$J$2:$J$5,'Lookup Tables'!$K$2:$K$5,0),0)
  + _xlfn.IFS(AX122="No Issues",10, AX122="Complaint Filed",3, AX122="Confirmed Breach",-15, TRUE,0)
  + IFERROR(_xlfn.XLOOKUP(AY122,'Lookup Tables'!$M$2:$M$6,'Lookup Tables'!$N$2:$N$6,0),0)
  + IFERROR(_xlfn.XLOOKUP(AZ122,'Lookup Tables'!$P$2:$P$6,'Lookup Tables'!$Q$2:$Q$6,0),0)
  + _xlfn.IFS(BA122="Formal Board Committee",5, BA122="Board Oversight Mentioned",2, TRUE,0)
  + _xlfn.IFS(BB122="Yes — Quantified Targets",5, BB122="Yes — Discretionary Only",2, TRUE,0)
  + _xlfn.IFS(BC122="Reasonable Assurance",5, BC122="Limited Assurance",3, BC122="Management Review Only",1, TRUE,0)
))</f>
        <v/>
      </c>
      <c r="BF122" s="5" t="n"/>
      <c r="BG122" s="5" t="n"/>
      <c r="BH122" s="5" t="n"/>
      <c r="BI122" s="5" t="n"/>
      <c r="BJ122" s="5" t="n"/>
      <c r="BK122" s="5" t="n"/>
      <c r="BL122" s="5" t="n"/>
      <c r="BM122" s="5" t="n"/>
      <c r="BN122" s="5" t="n"/>
      <c r="BO122" s="5" t="n"/>
      <c r="BP122" s="5" t="n"/>
      <c r="BQ122" s="5" t="n"/>
      <c r="BR122" s="5" t="n"/>
      <c r="BS122" s="41">
        <f t="array" ref="BS122">MIN(100, MAX(0,
  IFERROR(_xlfn.XLOOKUP(BG122,'Lookup Tables'!$A$11:$A$16,'Lookup Tables'!$B$11:$B$16,0),0)
  + IFERROR(_xlfn.XLOOKUP(BR122,'Lookup Tables'!$M$11:$M$14,'Lookup Tables'!$N$11:$N$14,0),0)
  + IFERROR(_xlfn.XLOOKUP(BQ122,'Lookup Tables'!$J$11:$J$15,'Lookup Tables'!$K$11:$K$15,0),0)
  + IFERROR(_xlfn.XLOOKUP(BH122,'Lookup Tables'!$D$11:$D$15,'Lookup Tables'!$E$11:$E$15,0),0)
  + IFERROR(_xlfn.XLOOKUP(BJ122,'Lookup Tables'!$G$11:$G$16,'Lookup Tables'!$H$11:$H$16,0),0)
  + IFERROR(_xlfn.XLOOKUP(BN122,'Lookup Tables'!$P$11:$P$15,'Lookup Tables'!$Q$11:$Q$15,0),0)
  + _xlfn.IFS(BM122="No Evidence",10, BM122="Unknown",3, BM122="Likely",0, BM122="Confirmed",-10, TRUE,3)
  + IFERROR(_xlfn.XLOOKUP(BP122,'Lookup Tables'!$J$21:$J$24,'Lookup Tables'!$K$21:$K$24,0),0)
))</f>
        <v/>
      </c>
      <c r="BT122" s="5" t="n"/>
      <c r="BU122" s="5" t="n"/>
      <c r="BV122" s="5" t="n"/>
      <c r="BW122" s="5" t="n"/>
      <c r="BX122" s="5" t="n"/>
      <c r="BY122" s="5" t="n"/>
      <c r="BZ122" s="5" t="n"/>
      <c r="CA122" s="5" t="n"/>
      <c r="CB122" s="5" t="n"/>
      <c r="CC122" s="5" t="n"/>
      <c r="CD122" s="5" t="n"/>
      <c r="CE122" s="43">
        <f t="array" ref="CE122">MIN(100, MAX(0,
  IF(ISNUMBER(BV122)*AND(BV122&gt;0), 10, 0)
  + _xlfn.IFS(BY122="Independently Verified",25, BY122="Yes",15, TRUE,0)
  + IFERROR(_xlfn.XLOOKUP(BZ122,'Lookup Tables'!$A$21:$A$24,'Lookup Tables'!$B$21:$B$24,0),0)
  + IFERROR(_xlfn.XLOOKUP(CA122,'Lookup Tables'!$D$21:$D$24,'Lookup Tables'!$E$21:$E$24,0),0)
  + _xlfn.IFS(ISNUMBER(CB122)*AND(CB122&gt;=11),15, ISNUMBER(CB122)*AND(CB122&gt;=6),10, ISNUMBER(CB122)*AND(CB122&gt;=1),5, TRUE,0)
  + IFERROR(_xlfn.XLOOKUP(CC122,'Lookup Tables'!$G$21:$G$25,'Lookup Tables'!$H$21:$H$25,0),0)
  - IF(ISNUMBER(BW122)*AND(ISNUMBER(BV122))*AND(BW122&gt;BV122), 20, 0)
  - IF(AND(BY122="Yes", ISNUMBER(BW122), BW122&gt;60), 10, 0)
))</f>
        <v/>
      </c>
      <c r="CF122" s="5" t="n"/>
      <c r="CG122" s="5" t="n"/>
      <c r="CH122" s="5" t="n"/>
      <c r="CI122" s="5" t="n"/>
      <c r="CJ122" s="5" t="n"/>
      <c r="CK122" s="5" t="n"/>
      <c r="CL122" s="5" t="n"/>
      <c r="CM122" s="5" t="n"/>
      <c r="CN122" s="5" t="n"/>
      <c r="CO122" s="5" t="n"/>
      <c r="CP122" s="5" t="n"/>
      <c r="CQ122" s="5" t="n"/>
      <c r="CR122" s="5">
        <f>COUNTIF(CJ122:CQ122,"FAIL")</f>
        <v/>
      </c>
      <c r="CS122" s="5">
        <f>COUNTIF(CJ122:CQ122,"PARTIAL")</f>
        <v/>
      </c>
      <c r="CT122" s="5">
        <f>COUNTIF(CJ122:CQ122,"MISSING")</f>
        <v/>
      </c>
      <c r="CU122" s="5">
        <f>MIN(100,
  CR122*15
  + CS122*6
  + CT122*3
  + IFERROR(_xlfn.XLOOKUP(CW122,'Lookup Tables'!$M$21:$M$25,'Lookup Tables'!$N$21:$N$25,0),0)
)</f>
        <v/>
      </c>
      <c r="CV122" s="5">
        <f>IFERROR(
CHOOSE(
MATCH("FAIL",CJ122:CQ122,0),
"1-Specificity","2-Metric","3-Baseline","4-Target",
"5-Time Horizon","6-Scope","7-Verification","8-Consistency"
),
IFERROR(
CHOOSE(
MATCH("PARTIAL",CJ122:CQ122,0),
"1-Specificity","2-Metric","3-Baseline","4-Target",
"5-Time Horizon","6-Scope","7-Verification","8-Consistency"
),
"No failures"
)
)</f>
        <v/>
      </c>
      <c r="CW122" s="5" t="n"/>
      <c r="CX122" s="5" t="n"/>
      <c r="CY122" s="5" t="n"/>
      <c r="CZ122" s="5" t="n"/>
      <c r="DA122" s="5">
        <f>IF(OR(CU122&gt;=50,CW122="Material",CW122="Severe",AS122="Material",AS122="Severe",BF122="Material",BF122="Severe — Exclusion Trigger",AND(ISNUMBER(BS122),BS122&lt;30)),"Yes","No")</f>
        <v/>
      </c>
      <c r="DB122" s="5">
        <f>IF(OR(CR122&gt;=6,AW122="Confirmed Violation",AX122="Confirmed Breach"),"Yes — Automatic",IF(CW122="Severe","Yes — Requires Captain Confirmation","No"))</f>
        <v/>
      </c>
      <c r="DC122" s="5" t="n"/>
      <c r="DD122" s="5" t="n"/>
      <c r="DE122" s="5" t="n"/>
      <c r="DF122" s="5" t="n"/>
      <c r="DG122" s="5" t="n"/>
      <c r="DH122" s="5" t="n"/>
      <c r="DI122" s="5" t="n"/>
      <c r="DJ122" s="5" t="n"/>
      <c r="DK122" s="5" t="n"/>
      <c r="DL122" s="5">
        <f>IF(OR(IFERROR(VALUE(LEFT(DF122,1)),99)&lt;=2,IFERROR(VALUE(LEFT(DG122,1)),99)&lt;=2),"Flagged","Clear")</f>
        <v/>
      </c>
      <c r="DM122" s="5">
        <f>IF(OR(DA122="Yes",DB122&lt;&gt;"No",DH122="Unverified",DL122="Flagged"),"Yes","No")</f>
        <v/>
      </c>
      <c r="DN122" s="5">
        <f t="array" ref="DN122">MIN(100,
  IF(ISNUMBER(V122), _xlfn.IFS(V122&gt;=3,25, V122=2,15, V122=1,5, TRUE,0), 0)
  + IFERROR(_xlfn.IFS(VALUE(LEFT(DF122,1))=5,25, VALUE(LEFT(DF122,1))=4,20, VALUE(LEFT(DF122,1))=3,15, VALUE(LEFT(DF122,1))=2,8, TRUE,0), 15)
  + IFERROR(_xlfn.IFS(VALUE(LEFT(DG122,1))=5,25, VALUE(LEFT(DG122,1))=4,20, VALUE(LEFT(DG122,1))=3,15, VALUE(LEFT(DG122,1))=2,8, TRUE,0), 15)
  + _xlfn.IFS(DH122="Fully Verified",25, DH122="Partially Verified",12, TRUE,0)
)</f>
        <v/>
      </c>
      <c r="DO122" s="5">
        <f t="array" ref="DO122">_xlfn.IFS(
  ISBLANK(AR122), "Insufficient Evidence",
  AND(AR122&gt;=65, AJ122="Approved"), "Strong",
  AR122&gt;=65, "Adequate",
  AR122&gt;=40, "Adequate",
  AR122&gt;=20, "Weak",
  TRUE, "Insufficient Evidence"
)</f>
        <v/>
      </c>
      <c r="DP122" s="5">
        <f t="array" ref="DP122">_xlfn.IFS(
  ISBLANK(BS122), "Insufficient Evidence",
  BS122&gt;=65, "Strong",
  BS122&gt;=40, "Adequate",
  BS122&gt;=20, "Weak",
  TRUE, "Insufficient Evidence"
)</f>
        <v/>
      </c>
      <c r="DQ122" s="5">
        <f t="array" ref="DQ122">_xlfn.IFS(
  ISBLANK(BE122), "Insufficient Evidence",
  OR(AW122="Confirmed Violation", AX122="Confirmed Breach"), "Severe — Hard Trigger",
  BE122&gt;=65, "Strong",
  BE122&gt;=40, "Adequate",
  BE122&gt;=20, "Weak",
  TRUE, "Insufficient Evidence"
)</f>
        <v/>
      </c>
      <c r="DR122" s="5">
        <f t="array" ref="DR122">_xlfn.IFS(
  ISBLANK(CU122), "Insufficient Evidence",
  CU122&lt;=20, "Low Risk",
  CU122&lt;=50, "Moderate Risk",
  CU122&lt;=75, "High Risk",
  TRUE, "Very High Risk"
)</f>
        <v/>
      </c>
      <c r="DS122" s="5">
        <f t="array" ref="DS122">_xlfn.IFS(
  ISBLANK(CE122), "Insufficient Evidence",
  AND(ISNUMBER(BW122),ISNUMBER(BV122),BW122&gt;BV122), "Overclaiming Risk",
  CE122&gt;=65, "Strong",
  CE122&gt;=40, "Adequate",
  TRUE, "Weak"
)</f>
        <v/>
      </c>
      <c r="DT122" s="5">
        <f>IF(DB122="Yes — Automatic",0,ROUND((IF(ISNUMBER(AR122),AR122,0)*0.3+IF(ISNUMBER(BS122),BS122,0)*0.2+IF(ISNUMBER(BE122),BE122,0)*0.2+IF(ISNUMBER(CE122),CE122,0)*0.15+(100-IF(ISNUMBER(CU122),CU122,50))*0.15)*IF(DN122&gt;=75,1,IF(DN122&gt;=50,0.9,IF(DN122&gt;=25,0.75,0.6))),1))</f>
        <v/>
      </c>
      <c r="DU122" s="5">
        <f t="array" ref="DU122">_xlfn.IFS(
  DV122="Upgraded to Clear", "Clear",
  DV122="Downgraded to Watchlist", "Watchlist",
  DV122="Downgraded to Exclusion", "Exclusion Risk",
  DB122="Yes — Automatic", "Exclusion Risk",
  OR(AW122="Confirmed Violation", AX122="Confirmed Breach"), "Exclusion Risk",
  OR(V122=0, ISBLANK(V122), DN122&lt;20), "Insufficient Evidence",
  AND(DT122&gt;=65, DA122="No", DB122="No"), "Clear",
  OR(DT122&gt;=40, DA122="Yes"), "Watchlist",
  TRUE, "Exclusion Risk"
)</f>
        <v/>
      </c>
      <c r="DV122" s="5" t="n"/>
      <c r="DW122" s="5">
        <f t="array" ref="DW122">_xlfn.IFS(
  DU122="Exclusion Risk", "Exclude — Hard Trigger",
  DU122="Insufficient Evidence", "Watchlist — Further Evidence Needed",
  DU122="Watchlist", "Watchlist — Further Evidence Needed",
  AND(DU122="Clear", DT122&gt;=80), "Include — No Conditions",
  DU122="Clear", "Include — Monitor",
  TRUE, "Watchlist — Further Evidence Needed"
)</f>
        <v/>
      </c>
      <c r="DX122" s="5" t="n"/>
      <c r="DY122" s="5" t="n"/>
      <c r="DZ122" s="5" t="n"/>
      <c r="EA122" s="5" t="n"/>
      <c r="EB122" s="5">
        <f>IF(OR(V122=0, ISBLANK(V122)), "MISSING — No sources reviewed", "")</f>
        <v/>
      </c>
      <c r="EC122" s="5">
        <f>IF(AND(NOT(ISBLANK(DC122)), ISBLANK(DE122)), "PAGE REF MISSING", "")</f>
        <v/>
      </c>
    </row>
    <row r="123" ht="18" customHeight="1" s="60">
      <c r="A123" s="5" t="inlineStr">
        <is>
          <t>Serco Group PLC</t>
        </is>
      </c>
      <c r="B123" s="5" t="inlineStr">
        <is>
          <t>SEO</t>
        </is>
      </c>
      <c r="C123" s="5">
        <f>IF(ISBLANK('Universe Tracker'!D98),"",'Universe Tracker'!D98)</f>
        <v/>
      </c>
      <c r="D123" s="5" t="n"/>
      <c r="E123" s="5" t="n"/>
      <c r="F123" s="5">
        <f>IF(ISBLANK('Universe Tracker'!F98),"",'Universe Tracker'!F98)</f>
        <v/>
      </c>
      <c r="G123" s="5">
        <f>IF(ISBLANK('Universe Tracker'!G98),"",'Universe Tracker'!G98)</f>
        <v/>
      </c>
      <c r="H123" s="5" t="n"/>
      <c r="I123" s="5" t="n"/>
      <c r="J123" s="5">
        <f>IF(ISBLANK(B123),"",B123&amp;"_"&amp;C123)</f>
        <v/>
      </c>
      <c r="K123" s="5" t="n"/>
      <c r="L123" s="5" t="n"/>
      <c r="M123" s="5" t="n"/>
      <c r="N123" s="5" t="n"/>
      <c r="O123" s="5" t="n"/>
      <c r="P123" s="5" t="n"/>
      <c r="Q123" s="5" t="n"/>
      <c r="R123" s="5" t="n"/>
      <c r="S123" s="5" t="n"/>
      <c r="T123" s="5" t="n"/>
      <c r="U123" s="5" t="n"/>
      <c r="V123" s="5" t="n"/>
      <c r="W123" s="5" t="n"/>
      <c r="X123" s="5" t="n"/>
      <c r="Y123" s="5">
        <f>IF(AND(V123&gt;=2,K123="Yes",L123="Yes"),"Sufficient",IF(AND(V123&gt;=1,OR(K123="Yes",L123="Yes")),"Thin","Insufficient"))</f>
        <v/>
      </c>
      <c r="Z123" s="5" t="n"/>
      <c r="AA123" s="5" t="n"/>
      <c r="AB123" s="5" t="n"/>
      <c r="AC123" s="5" t="n"/>
      <c r="AD123" s="5" t="n"/>
      <c r="AE123" s="5" t="n"/>
      <c r="AF123" s="5" t="n"/>
      <c r="AG123" s="5" t="n"/>
      <c r="AH123" s="5" t="n"/>
      <c r="AI123" s="5" t="n"/>
      <c r="AJ123" s="5" t="n"/>
      <c r="AK123" s="5" t="n"/>
      <c r="AL123" s="5" t="n"/>
      <c r="AM123" s="5" t="n"/>
      <c r="AN123" s="5" t="n"/>
      <c r="AO123" s="5" t="n"/>
      <c r="AP123" s="5" t="n"/>
      <c r="AQ123" s="5" t="n"/>
      <c r="AR123" s="40">
        <f t="array" ref="AR123">MIN(100, MAX(0,
  IFERROR(_xlfn.XLOOKUP(AJ123,'Lookup Tables'!$A$2:$A$7,'Lookup Tables'!$B$2:$B$7,0),0)
  + IF(Z123="Yes", IF(IFERROR(_xlfn.XLOOKUP(AJ123,'Lookup Tables'!$A$2:$A$7,'Lookup Tables'!$B$2:$B$7,0),0)&lt;20, 5, 0), 0)
  + _xlfn.IFS(AB123="Yes", IF(ISNUMBER(AC123)*AND(AC123&lt;=2030),15,10), AB123="Long-term Only", 5, AB123="No", 0, TRUE, 0)
  + _xlfn.IFS(AF123="Full",10, AF123="Partial",5, AF123="Scope 2 Only",3, TRUE,0)
  + _xlfn.IFS(AG123="Yes", IF(ISNUMBER(AH123)*AND(AH123&gt;=5),10,6), AG123="Partial",4, TRUE,0)
  + _xlfn.IFS(AI123="Yes",5, AI123="Partial (material categories only)",3, TRUE,0)
  + _xlfn.IFS(AL123="Yes — Detailed",10, AL123="Yes — High Level",5, TRUE,0)
  + _xlfn.IFS(AM123="Yes — Quantified",15, AM123="Yes — Directional Only",7, TRUE,0)
  + _xlfn.IFS(AP123="Formal",5, AP123="Referenced",2, TRUE,0)
  + _xlfn.IFS(AQ123="No Issues Found",5, AQ123="Concern Identified",-5, AQ123="Severe Contradiction",-15, TRUE,0)
  + _xlfn.IFS(BC123="Reasonable Assurance",5, BC123="Limited Assurance",3, TRUE,0)
  - IF(AND(Z123="Yes", AI123="No"), 10, 0)
  - IF(AND(Z123="Yes", AM123="No"), 10, 0)
))</f>
        <v/>
      </c>
      <c r="AS123" s="5" t="n"/>
      <c r="AT123" s="5" t="n"/>
      <c r="AU123" s="5" t="n"/>
      <c r="AV123" s="5" t="n"/>
      <c r="AW123" s="5" t="n"/>
      <c r="AX123" s="5" t="n"/>
      <c r="AY123" s="5" t="n"/>
      <c r="AZ123" s="5" t="n"/>
      <c r="BA123" s="5" t="n"/>
      <c r="BB123" s="5" t="n"/>
      <c r="BC123" s="5" t="n"/>
      <c r="BD123" s="5" t="n"/>
      <c r="BE123" s="39">
        <f t="array" ref="BE123">MIN(100, MAX(0,
  IFERROR(_xlfn.XLOOKUP(AT123,'Lookup Tables'!$D$2:$D$6,'Lookup Tables'!$E$2:$E$6,0),0)
  + IFERROR(_xlfn.XLOOKUP(AV123,'Lookup Tables'!$G$2:$G$5,'Lookup Tables'!$H$2:$H$5,0),0)
  + IFERROR(_xlfn.XLOOKUP(AW123,'Lookup Tables'!$J$2:$J$5,'Lookup Tables'!$K$2:$K$5,0),0)
  + _xlfn.IFS(AX123="No Issues",10, AX123="Complaint Filed",3, AX123="Confirmed Breach",-15, TRUE,0)
  + IFERROR(_xlfn.XLOOKUP(AY123,'Lookup Tables'!$M$2:$M$6,'Lookup Tables'!$N$2:$N$6,0),0)
  + IFERROR(_xlfn.XLOOKUP(AZ123,'Lookup Tables'!$P$2:$P$6,'Lookup Tables'!$Q$2:$Q$6,0),0)
  + _xlfn.IFS(BA123="Formal Board Committee",5, BA123="Board Oversight Mentioned",2, TRUE,0)
  + _xlfn.IFS(BB123="Yes — Quantified Targets",5, BB123="Yes — Discretionary Only",2, TRUE,0)
  + _xlfn.IFS(BC123="Reasonable Assurance",5, BC123="Limited Assurance",3, BC123="Management Review Only",1, TRUE,0)
))</f>
        <v/>
      </c>
      <c r="BF123" s="5" t="n"/>
      <c r="BG123" s="5" t="n"/>
      <c r="BH123" s="5" t="n"/>
      <c r="BI123" s="5" t="n"/>
      <c r="BJ123" s="5" t="n"/>
      <c r="BK123" s="5" t="n"/>
      <c r="BL123" s="5" t="n"/>
      <c r="BM123" s="5" t="n"/>
      <c r="BN123" s="5" t="n"/>
      <c r="BO123" s="5" t="n"/>
      <c r="BP123" s="5" t="n"/>
      <c r="BQ123" s="5" t="n"/>
      <c r="BR123" s="5" t="n"/>
      <c r="BS123" s="41">
        <f t="array" ref="BS123">MIN(100, MAX(0,
  IFERROR(_xlfn.XLOOKUP(BG123,'Lookup Tables'!$A$11:$A$16,'Lookup Tables'!$B$11:$B$16,0),0)
  + IFERROR(_xlfn.XLOOKUP(BR123,'Lookup Tables'!$M$11:$M$14,'Lookup Tables'!$N$11:$N$14,0),0)
  + IFERROR(_xlfn.XLOOKUP(BQ123,'Lookup Tables'!$J$11:$J$15,'Lookup Tables'!$K$11:$K$15,0),0)
  + IFERROR(_xlfn.XLOOKUP(BH123,'Lookup Tables'!$D$11:$D$15,'Lookup Tables'!$E$11:$E$15,0),0)
  + IFERROR(_xlfn.XLOOKUP(BJ123,'Lookup Tables'!$G$11:$G$16,'Lookup Tables'!$H$11:$H$16,0),0)
  + IFERROR(_xlfn.XLOOKUP(BN123,'Lookup Tables'!$P$11:$P$15,'Lookup Tables'!$Q$11:$Q$15,0),0)
  + _xlfn.IFS(BM123="No Evidence",10, BM123="Unknown",3, BM123="Likely",0, BM123="Confirmed",-10, TRUE,3)
  + IFERROR(_xlfn.XLOOKUP(BP123,'Lookup Tables'!$J$21:$J$24,'Lookup Tables'!$K$21:$K$24,0),0)
))</f>
        <v/>
      </c>
      <c r="BT123" s="5" t="n"/>
      <c r="BU123" s="5" t="n"/>
      <c r="BV123" s="5" t="n"/>
      <c r="BW123" s="5" t="n"/>
      <c r="BX123" s="5" t="n"/>
      <c r="BY123" s="5" t="n"/>
      <c r="BZ123" s="5" t="n"/>
      <c r="CA123" s="5" t="n"/>
      <c r="CB123" s="5" t="n"/>
      <c r="CC123" s="5" t="n"/>
      <c r="CD123" s="5" t="n"/>
      <c r="CE123" s="43">
        <f t="array" ref="CE123">MIN(100, MAX(0,
  IF(ISNUMBER(BV123)*AND(BV123&gt;0), 10, 0)
  + _xlfn.IFS(BY123="Independently Verified",25, BY123="Yes",15, TRUE,0)
  + IFERROR(_xlfn.XLOOKUP(BZ123,'Lookup Tables'!$A$21:$A$24,'Lookup Tables'!$B$21:$B$24,0),0)
  + IFERROR(_xlfn.XLOOKUP(CA123,'Lookup Tables'!$D$21:$D$24,'Lookup Tables'!$E$21:$E$24,0),0)
  + _xlfn.IFS(ISNUMBER(CB123)*AND(CB123&gt;=11),15, ISNUMBER(CB123)*AND(CB123&gt;=6),10, ISNUMBER(CB123)*AND(CB123&gt;=1),5, TRUE,0)
  + IFERROR(_xlfn.XLOOKUP(CC123,'Lookup Tables'!$G$21:$G$25,'Lookup Tables'!$H$21:$H$25,0),0)
  - IF(ISNUMBER(BW123)*AND(ISNUMBER(BV123))*AND(BW123&gt;BV123), 20, 0)
  - IF(AND(BY123="Yes", ISNUMBER(BW123), BW123&gt;60), 10, 0)
))</f>
        <v/>
      </c>
      <c r="CF123" s="5" t="n"/>
      <c r="CG123" s="5" t="n"/>
      <c r="CH123" s="5" t="n"/>
      <c r="CI123" s="5" t="n"/>
      <c r="CJ123" s="5" t="n"/>
      <c r="CK123" s="5" t="n"/>
      <c r="CL123" s="5" t="n"/>
      <c r="CM123" s="5" t="n"/>
      <c r="CN123" s="5" t="n"/>
      <c r="CO123" s="5" t="n"/>
      <c r="CP123" s="5" t="n"/>
      <c r="CQ123" s="5" t="n"/>
      <c r="CR123" s="5">
        <f>COUNTIF(CJ123:CQ123,"FAIL")</f>
        <v/>
      </c>
      <c r="CS123" s="5">
        <f>COUNTIF(CJ123:CQ123,"PARTIAL")</f>
        <v/>
      </c>
      <c r="CT123" s="5">
        <f>COUNTIF(CJ123:CQ123,"MISSING")</f>
        <v/>
      </c>
      <c r="CU123" s="5">
        <f>MIN(100,
  CR123*15
  + CS123*6
  + CT123*3
  + IFERROR(_xlfn.XLOOKUP(CW123,'Lookup Tables'!$M$21:$M$25,'Lookup Tables'!$N$21:$N$25,0),0)
)</f>
        <v/>
      </c>
      <c r="CV123" s="5">
        <f>IFERROR(
CHOOSE(
MATCH("FAIL",CJ123:CQ123,0),
"1-Specificity","2-Metric","3-Baseline","4-Target",
"5-Time Horizon","6-Scope","7-Verification","8-Consistency"
),
IFERROR(
CHOOSE(
MATCH("PARTIAL",CJ123:CQ123,0),
"1-Specificity","2-Metric","3-Baseline","4-Target",
"5-Time Horizon","6-Scope","7-Verification","8-Consistency"
),
"No failures"
)
)</f>
        <v/>
      </c>
      <c r="CW123" s="5" t="n"/>
      <c r="CX123" s="5" t="n"/>
      <c r="CY123" s="5" t="n"/>
      <c r="CZ123" s="5" t="n"/>
      <c r="DA123" s="5">
        <f>IF(OR(CU123&gt;=50,CW123="Material",CW123="Severe",AS123="Material",AS123="Severe",BF123="Material",BF123="Severe — Exclusion Trigger",AND(ISNUMBER(BS123),BS123&lt;30)),"Yes","No")</f>
        <v/>
      </c>
      <c r="DB123" s="5">
        <f>IF(OR(CR123&gt;=6,AW123="Confirmed Violation",AX123="Confirmed Breach"),"Yes — Automatic",IF(CW123="Severe","Yes — Requires Captain Confirmation","No"))</f>
        <v/>
      </c>
      <c r="DC123" s="5" t="n"/>
      <c r="DD123" s="5" t="n"/>
      <c r="DE123" s="5" t="n"/>
      <c r="DF123" s="5" t="n"/>
      <c r="DG123" s="5" t="n"/>
      <c r="DH123" s="5" t="n"/>
      <c r="DI123" s="5" t="n"/>
      <c r="DJ123" s="5" t="n"/>
      <c r="DK123" s="5" t="n"/>
      <c r="DL123" s="5">
        <f>IF(OR(IFERROR(VALUE(LEFT(DF123,1)),99)&lt;=2,IFERROR(VALUE(LEFT(DG123,1)),99)&lt;=2),"Flagged","Clear")</f>
        <v/>
      </c>
      <c r="DM123" s="5">
        <f>IF(OR(DA123="Yes",DB123&lt;&gt;"No",DH123="Unverified",DL123="Flagged"),"Yes","No")</f>
        <v/>
      </c>
      <c r="DN123" s="5">
        <f t="array" ref="DN123">MIN(100,
  IF(ISNUMBER(V123), _xlfn.IFS(V123&gt;=3,25, V123=2,15, V123=1,5, TRUE,0), 0)
  + IFERROR(_xlfn.IFS(VALUE(LEFT(DF123,1))=5,25, VALUE(LEFT(DF123,1))=4,20, VALUE(LEFT(DF123,1))=3,15, VALUE(LEFT(DF123,1))=2,8, TRUE,0), 15)
  + IFERROR(_xlfn.IFS(VALUE(LEFT(DG123,1))=5,25, VALUE(LEFT(DG123,1))=4,20, VALUE(LEFT(DG123,1))=3,15, VALUE(LEFT(DG123,1))=2,8, TRUE,0), 15)
  + _xlfn.IFS(DH123="Fully Verified",25, DH123="Partially Verified",12, TRUE,0)
)</f>
        <v/>
      </c>
      <c r="DO123" s="5">
        <f t="array" ref="DO123">_xlfn.IFS(
  ISBLANK(AR123), "Insufficient Evidence",
  AND(AR123&gt;=65, AJ123="Approved"), "Strong",
  AR123&gt;=65, "Adequate",
  AR123&gt;=40, "Adequate",
  AR123&gt;=20, "Weak",
  TRUE, "Insufficient Evidence"
)</f>
        <v/>
      </c>
      <c r="DP123" s="5">
        <f t="array" ref="DP123">_xlfn.IFS(
  ISBLANK(BS123), "Insufficient Evidence",
  BS123&gt;=65, "Strong",
  BS123&gt;=40, "Adequate",
  BS123&gt;=20, "Weak",
  TRUE, "Insufficient Evidence"
)</f>
        <v/>
      </c>
      <c r="DQ123" s="5">
        <f t="array" ref="DQ123">_xlfn.IFS(
  ISBLANK(BE123), "Insufficient Evidence",
  OR(AW123="Confirmed Violation", AX123="Confirmed Breach"), "Severe — Hard Trigger",
  BE123&gt;=65, "Strong",
  BE123&gt;=40, "Adequate",
  BE123&gt;=20, "Weak",
  TRUE, "Insufficient Evidence"
)</f>
        <v/>
      </c>
      <c r="DR123" s="5">
        <f t="array" ref="DR123">_xlfn.IFS(
  ISBLANK(CU123), "Insufficient Evidence",
  CU123&lt;=20, "Low Risk",
  CU123&lt;=50, "Moderate Risk",
  CU123&lt;=75, "High Risk",
  TRUE, "Very High Risk"
)</f>
        <v/>
      </c>
      <c r="DS123" s="5">
        <f t="array" ref="DS123">_xlfn.IFS(
  ISBLANK(CE123), "Insufficient Evidence",
  AND(ISNUMBER(BW123),ISNUMBER(BV123),BW123&gt;BV123), "Overclaiming Risk",
  CE123&gt;=65, "Strong",
  CE123&gt;=40, "Adequate",
  TRUE, "Weak"
)</f>
        <v/>
      </c>
      <c r="DT123" s="5">
        <f>IF(DB123="Yes — Automatic",0,ROUND((IF(ISNUMBER(AR123),AR123,0)*0.3+IF(ISNUMBER(BS123),BS123,0)*0.2+IF(ISNUMBER(BE123),BE123,0)*0.2+IF(ISNUMBER(CE123),CE123,0)*0.15+(100-IF(ISNUMBER(CU123),CU123,50))*0.15)*IF(DN123&gt;=75,1,IF(DN123&gt;=50,0.9,IF(DN123&gt;=25,0.75,0.6))),1))</f>
        <v/>
      </c>
      <c r="DU123" s="5">
        <f t="array" ref="DU123">_xlfn.IFS(
  DV123="Upgraded to Clear", "Clear",
  DV123="Downgraded to Watchlist", "Watchlist",
  DV123="Downgraded to Exclusion", "Exclusion Risk",
  DB123="Yes — Automatic", "Exclusion Risk",
  OR(AW123="Confirmed Violation", AX123="Confirmed Breach"), "Exclusion Risk",
  OR(V123=0, ISBLANK(V123), DN123&lt;20), "Insufficient Evidence",
  AND(DT123&gt;=65, DA123="No", DB123="No"), "Clear",
  OR(DT123&gt;=40, DA123="Yes"), "Watchlist",
  TRUE, "Exclusion Risk"
)</f>
        <v/>
      </c>
      <c r="DV123" s="5" t="n"/>
      <c r="DW123" s="5">
        <f t="array" ref="DW123">_xlfn.IFS(
  DU123="Exclusion Risk", "Exclude — Hard Trigger",
  DU123="Insufficient Evidence", "Watchlist — Further Evidence Needed",
  DU123="Watchlist", "Watchlist — Further Evidence Needed",
  AND(DU123="Clear", DT123&gt;=80), "Include — No Conditions",
  DU123="Clear", "Include — Monitor",
  TRUE, "Watchlist — Further Evidence Needed"
)</f>
        <v/>
      </c>
      <c r="DX123" s="5" t="n"/>
      <c r="DY123" s="5" t="n"/>
      <c r="DZ123" s="5" t="n"/>
      <c r="EA123" s="5" t="n"/>
      <c r="EB123" s="5">
        <f>IF(OR(V123=0, ISBLANK(V123)), "MISSING — No sources reviewed", "")</f>
        <v/>
      </c>
      <c r="EC123" s="5">
        <f>IF(AND(NOT(ISBLANK(DC123)), ISBLANK(DE123)), "PAGE REF MISSING", "")</f>
        <v/>
      </c>
    </row>
    <row r="124" ht="18" customHeight="1" s="60">
      <c r="A124" s="5" t="inlineStr">
        <is>
          <t>NKT A/S</t>
        </is>
      </c>
      <c r="B124" s="5" t="inlineStr">
        <is>
          <t>NKT</t>
        </is>
      </c>
      <c r="C124" s="5">
        <f>IF(ISBLANK('Universe Tracker'!D99),"",'Universe Tracker'!D99)</f>
        <v/>
      </c>
      <c r="D124" s="5" t="n"/>
      <c r="E124" s="5" t="n"/>
      <c r="F124" s="5">
        <f>IF(ISBLANK('Universe Tracker'!F99),"",'Universe Tracker'!F99)</f>
        <v/>
      </c>
      <c r="G124" s="5">
        <f>IF(ISBLANK('Universe Tracker'!G99),"",'Universe Tracker'!G99)</f>
        <v/>
      </c>
      <c r="H124" s="5" t="n"/>
      <c r="I124" s="5" t="n"/>
      <c r="J124" s="5">
        <f>IF(ISBLANK(B124),"",B124&amp;"_"&amp;C124)</f>
        <v/>
      </c>
      <c r="K124" s="5" t="n"/>
      <c r="L124" s="5" t="n"/>
      <c r="M124" s="5" t="n"/>
      <c r="N124" s="5" t="n"/>
      <c r="O124" s="5" t="n"/>
      <c r="P124" s="5" t="n"/>
      <c r="Q124" s="5" t="n"/>
      <c r="R124" s="5" t="n"/>
      <c r="S124" s="5" t="n"/>
      <c r="T124" s="5" t="n"/>
      <c r="U124" s="5" t="n"/>
      <c r="V124" s="5" t="n"/>
      <c r="W124" s="5" t="n"/>
      <c r="X124" s="5" t="n"/>
      <c r="Y124" s="5">
        <f>IF(AND(V124&gt;=2,K124="Yes",L124="Yes"),"Sufficient",IF(AND(V124&gt;=1,OR(K124="Yes",L124="Yes")),"Thin","Insufficient"))</f>
        <v/>
      </c>
      <c r="Z124" s="5" t="n"/>
      <c r="AA124" s="5" t="n"/>
      <c r="AB124" s="5" t="n"/>
      <c r="AC124" s="5" t="n"/>
      <c r="AD124" s="5" t="n"/>
      <c r="AE124" s="5" t="n"/>
      <c r="AF124" s="5" t="n"/>
      <c r="AG124" s="5" t="n"/>
      <c r="AH124" s="5" t="n"/>
      <c r="AI124" s="5" t="n"/>
      <c r="AJ124" s="5" t="n"/>
      <c r="AK124" s="5" t="n"/>
      <c r="AL124" s="5" t="n"/>
      <c r="AM124" s="5" t="n"/>
      <c r="AN124" s="5" t="n"/>
      <c r="AO124" s="5" t="n"/>
      <c r="AP124" s="5" t="n"/>
      <c r="AQ124" s="5" t="n"/>
      <c r="AR124" s="40">
        <f t="array" ref="AR124">MIN(100, MAX(0,
  IFERROR(_xlfn.XLOOKUP(AJ124,'Lookup Tables'!$A$2:$A$7,'Lookup Tables'!$B$2:$B$7,0),0)
  + IF(Z124="Yes", IF(IFERROR(_xlfn.XLOOKUP(AJ124,'Lookup Tables'!$A$2:$A$7,'Lookup Tables'!$B$2:$B$7,0),0)&lt;20, 5, 0), 0)
  + _xlfn.IFS(AB124="Yes", IF(ISNUMBER(AC124)*AND(AC124&lt;=2030),15,10), AB124="Long-term Only", 5, AB124="No", 0, TRUE, 0)
  + _xlfn.IFS(AF124="Full",10, AF124="Partial",5, AF124="Scope 2 Only",3, TRUE,0)
  + _xlfn.IFS(AG124="Yes", IF(ISNUMBER(AH124)*AND(AH124&gt;=5),10,6), AG124="Partial",4, TRUE,0)
  + _xlfn.IFS(AI124="Yes",5, AI124="Partial (material categories only)",3, TRUE,0)
  + _xlfn.IFS(AL124="Yes — Detailed",10, AL124="Yes — High Level",5, TRUE,0)
  + _xlfn.IFS(AM124="Yes — Quantified",15, AM124="Yes — Directional Only",7, TRUE,0)
  + _xlfn.IFS(AP124="Formal",5, AP124="Referenced",2, TRUE,0)
  + _xlfn.IFS(AQ124="No Issues Found",5, AQ124="Concern Identified",-5, AQ124="Severe Contradiction",-15, TRUE,0)
  + _xlfn.IFS(BC124="Reasonable Assurance",5, BC124="Limited Assurance",3, TRUE,0)
  - IF(AND(Z124="Yes", AI124="No"), 10, 0)
  - IF(AND(Z124="Yes", AM124="No"), 10, 0)
))</f>
        <v/>
      </c>
      <c r="AS124" s="5" t="n"/>
      <c r="AT124" s="5" t="n"/>
      <c r="AU124" s="5" t="n"/>
      <c r="AV124" s="5" t="n"/>
      <c r="AW124" s="5" t="n"/>
      <c r="AX124" s="5" t="n"/>
      <c r="AY124" s="5" t="n"/>
      <c r="AZ124" s="5" t="n"/>
      <c r="BA124" s="5" t="n"/>
      <c r="BB124" s="5" t="n"/>
      <c r="BC124" s="5" t="n"/>
      <c r="BD124" s="5" t="n"/>
      <c r="BE124" s="39">
        <f t="array" ref="BE124">MIN(100, MAX(0,
  IFERROR(_xlfn.XLOOKUP(AT124,'Lookup Tables'!$D$2:$D$6,'Lookup Tables'!$E$2:$E$6,0),0)
  + IFERROR(_xlfn.XLOOKUP(AV124,'Lookup Tables'!$G$2:$G$5,'Lookup Tables'!$H$2:$H$5,0),0)
  + IFERROR(_xlfn.XLOOKUP(AW124,'Lookup Tables'!$J$2:$J$5,'Lookup Tables'!$K$2:$K$5,0),0)
  + _xlfn.IFS(AX124="No Issues",10, AX124="Complaint Filed",3, AX124="Confirmed Breach",-15, TRUE,0)
  + IFERROR(_xlfn.XLOOKUP(AY124,'Lookup Tables'!$M$2:$M$6,'Lookup Tables'!$N$2:$N$6,0),0)
  + IFERROR(_xlfn.XLOOKUP(AZ124,'Lookup Tables'!$P$2:$P$6,'Lookup Tables'!$Q$2:$Q$6,0),0)
  + _xlfn.IFS(BA124="Formal Board Committee",5, BA124="Board Oversight Mentioned",2, TRUE,0)
  + _xlfn.IFS(BB124="Yes — Quantified Targets",5, BB124="Yes — Discretionary Only",2, TRUE,0)
  + _xlfn.IFS(BC124="Reasonable Assurance",5, BC124="Limited Assurance",3, BC124="Management Review Only",1, TRUE,0)
))</f>
        <v/>
      </c>
      <c r="BF124" s="5" t="n"/>
      <c r="BG124" s="5" t="n"/>
      <c r="BH124" s="5" t="n"/>
      <c r="BI124" s="5" t="n"/>
      <c r="BJ124" s="5" t="n"/>
      <c r="BK124" s="5" t="n"/>
      <c r="BL124" s="5" t="n"/>
      <c r="BM124" s="5" t="n"/>
      <c r="BN124" s="5" t="n"/>
      <c r="BO124" s="5" t="n"/>
      <c r="BP124" s="5" t="n"/>
      <c r="BQ124" s="5" t="n"/>
      <c r="BR124" s="5" t="n"/>
      <c r="BS124" s="41">
        <f t="array" ref="BS124">MIN(100, MAX(0,
  IFERROR(_xlfn.XLOOKUP(BG124,'Lookup Tables'!$A$11:$A$16,'Lookup Tables'!$B$11:$B$16,0),0)
  + IFERROR(_xlfn.XLOOKUP(BR124,'Lookup Tables'!$M$11:$M$14,'Lookup Tables'!$N$11:$N$14,0),0)
  + IFERROR(_xlfn.XLOOKUP(BQ124,'Lookup Tables'!$J$11:$J$15,'Lookup Tables'!$K$11:$K$15,0),0)
  + IFERROR(_xlfn.XLOOKUP(BH124,'Lookup Tables'!$D$11:$D$15,'Lookup Tables'!$E$11:$E$15,0),0)
  + IFERROR(_xlfn.XLOOKUP(BJ124,'Lookup Tables'!$G$11:$G$16,'Lookup Tables'!$H$11:$H$16,0),0)
  + IFERROR(_xlfn.XLOOKUP(BN124,'Lookup Tables'!$P$11:$P$15,'Lookup Tables'!$Q$11:$Q$15,0),0)
  + _xlfn.IFS(BM124="No Evidence",10, BM124="Unknown",3, BM124="Likely",0, BM124="Confirmed",-10, TRUE,3)
  + IFERROR(_xlfn.XLOOKUP(BP124,'Lookup Tables'!$J$21:$J$24,'Lookup Tables'!$K$21:$K$24,0),0)
))</f>
        <v/>
      </c>
      <c r="BT124" s="5" t="n"/>
      <c r="BU124" s="5" t="n"/>
      <c r="BV124" s="5" t="n"/>
      <c r="BW124" s="5" t="n"/>
      <c r="BX124" s="5" t="n"/>
      <c r="BY124" s="5" t="n"/>
      <c r="BZ124" s="5" t="n"/>
      <c r="CA124" s="5" t="n"/>
      <c r="CB124" s="5" t="n"/>
      <c r="CC124" s="5" t="n"/>
      <c r="CD124" s="5" t="n"/>
      <c r="CE124" s="43">
        <f t="array" ref="CE124">MIN(100, MAX(0,
  IF(ISNUMBER(BV124)*AND(BV124&gt;0), 10, 0)
  + _xlfn.IFS(BY124="Independently Verified",25, BY124="Yes",15, TRUE,0)
  + IFERROR(_xlfn.XLOOKUP(BZ124,'Lookup Tables'!$A$21:$A$24,'Lookup Tables'!$B$21:$B$24,0),0)
  + IFERROR(_xlfn.XLOOKUP(CA124,'Lookup Tables'!$D$21:$D$24,'Lookup Tables'!$E$21:$E$24,0),0)
  + _xlfn.IFS(ISNUMBER(CB124)*AND(CB124&gt;=11),15, ISNUMBER(CB124)*AND(CB124&gt;=6),10, ISNUMBER(CB124)*AND(CB124&gt;=1),5, TRUE,0)
  + IFERROR(_xlfn.XLOOKUP(CC124,'Lookup Tables'!$G$21:$G$25,'Lookup Tables'!$H$21:$H$25,0),0)
  - IF(ISNUMBER(BW124)*AND(ISNUMBER(BV124))*AND(BW124&gt;BV124), 20, 0)
  - IF(AND(BY124="Yes", ISNUMBER(BW124), BW124&gt;60), 10, 0)
))</f>
        <v/>
      </c>
      <c r="CF124" s="5" t="n"/>
      <c r="CG124" s="5" t="n"/>
      <c r="CH124" s="5" t="n"/>
      <c r="CI124" s="5" t="n"/>
      <c r="CJ124" s="5" t="n"/>
      <c r="CK124" s="5" t="n"/>
      <c r="CL124" s="5" t="n"/>
      <c r="CM124" s="5" t="n"/>
      <c r="CN124" s="5" t="n"/>
      <c r="CO124" s="5" t="n"/>
      <c r="CP124" s="5" t="n"/>
      <c r="CQ124" s="5" t="n"/>
      <c r="CR124" s="5">
        <f>COUNTIF(CJ124:CQ124,"FAIL")</f>
        <v/>
      </c>
      <c r="CS124" s="5">
        <f>COUNTIF(CJ124:CQ124,"PARTIAL")</f>
        <v/>
      </c>
      <c r="CT124" s="5">
        <f>COUNTIF(CJ124:CQ124,"MISSING")</f>
        <v/>
      </c>
      <c r="CU124" s="5">
        <f>MIN(100,
  CR124*15
  + CS124*6
  + CT124*3
  + IFERROR(_xlfn.XLOOKUP(CW124,'Lookup Tables'!$M$21:$M$25,'Lookup Tables'!$N$21:$N$25,0),0)
)</f>
        <v/>
      </c>
      <c r="CV124" s="5">
        <f>IFERROR(
CHOOSE(
MATCH("FAIL",CJ124:CQ124,0),
"1-Specificity","2-Metric","3-Baseline","4-Target",
"5-Time Horizon","6-Scope","7-Verification","8-Consistency"
),
IFERROR(
CHOOSE(
MATCH("PARTIAL",CJ124:CQ124,0),
"1-Specificity","2-Metric","3-Baseline","4-Target",
"5-Time Horizon","6-Scope","7-Verification","8-Consistency"
),
"No failures"
)
)</f>
        <v/>
      </c>
      <c r="CW124" s="5" t="n"/>
      <c r="CX124" s="5" t="n"/>
      <c r="CY124" s="5" t="n"/>
      <c r="CZ124" s="5" t="n"/>
      <c r="DA124" s="5">
        <f>IF(OR(CU124&gt;=50,CW124="Material",CW124="Severe",AS124="Material",AS124="Severe",BF124="Material",BF124="Severe — Exclusion Trigger",AND(ISNUMBER(BS124),BS124&lt;30)),"Yes","No")</f>
        <v/>
      </c>
      <c r="DB124" s="5">
        <f>IF(OR(CR124&gt;=6,AW124="Confirmed Violation",AX124="Confirmed Breach"),"Yes — Automatic",IF(CW124="Severe","Yes — Requires Captain Confirmation","No"))</f>
        <v/>
      </c>
      <c r="DC124" s="5" t="n"/>
      <c r="DD124" s="5" t="n"/>
      <c r="DE124" s="5" t="n"/>
      <c r="DF124" s="5" t="n"/>
      <c r="DG124" s="5" t="n"/>
      <c r="DH124" s="5" t="n"/>
      <c r="DI124" s="5" t="n"/>
      <c r="DJ124" s="5" t="n"/>
      <c r="DK124" s="5" t="n"/>
      <c r="DL124" s="5">
        <f>IF(OR(IFERROR(VALUE(LEFT(DF124,1)),99)&lt;=2,IFERROR(VALUE(LEFT(DG124,1)),99)&lt;=2),"Flagged","Clear")</f>
        <v/>
      </c>
      <c r="DM124" s="5">
        <f>IF(OR(DA124="Yes",DB124&lt;&gt;"No",DH124="Unverified",DL124="Flagged"),"Yes","No")</f>
        <v/>
      </c>
      <c r="DN124" s="5">
        <f t="array" ref="DN124">MIN(100,
  IF(ISNUMBER(V124), _xlfn.IFS(V124&gt;=3,25, V124=2,15, V124=1,5, TRUE,0), 0)
  + IFERROR(_xlfn.IFS(VALUE(LEFT(DF124,1))=5,25, VALUE(LEFT(DF124,1))=4,20, VALUE(LEFT(DF124,1))=3,15, VALUE(LEFT(DF124,1))=2,8, TRUE,0), 15)
  + IFERROR(_xlfn.IFS(VALUE(LEFT(DG124,1))=5,25, VALUE(LEFT(DG124,1))=4,20, VALUE(LEFT(DG124,1))=3,15, VALUE(LEFT(DG124,1))=2,8, TRUE,0), 15)
  + _xlfn.IFS(DH124="Fully Verified",25, DH124="Partially Verified",12, TRUE,0)
)</f>
        <v/>
      </c>
      <c r="DO124" s="5">
        <f t="array" ref="DO124">_xlfn.IFS(
  ISBLANK(AR124), "Insufficient Evidence",
  AND(AR124&gt;=65, AJ124="Approved"), "Strong",
  AR124&gt;=65, "Adequate",
  AR124&gt;=40, "Adequate",
  AR124&gt;=20, "Weak",
  TRUE, "Insufficient Evidence"
)</f>
        <v/>
      </c>
      <c r="DP124" s="5">
        <f t="array" ref="DP124">_xlfn.IFS(
  ISBLANK(BS124), "Insufficient Evidence",
  BS124&gt;=65, "Strong",
  BS124&gt;=40, "Adequate",
  BS124&gt;=20, "Weak",
  TRUE, "Insufficient Evidence"
)</f>
        <v/>
      </c>
      <c r="DQ124" s="5">
        <f t="array" ref="DQ124">_xlfn.IFS(
  ISBLANK(BE124), "Insufficient Evidence",
  OR(AW124="Confirmed Violation", AX124="Confirmed Breach"), "Severe — Hard Trigger",
  BE124&gt;=65, "Strong",
  BE124&gt;=40, "Adequate",
  BE124&gt;=20, "Weak",
  TRUE, "Insufficient Evidence"
)</f>
        <v/>
      </c>
      <c r="DR124" s="5">
        <f t="array" ref="DR124">_xlfn.IFS(
  ISBLANK(CU124), "Insufficient Evidence",
  CU124&lt;=20, "Low Risk",
  CU124&lt;=50, "Moderate Risk",
  CU124&lt;=75, "High Risk",
  TRUE, "Very High Risk"
)</f>
        <v/>
      </c>
      <c r="DS124" s="5">
        <f t="array" ref="DS124">_xlfn.IFS(
  ISBLANK(CE124), "Insufficient Evidence",
  AND(ISNUMBER(BW124),ISNUMBER(BV124),BW124&gt;BV124), "Overclaiming Risk",
  CE124&gt;=65, "Strong",
  CE124&gt;=40, "Adequate",
  TRUE, "Weak"
)</f>
        <v/>
      </c>
      <c r="DT124" s="5">
        <f>IF(DB124="Yes — Automatic",0,ROUND((IF(ISNUMBER(AR124),AR124,0)*0.3+IF(ISNUMBER(BS124),BS124,0)*0.2+IF(ISNUMBER(BE124),BE124,0)*0.2+IF(ISNUMBER(CE124),CE124,0)*0.15+(100-IF(ISNUMBER(CU124),CU124,50))*0.15)*IF(DN124&gt;=75,1,IF(DN124&gt;=50,0.9,IF(DN124&gt;=25,0.75,0.6))),1))</f>
        <v/>
      </c>
      <c r="DU124" s="5">
        <f t="array" ref="DU124">_xlfn.IFS(
  DV124="Upgraded to Clear", "Clear",
  DV124="Downgraded to Watchlist", "Watchlist",
  DV124="Downgraded to Exclusion", "Exclusion Risk",
  DB124="Yes — Automatic", "Exclusion Risk",
  OR(AW124="Confirmed Violation", AX124="Confirmed Breach"), "Exclusion Risk",
  OR(V124=0, ISBLANK(V124), DN124&lt;20), "Insufficient Evidence",
  AND(DT124&gt;=65, DA124="No", DB124="No"), "Clear",
  OR(DT124&gt;=40, DA124="Yes"), "Watchlist",
  TRUE, "Exclusion Risk"
)</f>
        <v/>
      </c>
      <c r="DV124" s="5" t="n"/>
      <c r="DW124" s="5">
        <f t="array" ref="DW124">_xlfn.IFS(
  DU124="Exclusion Risk", "Exclude — Hard Trigger",
  DU124="Insufficient Evidence", "Watchlist — Further Evidence Needed",
  DU124="Watchlist", "Watchlist — Further Evidence Needed",
  AND(DU124="Clear", DT124&gt;=80), "Include — No Conditions",
  DU124="Clear", "Include — Monitor",
  TRUE, "Watchlist — Further Evidence Needed"
)</f>
        <v/>
      </c>
      <c r="DX124" s="5" t="n"/>
      <c r="DY124" s="5" t="n"/>
      <c r="DZ124" s="5" t="n"/>
      <c r="EA124" s="5" t="n"/>
      <c r="EB124" s="5">
        <f>IF(OR(V124=0, ISBLANK(V124)), "MISSING — No sources reviewed", "")</f>
        <v/>
      </c>
      <c r="EC124" s="5">
        <f>IF(AND(NOT(ISBLANK(DC124)), ISBLANK(DE124)), "PAGE REF MISSING", "")</f>
        <v/>
      </c>
    </row>
    <row r="125" ht="18" customHeight="1" s="60">
      <c r="A125" s="5" t="inlineStr">
        <is>
          <t>Storebrand ASA</t>
        </is>
      </c>
      <c r="B125" s="5" t="inlineStr">
        <is>
          <t>SKT</t>
        </is>
      </c>
      <c r="C125" s="5">
        <f>IF(ISBLANK('Universe Tracker'!D100),"",'Universe Tracker'!D100)</f>
        <v/>
      </c>
      <c r="D125" s="5" t="n"/>
      <c r="E125" s="5" t="n"/>
      <c r="F125" s="5">
        <f>IF(ISBLANK('Universe Tracker'!F100),"",'Universe Tracker'!F100)</f>
        <v/>
      </c>
      <c r="G125" s="5">
        <f>IF(ISBLANK('Universe Tracker'!G100),"",'Universe Tracker'!G100)</f>
        <v/>
      </c>
      <c r="H125" s="5" t="n"/>
      <c r="I125" s="5" t="n"/>
      <c r="J125" s="5">
        <f>IF(ISBLANK(B125),"",B125&amp;"_"&amp;C125)</f>
        <v/>
      </c>
      <c r="K125" s="5" t="n"/>
      <c r="L125" s="5" t="n"/>
      <c r="M125" s="5" t="n"/>
      <c r="N125" s="5" t="n"/>
      <c r="O125" s="5" t="n"/>
      <c r="P125" s="5" t="n"/>
      <c r="Q125" s="5" t="n"/>
      <c r="R125" s="5" t="n"/>
      <c r="S125" s="5" t="n"/>
      <c r="T125" s="5" t="n"/>
      <c r="U125" s="5" t="n"/>
      <c r="V125" s="5" t="n"/>
      <c r="W125" s="5" t="n"/>
      <c r="X125" s="5" t="n"/>
      <c r="Y125" s="5">
        <f>IF(AND(V125&gt;=2,K125="Yes",L125="Yes"),"Sufficient",IF(AND(V125&gt;=1,OR(K125="Yes",L125="Yes")),"Thin","Insufficient"))</f>
        <v/>
      </c>
      <c r="Z125" s="5" t="n"/>
      <c r="AA125" s="5" t="n"/>
      <c r="AB125" s="5" t="n"/>
      <c r="AC125" s="5" t="n"/>
      <c r="AD125" s="5" t="n"/>
      <c r="AE125" s="5" t="n"/>
      <c r="AF125" s="5" t="n"/>
      <c r="AG125" s="5" t="n"/>
      <c r="AH125" s="5" t="n"/>
      <c r="AI125" s="5" t="n"/>
      <c r="AJ125" s="5" t="n"/>
      <c r="AK125" s="5" t="n"/>
      <c r="AL125" s="5" t="n"/>
      <c r="AM125" s="5" t="n"/>
      <c r="AN125" s="5" t="n"/>
      <c r="AO125" s="5" t="n"/>
      <c r="AP125" s="5" t="n"/>
      <c r="AQ125" s="5" t="n"/>
      <c r="AR125" s="40">
        <f t="array" ref="AR125">MIN(100, MAX(0,
  IFERROR(_xlfn.XLOOKUP(AJ125,'Lookup Tables'!$A$2:$A$7,'Lookup Tables'!$B$2:$B$7,0),0)
  + IF(Z125="Yes", IF(IFERROR(_xlfn.XLOOKUP(AJ125,'Lookup Tables'!$A$2:$A$7,'Lookup Tables'!$B$2:$B$7,0),0)&lt;20, 5, 0), 0)
  + _xlfn.IFS(AB125="Yes", IF(ISNUMBER(AC125)*AND(AC125&lt;=2030),15,10), AB125="Long-term Only", 5, AB125="No", 0, TRUE, 0)
  + _xlfn.IFS(AF125="Full",10, AF125="Partial",5, AF125="Scope 2 Only",3, TRUE,0)
  + _xlfn.IFS(AG125="Yes", IF(ISNUMBER(AH125)*AND(AH125&gt;=5),10,6), AG125="Partial",4, TRUE,0)
  + _xlfn.IFS(AI125="Yes",5, AI125="Partial (material categories only)",3, TRUE,0)
  + _xlfn.IFS(AL125="Yes — Detailed",10, AL125="Yes — High Level",5, TRUE,0)
  + _xlfn.IFS(AM125="Yes — Quantified",15, AM125="Yes — Directional Only",7, TRUE,0)
  + _xlfn.IFS(AP125="Formal",5, AP125="Referenced",2, TRUE,0)
  + _xlfn.IFS(AQ125="No Issues Found",5, AQ125="Concern Identified",-5, AQ125="Severe Contradiction",-15, TRUE,0)
  + _xlfn.IFS(BC125="Reasonable Assurance",5, BC125="Limited Assurance",3, TRUE,0)
  - IF(AND(Z125="Yes", AI125="No"), 10, 0)
  - IF(AND(Z125="Yes", AM125="No"), 10, 0)
))</f>
        <v/>
      </c>
      <c r="AS125" s="5" t="n"/>
      <c r="AT125" s="5" t="n"/>
      <c r="AU125" s="5" t="n"/>
      <c r="AV125" s="5" t="n"/>
      <c r="AW125" s="5" t="n"/>
      <c r="AX125" s="5" t="n"/>
      <c r="AY125" s="5" t="n"/>
      <c r="AZ125" s="5" t="n"/>
      <c r="BA125" s="5" t="n"/>
      <c r="BB125" s="5" t="n"/>
      <c r="BC125" s="5" t="n"/>
      <c r="BD125" s="5" t="n"/>
      <c r="BE125" s="39">
        <f t="array" ref="BE125">MIN(100, MAX(0,
  IFERROR(_xlfn.XLOOKUP(AT125,'Lookup Tables'!$D$2:$D$6,'Lookup Tables'!$E$2:$E$6,0),0)
  + IFERROR(_xlfn.XLOOKUP(AV125,'Lookup Tables'!$G$2:$G$5,'Lookup Tables'!$H$2:$H$5,0),0)
  + IFERROR(_xlfn.XLOOKUP(AW125,'Lookup Tables'!$J$2:$J$5,'Lookup Tables'!$K$2:$K$5,0),0)
  + _xlfn.IFS(AX125="No Issues",10, AX125="Complaint Filed",3, AX125="Confirmed Breach",-15, TRUE,0)
  + IFERROR(_xlfn.XLOOKUP(AY125,'Lookup Tables'!$M$2:$M$6,'Lookup Tables'!$N$2:$N$6,0),0)
  + IFERROR(_xlfn.XLOOKUP(AZ125,'Lookup Tables'!$P$2:$P$6,'Lookup Tables'!$Q$2:$Q$6,0),0)
  + _xlfn.IFS(BA125="Formal Board Committee",5, BA125="Board Oversight Mentioned",2, TRUE,0)
  + _xlfn.IFS(BB125="Yes — Quantified Targets",5, BB125="Yes — Discretionary Only",2, TRUE,0)
  + _xlfn.IFS(BC125="Reasonable Assurance",5, BC125="Limited Assurance",3, BC125="Management Review Only",1, TRUE,0)
))</f>
        <v/>
      </c>
      <c r="BF125" s="5" t="n"/>
      <c r="BG125" s="5" t="n"/>
      <c r="BH125" s="5" t="n"/>
      <c r="BI125" s="5" t="n"/>
      <c r="BJ125" s="5" t="n"/>
      <c r="BK125" s="5" t="n"/>
      <c r="BL125" s="5" t="n"/>
      <c r="BM125" s="5" t="n"/>
      <c r="BN125" s="5" t="n"/>
      <c r="BO125" s="5" t="n"/>
      <c r="BP125" s="5" t="n"/>
      <c r="BQ125" s="5" t="n"/>
      <c r="BR125" s="5" t="n"/>
      <c r="BS125" s="41">
        <f t="array" ref="BS125">MIN(100, MAX(0,
  IFERROR(_xlfn.XLOOKUP(BG125,'Lookup Tables'!$A$11:$A$16,'Lookup Tables'!$B$11:$B$16,0),0)
  + IFERROR(_xlfn.XLOOKUP(BR125,'Lookup Tables'!$M$11:$M$14,'Lookup Tables'!$N$11:$N$14,0),0)
  + IFERROR(_xlfn.XLOOKUP(BQ125,'Lookup Tables'!$J$11:$J$15,'Lookup Tables'!$K$11:$K$15,0),0)
  + IFERROR(_xlfn.XLOOKUP(BH125,'Lookup Tables'!$D$11:$D$15,'Lookup Tables'!$E$11:$E$15,0),0)
  + IFERROR(_xlfn.XLOOKUP(BJ125,'Lookup Tables'!$G$11:$G$16,'Lookup Tables'!$H$11:$H$16,0),0)
  + IFERROR(_xlfn.XLOOKUP(BN125,'Lookup Tables'!$P$11:$P$15,'Lookup Tables'!$Q$11:$Q$15,0),0)
  + _xlfn.IFS(BM125="No Evidence",10, BM125="Unknown",3, BM125="Likely",0, BM125="Confirmed",-10, TRUE,3)
  + IFERROR(_xlfn.XLOOKUP(BP125,'Lookup Tables'!$J$21:$J$24,'Lookup Tables'!$K$21:$K$24,0),0)
))</f>
        <v/>
      </c>
      <c r="BT125" s="5" t="n"/>
      <c r="BU125" s="5" t="n"/>
      <c r="BV125" s="5" t="n"/>
      <c r="BW125" s="5" t="n"/>
      <c r="BX125" s="5" t="n"/>
      <c r="BY125" s="5" t="n"/>
      <c r="BZ125" s="5" t="n"/>
      <c r="CA125" s="5" t="n"/>
      <c r="CB125" s="5" t="n"/>
      <c r="CC125" s="5" t="n"/>
      <c r="CD125" s="5" t="n"/>
      <c r="CE125" s="43">
        <f t="array" ref="CE125">MIN(100, MAX(0,
  IF(ISNUMBER(BV125)*AND(BV125&gt;0), 10, 0)
  + _xlfn.IFS(BY125="Independently Verified",25, BY125="Yes",15, TRUE,0)
  + IFERROR(_xlfn.XLOOKUP(BZ125,'Lookup Tables'!$A$21:$A$24,'Lookup Tables'!$B$21:$B$24,0),0)
  + IFERROR(_xlfn.XLOOKUP(CA125,'Lookup Tables'!$D$21:$D$24,'Lookup Tables'!$E$21:$E$24,0),0)
  + _xlfn.IFS(ISNUMBER(CB125)*AND(CB125&gt;=11),15, ISNUMBER(CB125)*AND(CB125&gt;=6),10, ISNUMBER(CB125)*AND(CB125&gt;=1),5, TRUE,0)
  + IFERROR(_xlfn.XLOOKUP(CC125,'Lookup Tables'!$G$21:$G$25,'Lookup Tables'!$H$21:$H$25,0),0)
  - IF(ISNUMBER(BW125)*AND(ISNUMBER(BV125))*AND(BW125&gt;BV125), 20, 0)
  - IF(AND(BY125="Yes", ISNUMBER(BW125), BW125&gt;60), 10, 0)
))</f>
        <v/>
      </c>
      <c r="CF125" s="5" t="n"/>
      <c r="CG125" s="5" t="n"/>
      <c r="CH125" s="5" t="n"/>
      <c r="CI125" s="5" t="n"/>
      <c r="CJ125" s="5" t="n"/>
      <c r="CK125" s="5" t="n"/>
      <c r="CL125" s="5" t="n"/>
      <c r="CM125" s="5" t="n"/>
      <c r="CN125" s="5" t="n"/>
      <c r="CO125" s="5" t="n"/>
      <c r="CP125" s="5" t="n"/>
      <c r="CQ125" s="5" t="n"/>
      <c r="CR125" s="5">
        <f>COUNTIF(CJ125:CQ125,"FAIL")</f>
        <v/>
      </c>
      <c r="CS125" s="5">
        <f>COUNTIF(CJ125:CQ125,"PARTIAL")</f>
        <v/>
      </c>
      <c r="CT125" s="5">
        <f>COUNTIF(CJ125:CQ125,"MISSING")</f>
        <v/>
      </c>
      <c r="CU125" s="5">
        <f>MIN(100,
  CR125*15
  + CS125*6
  + CT125*3
  + IFERROR(_xlfn.XLOOKUP(CW125,'Lookup Tables'!$M$21:$M$25,'Lookup Tables'!$N$21:$N$25,0),0)
)</f>
        <v/>
      </c>
      <c r="CV125" s="5">
        <f>IFERROR(
CHOOSE(
MATCH("FAIL",CJ125:CQ125,0),
"1-Specificity","2-Metric","3-Baseline","4-Target",
"5-Time Horizon","6-Scope","7-Verification","8-Consistency"
),
IFERROR(
CHOOSE(
MATCH("PARTIAL",CJ125:CQ125,0),
"1-Specificity","2-Metric","3-Baseline","4-Target",
"5-Time Horizon","6-Scope","7-Verification","8-Consistency"
),
"No failures"
)
)</f>
        <v/>
      </c>
      <c r="CW125" s="5" t="n"/>
      <c r="CX125" s="5" t="n"/>
      <c r="CY125" s="5" t="n"/>
      <c r="CZ125" s="5" t="n"/>
      <c r="DA125" s="5">
        <f>IF(OR(CU125&gt;=50,CW125="Material",CW125="Severe",AS125="Material",AS125="Severe",BF125="Material",BF125="Severe — Exclusion Trigger",AND(ISNUMBER(BS125),BS125&lt;30)),"Yes","No")</f>
        <v/>
      </c>
      <c r="DB125" s="5">
        <f>IF(OR(CR125&gt;=6,AW125="Confirmed Violation",AX125="Confirmed Breach"),"Yes — Automatic",IF(CW125="Severe","Yes — Requires Captain Confirmation","No"))</f>
        <v/>
      </c>
      <c r="DC125" s="5" t="n"/>
      <c r="DD125" s="5" t="n"/>
      <c r="DE125" s="5" t="n"/>
      <c r="DF125" s="5" t="n"/>
      <c r="DG125" s="5" t="n"/>
      <c r="DH125" s="5" t="n"/>
      <c r="DI125" s="5" t="n"/>
      <c r="DJ125" s="5" t="n"/>
      <c r="DK125" s="5" t="n"/>
      <c r="DL125" s="5">
        <f>IF(OR(IFERROR(VALUE(LEFT(DF125,1)),99)&lt;=2,IFERROR(VALUE(LEFT(DG125,1)),99)&lt;=2),"Flagged","Clear")</f>
        <v/>
      </c>
      <c r="DM125" s="5">
        <f>IF(OR(DA125="Yes",DB125&lt;&gt;"No",DH125="Unverified",DL125="Flagged"),"Yes","No")</f>
        <v/>
      </c>
      <c r="DN125" s="5">
        <f t="array" ref="DN125">MIN(100,
  IF(ISNUMBER(V125), _xlfn.IFS(V125&gt;=3,25, V125=2,15, V125=1,5, TRUE,0), 0)
  + IFERROR(_xlfn.IFS(VALUE(LEFT(DF125,1))=5,25, VALUE(LEFT(DF125,1))=4,20, VALUE(LEFT(DF125,1))=3,15, VALUE(LEFT(DF125,1))=2,8, TRUE,0), 15)
  + IFERROR(_xlfn.IFS(VALUE(LEFT(DG125,1))=5,25, VALUE(LEFT(DG125,1))=4,20, VALUE(LEFT(DG125,1))=3,15, VALUE(LEFT(DG125,1))=2,8, TRUE,0), 15)
  + _xlfn.IFS(DH125="Fully Verified",25, DH125="Partially Verified",12, TRUE,0)
)</f>
        <v/>
      </c>
      <c r="DO125" s="5">
        <f t="array" ref="DO125">_xlfn.IFS(
  ISBLANK(AR125), "Insufficient Evidence",
  AND(AR125&gt;=65, AJ125="Approved"), "Strong",
  AR125&gt;=65, "Adequate",
  AR125&gt;=40, "Adequate",
  AR125&gt;=20, "Weak",
  TRUE, "Insufficient Evidence"
)</f>
        <v/>
      </c>
      <c r="DP125" s="5">
        <f t="array" ref="DP125">_xlfn.IFS(
  ISBLANK(BS125), "Insufficient Evidence",
  BS125&gt;=65, "Strong",
  BS125&gt;=40, "Adequate",
  BS125&gt;=20, "Weak",
  TRUE, "Insufficient Evidence"
)</f>
        <v/>
      </c>
      <c r="DQ125" s="5">
        <f t="array" ref="DQ125">_xlfn.IFS(
  ISBLANK(BE125), "Insufficient Evidence",
  OR(AW125="Confirmed Violation", AX125="Confirmed Breach"), "Severe — Hard Trigger",
  BE125&gt;=65, "Strong",
  BE125&gt;=40, "Adequate",
  BE125&gt;=20, "Weak",
  TRUE, "Insufficient Evidence"
)</f>
        <v/>
      </c>
      <c r="DR125" s="5">
        <f t="array" ref="DR125">_xlfn.IFS(
  ISBLANK(CU125), "Insufficient Evidence",
  CU125&lt;=20, "Low Risk",
  CU125&lt;=50, "Moderate Risk",
  CU125&lt;=75, "High Risk",
  TRUE, "Very High Risk"
)</f>
        <v/>
      </c>
      <c r="DS125" s="5">
        <f t="array" ref="DS125">_xlfn.IFS(
  ISBLANK(CE125), "Insufficient Evidence",
  AND(ISNUMBER(BW125),ISNUMBER(BV125),BW125&gt;BV125), "Overclaiming Risk",
  CE125&gt;=65, "Strong",
  CE125&gt;=40, "Adequate",
  TRUE, "Weak"
)</f>
        <v/>
      </c>
      <c r="DT125" s="5">
        <f>IF(DB125="Yes — Automatic",0,ROUND((IF(ISNUMBER(AR125),AR125,0)*0.3+IF(ISNUMBER(BS125),BS125,0)*0.2+IF(ISNUMBER(BE125),BE125,0)*0.2+IF(ISNUMBER(CE125),CE125,0)*0.15+(100-IF(ISNUMBER(CU125),CU125,50))*0.15)*IF(DN125&gt;=75,1,IF(DN125&gt;=50,0.9,IF(DN125&gt;=25,0.75,0.6))),1))</f>
        <v/>
      </c>
      <c r="DU125" s="5">
        <f t="array" ref="DU125">_xlfn.IFS(
  DV125="Upgraded to Clear", "Clear",
  DV125="Downgraded to Watchlist", "Watchlist",
  DV125="Downgraded to Exclusion", "Exclusion Risk",
  DB125="Yes — Automatic", "Exclusion Risk",
  OR(AW125="Confirmed Violation", AX125="Confirmed Breach"), "Exclusion Risk",
  OR(V125=0, ISBLANK(V125), DN125&lt;20), "Insufficient Evidence",
  AND(DT125&gt;=65, DA125="No", DB125="No"), "Clear",
  OR(DT125&gt;=40, DA125="Yes"), "Watchlist",
  TRUE, "Exclusion Risk"
)</f>
        <v/>
      </c>
      <c r="DV125" s="5" t="n"/>
      <c r="DW125" s="5">
        <f t="array" ref="DW125">_xlfn.IFS(
  DU125="Exclusion Risk", "Exclude — Hard Trigger",
  DU125="Insufficient Evidence", "Watchlist — Further Evidence Needed",
  DU125="Watchlist", "Watchlist — Further Evidence Needed",
  AND(DU125="Clear", DT125&gt;=80), "Include — No Conditions",
  DU125="Clear", "Include — Monitor",
  TRUE, "Watchlist — Further Evidence Needed"
)</f>
        <v/>
      </c>
      <c r="DX125" s="5" t="n"/>
      <c r="DY125" s="5" t="n"/>
      <c r="DZ125" s="5" t="n"/>
      <c r="EA125" s="5" t="n"/>
      <c r="EB125" s="5">
        <f>IF(OR(V125=0, ISBLANK(V125)), "MISSING — No sources reviewed", "")</f>
        <v/>
      </c>
      <c r="EC125" s="5">
        <f>IF(AND(NOT(ISBLANK(DC125)), ISBLANK(DE125)), "PAGE REF MISSING", "")</f>
        <v/>
      </c>
    </row>
    <row r="126" ht="18" customHeight="1" s="60">
      <c r="A126" s="5" t="inlineStr">
        <is>
          <t>Benefit Systems SA</t>
        </is>
      </c>
      <c r="B126" s="5" t="inlineStr">
        <is>
          <t>3ZV</t>
        </is>
      </c>
      <c r="C126" s="5">
        <f>IF(ISBLANK('Universe Tracker'!D101),"",'Universe Tracker'!D101)</f>
        <v/>
      </c>
      <c r="D126" s="5" t="n"/>
      <c r="E126" s="5" t="n"/>
      <c r="F126" s="5">
        <f>IF(ISBLANK('Universe Tracker'!F101),"",'Universe Tracker'!F101)</f>
        <v/>
      </c>
      <c r="G126" s="5">
        <f>IF(ISBLANK('Universe Tracker'!G101),"",'Universe Tracker'!G101)</f>
        <v/>
      </c>
      <c r="H126" s="5" t="n"/>
      <c r="I126" s="5" t="n"/>
      <c r="J126" s="5">
        <f>IF(ISBLANK(B126),"",B126&amp;"_"&amp;C126)</f>
        <v/>
      </c>
      <c r="K126" s="5" t="n"/>
      <c r="L126" s="5" t="n"/>
      <c r="M126" s="5" t="n"/>
      <c r="N126" s="5" t="n"/>
      <c r="O126" s="5" t="n"/>
      <c r="P126" s="5" t="n"/>
      <c r="Q126" s="5" t="n"/>
      <c r="R126" s="5" t="n"/>
      <c r="S126" s="5" t="n"/>
      <c r="T126" s="5" t="n"/>
      <c r="U126" s="5" t="n"/>
      <c r="V126" s="5" t="n"/>
      <c r="W126" s="5" t="n"/>
      <c r="X126" s="5" t="n"/>
      <c r="Y126" s="5">
        <f>IF(AND(V126&gt;=2,K126="Yes",L126="Yes"),"Sufficient",IF(AND(V126&gt;=1,OR(K126="Yes",L126="Yes")),"Thin","Insufficient"))</f>
        <v/>
      </c>
      <c r="Z126" s="5" t="n"/>
      <c r="AA126" s="5" t="n"/>
      <c r="AB126" s="5" t="n"/>
      <c r="AC126" s="5" t="n"/>
      <c r="AD126" s="5" t="n"/>
      <c r="AE126" s="5" t="n"/>
      <c r="AF126" s="5" t="n"/>
      <c r="AG126" s="5" t="n"/>
      <c r="AH126" s="5" t="n"/>
      <c r="AI126" s="5" t="n"/>
      <c r="AJ126" s="5" t="n"/>
      <c r="AK126" s="5" t="n"/>
      <c r="AL126" s="5" t="n"/>
      <c r="AM126" s="5" t="n"/>
      <c r="AN126" s="5" t="n"/>
      <c r="AO126" s="5" t="n"/>
      <c r="AP126" s="5" t="n"/>
      <c r="AQ126" s="5" t="n"/>
      <c r="AR126" s="40">
        <f t="array" ref="AR126">MIN(100, MAX(0,
  IFERROR(_xlfn.XLOOKUP(AJ126,'Lookup Tables'!$A$2:$A$7,'Lookup Tables'!$B$2:$B$7,0),0)
  + IF(Z126="Yes", IF(IFERROR(_xlfn.XLOOKUP(AJ126,'Lookup Tables'!$A$2:$A$7,'Lookup Tables'!$B$2:$B$7,0),0)&lt;20, 5, 0), 0)
  + _xlfn.IFS(AB126="Yes", IF(ISNUMBER(AC126)*AND(AC126&lt;=2030),15,10), AB126="Long-term Only", 5, AB126="No", 0, TRUE, 0)
  + _xlfn.IFS(AF126="Full",10, AF126="Partial",5, AF126="Scope 2 Only",3, TRUE,0)
  + _xlfn.IFS(AG126="Yes", IF(ISNUMBER(AH126)*AND(AH126&gt;=5),10,6), AG126="Partial",4, TRUE,0)
  + _xlfn.IFS(AI126="Yes",5, AI126="Partial (material categories only)",3, TRUE,0)
  + _xlfn.IFS(AL126="Yes — Detailed",10, AL126="Yes — High Level",5, TRUE,0)
  + _xlfn.IFS(AM126="Yes — Quantified",15, AM126="Yes — Directional Only",7, TRUE,0)
  + _xlfn.IFS(AP126="Formal",5, AP126="Referenced",2, TRUE,0)
  + _xlfn.IFS(AQ126="No Issues Found",5, AQ126="Concern Identified",-5, AQ126="Severe Contradiction",-15, TRUE,0)
  + _xlfn.IFS(BC126="Reasonable Assurance",5, BC126="Limited Assurance",3, TRUE,0)
  - IF(AND(Z126="Yes", AI126="No"), 10, 0)
  - IF(AND(Z126="Yes", AM126="No"), 10, 0)
))</f>
        <v/>
      </c>
      <c r="AS126" s="5" t="n"/>
      <c r="AT126" s="5" t="n"/>
      <c r="AU126" s="5" t="n"/>
      <c r="AV126" s="5" t="n"/>
      <c r="AW126" s="5" t="n"/>
      <c r="AX126" s="5" t="n"/>
      <c r="AY126" s="5" t="n"/>
      <c r="AZ126" s="5" t="n"/>
      <c r="BA126" s="5" t="n"/>
      <c r="BB126" s="5" t="n"/>
      <c r="BC126" s="5" t="n"/>
      <c r="BD126" s="5" t="n"/>
      <c r="BE126" s="39">
        <f t="array" ref="BE126">MIN(100, MAX(0,
  IFERROR(_xlfn.XLOOKUP(AT126,'Lookup Tables'!$D$2:$D$6,'Lookup Tables'!$E$2:$E$6,0),0)
  + IFERROR(_xlfn.XLOOKUP(AV126,'Lookup Tables'!$G$2:$G$5,'Lookup Tables'!$H$2:$H$5,0),0)
  + IFERROR(_xlfn.XLOOKUP(AW126,'Lookup Tables'!$J$2:$J$5,'Lookup Tables'!$K$2:$K$5,0),0)
  + _xlfn.IFS(AX126="No Issues",10, AX126="Complaint Filed",3, AX126="Confirmed Breach",-15, TRUE,0)
  + IFERROR(_xlfn.XLOOKUP(AY126,'Lookup Tables'!$M$2:$M$6,'Lookup Tables'!$N$2:$N$6,0),0)
  + IFERROR(_xlfn.XLOOKUP(AZ126,'Lookup Tables'!$P$2:$P$6,'Lookup Tables'!$Q$2:$Q$6,0),0)
  + _xlfn.IFS(BA126="Formal Board Committee",5, BA126="Board Oversight Mentioned",2, TRUE,0)
  + _xlfn.IFS(BB126="Yes — Quantified Targets",5, BB126="Yes — Discretionary Only",2, TRUE,0)
  + _xlfn.IFS(BC126="Reasonable Assurance",5, BC126="Limited Assurance",3, BC126="Management Review Only",1, TRUE,0)
))</f>
        <v/>
      </c>
      <c r="BF126" s="5" t="n"/>
      <c r="BG126" s="5" t="n"/>
      <c r="BH126" s="5" t="n"/>
      <c r="BI126" s="5" t="n"/>
      <c r="BJ126" s="5" t="n"/>
      <c r="BK126" s="5" t="n"/>
      <c r="BL126" s="5" t="n"/>
      <c r="BM126" s="5" t="n"/>
      <c r="BN126" s="5" t="n"/>
      <c r="BO126" s="5" t="n"/>
      <c r="BP126" s="5" t="n"/>
      <c r="BQ126" s="5" t="n"/>
      <c r="BR126" s="5" t="n"/>
      <c r="BS126" s="41">
        <f t="array" ref="BS126">MIN(100, MAX(0,
  IFERROR(_xlfn.XLOOKUP(BG126,'Lookup Tables'!$A$11:$A$16,'Lookup Tables'!$B$11:$B$16,0),0)
  + IFERROR(_xlfn.XLOOKUP(BR126,'Lookup Tables'!$M$11:$M$14,'Lookup Tables'!$N$11:$N$14,0),0)
  + IFERROR(_xlfn.XLOOKUP(BQ126,'Lookup Tables'!$J$11:$J$15,'Lookup Tables'!$K$11:$K$15,0),0)
  + IFERROR(_xlfn.XLOOKUP(BH126,'Lookup Tables'!$D$11:$D$15,'Lookup Tables'!$E$11:$E$15,0),0)
  + IFERROR(_xlfn.XLOOKUP(BJ126,'Lookup Tables'!$G$11:$G$16,'Lookup Tables'!$H$11:$H$16,0),0)
  + IFERROR(_xlfn.XLOOKUP(BN126,'Lookup Tables'!$P$11:$P$15,'Lookup Tables'!$Q$11:$Q$15,0),0)
  + _xlfn.IFS(BM126="No Evidence",10, BM126="Unknown",3, BM126="Likely",0, BM126="Confirmed",-10, TRUE,3)
  + IFERROR(_xlfn.XLOOKUP(BP126,'Lookup Tables'!$J$21:$J$24,'Lookup Tables'!$K$21:$K$24,0),0)
))</f>
        <v/>
      </c>
      <c r="BT126" s="5" t="n"/>
      <c r="BU126" s="5" t="n"/>
      <c r="BV126" s="5" t="n"/>
      <c r="BW126" s="5" t="n"/>
      <c r="BX126" s="5" t="n"/>
      <c r="BY126" s="5" t="n"/>
      <c r="BZ126" s="5" t="n"/>
      <c r="CA126" s="5" t="n"/>
      <c r="CB126" s="5" t="n"/>
      <c r="CC126" s="5" t="n"/>
      <c r="CD126" s="5" t="n"/>
      <c r="CE126" s="43">
        <f t="array" ref="CE126">MIN(100, MAX(0,
  IF(ISNUMBER(BV126)*AND(BV126&gt;0), 10, 0)
  + _xlfn.IFS(BY126="Independently Verified",25, BY126="Yes",15, TRUE,0)
  + IFERROR(_xlfn.XLOOKUP(BZ126,'Lookup Tables'!$A$21:$A$24,'Lookup Tables'!$B$21:$B$24,0),0)
  + IFERROR(_xlfn.XLOOKUP(CA126,'Lookup Tables'!$D$21:$D$24,'Lookup Tables'!$E$21:$E$24,0),0)
  + _xlfn.IFS(ISNUMBER(CB126)*AND(CB126&gt;=11),15, ISNUMBER(CB126)*AND(CB126&gt;=6),10, ISNUMBER(CB126)*AND(CB126&gt;=1),5, TRUE,0)
  + IFERROR(_xlfn.XLOOKUP(CC126,'Lookup Tables'!$G$21:$G$25,'Lookup Tables'!$H$21:$H$25,0),0)
  - IF(ISNUMBER(BW126)*AND(ISNUMBER(BV126))*AND(BW126&gt;BV126), 20, 0)
  - IF(AND(BY126="Yes", ISNUMBER(BW126), BW126&gt;60), 10, 0)
))</f>
        <v/>
      </c>
      <c r="CF126" s="5" t="n"/>
      <c r="CG126" s="5" t="n"/>
      <c r="CH126" s="5" t="n"/>
      <c r="CI126" s="5" t="n"/>
      <c r="CJ126" s="5" t="n"/>
      <c r="CK126" s="5" t="n"/>
      <c r="CL126" s="5" t="n"/>
      <c r="CM126" s="5" t="n"/>
      <c r="CN126" s="5" t="n"/>
      <c r="CO126" s="5" t="n"/>
      <c r="CP126" s="5" t="n"/>
      <c r="CQ126" s="5" t="n"/>
      <c r="CR126" s="5">
        <f>COUNTIF(CJ126:CQ126,"FAIL")</f>
        <v/>
      </c>
      <c r="CS126" s="5">
        <f>COUNTIF(CJ126:CQ126,"PARTIAL")</f>
        <v/>
      </c>
      <c r="CT126" s="5">
        <f>COUNTIF(CJ126:CQ126,"MISSING")</f>
        <v/>
      </c>
      <c r="CU126" s="5">
        <f>MIN(100,
  CR126*15
  + CS126*6
  + CT126*3
  + IFERROR(_xlfn.XLOOKUP(CW126,'Lookup Tables'!$M$21:$M$25,'Lookup Tables'!$N$21:$N$25,0),0)
)</f>
        <v/>
      </c>
      <c r="CV126" s="5">
        <f>IFERROR(
CHOOSE(
MATCH("FAIL",CJ126:CQ126,0),
"1-Specificity","2-Metric","3-Baseline","4-Target",
"5-Time Horizon","6-Scope","7-Verification","8-Consistency"
),
IFERROR(
CHOOSE(
MATCH("PARTIAL",CJ126:CQ126,0),
"1-Specificity","2-Metric","3-Baseline","4-Target",
"5-Time Horizon","6-Scope","7-Verification","8-Consistency"
),
"No failures"
)
)</f>
        <v/>
      </c>
      <c r="CW126" s="5" t="n"/>
      <c r="CX126" s="5" t="n"/>
      <c r="CY126" s="5" t="n"/>
      <c r="CZ126" s="5" t="n"/>
      <c r="DA126" s="5">
        <f>IF(OR(CU126&gt;=50,CW126="Material",CW126="Severe",AS126="Material",AS126="Severe",BF126="Material",BF126="Severe — Exclusion Trigger",AND(ISNUMBER(BS126),BS126&lt;30)),"Yes","No")</f>
        <v/>
      </c>
      <c r="DB126" s="5">
        <f>IF(OR(CR126&gt;=6,AW126="Confirmed Violation",AX126="Confirmed Breach"),"Yes — Automatic",IF(CW126="Severe","Yes — Requires Captain Confirmation","No"))</f>
        <v/>
      </c>
      <c r="DC126" s="5" t="n"/>
      <c r="DD126" s="5" t="n"/>
      <c r="DE126" s="5" t="n"/>
      <c r="DF126" s="5" t="n"/>
      <c r="DG126" s="5" t="n"/>
      <c r="DH126" s="5" t="n"/>
      <c r="DI126" s="5" t="n"/>
      <c r="DJ126" s="5" t="n"/>
      <c r="DK126" s="5" t="n"/>
      <c r="DL126" s="5">
        <f>IF(OR(IFERROR(VALUE(LEFT(DF126,1)),99)&lt;=2,IFERROR(VALUE(LEFT(DG126,1)),99)&lt;=2),"Flagged","Clear")</f>
        <v/>
      </c>
      <c r="DM126" s="5">
        <f>IF(OR(DA126="Yes",DB126&lt;&gt;"No",DH126="Unverified",DL126="Flagged"),"Yes","No")</f>
        <v/>
      </c>
      <c r="DN126" s="5">
        <f t="array" ref="DN126">MIN(100,
  IF(ISNUMBER(V126), _xlfn.IFS(V126&gt;=3,25, V126=2,15, V126=1,5, TRUE,0), 0)
  + IFERROR(_xlfn.IFS(VALUE(LEFT(DF126,1))=5,25, VALUE(LEFT(DF126,1))=4,20, VALUE(LEFT(DF126,1))=3,15, VALUE(LEFT(DF126,1))=2,8, TRUE,0), 15)
  + IFERROR(_xlfn.IFS(VALUE(LEFT(DG126,1))=5,25, VALUE(LEFT(DG126,1))=4,20, VALUE(LEFT(DG126,1))=3,15, VALUE(LEFT(DG126,1))=2,8, TRUE,0), 15)
  + _xlfn.IFS(DH126="Fully Verified",25, DH126="Partially Verified",12, TRUE,0)
)</f>
        <v/>
      </c>
      <c r="DO126" s="5">
        <f t="array" ref="DO126">_xlfn.IFS(
  ISBLANK(AR126), "Insufficient Evidence",
  AND(AR126&gt;=65, AJ126="Approved"), "Strong",
  AR126&gt;=65, "Adequate",
  AR126&gt;=40, "Adequate",
  AR126&gt;=20, "Weak",
  TRUE, "Insufficient Evidence"
)</f>
        <v/>
      </c>
      <c r="DP126" s="5">
        <f t="array" ref="DP126">_xlfn.IFS(
  ISBLANK(BS126), "Insufficient Evidence",
  BS126&gt;=65, "Strong",
  BS126&gt;=40, "Adequate",
  BS126&gt;=20, "Weak",
  TRUE, "Insufficient Evidence"
)</f>
        <v/>
      </c>
      <c r="DQ126" s="5">
        <f t="array" ref="DQ126">_xlfn.IFS(
  ISBLANK(BE126), "Insufficient Evidence",
  OR(AW126="Confirmed Violation", AX126="Confirmed Breach"), "Severe — Hard Trigger",
  BE126&gt;=65, "Strong",
  BE126&gt;=40, "Adequate",
  BE126&gt;=20, "Weak",
  TRUE, "Insufficient Evidence"
)</f>
        <v/>
      </c>
      <c r="DR126" s="5">
        <f t="array" ref="DR126">_xlfn.IFS(
  ISBLANK(CU126), "Insufficient Evidence",
  CU126&lt;=20, "Low Risk",
  CU126&lt;=50, "Moderate Risk",
  CU126&lt;=75, "High Risk",
  TRUE, "Very High Risk"
)</f>
        <v/>
      </c>
      <c r="DS126" s="5">
        <f t="array" ref="DS126">_xlfn.IFS(
  ISBLANK(CE126), "Insufficient Evidence",
  AND(ISNUMBER(BW126),ISNUMBER(BV126),BW126&gt;BV126), "Overclaiming Risk",
  CE126&gt;=65, "Strong",
  CE126&gt;=40, "Adequate",
  TRUE, "Weak"
)</f>
        <v/>
      </c>
      <c r="DT126" s="5">
        <f>IF(DB126="Yes — Automatic",0,ROUND((IF(ISNUMBER(AR126),AR126,0)*0.3+IF(ISNUMBER(BS126),BS126,0)*0.2+IF(ISNUMBER(BE126),BE126,0)*0.2+IF(ISNUMBER(CE126),CE126,0)*0.15+(100-IF(ISNUMBER(CU126),CU126,50))*0.15)*IF(DN126&gt;=75,1,IF(DN126&gt;=50,0.9,IF(DN126&gt;=25,0.75,0.6))),1))</f>
        <v/>
      </c>
      <c r="DU126" s="5">
        <f t="array" ref="DU126">_xlfn.IFS(
  DV126="Upgraded to Clear", "Clear",
  DV126="Downgraded to Watchlist", "Watchlist",
  DV126="Downgraded to Exclusion", "Exclusion Risk",
  DB126="Yes — Automatic", "Exclusion Risk",
  OR(AW126="Confirmed Violation", AX126="Confirmed Breach"), "Exclusion Risk",
  OR(V126=0, ISBLANK(V126), DN126&lt;20), "Insufficient Evidence",
  AND(DT126&gt;=65, DA126="No", DB126="No"), "Clear",
  OR(DT126&gt;=40, DA126="Yes"), "Watchlist",
  TRUE, "Exclusion Risk"
)</f>
        <v/>
      </c>
      <c r="DV126" s="5" t="n"/>
      <c r="DW126" s="5">
        <f t="array" ref="DW126">_xlfn.IFS(
  DU126="Exclusion Risk", "Exclude — Hard Trigger",
  DU126="Insufficient Evidence", "Watchlist — Further Evidence Needed",
  DU126="Watchlist", "Watchlist — Further Evidence Needed",
  AND(DU126="Clear", DT126&gt;=80), "Include — No Conditions",
  DU126="Clear", "Include — Monitor",
  TRUE, "Watchlist — Further Evidence Needed"
)</f>
        <v/>
      </c>
      <c r="DX126" s="5" t="n"/>
      <c r="DY126" s="5" t="n"/>
      <c r="DZ126" s="5" t="n"/>
      <c r="EA126" s="5" t="n"/>
      <c r="EB126" s="5">
        <f>IF(OR(V126=0, ISBLANK(V126)), "MISSING — No sources reviewed", "")</f>
        <v/>
      </c>
      <c r="EC126" s="5">
        <f>IF(AND(NOT(ISBLANK(DC126)), ISBLANK(DE126)), "PAGE REF MISSING", "")</f>
        <v/>
      </c>
    </row>
    <row r="127" ht="18" customHeight="1" s="60">
      <c r="A127" s="5" t="inlineStr">
        <is>
          <t>Talanx AG</t>
        </is>
      </c>
      <c r="B127" s="5" t="inlineStr">
        <is>
          <t>TLX</t>
        </is>
      </c>
      <c r="C127" s="5">
        <f>IF(ISBLANK('Universe Tracker'!D102),"",'Universe Tracker'!D102)</f>
        <v/>
      </c>
      <c r="D127" s="5" t="n"/>
      <c r="E127" s="5" t="n"/>
      <c r="F127" s="5">
        <f>IF(ISBLANK('Universe Tracker'!F102),"",'Universe Tracker'!F102)</f>
        <v/>
      </c>
      <c r="G127" s="5">
        <f>IF(ISBLANK('Universe Tracker'!G102),"",'Universe Tracker'!G102)</f>
        <v/>
      </c>
      <c r="H127" s="5" t="n"/>
      <c r="I127" s="5" t="n"/>
      <c r="J127" s="5">
        <f>IF(ISBLANK(B127),"",B127&amp;"_"&amp;C127)</f>
        <v/>
      </c>
      <c r="K127" s="5" t="n"/>
      <c r="L127" s="5" t="n"/>
      <c r="M127" s="5" t="n"/>
      <c r="N127" s="5" t="n"/>
      <c r="O127" s="5" t="n"/>
      <c r="P127" s="5" t="n"/>
      <c r="Q127" s="5" t="n"/>
      <c r="R127" s="5" t="n"/>
      <c r="S127" s="5" t="n"/>
      <c r="T127" s="5" t="n"/>
      <c r="U127" s="5" t="n"/>
      <c r="V127" s="5" t="n"/>
      <c r="W127" s="5" t="n"/>
      <c r="X127" s="5" t="n"/>
      <c r="Y127" s="5">
        <f>IF(AND(V127&gt;=2,K127="Yes",L127="Yes"),"Sufficient",IF(AND(V127&gt;=1,OR(K127="Yes",L127="Yes")),"Thin","Insufficient"))</f>
        <v/>
      </c>
      <c r="Z127" s="5" t="n"/>
      <c r="AA127" s="5" t="n"/>
      <c r="AB127" s="5" t="n"/>
      <c r="AC127" s="5" t="n"/>
      <c r="AD127" s="5" t="n"/>
      <c r="AE127" s="5" t="n"/>
      <c r="AF127" s="5" t="n"/>
      <c r="AG127" s="5" t="n"/>
      <c r="AH127" s="5" t="n"/>
      <c r="AI127" s="5" t="n"/>
      <c r="AJ127" s="5" t="n"/>
      <c r="AK127" s="5" t="n"/>
      <c r="AL127" s="5" t="n"/>
      <c r="AM127" s="5" t="n"/>
      <c r="AN127" s="5" t="n"/>
      <c r="AO127" s="5" t="n"/>
      <c r="AP127" s="5" t="n"/>
      <c r="AQ127" s="5" t="n"/>
      <c r="AR127" s="40">
        <f t="array" ref="AR127">MIN(100, MAX(0,
  IFERROR(_xlfn.XLOOKUP(AJ127,'Lookup Tables'!$A$2:$A$7,'Lookup Tables'!$B$2:$B$7,0),0)
  + IF(Z127="Yes", IF(IFERROR(_xlfn.XLOOKUP(AJ127,'Lookup Tables'!$A$2:$A$7,'Lookup Tables'!$B$2:$B$7,0),0)&lt;20, 5, 0), 0)
  + _xlfn.IFS(AB127="Yes", IF(ISNUMBER(AC127)*AND(AC127&lt;=2030),15,10), AB127="Long-term Only", 5, AB127="No", 0, TRUE, 0)
  + _xlfn.IFS(AF127="Full",10, AF127="Partial",5, AF127="Scope 2 Only",3, TRUE,0)
  + _xlfn.IFS(AG127="Yes", IF(ISNUMBER(AH127)*AND(AH127&gt;=5),10,6), AG127="Partial",4, TRUE,0)
  + _xlfn.IFS(AI127="Yes",5, AI127="Partial (material categories only)",3, TRUE,0)
  + _xlfn.IFS(AL127="Yes — Detailed",10, AL127="Yes — High Level",5, TRUE,0)
  + _xlfn.IFS(AM127="Yes — Quantified",15, AM127="Yes — Directional Only",7, TRUE,0)
  + _xlfn.IFS(AP127="Formal",5, AP127="Referenced",2, TRUE,0)
  + _xlfn.IFS(AQ127="No Issues Found",5, AQ127="Concern Identified",-5, AQ127="Severe Contradiction",-15, TRUE,0)
  + _xlfn.IFS(BC127="Reasonable Assurance",5, BC127="Limited Assurance",3, TRUE,0)
  - IF(AND(Z127="Yes", AI127="No"), 10, 0)
  - IF(AND(Z127="Yes", AM127="No"), 10, 0)
))</f>
        <v/>
      </c>
      <c r="AS127" s="5" t="n"/>
      <c r="AT127" s="5" t="n"/>
      <c r="AU127" s="5" t="n"/>
      <c r="AV127" s="5" t="n"/>
      <c r="AW127" s="5" t="n"/>
      <c r="AX127" s="5" t="n"/>
      <c r="AY127" s="5" t="n"/>
      <c r="AZ127" s="5" t="n"/>
      <c r="BA127" s="5" t="n"/>
      <c r="BB127" s="5" t="n"/>
      <c r="BC127" s="5" t="n"/>
      <c r="BD127" s="5" t="n"/>
      <c r="BE127" s="39">
        <f t="array" ref="BE127">MIN(100, MAX(0,
  IFERROR(_xlfn.XLOOKUP(AT127,'Lookup Tables'!$D$2:$D$6,'Lookup Tables'!$E$2:$E$6,0),0)
  + IFERROR(_xlfn.XLOOKUP(AV127,'Lookup Tables'!$G$2:$G$5,'Lookup Tables'!$H$2:$H$5,0),0)
  + IFERROR(_xlfn.XLOOKUP(AW127,'Lookup Tables'!$J$2:$J$5,'Lookup Tables'!$K$2:$K$5,0),0)
  + _xlfn.IFS(AX127="No Issues",10, AX127="Complaint Filed",3, AX127="Confirmed Breach",-15, TRUE,0)
  + IFERROR(_xlfn.XLOOKUP(AY127,'Lookup Tables'!$M$2:$M$6,'Lookup Tables'!$N$2:$N$6,0),0)
  + IFERROR(_xlfn.XLOOKUP(AZ127,'Lookup Tables'!$P$2:$P$6,'Lookup Tables'!$Q$2:$Q$6,0),0)
  + _xlfn.IFS(BA127="Formal Board Committee",5, BA127="Board Oversight Mentioned",2, TRUE,0)
  + _xlfn.IFS(BB127="Yes — Quantified Targets",5, BB127="Yes — Discretionary Only",2, TRUE,0)
  + _xlfn.IFS(BC127="Reasonable Assurance",5, BC127="Limited Assurance",3, BC127="Management Review Only",1, TRUE,0)
))</f>
        <v/>
      </c>
      <c r="BF127" s="5" t="n"/>
      <c r="BG127" s="5" t="n"/>
      <c r="BH127" s="5" t="n"/>
      <c r="BI127" s="5" t="n"/>
      <c r="BJ127" s="5" t="n"/>
      <c r="BK127" s="5" t="n"/>
      <c r="BL127" s="5" t="n"/>
      <c r="BM127" s="5" t="n"/>
      <c r="BN127" s="5" t="n"/>
      <c r="BO127" s="5" t="n"/>
      <c r="BP127" s="5" t="n"/>
      <c r="BQ127" s="5" t="n"/>
      <c r="BR127" s="5" t="n"/>
      <c r="BS127" s="41">
        <f t="array" ref="BS127">MIN(100, MAX(0,
  IFERROR(_xlfn.XLOOKUP(BG127,'Lookup Tables'!$A$11:$A$16,'Lookup Tables'!$B$11:$B$16,0),0)
  + IFERROR(_xlfn.XLOOKUP(BR127,'Lookup Tables'!$M$11:$M$14,'Lookup Tables'!$N$11:$N$14,0),0)
  + IFERROR(_xlfn.XLOOKUP(BQ127,'Lookup Tables'!$J$11:$J$15,'Lookup Tables'!$K$11:$K$15,0),0)
  + IFERROR(_xlfn.XLOOKUP(BH127,'Lookup Tables'!$D$11:$D$15,'Lookup Tables'!$E$11:$E$15,0),0)
  + IFERROR(_xlfn.XLOOKUP(BJ127,'Lookup Tables'!$G$11:$G$16,'Lookup Tables'!$H$11:$H$16,0),0)
  + IFERROR(_xlfn.XLOOKUP(BN127,'Lookup Tables'!$P$11:$P$15,'Lookup Tables'!$Q$11:$Q$15,0),0)
  + _xlfn.IFS(BM127="No Evidence",10, BM127="Unknown",3, BM127="Likely",0, BM127="Confirmed",-10, TRUE,3)
  + IFERROR(_xlfn.XLOOKUP(BP127,'Lookup Tables'!$J$21:$J$24,'Lookup Tables'!$K$21:$K$24,0),0)
))</f>
        <v/>
      </c>
      <c r="BT127" s="5" t="n"/>
      <c r="BU127" s="5" t="n"/>
      <c r="BV127" s="5" t="n"/>
      <c r="BW127" s="5" t="n"/>
      <c r="BX127" s="5" t="n"/>
      <c r="BY127" s="5" t="n"/>
      <c r="BZ127" s="5" t="n"/>
      <c r="CA127" s="5" t="n"/>
      <c r="CB127" s="5" t="n"/>
      <c r="CC127" s="5" t="n"/>
      <c r="CD127" s="5" t="n"/>
      <c r="CE127" s="43">
        <f t="array" ref="CE127">MIN(100, MAX(0,
  IF(ISNUMBER(BV127)*AND(BV127&gt;0), 10, 0)
  + _xlfn.IFS(BY127="Independently Verified",25, BY127="Yes",15, TRUE,0)
  + IFERROR(_xlfn.XLOOKUP(BZ127,'Lookup Tables'!$A$21:$A$24,'Lookup Tables'!$B$21:$B$24,0),0)
  + IFERROR(_xlfn.XLOOKUP(CA127,'Lookup Tables'!$D$21:$D$24,'Lookup Tables'!$E$21:$E$24,0),0)
  + _xlfn.IFS(ISNUMBER(CB127)*AND(CB127&gt;=11),15, ISNUMBER(CB127)*AND(CB127&gt;=6),10, ISNUMBER(CB127)*AND(CB127&gt;=1),5, TRUE,0)
  + IFERROR(_xlfn.XLOOKUP(CC127,'Lookup Tables'!$G$21:$G$25,'Lookup Tables'!$H$21:$H$25,0),0)
  - IF(ISNUMBER(BW127)*AND(ISNUMBER(BV127))*AND(BW127&gt;BV127), 20, 0)
  - IF(AND(BY127="Yes", ISNUMBER(BW127), BW127&gt;60), 10, 0)
))</f>
        <v/>
      </c>
      <c r="CF127" s="5" t="n"/>
      <c r="CG127" s="5" t="n"/>
      <c r="CH127" s="5" t="n"/>
      <c r="CI127" s="5" t="n"/>
      <c r="CJ127" s="5" t="n"/>
      <c r="CK127" s="5" t="n"/>
      <c r="CL127" s="5" t="n"/>
      <c r="CM127" s="5" t="n"/>
      <c r="CN127" s="5" t="n"/>
      <c r="CO127" s="5" t="n"/>
      <c r="CP127" s="5" t="n"/>
      <c r="CQ127" s="5" t="n"/>
      <c r="CR127" s="5">
        <f>COUNTIF(CJ127:CQ127,"FAIL")</f>
        <v/>
      </c>
      <c r="CS127" s="5">
        <f>COUNTIF(CJ127:CQ127,"PARTIAL")</f>
        <v/>
      </c>
      <c r="CT127" s="5">
        <f>COUNTIF(CJ127:CQ127,"MISSING")</f>
        <v/>
      </c>
      <c r="CU127" s="5">
        <f>MIN(100,
  CR127*15
  + CS127*6
  + CT127*3
  + IFERROR(_xlfn.XLOOKUP(CW127,'Lookup Tables'!$M$21:$M$25,'Lookup Tables'!$N$21:$N$25,0),0)
)</f>
        <v/>
      </c>
      <c r="CV127" s="5">
        <f>IFERROR(
CHOOSE(
MATCH("FAIL",CJ127:CQ127,0),
"1-Specificity","2-Metric","3-Baseline","4-Target",
"5-Time Horizon","6-Scope","7-Verification","8-Consistency"
),
IFERROR(
CHOOSE(
MATCH("PARTIAL",CJ127:CQ127,0),
"1-Specificity","2-Metric","3-Baseline","4-Target",
"5-Time Horizon","6-Scope","7-Verification","8-Consistency"
),
"No failures"
)
)</f>
        <v/>
      </c>
      <c r="CW127" s="5" t="n"/>
      <c r="CX127" s="5" t="n"/>
      <c r="CY127" s="5" t="n"/>
      <c r="CZ127" s="5" t="n"/>
      <c r="DA127" s="5">
        <f>IF(OR(CU127&gt;=50,CW127="Material",CW127="Severe",AS127="Material",AS127="Severe",BF127="Material",BF127="Severe — Exclusion Trigger",AND(ISNUMBER(BS127),BS127&lt;30)),"Yes","No")</f>
        <v/>
      </c>
      <c r="DB127" s="5">
        <f>IF(OR(CR127&gt;=6,AW127="Confirmed Violation",AX127="Confirmed Breach"),"Yes — Automatic",IF(CW127="Severe","Yes — Requires Captain Confirmation","No"))</f>
        <v/>
      </c>
      <c r="DC127" s="5" t="n"/>
      <c r="DD127" s="5" t="n"/>
      <c r="DE127" s="5" t="n"/>
      <c r="DF127" s="5" t="n"/>
      <c r="DG127" s="5" t="n"/>
      <c r="DH127" s="5" t="n"/>
      <c r="DI127" s="5" t="n"/>
      <c r="DJ127" s="5" t="n"/>
      <c r="DK127" s="5" t="n"/>
      <c r="DL127" s="5">
        <f>IF(OR(IFERROR(VALUE(LEFT(DF127,1)),99)&lt;=2,IFERROR(VALUE(LEFT(DG127,1)),99)&lt;=2),"Flagged","Clear")</f>
        <v/>
      </c>
      <c r="DM127" s="5">
        <f>IF(OR(DA127="Yes",DB127&lt;&gt;"No",DH127="Unverified",DL127="Flagged"),"Yes","No")</f>
        <v/>
      </c>
      <c r="DN127" s="5">
        <f t="array" ref="DN127">MIN(100,
  IF(ISNUMBER(V127), _xlfn.IFS(V127&gt;=3,25, V127=2,15, V127=1,5, TRUE,0), 0)
  + IFERROR(_xlfn.IFS(VALUE(LEFT(DF127,1))=5,25, VALUE(LEFT(DF127,1))=4,20, VALUE(LEFT(DF127,1))=3,15, VALUE(LEFT(DF127,1))=2,8, TRUE,0), 15)
  + IFERROR(_xlfn.IFS(VALUE(LEFT(DG127,1))=5,25, VALUE(LEFT(DG127,1))=4,20, VALUE(LEFT(DG127,1))=3,15, VALUE(LEFT(DG127,1))=2,8, TRUE,0), 15)
  + _xlfn.IFS(DH127="Fully Verified",25, DH127="Partially Verified",12, TRUE,0)
)</f>
        <v/>
      </c>
      <c r="DO127" s="5">
        <f t="array" ref="DO127">_xlfn.IFS(
  ISBLANK(AR127), "Insufficient Evidence",
  AND(AR127&gt;=65, AJ127="Approved"), "Strong",
  AR127&gt;=65, "Adequate",
  AR127&gt;=40, "Adequate",
  AR127&gt;=20, "Weak",
  TRUE, "Insufficient Evidence"
)</f>
        <v/>
      </c>
      <c r="DP127" s="5">
        <f t="array" ref="DP127">_xlfn.IFS(
  ISBLANK(BS127), "Insufficient Evidence",
  BS127&gt;=65, "Strong",
  BS127&gt;=40, "Adequate",
  BS127&gt;=20, "Weak",
  TRUE, "Insufficient Evidence"
)</f>
        <v/>
      </c>
      <c r="DQ127" s="5">
        <f t="array" ref="DQ127">_xlfn.IFS(
  ISBLANK(BE127), "Insufficient Evidence",
  OR(AW127="Confirmed Violation", AX127="Confirmed Breach"), "Severe — Hard Trigger",
  BE127&gt;=65, "Strong",
  BE127&gt;=40, "Adequate",
  BE127&gt;=20, "Weak",
  TRUE, "Insufficient Evidence"
)</f>
        <v/>
      </c>
      <c r="DR127" s="5">
        <f t="array" ref="DR127">_xlfn.IFS(
  ISBLANK(CU127), "Insufficient Evidence",
  CU127&lt;=20, "Low Risk",
  CU127&lt;=50, "Moderate Risk",
  CU127&lt;=75, "High Risk",
  TRUE, "Very High Risk"
)</f>
        <v/>
      </c>
      <c r="DS127" s="5">
        <f t="array" ref="DS127">_xlfn.IFS(
  ISBLANK(CE127), "Insufficient Evidence",
  AND(ISNUMBER(BW127),ISNUMBER(BV127),BW127&gt;BV127), "Overclaiming Risk",
  CE127&gt;=65, "Strong",
  CE127&gt;=40, "Adequate",
  TRUE, "Weak"
)</f>
        <v/>
      </c>
      <c r="DT127" s="5">
        <f>IF(DB127="Yes — Automatic",0,ROUND((IF(ISNUMBER(AR127),AR127,0)*0.3+IF(ISNUMBER(BS127),BS127,0)*0.2+IF(ISNUMBER(BE127),BE127,0)*0.2+IF(ISNUMBER(CE127),CE127,0)*0.15+(100-IF(ISNUMBER(CU127),CU127,50))*0.15)*IF(DN127&gt;=75,1,IF(DN127&gt;=50,0.9,IF(DN127&gt;=25,0.75,0.6))),1))</f>
        <v/>
      </c>
      <c r="DU127" s="5">
        <f t="array" ref="DU127">_xlfn.IFS(
  DV127="Upgraded to Clear", "Clear",
  DV127="Downgraded to Watchlist", "Watchlist",
  DV127="Downgraded to Exclusion", "Exclusion Risk",
  DB127="Yes — Automatic", "Exclusion Risk",
  OR(AW127="Confirmed Violation", AX127="Confirmed Breach"), "Exclusion Risk",
  OR(V127=0, ISBLANK(V127), DN127&lt;20), "Insufficient Evidence",
  AND(DT127&gt;=65, DA127="No", DB127="No"), "Clear",
  OR(DT127&gt;=40, DA127="Yes"), "Watchlist",
  TRUE, "Exclusion Risk"
)</f>
        <v/>
      </c>
      <c r="DV127" s="5" t="n"/>
      <c r="DW127" s="5">
        <f t="array" ref="DW127">_xlfn.IFS(
  DU127="Exclusion Risk", "Exclude — Hard Trigger",
  DU127="Insufficient Evidence", "Watchlist — Further Evidence Needed",
  DU127="Watchlist", "Watchlist — Further Evidence Needed",
  AND(DU127="Clear", DT127&gt;=80), "Include — No Conditions",
  DU127="Clear", "Include — Monitor",
  TRUE, "Watchlist — Further Evidence Needed"
)</f>
        <v/>
      </c>
      <c r="DX127" s="5" t="n"/>
      <c r="DY127" s="5" t="n"/>
      <c r="DZ127" s="5" t="n"/>
      <c r="EA127" s="5" t="n"/>
      <c r="EB127" s="5">
        <f>IF(OR(V127=0, ISBLANK(V127)), "MISSING — No sources reviewed", "")</f>
        <v/>
      </c>
      <c r="EC127" s="5">
        <f>IF(AND(NOT(ISBLANK(DC127)), ISBLANK(DE127)), "PAGE REF MISSING", "")</f>
        <v/>
      </c>
    </row>
    <row r="128" ht="18" customHeight="1" s="60">
      <c r="A128" s="5" t="inlineStr">
        <is>
          <t>Konecranes Oyj</t>
        </is>
      </c>
      <c r="B128" s="5" t="inlineStr">
        <is>
          <t>K34</t>
        </is>
      </c>
      <c r="C128" s="5">
        <f>IF(ISBLANK('Universe Tracker'!D103),"",'Universe Tracker'!D103)</f>
        <v/>
      </c>
      <c r="D128" s="5" t="n"/>
      <c r="E128" s="5" t="n"/>
      <c r="F128" s="5">
        <f>IF(ISBLANK('Universe Tracker'!F103),"",'Universe Tracker'!F103)</f>
        <v/>
      </c>
      <c r="G128" s="5">
        <f>IF(ISBLANK('Universe Tracker'!G103),"",'Universe Tracker'!G103)</f>
        <v/>
      </c>
      <c r="H128" s="5" t="n"/>
      <c r="I128" s="5" t="n"/>
      <c r="J128" s="5">
        <f>IF(ISBLANK(B128),"",B128&amp;"_"&amp;C128)</f>
        <v/>
      </c>
      <c r="K128" s="5" t="n"/>
      <c r="L128" s="5" t="n"/>
      <c r="M128" s="5" t="n"/>
      <c r="N128" s="5" t="n"/>
      <c r="O128" s="5" t="n"/>
      <c r="P128" s="5" t="n"/>
      <c r="Q128" s="5" t="n"/>
      <c r="R128" s="5" t="n"/>
      <c r="S128" s="5" t="n"/>
      <c r="T128" s="5" t="n"/>
      <c r="U128" s="5" t="n"/>
      <c r="V128" s="5" t="n"/>
      <c r="W128" s="5" t="n"/>
      <c r="X128" s="5" t="n"/>
      <c r="Y128" s="5">
        <f>IF(AND(V128&gt;=2,K128="Yes",L128="Yes"),"Sufficient",IF(AND(V128&gt;=1,OR(K128="Yes",L128="Yes")),"Thin","Insufficient"))</f>
        <v/>
      </c>
      <c r="Z128" s="5" t="n"/>
      <c r="AA128" s="5" t="n"/>
      <c r="AB128" s="5" t="n"/>
      <c r="AC128" s="5" t="n"/>
      <c r="AD128" s="5" t="n"/>
      <c r="AE128" s="5" t="n"/>
      <c r="AF128" s="5" t="n"/>
      <c r="AG128" s="5" t="n"/>
      <c r="AH128" s="5" t="n"/>
      <c r="AI128" s="5" t="n"/>
      <c r="AJ128" s="5" t="n"/>
      <c r="AK128" s="5" t="n"/>
      <c r="AL128" s="5" t="n"/>
      <c r="AM128" s="5" t="n"/>
      <c r="AN128" s="5" t="n"/>
      <c r="AO128" s="5" t="n"/>
      <c r="AP128" s="5" t="n"/>
      <c r="AQ128" s="5" t="n"/>
      <c r="AR128" s="40">
        <f t="array" ref="AR128">MIN(100, MAX(0,
  IFERROR(_xlfn.XLOOKUP(AJ128,'Lookup Tables'!$A$2:$A$7,'Lookup Tables'!$B$2:$B$7,0),0)
  + IF(Z128="Yes", IF(IFERROR(_xlfn.XLOOKUP(AJ128,'Lookup Tables'!$A$2:$A$7,'Lookup Tables'!$B$2:$B$7,0),0)&lt;20, 5, 0), 0)
  + _xlfn.IFS(AB128="Yes", IF(ISNUMBER(AC128)*AND(AC128&lt;=2030),15,10), AB128="Long-term Only", 5, AB128="No", 0, TRUE, 0)
  + _xlfn.IFS(AF128="Full",10, AF128="Partial",5, AF128="Scope 2 Only",3, TRUE,0)
  + _xlfn.IFS(AG128="Yes", IF(ISNUMBER(AH128)*AND(AH128&gt;=5),10,6), AG128="Partial",4, TRUE,0)
  + _xlfn.IFS(AI128="Yes",5, AI128="Partial (material categories only)",3, TRUE,0)
  + _xlfn.IFS(AL128="Yes — Detailed",10, AL128="Yes — High Level",5, TRUE,0)
  + _xlfn.IFS(AM128="Yes — Quantified",15, AM128="Yes — Directional Only",7, TRUE,0)
  + _xlfn.IFS(AP128="Formal",5, AP128="Referenced",2, TRUE,0)
  + _xlfn.IFS(AQ128="No Issues Found",5, AQ128="Concern Identified",-5, AQ128="Severe Contradiction",-15, TRUE,0)
  + _xlfn.IFS(BC128="Reasonable Assurance",5, BC128="Limited Assurance",3, TRUE,0)
  - IF(AND(Z128="Yes", AI128="No"), 10, 0)
  - IF(AND(Z128="Yes", AM128="No"), 10, 0)
))</f>
        <v/>
      </c>
      <c r="AS128" s="5" t="n"/>
      <c r="AT128" s="5" t="n"/>
      <c r="AU128" s="5" t="n"/>
      <c r="AV128" s="5" t="n"/>
      <c r="AW128" s="5" t="n"/>
      <c r="AX128" s="5" t="n"/>
      <c r="AY128" s="5" t="n"/>
      <c r="AZ128" s="5" t="n"/>
      <c r="BA128" s="5" t="n"/>
      <c r="BB128" s="5" t="n"/>
      <c r="BC128" s="5" t="n"/>
      <c r="BD128" s="5" t="n"/>
      <c r="BE128" s="39">
        <f t="array" ref="BE128">MIN(100, MAX(0,
  IFERROR(_xlfn.XLOOKUP(AT128,'Lookup Tables'!$D$2:$D$6,'Lookup Tables'!$E$2:$E$6,0),0)
  + IFERROR(_xlfn.XLOOKUP(AV128,'Lookup Tables'!$G$2:$G$5,'Lookup Tables'!$H$2:$H$5,0),0)
  + IFERROR(_xlfn.XLOOKUP(AW128,'Lookup Tables'!$J$2:$J$5,'Lookup Tables'!$K$2:$K$5,0),0)
  + _xlfn.IFS(AX128="No Issues",10, AX128="Complaint Filed",3, AX128="Confirmed Breach",-15, TRUE,0)
  + IFERROR(_xlfn.XLOOKUP(AY128,'Lookup Tables'!$M$2:$M$6,'Lookup Tables'!$N$2:$N$6,0),0)
  + IFERROR(_xlfn.XLOOKUP(AZ128,'Lookup Tables'!$P$2:$P$6,'Lookup Tables'!$Q$2:$Q$6,0),0)
  + _xlfn.IFS(BA128="Formal Board Committee",5, BA128="Board Oversight Mentioned",2, TRUE,0)
  + _xlfn.IFS(BB128="Yes — Quantified Targets",5, BB128="Yes — Discretionary Only",2, TRUE,0)
  + _xlfn.IFS(BC128="Reasonable Assurance",5, BC128="Limited Assurance",3, BC128="Management Review Only",1, TRUE,0)
))</f>
        <v/>
      </c>
      <c r="BF128" s="5" t="n"/>
      <c r="BG128" s="5" t="n"/>
      <c r="BH128" s="5" t="n"/>
      <c r="BI128" s="5" t="n"/>
      <c r="BJ128" s="5" t="n"/>
      <c r="BK128" s="5" t="n"/>
      <c r="BL128" s="5" t="n"/>
      <c r="BM128" s="5" t="n"/>
      <c r="BN128" s="5" t="n"/>
      <c r="BO128" s="5" t="n"/>
      <c r="BP128" s="5" t="n"/>
      <c r="BQ128" s="5" t="n"/>
      <c r="BR128" s="5" t="n"/>
      <c r="BS128" s="41">
        <f t="array" ref="BS128">MIN(100, MAX(0,
  IFERROR(_xlfn.XLOOKUP(BG128,'Lookup Tables'!$A$11:$A$16,'Lookup Tables'!$B$11:$B$16,0),0)
  + IFERROR(_xlfn.XLOOKUP(BR128,'Lookup Tables'!$M$11:$M$14,'Lookup Tables'!$N$11:$N$14,0),0)
  + IFERROR(_xlfn.XLOOKUP(BQ128,'Lookup Tables'!$J$11:$J$15,'Lookup Tables'!$K$11:$K$15,0),0)
  + IFERROR(_xlfn.XLOOKUP(BH128,'Lookup Tables'!$D$11:$D$15,'Lookup Tables'!$E$11:$E$15,0),0)
  + IFERROR(_xlfn.XLOOKUP(BJ128,'Lookup Tables'!$G$11:$G$16,'Lookup Tables'!$H$11:$H$16,0),0)
  + IFERROR(_xlfn.XLOOKUP(BN128,'Lookup Tables'!$P$11:$P$15,'Lookup Tables'!$Q$11:$Q$15,0),0)
  + _xlfn.IFS(BM128="No Evidence",10, BM128="Unknown",3, BM128="Likely",0, BM128="Confirmed",-10, TRUE,3)
  + IFERROR(_xlfn.XLOOKUP(BP128,'Lookup Tables'!$J$21:$J$24,'Lookup Tables'!$K$21:$K$24,0),0)
))</f>
        <v/>
      </c>
      <c r="BT128" s="5" t="n"/>
      <c r="BU128" s="5" t="n"/>
      <c r="BV128" s="5" t="n"/>
      <c r="BW128" s="5" t="n"/>
      <c r="BX128" s="5" t="n"/>
      <c r="BY128" s="5" t="n"/>
      <c r="BZ128" s="5" t="n"/>
      <c r="CA128" s="5" t="n"/>
      <c r="CB128" s="5" t="n"/>
      <c r="CC128" s="5" t="n"/>
      <c r="CD128" s="5" t="n"/>
      <c r="CE128" s="43">
        <f t="array" ref="CE128">MIN(100, MAX(0,
  IF(ISNUMBER(BV128)*AND(BV128&gt;0), 10, 0)
  + _xlfn.IFS(BY128="Independently Verified",25, BY128="Yes",15, TRUE,0)
  + IFERROR(_xlfn.XLOOKUP(BZ128,'Lookup Tables'!$A$21:$A$24,'Lookup Tables'!$B$21:$B$24,0),0)
  + IFERROR(_xlfn.XLOOKUP(CA128,'Lookup Tables'!$D$21:$D$24,'Lookup Tables'!$E$21:$E$24,0),0)
  + _xlfn.IFS(ISNUMBER(CB128)*AND(CB128&gt;=11),15, ISNUMBER(CB128)*AND(CB128&gt;=6),10, ISNUMBER(CB128)*AND(CB128&gt;=1),5, TRUE,0)
  + IFERROR(_xlfn.XLOOKUP(CC128,'Lookup Tables'!$G$21:$G$25,'Lookup Tables'!$H$21:$H$25,0),0)
  - IF(ISNUMBER(BW128)*AND(ISNUMBER(BV128))*AND(BW128&gt;BV128), 20, 0)
  - IF(AND(BY128="Yes", ISNUMBER(BW128), BW128&gt;60), 10, 0)
))</f>
        <v/>
      </c>
      <c r="CF128" s="5" t="n"/>
      <c r="CG128" s="5" t="n"/>
      <c r="CH128" s="5" t="n"/>
      <c r="CI128" s="5" t="n"/>
      <c r="CJ128" s="5" t="n"/>
      <c r="CK128" s="5" t="n"/>
      <c r="CL128" s="5" t="n"/>
      <c r="CM128" s="5" t="n"/>
      <c r="CN128" s="5" t="n"/>
      <c r="CO128" s="5" t="n"/>
      <c r="CP128" s="5" t="n"/>
      <c r="CQ128" s="5" t="n"/>
      <c r="CR128" s="5">
        <f>COUNTIF(CJ128:CQ128,"FAIL")</f>
        <v/>
      </c>
      <c r="CS128" s="5">
        <f>COUNTIF(CJ128:CQ128,"PARTIAL")</f>
        <v/>
      </c>
      <c r="CT128" s="5">
        <f>COUNTIF(CJ128:CQ128,"MISSING")</f>
        <v/>
      </c>
      <c r="CU128" s="5">
        <f>MIN(100,
  CR128*15
  + CS128*6
  + CT128*3
  + IFERROR(_xlfn.XLOOKUP(CW128,'Lookup Tables'!$M$21:$M$25,'Lookup Tables'!$N$21:$N$25,0),0)
)</f>
        <v/>
      </c>
      <c r="CV128" s="5">
        <f>IFERROR(
CHOOSE(
MATCH("FAIL",CJ128:CQ128,0),
"1-Specificity","2-Metric","3-Baseline","4-Target",
"5-Time Horizon","6-Scope","7-Verification","8-Consistency"
),
IFERROR(
CHOOSE(
MATCH("PARTIAL",CJ128:CQ128,0),
"1-Specificity","2-Metric","3-Baseline","4-Target",
"5-Time Horizon","6-Scope","7-Verification","8-Consistency"
),
"No failures"
)
)</f>
        <v/>
      </c>
      <c r="CW128" s="5" t="n"/>
      <c r="CX128" s="5" t="n"/>
      <c r="CY128" s="5" t="n"/>
      <c r="CZ128" s="5" t="n"/>
      <c r="DA128" s="5">
        <f>IF(OR(CU128&gt;=50,CW128="Material",CW128="Severe",AS128="Material",AS128="Severe",BF128="Material",BF128="Severe — Exclusion Trigger",AND(ISNUMBER(BS128),BS128&lt;30)),"Yes","No")</f>
        <v/>
      </c>
      <c r="DB128" s="5">
        <f>IF(OR(CR128&gt;=6,AW128="Confirmed Violation",AX128="Confirmed Breach"),"Yes — Automatic",IF(CW128="Severe","Yes — Requires Captain Confirmation","No"))</f>
        <v/>
      </c>
      <c r="DC128" s="5" t="n"/>
      <c r="DD128" s="5" t="n"/>
      <c r="DE128" s="5" t="n"/>
      <c r="DF128" s="5" t="n"/>
      <c r="DG128" s="5" t="n"/>
      <c r="DH128" s="5" t="n"/>
      <c r="DI128" s="5" t="n"/>
      <c r="DJ128" s="5" t="n"/>
      <c r="DK128" s="5" t="n"/>
      <c r="DL128" s="5">
        <f>IF(OR(IFERROR(VALUE(LEFT(DF128,1)),99)&lt;=2,IFERROR(VALUE(LEFT(DG128,1)),99)&lt;=2),"Flagged","Clear")</f>
        <v/>
      </c>
      <c r="DM128" s="5">
        <f>IF(OR(DA128="Yes",DB128&lt;&gt;"No",DH128="Unverified",DL128="Flagged"),"Yes","No")</f>
        <v/>
      </c>
      <c r="DN128" s="5">
        <f t="array" ref="DN128">MIN(100,
  IF(ISNUMBER(V128), _xlfn.IFS(V128&gt;=3,25, V128=2,15, V128=1,5, TRUE,0), 0)
  + IFERROR(_xlfn.IFS(VALUE(LEFT(DF128,1))=5,25, VALUE(LEFT(DF128,1))=4,20, VALUE(LEFT(DF128,1))=3,15, VALUE(LEFT(DF128,1))=2,8, TRUE,0), 15)
  + IFERROR(_xlfn.IFS(VALUE(LEFT(DG128,1))=5,25, VALUE(LEFT(DG128,1))=4,20, VALUE(LEFT(DG128,1))=3,15, VALUE(LEFT(DG128,1))=2,8, TRUE,0), 15)
  + _xlfn.IFS(DH128="Fully Verified",25, DH128="Partially Verified",12, TRUE,0)
)</f>
        <v/>
      </c>
      <c r="DO128" s="5">
        <f t="array" ref="DO128">_xlfn.IFS(
  ISBLANK(AR128), "Insufficient Evidence",
  AND(AR128&gt;=65, AJ128="Approved"), "Strong",
  AR128&gt;=65, "Adequate",
  AR128&gt;=40, "Adequate",
  AR128&gt;=20, "Weak",
  TRUE, "Insufficient Evidence"
)</f>
        <v/>
      </c>
      <c r="DP128" s="5">
        <f t="array" ref="DP128">_xlfn.IFS(
  ISBLANK(BS128), "Insufficient Evidence",
  BS128&gt;=65, "Strong",
  BS128&gt;=40, "Adequate",
  BS128&gt;=20, "Weak",
  TRUE, "Insufficient Evidence"
)</f>
        <v/>
      </c>
      <c r="DQ128" s="5">
        <f t="array" ref="DQ128">_xlfn.IFS(
  ISBLANK(BE128), "Insufficient Evidence",
  OR(AW128="Confirmed Violation", AX128="Confirmed Breach"), "Severe — Hard Trigger",
  BE128&gt;=65, "Strong",
  BE128&gt;=40, "Adequate",
  BE128&gt;=20, "Weak",
  TRUE, "Insufficient Evidence"
)</f>
        <v/>
      </c>
      <c r="DR128" s="5">
        <f t="array" ref="DR128">_xlfn.IFS(
  ISBLANK(CU128), "Insufficient Evidence",
  CU128&lt;=20, "Low Risk",
  CU128&lt;=50, "Moderate Risk",
  CU128&lt;=75, "High Risk",
  TRUE, "Very High Risk"
)</f>
        <v/>
      </c>
      <c r="DS128" s="5">
        <f t="array" ref="DS128">_xlfn.IFS(
  ISBLANK(CE128), "Insufficient Evidence",
  AND(ISNUMBER(BW128),ISNUMBER(BV128),BW128&gt;BV128), "Overclaiming Risk",
  CE128&gt;=65, "Strong",
  CE128&gt;=40, "Adequate",
  TRUE, "Weak"
)</f>
        <v/>
      </c>
      <c r="DT128" s="5">
        <f>IF(DB128="Yes — Automatic",0,ROUND((IF(ISNUMBER(AR128),AR128,0)*0.3+IF(ISNUMBER(BS128),BS128,0)*0.2+IF(ISNUMBER(BE128),BE128,0)*0.2+IF(ISNUMBER(CE128),CE128,0)*0.15+(100-IF(ISNUMBER(CU128),CU128,50))*0.15)*IF(DN128&gt;=75,1,IF(DN128&gt;=50,0.9,IF(DN128&gt;=25,0.75,0.6))),1))</f>
        <v/>
      </c>
      <c r="DU128" s="5">
        <f t="array" ref="DU128">_xlfn.IFS(
  DV128="Upgraded to Clear", "Clear",
  DV128="Downgraded to Watchlist", "Watchlist",
  DV128="Downgraded to Exclusion", "Exclusion Risk",
  DB128="Yes — Automatic", "Exclusion Risk",
  OR(AW128="Confirmed Violation", AX128="Confirmed Breach"), "Exclusion Risk",
  OR(V128=0, ISBLANK(V128), DN128&lt;20), "Insufficient Evidence",
  AND(DT128&gt;=65, DA128="No", DB128="No"), "Clear",
  OR(DT128&gt;=40, DA128="Yes"), "Watchlist",
  TRUE, "Exclusion Risk"
)</f>
        <v/>
      </c>
      <c r="DV128" s="5" t="n"/>
      <c r="DW128" s="5">
        <f t="array" ref="DW128">_xlfn.IFS(
  DU128="Exclusion Risk", "Exclude — Hard Trigger",
  DU128="Insufficient Evidence", "Watchlist — Further Evidence Needed",
  DU128="Watchlist", "Watchlist — Further Evidence Needed",
  AND(DU128="Clear", DT128&gt;=80), "Include — No Conditions",
  DU128="Clear", "Include — Monitor",
  TRUE, "Watchlist — Further Evidence Needed"
)</f>
        <v/>
      </c>
      <c r="DX128" s="5" t="n"/>
      <c r="DY128" s="5" t="n"/>
      <c r="DZ128" s="5" t="n"/>
      <c r="EA128" s="5" t="n"/>
      <c r="EB128" s="5">
        <f>IF(OR(V128=0, ISBLANK(V128)), "MISSING — No sources reviewed", "")</f>
        <v/>
      </c>
      <c r="EC128" s="5">
        <f>IF(AND(NOT(ISBLANK(DC128)), ISBLANK(DE128)), "PAGE REF MISSING", "")</f>
        <v/>
      </c>
    </row>
    <row r="129" ht="18" customHeight="1" s="60">
      <c r="A129" s="5" t="inlineStr">
        <is>
          <t>Prysmian SpA</t>
        </is>
      </c>
      <c r="B129" s="5" t="inlineStr">
        <is>
          <t>AEU</t>
        </is>
      </c>
      <c r="C129" s="5">
        <f>IF(ISBLANK('Universe Tracker'!D104),"",'Universe Tracker'!D104)</f>
        <v/>
      </c>
      <c r="D129" s="5" t="n"/>
      <c r="E129" s="5" t="n"/>
      <c r="F129" s="5">
        <f>IF(ISBLANK('Universe Tracker'!F104),"",'Universe Tracker'!F104)</f>
        <v/>
      </c>
      <c r="G129" s="5">
        <f>IF(ISBLANK('Universe Tracker'!G104),"",'Universe Tracker'!G104)</f>
        <v/>
      </c>
      <c r="H129" s="5" t="n"/>
      <c r="I129" s="5" t="n"/>
      <c r="J129" s="5">
        <f>IF(ISBLANK(B129),"",B129&amp;"_"&amp;C129)</f>
        <v/>
      </c>
      <c r="K129" s="5" t="n"/>
      <c r="L129" s="5" t="n"/>
      <c r="M129" s="5" t="n"/>
      <c r="N129" s="5" t="n"/>
      <c r="O129" s="5" t="n"/>
      <c r="P129" s="5" t="n"/>
      <c r="Q129" s="5" t="n"/>
      <c r="R129" s="5" t="n"/>
      <c r="S129" s="5" t="n"/>
      <c r="T129" s="5" t="n"/>
      <c r="U129" s="5" t="n"/>
      <c r="V129" s="5" t="n"/>
      <c r="W129" s="5" t="n"/>
      <c r="X129" s="5" t="n"/>
      <c r="Y129" s="5">
        <f>IF(AND(V129&gt;=2,K129="Yes",L129="Yes"),"Sufficient",IF(AND(V129&gt;=1,OR(K129="Yes",L129="Yes")),"Thin","Insufficient"))</f>
        <v/>
      </c>
      <c r="Z129" s="5" t="n"/>
      <c r="AA129" s="5" t="n"/>
      <c r="AB129" s="5" t="n"/>
      <c r="AC129" s="5" t="n"/>
      <c r="AD129" s="5" t="n"/>
      <c r="AE129" s="5" t="n"/>
      <c r="AF129" s="5" t="n"/>
      <c r="AG129" s="5" t="n"/>
      <c r="AH129" s="5" t="n"/>
      <c r="AI129" s="5" t="n"/>
      <c r="AJ129" s="5" t="n"/>
      <c r="AK129" s="5" t="n"/>
      <c r="AL129" s="5" t="n"/>
      <c r="AM129" s="5" t="n"/>
      <c r="AN129" s="5" t="n"/>
      <c r="AO129" s="5" t="n"/>
      <c r="AP129" s="5" t="n"/>
      <c r="AQ129" s="5" t="n"/>
      <c r="AR129" s="40">
        <f t="array" ref="AR129">MIN(100, MAX(0,
  IFERROR(_xlfn.XLOOKUP(AJ129,'Lookup Tables'!$A$2:$A$7,'Lookup Tables'!$B$2:$B$7,0),0)
  + IF(Z129="Yes", IF(IFERROR(_xlfn.XLOOKUP(AJ129,'Lookup Tables'!$A$2:$A$7,'Lookup Tables'!$B$2:$B$7,0),0)&lt;20, 5, 0), 0)
  + _xlfn.IFS(AB129="Yes", IF(ISNUMBER(AC129)*AND(AC129&lt;=2030),15,10), AB129="Long-term Only", 5, AB129="No", 0, TRUE, 0)
  + _xlfn.IFS(AF129="Full",10, AF129="Partial",5, AF129="Scope 2 Only",3, TRUE,0)
  + _xlfn.IFS(AG129="Yes", IF(ISNUMBER(AH129)*AND(AH129&gt;=5),10,6), AG129="Partial",4, TRUE,0)
  + _xlfn.IFS(AI129="Yes",5, AI129="Partial (material categories only)",3, TRUE,0)
  + _xlfn.IFS(AL129="Yes — Detailed",10, AL129="Yes — High Level",5, TRUE,0)
  + _xlfn.IFS(AM129="Yes — Quantified",15, AM129="Yes — Directional Only",7, TRUE,0)
  + _xlfn.IFS(AP129="Formal",5, AP129="Referenced",2, TRUE,0)
  + _xlfn.IFS(AQ129="No Issues Found",5, AQ129="Concern Identified",-5, AQ129="Severe Contradiction",-15, TRUE,0)
  + _xlfn.IFS(BC129="Reasonable Assurance",5, BC129="Limited Assurance",3, TRUE,0)
  - IF(AND(Z129="Yes", AI129="No"), 10, 0)
  - IF(AND(Z129="Yes", AM129="No"), 10, 0)
))</f>
        <v/>
      </c>
      <c r="AS129" s="5" t="n"/>
      <c r="AT129" s="5" t="n"/>
      <c r="AU129" s="5" t="n"/>
      <c r="AV129" s="5" t="n"/>
      <c r="AW129" s="5" t="n"/>
      <c r="AX129" s="5" t="n"/>
      <c r="AY129" s="5" t="n"/>
      <c r="AZ129" s="5" t="n"/>
      <c r="BA129" s="5" t="n"/>
      <c r="BB129" s="5" t="n"/>
      <c r="BC129" s="5" t="n"/>
      <c r="BD129" s="5" t="n"/>
      <c r="BE129" s="39">
        <f t="array" ref="BE129">MIN(100, MAX(0,
  IFERROR(_xlfn.XLOOKUP(AT129,'Lookup Tables'!$D$2:$D$6,'Lookup Tables'!$E$2:$E$6,0),0)
  + IFERROR(_xlfn.XLOOKUP(AV129,'Lookup Tables'!$G$2:$G$5,'Lookup Tables'!$H$2:$H$5,0),0)
  + IFERROR(_xlfn.XLOOKUP(AW129,'Lookup Tables'!$J$2:$J$5,'Lookup Tables'!$K$2:$K$5,0),0)
  + _xlfn.IFS(AX129="No Issues",10, AX129="Complaint Filed",3, AX129="Confirmed Breach",-15, TRUE,0)
  + IFERROR(_xlfn.XLOOKUP(AY129,'Lookup Tables'!$M$2:$M$6,'Lookup Tables'!$N$2:$N$6,0),0)
  + IFERROR(_xlfn.XLOOKUP(AZ129,'Lookup Tables'!$P$2:$P$6,'Lookup Tables'!$Q$2:$Q$6,0),0)
  + _xlfn.IFS(BA129="Formal Board Committee",5, BA129="Board Oversight Mentioned",2, TRUE,0)
  + _xlfn.IFS(BB129="Yes — Quantified Targets",5, BB129="Yes — Discretionary Only",2, TRUE,0)
  + _xlfn.IFS(BC129="Reasonable Assurance",5, BC129="Limited Assurance",3, BC129="Management Review Only",1, TRUE,0)
))</f>
        <v/>
      </c>
      <c r="BF129" s="5" t="n"/>
      <c r="BG129" s="5" t="n"/>
      <c r="BH129" s="5" t="n"/>
      <c r="BI129" s="5" t="n"/>
      <c r="BJ129" s="5" t="n"/>
      <c r="BK129" s="5" t="n"/>
      <c r="BL129" s="5" t="n"/>
      <c r="BM129" s="5" t="n"/>
      <c r="BN129" s="5" t="n"/>
      <c r="BO129" s="5" t="n"/>
      <c r="BP129" s="5" t="n"/>
      <c r="BQ129" s="5" t="n"/>
      <c r="BR129" s="5" t="n"/>
      <c r="BS129" s="41">
        <f t="array" ref="BS129">MIN(100, MAX(0,
  IFERROR(_xlfn.XLOOKUP(BG129,'Lookup Tables'!$A$11:$A$16,'Lookup Tables'!$B$11:$B$16,0),0)
  + IFERROR(_xlfn.XLOOKUP(BR129,'Lookup Tables'!$M$11:$M$14,'Lookup Tables'!$N$11:$N$14,0),0)
  + IFERROR(_xlfn.XLOOKUP(BQ129,'Lookup Tables'!$J$11:$J$15,'Lookup Tables'!$K$11:$K$15,0),0)
  + IFERROR(_xlfn.XLOOKUP(BH129,'Lookup Tables'!$D$11:$D$15,'Lookup Tables'!$E$11:$E$15,0),0)
  + IFERROR(_xlfn.XLOOKUP(BJ129,'Lookup Tables'!$G$11:$G$16,'Lookup Tables'!$H$11:$H$16,0),0)
  + IFERROR(_xlfn.XLOOKUP(BN129,'Lookup Tables'!$P$11:$P$15,'Lookup Tables'!$Q$11:$Q$15,0),0)
  + _xlfn.IFS(BM129="No Evidence",10, BM129="Unknown",3, BM129="Likely",0, BM129="Confirmed",-10, TRUE,3)
  + IFERROR(_xlfn.XLOOKUP(BP129,'Lookup Tables'!$J$21:$J$24,'Lookup Tables'!$K$21:$K$24,0),0)
))</f>
        <v/>
      </c>
      <c r="BT129" s="5" t="n"/>
      <c r="BU129" s="5" t="n"/>
      <c r="BV129" s="5" t="n"/>
      <c r="BW129" s="5" t="n"/>
      <c r="BX129" s="5" t="n"/>
      <c r="BY129" s="5" t="n"/>
      <c r="BZ129" s="5" t="n"/>
      <c r="CA129" s="5" t="n"/>
      <c r="CB129" s="5" t="n"/>
      <c r="CC129" s="5" t="n"/>
      <c r="CD129" s="5" t="n"/>
      <c r="CE129" s="43">
        <f t="array" ref="CE129">MIN(100, MAX(0,
  IF(ISNUMBER(BV129)*AND(BV129&gt;0), 10, 0)
  + _xlfn.IFS(BY129="Independently Verified",25, BY129="Yes",15, TRUE,0)
  + IFERROR(_xlfn.XLOOKUP(BZ129,'Lookup Tables'!$A$21:$A$24,'Lookup Tables'!$B$21:$B$24,0),0)
  + IFERROR(_xlfn.XLOOKUP(CA129,'Lookup Tables'!$D$21:$D$24,'Lookup Tables'!$E$21:$E$24,0),0)
  + _xlfn.IFS(ISNUMBER(CB129)*AND(CB129&gt;=11),15, ISNUMBER(CB129)*AND(CB129&gt;=6),10, ISNUMBER(CB129)*AND(CB129&gt;=1),5, TRUE,0)
  + IFERROR(_xlfn.XLOOKUP(CC129,'Lookup Tables'!$G$21:$G$25,'Lookup Tables'!$H$21:$H$25,0),0)
  - IF(ISNUMBER(BW129)*AND(ISNUMBER(BV129))*AND(BW129&gt;BV129), 20, 0)
  - IF(AND(BY129="Yes", ISNUMBER(BW129), BW129&gt;60), 10, 0)
))</f>
        <v/>
      </c>
      <c r="CF129" s="5" t="n"/>
      <c r="CG129" s="5" t="n"/>
      <c r="CH129" s="5" t="n"/>
      <c r="CI129" s="5" t="n"/>
      <c r="CJ129" s="5" t="n"/>
      <c r="CK129" s="5" t="n"/>
      <c r="CL129" s="5" t="n"/>
      <c r="CM129" s="5" t="n"/>
      <c r="CN129" s="5" t="n"/>
      <c r="CO129" s="5" t="n"/>
      <c r="CP129" s="5" t="n"/>
      <c r="CQ129" s="5" t="n"/>
      <c r="CR129" s="5">
        <f>COUNTIF(CJ129:CQ129,"FAIL")</f>
        <v/>
      </c>
      <c r="CS129" s="5">
        <f>COUNTIF(CJ129:CQ129,"PARTIAL")</f>
        <v/>
      </c>
      <c r="CT129" s="5">
        <f>COUNTIF(CJ129:CQ129,"MISSING")</f>
        <v/>
      </c>
      <c r="CU129" s="5">
        <f>MIN(100,
  CR129*15
  + CS129*6
  + CT129*3
  + IFERROR(_xlfn.XLOOKUP(CW129,'Lookup Tables'!$M$21:$M$25,'Lookup Tables'!$N$21:$N$25,0),0)
)</f>
        <v/>
      </c>
      <c r="CV129" s="5">
        <f>IFERROR(
CHOOSE(
MATCH("FAIL",CJ129:CQ129,0),
"1-Specificity","2-Metric","3-Baseline","4-Target",
"5-Time Horizon","6-Scope","7-Verification","8-Consistency"
),
IFERROR(
CHOOSE(
MATCH("PARTIAL",CJ129:CQ129,0),
"1-Specificity","2-Metric","3-Baseline","4-Target",
"5-Time Horizon","6-Scope","7-Verification","8-Consistency"
),
"No failures"
)
)</f>
        <v/>
      </c>
      <c r="CW129" s="5" t="n"/>
      <c r="CX129" s="5" t="n"/>
      <c r="CY129" s="5" t="n"/>
      <c r="CZ129" s="5" t="n"/>
      <c r="DA129" s="5">
        <f>IF(OR(CU129&gt;=50,CW129="Material",CW129="Severe",AS129="Material",AS129="Severe",BF129="Material",BF129="Severe — Exclusion Trigger",AND(ISNUMBER(BS129),BS129&lt;30)),"Yes","No")</f>
        <v/>
      </c>
      <c r="DB129" s="5">
        <f>IF(OR(CR129&gt;=6,AW129="Confirmed Violation",AX129="Confirmed Breach"),"Yes — Automatic",IF(CW129="Severe","Yes — Requires Captain Confirmation","No"))</f>
        <v/>
      </c>
      <c r="DC129" s="5" t="n"/>
      <c r="DD129" s="5" t="n"/>
      <c r="DE129" s="5" t="n"/>
      <c r="DF129" s="5" t="n"/>
      <c r="DG129" s="5" t="n"/>
      <c r="DH129" s="5" t="n"/>
      <c r="DI129" s="5" t="n"/>
      <c r="DJ129" s="5" t="n"/>
      <c r="DK129" s="5" t="n"/>
      <c r="DL129" s="5">
        <f>IF(OR(IFERROR(VALUE(LEFT(DF129,1)),99)&lt;=2,IFERROR(VALUE(LEFT(DG129,1)),99)&lt;=2),"Flagged","Clear")</f>
        <v/>
      </c>
      <c r="DM129" s="5">
        <f>IF(OR(DA129="Yes",DB129&lt;&gt;"No",DH129="Unverified",DL129="Flagged"),"Yes","No")</f>
        <v/>
      </c>
      <c r="DN129" s="5">
        <f t="array" ref="DN129">MIN(100,
  IF(ISNUMBER(V129), _xlfn.IFS(V129&gt;=3,25, V129=2,15, V129=1,5, TRUE,0), 0)
  + IFERROR(_xlfn.IFS(VALUE(LEFT(DF129,1))=5,25, VALUE(LEFT(DF129,1))=4,20, VALUE(LEFT(DF129,1))=3,15, VALUE(LEFT(DF129,1))=2,8, TRUE,0), 15)
  + IFERROR(_xlfn.IFS(VALUE(LEFT(DG129,1))=5,25, VALUE(LEFT(DG129,1))=4,20, VALUE(LEFT(DG129,1))=3,15, VALUE(LEFT(DG129,1))=2,8, TRUE,0), 15)
  + _xlfn.IFS(DH129="Fully Verified",25, DH129="Partially Verified",12, TRUE,0)
)</f>
        <v/>
      </c>
      <c r="DO129" s="5">
        <f t="array" ref="DO129">_xlfn.IFS(
  ISBLANK(AR129), "Insufficient Evidence",
  AND(AR129&gt;=65, AJ129="Approved"), "Strong",
  AR129&gt;=65, "Adequate",
  AR129&gt;=40, "Adequate",
  AR129&gt;=20, "Weak",
  TRUE, "Insufficient Evidence"
)</f>
        <v/>
      </c>
      <c r="DP129" s="5">
        <f t="array" ref="DP129">_xlfn.IFS(
  ISBLANK(BS129), "Insufficient Evidence",
  BS129&gt;=65, "Strong",
  BS129&gt;=40, "Adequate",
  BS129&gt;=20, "Weak",
  TRUE, "Insufficient Evidence"
)</f>
        <v/>
      </c>
      <c r="DQ129" s="5">
        <f t="array" ref="DQ129">_xlfn.IFS(
  ISBLANK(BE129), "Insufficient Evidence",
  OR(AW129="Confirmed Violation", AX129="Confirmed Breach"), "Severe — Hard Trigger",
  BE129&gt;=65, "Strong",
  BE129&gt;=40, "Adequate",
  BE129&gt;=20, "Weak",
  TRUE, "Insufficient Evidence"
)</f>
        <v/>
      </c>
      <c r="DR129" s="5">
        <f t="array" ref="DR129">_xlfn.IFS(
  ISBLANK(CU129), "Insufficient Evidence",
  CU129&lt;=20, "Low Risk",
  CU129&lt;=50, "Moderate Risk",
  CU129&lt;=75, "High Risk",
  TRUE, "Very High Risk"
)</f>
        <v/>
      </c>
      <c r="DS129" s="5">
        <f t="array" ref="DS129">_xlfn.IFS(
  ISBLANK(CE129), "Insufficient Evidence",
  AND(ISNUMBER(BW129),ISNUMBER(BV129),BW129&gt;BV129), "Overclaiming Risk",
  CE129&gt;=65, "Strong",
  CE129&gt;=40, "Adequate",
  TRUE, "Weak"
)</f>
        <v/>
      </c>
      <c r="DT129" s="5">
        <f>IF(DB129="Yes — Automatic",0,ROUND((IF(ISNUMBER(AR129),AR129,0)*0.3+IF(ISNUMBER(BS129),BS129,0)*0.2+IF(ISNUMBER(BE129),BE129,0)*0.2+IF(ISNUMBER(CE129),CE129,0)*0.15+(100-IF(ISNUMBER(CU129),CU129,50))*0.15)*IF(DN129&gt;=75,1,IF(DN129&gt;=50,0.9,IF(DN129&gt;=25,0.75,0.6))),1))</f>
        <v/>
      </c>
      <c r="DU129" s="5">
        <f t="array" ref="DU129">_xlfn.IFS(
  DV129="Upgraded to Clear", "Clear",
  DV129="Downgraded to Watchlist", "Watchlist",
  DV129="Downgraded to Exclusion", "Exclusion Risk",
  DB129="Yes — Automatic", "Exclusion Risk",
  OR(AW129="Confirmed Violation", AX129="Confirmed Breach"), "Exclusion Risk",
  OR(V129=0, ISBLANK(V129), DN129&lt;20), "Insufficient Evidence",
  AND(DT129&gt;=65, DA129="No", DB129="No"), "Clear",
  OR(DT129&gt;=40, DA129="Yes"), "Watchlist",
  TRUE, "Exclusion Risk"
)</f>
        <v/>
      </c>
      <c r="DV129" s="5" t="n"/>
      <c r="DW129" s="5">
        <f t="array" ref="DW129">_xlfn.IFS(
  DU129="Exclusion Risk", "Exclude — Hard Trigger",
  DU129="Insufficient Evidence", "Watchlist — Further Evidence Needed",
  DU129="Watchlist", "Watchlist — Further Evidence Needed",
  AND(DU129="Clear", DT129&gt;=80), "Include — No Conditions",
  DU129="Clear", "Include — Monitor",
  TRUE, "Watchlist — Further Evidence Needed"
)</f>
        <v/>
      </c>
      <c r="DX129" s="5" t="n"/>
      <c r="DY129" s="5" t="n"/>
      <c r="DZ129" s="5" t="n"/>
      <c r="EA129" s="5" t="n"/>
      <c r="EB129" s="5">
        <f>IF(OR(V129=0, ISBLANK(V129)), "MISSING — No sources reviewed", "")</f>
        <v/>
      </c>
      <c r="EC129" s="5">
        <f>IF(AND(NOT(ISBLANK(DC129)), ISBLANK(DE129)), "PAGE REF MISSING", "")</f>
        <v/>
      </c>
    </row>
    <row r="130" ht="18" customHeight="1" s="60">
      <c r="A130" s="5" t="inlineStr">
        <is>
          <t>Sacyr SA</t>
        </is>
      </c>
      <c r="B130" s="5" t="inlineStr">
        <is>
          <t>VHM</t>
        </is>
      </c>
      <c r="C130" s="5">
        <f>IF(ISBLANK('Universe Tracker'!D105),"",'Universe Tracker'!D105)</f>
        <v/>
      </c>
      <c r="D130" s="5" t="n"/>
      <c r="E130" s="5" t="n"/>
      <c r="F130" s="5">
        <f>IF(ISBLANK('Universe Tracker'!F105),"",'Universe Tracker'!F105)</f>
        <v/>
      </c>
      <c r="G130" s="5">
        <f>IF(ISBLANK('Universe Tracker'!G105),"",'Universe Tracker'!G105)</f>
        <v/>
      </c>
      <c r="H130" s="5" t="n"/>
      <c r="I130" s="5" t="n"/>
      <c r="J130" s="5">
        <f>IF(ISBLANK(B130),"",B130&amp;"_"&amp;C130)</f>
        <v/>
      </c>
      <c r="K130" s="5" t="n"/>
      <c r="L130" s="5" t="n"/>
      <c r="M130" s="5" t="n"/>
      <c r="N130" s="5" t="n"/>
      <c r="O130" s="5" t="n"/>
      <c r="P130" s="5" t="n"/>
      <c r="Q130" s="5" t="n"/>
      <c r="R130" s="5" t="n"/>
      <c r="S130" s="5" t="n"/>
      <c r="T130" s="5" t="n"/>
      <c r="U130" s="5" t="n"/>
      <c r="V130" s="5" t="n"/>
      <c r="W130" s="5" t="n"/>
      <c r="X130" s="5" t="n"/>
      <c r="Y130" s="5">
        <f>IF(AND(V130&gt;=2,K130="Yes",L130="Yes"),"Sufficient",IF(AND(V130&gt;=1,OR(K130="Yes",L130="Yes")),"Thin","Insufficient"))</f>
        <v/>
      </c>
      <c r="Z130" s="5" t="n"/>
      <c r="AA130" s="5" t="n"/>
      <c r="AB130" s="5" t="n"/>
      <c r="AC130" s="5" t="n"/>
      <c r="AD130" s="5" t="n"/>
      <c r="AE130" s="5" t="n"/>
      <c r="AF130" s="5" t="n"/>
      <c r="AG130" s="5" t="n"/>
      <c r="AH130" s="5" t="n"/>
      <c r="AI130" s="5" t="n"/>
      <c r="AJ130" s="5" t="n"/>
      <c r="AK130" s="5" t="n"/>
      <c r="AL130" s="5" t="n"/>
      <c r="AM130" s="5" t="n"/>
      <c r="AN130" s="5" t="n"/>
      <c r="AO130" s="5" t="n"/>
      <c r="AP130" s="5" t="n"/>
      <c r="AQ130" s="5" t="n"/>
      <c r="AR130" s="40">
        <f t="array" ref="AR130">MIN(100, MAX(0,
  IFERROR(_xlfn.XLOOKUP(AJ130,'Lookup Tables'!$A$2:$A$7,'Lookup Tables'!$B$2:$B$7,0),0)
  + IF(Z130="Yes", IF(IFERROR(_xlfn.XLOOKUP(AJ130,'Lookup Tables'!$A$2:$A$7,'Lookup Tables'!$B$2:$B$7,0),0)&lt;20, 5, 0), 0)
  + _xlfn.IFS(AB130="Yes", IF(ISNUMBER(AC130)*AND(AC130&lt;=2030),15,10), AB130="Long-term Only", 5, AB130="No", 0, TRUE, 0)
  + _xlfn.IFS(AF130="Full",10, AF130="Partial",5, AF130="Scope 2 Only",3, TRUE,0)
  + _xlfn.IFS(AG130="Yes", IF(ISNUMBER(AH130)*AND(AH130&gt;=5),10,6), AG130="Partial",4, TRUE,0)
  + _xlfn.IFS(AI130="Yes",5, AI130="Partial (material categories only)",3, TRUE,0)
  + _xlfn.IFS(AL130="Yes — Detailed",10, AL130="Yes — High Level",5, TRUE,0)
  + _xlfn.IFS(AM130="Yes — Quantified",15, AM130="Yes — Directional Only",7, TRUE,0)
  + _xlfn.IFS(AP130="Formal",5, AP130="Referenced",2, TRUE,0)
  + _xlfn.IFS(AQ130="No Issues Found",5, AQ130="Concern Identified",-5, AQ130="Severe Contradiction",-15, TRUE,0)
  + _xlfn.IFS(BC130="Reasonable Assurance",5, BC130="Limited Assurance",3, TRUE,0)
  - IF(AND(Z130="Yes", AI130="No"), 10, 0)
  - IF(AND(Z130="Yes", AM130="No"), 10, 0)
))</f>
        <v/>
      </c>
      <c r="AS130" s="5" t="n"/>
      <c r="AT130" s="5" t="n"/>
      <c r="AU130" s="5" t="n"/>
      <c r="AV130" s="5" t="n"/>
      <c r="AW130" s="5" t="n"/>
      <c r="AX130" s="5" t="n"/>
      <c r="AY130" s="5" t="n"/>
      <c r="AZ130" s="5" t="n"/>
      <c r="BA130" s="5" t="n"/>
      <c r="BB130" s="5" t="n"/>
      <c r="BC130" s="5" t="n"/>
      <c r="BD130" s="5" t="n"/>
      <c r="BE130" s="39">
        <f t="array" ref="BE130">MIN(100, MAX(0,
  IFERROR(_xlfn.XLOOKUP(AT130,'Lookup Tables'!$D$2:$D$6,'Lookup Tables'!$E$2:$E$6,0),0)
  + IFERROR(_xlfn.XLOOKUP(AV130,'Lookup Tables'!$G$2:$G$5,'Lookup Tables'!$H$2:$H$5,0),0)
  + IFERROR(_xlfn.XLOOKUP(AW130,'Lookup Tables'!$J$2:$J$5,'Lookup Tables'!$K$2:$K$5,0),0)
  + _xlfn.IFS(AX130="No Issues",10, AX130="Complaint Filed",3, AX130="Confirmed Breach",-15, TRUE,0)
  + IFERROR(_xlfn.XLOOKUP(AY130,'Lookup Tables'!$M$2:$M$6,'Lookup Tables'!$N$2:$N$6,0),0)
  + IFERROR(_xlfn.XLOOKUP(AZ130,'Lookup Tables'!$P$2:$P$6,'Lookup Tables'!$Q$2:$Q$6,0),0)
  + _xlfn.IFS(BA130="Formal Board Committee",5, BA130="Board Oversight Mentioned",2, TRUE,0)
  + _xlfn.IFS(BB130="Yes — Quantified Targets",5, BB130="Yes — Discretionary Only",2, TRUE,0)
  + _xlfn.IFS(BC130="Reasonable Assurance",5, BC130="Limited Assurance",3, BC130="Management Review Only",1, TRUE,0)
))</f>
        <v/>
      </c>
      <c r="BF130" s="5" t="n"/>
      <c r="BG130" s="5" t="n"/>
      <c r="BH130" s="5" t="n"/>
      <c r="BI130" s="5" t="n"/>
      <c r="BJ130" s="5" t="n"/>
      <c r="BK130" s="5" t="n"/>
      <c r="BL130" s="5" t="n"/>
      <c r="BM130" s="5" t="n"/>
      <c r="BN130" s="5" t="n"/>
      <c r="BO130" s="5" t="n"/>
      <c r="BP130" s="5" t="n"/>
      <c r="BQ130" s="5" t="n"/>
      <c r="BR130" s="5" t="n"/>
      <c r="BS130" s="41">
        <f t="array" ref="BS130">MIN(100, MAX(0,
  IFERROR(_xlfn.XLOOKUP(BG130,'Lookup Tables'!$A$11:$A$16,'Lookup Tables'!$B$11:$B$16,0),0)
  + IFERROR(_xlfn.XLOOKUP(BR130,'Lookup Tables'!$M$11:$M$14,'Lookup Tables'!$N$11:$N$14,0),0)
  + IFERROR(_xlfn.XLOOKUP(BQ130,'Lookup Tables'!$J$11:$J$15,'Lookup Tables'!$K$11:$K$15,0),0)
  + IFERROR(_xlfn.XLOOKUP(BH130,'Lookup Tables'!$D$11:$D$15,'Lookup Tables'!$E$11:$E$15,0),0)
  + IFERROR(_xlfn.XLOOKUP(BJ130,'Lookup Tables'!$G$11:$G$16,'Lookup Tables'!$H$11:$H$16,0),0)
  + IFERROR(_xlfn.XLOOKUP(BN130,'Lookup Tables'!$P$11:$P$15,'Lookup Tables'!$Q$11:$Q$15,0),0)
  + _xlfn.IFS(BM130="No Evidence",10, BM130="Unknown",3, BM130="Likely",0, BM130="Confirmed",-10, TRUE,3)
  + IFERROR(_xlfn.XLOOKUP(BP130,'Lookup Tables'!$J$21:$J$24,'Lookup Tables'!$K$21:$K$24,0),0)
))</f>
        <v/>
      </c>
      <c r="BT130" s="5" t="n"/>
      <c r="BU130" s="5" t="n"/>
      <c r="BV130" s="5" t="n"/>
      <c r="BW130" s="5" t="n"/>
      <c r="BX130" s="5" t="n"/>
      <c r="BY130" s="5" t="n"/>
      <c r="BZ130" s="5" t="n"/>
      <c r="CA130" s="5" t="n"/>
      <c r="CB130" s="5" t="n"/>
      <c r="CC130" s="5" t="n"/>
      <c r="CD130" s="5" t="n"/>
      <c r="CE130" s="43">
        <f t="array" ref="CE130">MIN(100, MAX(0,
  IF(ISNUMBER(BV130)*AND(BV130&gt;0), 10, 0)
  + _xlfn.IFS(BY130="Independently Verified",25, BY130="Yes",15, TRUE,0)
  + IFERROR(_xlfn.XLOOKUP(BZ130,'Lookup Tables'!$A$21:$A$24,'Lookup Tables'!$B$21:$B$24,0),0)
  + IFERROR(_xlfn.XLOOKUP(CA130,'Lookup Tables'!$D$21:$D$24,'Lookup Tables'!$E$21:$E$24,0),0)
  + _xlfn.IFS(ISNUMBER(CB130)*AND(CB130&gt;=11),15, ISNUMBER(CB130)*AND(CB130&gt;=6),10, ISNUMBER(CB130)*AND(CB130&gt;=1),5, TRUE,0)
  + IFERROR(_xlfn.XLOOKUP(CC130,'Lookup Tables'!$G$21:$G$25,'Lookup Tables'!$H$21:$H$25,0),0)
  - IF(ISNUMBER(BW130)*AND(ISNUMBER(BV130))*AND(BW130&gt;BV130), 20, 0)
  - IF(AND(BY130="Yes", ISNUMBER(BW130), BW130&gt;60), 10, 0)
))</f>
        <v/>
      </c>
      <c r="CF130" s="5" t="n"/>
      <c r="CG130" s="5" t="n"/>
      <c r="CH130" s="5" t="n"/>
      <c r="CI130" s="5" t="n"/>
      <c r="CJ130" s="5" t="n"/>
      <c r="CK130" s="5" t="n"/>
      <c r="CL130" s="5" t="n"/>
      <c r="CM130" s="5" t="n"/>
      <c r="CN130" s="5" t="n"/>
      <c r="CO130" s="5" t="n"/>
      <c r="CP130" s="5" t="n"/>
      <c r="CQ130" s="5" t="n"/>
      <c r="CR130" s="5">
        <f>COUNTIF(CJ130:CQ130,"FAIL")</f>
        <v/>
      </c>
      <c r="CS130" s="5">
        <f>COUNTIF(CJ130:CQ130,"PARTIAL")</f>
        <v/>
      </c>
      <c r="CT130" s="5">
        <f>COUNTIF(CJ130:CQ130,"MISSING")</f>
        <v/>
      </c>
      <c r="CU130" s="5">
        <f>MIN(100,
  CR130*15
  + CS130*6
  + CT130*3
  + IFERROR(_xlfn.XLOOKUP(CW130,'Lookup Tables'!$M$21:$M$25,'Lookup Tables'!$N$21:$N$25,0),0)
)</f>
        <v/>
      </c>
      <c r="CV130" s="5">
        <f>IFERROR(
CHOOSE(
MATCH("FAIL",CJ130:CQ130,0),
"1-Specificity","2-Metric","3-Baseline","4-Target",
"5-Time Horizon","6-Scope","7-Verification","8-Consistency"
),
IFERROR(
CHOOSE(
MATCH("PARTIAL",CJ130:CQ130,0),
"1-Specificity","2-Metric","3-Baseline","4-Target",
"5-Time Horizon","6-Scope","7-Verification","8-Consistency"
),
"No failures"
)
)</f>
        <v/>
      </c>
      <c r="CW130" s="5" t="n"/>
      <c r="CX130" s="5" t="n"/>
      <c r="CY130" s="5" t="n"/>
      <c r="CZ130" s="5" t="n"/>
      <c r="DA130" s="5">
        <f>IF(OR(CU130&gt;=50,CW130="Material",CW130="Severe",AS130="Material",AS130="Severe",BF130="Material",BF130="Severe — Exclusion Trigger",AND(ISNUMBER(BS130),BS130&lt;30)),"Yes","No")</f>
        <v/>
      </c>
      <c r="DB130" s="5">
        <f>IF(OR(CR130&gt;=6,AW130="Confirmed Violation",AX130="Confirmed Breach"),"Yes — Automatic",IF(CW130="Severe","Yes — Requires Captain Confirmation","No"))</f>
        <v/>
      </c>
      <c r="DC130" s="5" t="n"/>
      <c r="DD130" s="5" t="n"/>
      <c r="DE130" s="5" t="n"/>
      <c r="DF130" s="5" t="n"/>
      <c r="DG130" s="5" t="n"/>
      <c r="DH130" s="5" t="n"/>
      <c r="DI130" s="5" t="n"/>
      <c r="DJ130" s="5" t="n"/>
      <c r="DK130" s="5" t="n"/>
      <c r="DL130" s="5">
        <f>IF(OR(IFERROR(VALUE(LEFT(DF130,1)),99)&lt;=2,IFERROR(VALUE(LEFT(DG130,1)),99)&lt;=2),"Flagged","Clear")</f>
        <v/>
      </c>
      <c r="DM130" s="5">
        <f>IF(OR(DA130="Yes",DB130&lt;&gt;"No",DH130="Unverified",DL130="Flagged"),"Yes","No")</f>
        <v/>
      </c>
      <c r="DN130" s="5">
        <f t="array" ref="DN130">MIN(100,
  IF(ISNUMBER(V130), _xlfn.IFS(V130&gt;=3,25, V130=2,15, V130=1,5, TRUE,0), 0)
  + IFERROR(_xlfn.IFS(VALUE(LEFT(DF130,1))=5,25, VALUE(LEFT(DF130,1))=4,20, VALUE(LEFT(DF130,1))=3,15, VALUE(LEFT(DF130,1))=2,8, TRUE,0), 15)
  + IFERROR(_xlfn.IFS(VALUE(LEFT(DG130,1))=5,25, VALUE(LEFT(DG130,1))=4,20, VALUE(LEFT(DG130,1))=3,15, VALUE(LEFT(DG130,1))=2,8, TRUE,0), 15)
  + _xlfn.IFS(DH130="Fully Verified",25, DH130="Partially Verified",12, TRUE,0)
)</f>
        <v/>
      </c>
      <c r="DO130" s="5">
        <f t="array" ref="DO130">_xlfn.IFS(
  ISBLANK(AR130), "Insufficient Evidence",
  AND(AR130&gt;=65, AJ130="Approved"), "Strong",
  AR130&gt;=65, "Adequate",
  AR130&gt;=40, "Adequate",
  AR130&gt;=20, "Weak",
  TRUE, "Insufficient Evidence"
)</f>
        <v/>
      </c>
      <c r="DP130" s="5">
        <f t="array" ref="DP130">_xlfn.IFS(
  ISBLANK(BS130), "Insufficient Evidence",
  BS130&gt;=65, "Strong",
  BS130&gt;=40, "Adequate",
  BS130&gt;=20, "Weak",
  TRUE, "Insufficient Evidence"
)</f>
        <v/>
      </c>
      <c r="DQ130" s="5">
        <f t="array" ref="DQ130">_xlfn.IFS(
  ISBLANK(BE130), "Insufficient Evidence",
  OR(AW130="Confirmed Violation", AX130="Confirmed Breach"), "Severe — Hard Trigger",
  BE130&gt;=65, "Strong",
  BE130&gt;=40, "Adequate",
  BE130&gt;=20, "Weak",
  TRUE, "Insufficient Evidence"
)</f>
        <v/>
      </c>
      <c r="DR130" s="5">
        <f t="array" ref="DR130">_xlfn.IFS(
  ISBLANK(CU130), "Insufficient Evidence",
  CU130&lt;=20, "Low Risk",
  CU130&lt;=50, "Moderate Risk",
  CU130&lt;=75, "High Risk",
  TRUE, "Very High Risk"
)</f>
        <v/>
      </c>
      <c r="DS130" s="5">
        <f t="array" ref="DS130">_xlfn.IFS(
  ISBLANK(CE130), "Insufficient Evidence",
  AND(ISNUMBER(BW130),ISNUMBER(BV130),BW130&gt;BV130), "Overclaiming Risk",
  CE130&gt;=65, "Strong",
  CE130&gt;=40, "Adequate",
  TRUE, "Weak"
)</f>
        <v/>
      </c>
      <c r="DT130" s="5">
        <f>IF(DB130="Yes — Automatic",0,ROUND((IF(ISNUMBER(AR130),AR130,0)*0.3+IF(ISNUMBER(BS130),BS130,0)*0.2+IF(ISNUMBER(BE130),BE130,0)*0.2+IF(ISNUMBER(CE130),CE130,0)*0.15+(100-IF(ISNUMBER(CU130),CU130,50))*0.15)*IF(DN130&gt;=75,1,IF(DN130&gt;=50,0.9,IF(DN130&gt;=25,0.75,0.6))),1))</f>
        <v/>
      </c>
      <c r="DU130" s="5">
        <f t="array" ref="DU130">_xlfn.IFS(
  DV130="Upgraded to Clear", "Clear",
  DV130="Downgraded to Watchlist", "Watchlist",
  DV130="Downgraded to Exclusion", "Exclusion Risk",
  DB130="Yes — Automatic", "Exclusion Risk",
  OR(AW130="Confirmed Violation", AX130="Confirmed Breach"), "Exclusion Risk",
  OR(V130=0, ISBLANK(V130), DN130&lt;20), "Insufficient Evidence",
  AND(DT130&gt;=65, DA130="No", DB130="No"), "Clear",
  OR(DT130&gt;=40, DA130="Yes"), "Watchlist",
  TRUE, "Exclusion Risk"
)</f>
        <v/>
      </c>
      <c r="DV130" s="5" t="n"/>
      <c r="DW130" s="5">
        <f t="array" ref="DW130">_xlfn.IFS(
  DU130="Exclusion Risk", "Exclude — Hard Trigger",
  DU130="Insufficient Evidence", "Watchlist — Further Evidence Needed",
  DU130="Watchlist", "Watchlist — Further Evidence Needed",
  AND(DU130="Clear", DT130&gt;=80), "Include — No Conditions",
  DU130="Clear", "Include — Monitor",
  TRUE, "Watchlist — Further Evidence Needed"
)</f>
        <v/>
      </c>
      <c r="DX130" s="5" t="n"/>
      <c r="DY130" s="5" t="n"/>
      <c r="DZ130" s="5" t="n"/>
      <c r="EA130" s="5" t="n"/>
      <c r="EB130" s="5">
        <f>IF(OR(V130=0, ISBLANK(V130)), "MISSING — No sources reviewed", "")</f>
        <v/>
      </c>
      <c r="EC130" s="5">
        <f>IF(AND(NOT(ISBLANK(DC130)), ISBLANK(DE130)), "PAGE REF MISSING", "")</f>
        <v/>
      </c>
    </row>
    <row r="131" ht="18" customHeight="1" s="60">
      <c r="A131" s="5" t="inlineStr">
        <is>
          <t>Holcim AG</t>
        </is>
      </c>
      <c r="B131" s="5" t="inlineStr">
        <is>
          <t>HLBN</t>
        </is>
      </c>
      <c r="C131" s="5">
        <f>IF(ISBLANK('Universe Tracker'!D106),"",'Universe Tracker'!D106)</f>
        <v/>
      </c>
      <c r="D131" s="5" t="n"/>
      <c r="E131" s="5" t="n"/>
      <c r="F131" s="5">
        <f>IF(ISBLANK('Universe Tracker'!F106),"",'Universe Tracker'!F106)</f>
        <v/>
      </c>
      <c r="G131" s="5">
        <f>IF(ISBLANK('Universe Tracker'!G106),"",'Universe Tracker'!G106)</f>
        <v/>
      </c>
      <c r="H131" s="5" t="n"/>
      <c r="I131" s="5" t="n"/>
      <c r="J131" s="5">
        <f>IF(ISBLANK(B131),"",B131&amp;"_"&amp;C131)</f>
        <v/>
      </c>
      <c r="K131" s="5" t="n"/>
      <c r="L131" s="5" t="n"/>
      <c r="M131" s="5" t="n"/>
      <c r="N131" s="5" t="n"/>
      <c r="O131" s="5" t="n"/>
      <c r="P131" s="5" t="n"/>
      <c r="Q131" s="5" t="n"/>
      <c r="R131" s="5" t="n"/>
      <c r="S131" s="5" t="n"/>
      <c r="T131" s="5" t="n"/>
      <c r="U131" s="5" t="n"/>
      <c r="V131" s="5" t="n"/>
      <c r="W131" s="5" t="n"/>
      <c r="X131" s="5" t="n"/>
      <c r="Y131" s="5">
        <f>IF(AND(V131&gt;=2,K131="Yes",L131="Yes"),"Sufficient",IF(AND(V131&gt;=1,OR(K131="Yes",L131="Yes")),"Thin","Insufficient"))</f>
        <v/>
      </c>
      <c r="Z131" s="5" t="n"/>
      <c r="AA131" s="5" t="n"/>
      <c r="AB131" s="5" t="n"/>
      <c r="AC131" s="5" t="n"/>
      <c r="AD131" s="5" t="n"/>
      <c r="AE131" s="5" t="n"/>
      <c r="AF131" s="5" t="n"/>
      <c r="AG131" s="5" t="n"/>
      <c r="AH131" s="5" t="n"/>
      <c r="AI131" s="5" t="n"/>
      <c r="AJ131" s="5" t="n"/>
      <c r="AK131" s="5" t="n"/>
      <c r="AL131" s="5" t="n"/>
      <c r="AM131" s="5" t="n"/>
      <c r="AN131" s="5" t="n"/>
      <c r="AO131" s="5" t="n"/>
      <c r="AP131" s="5" t="n"/>
      <c r="AQ131" s="5" t="n"/>
      <c r="AR131" s="40">
        <f t="array" ref="AR131">MIN(100, MAX(0,
  IFERROR(_xlfn.XLOOKUP(AJ131,'Lookup Tables'!$A$2:$A$7,'Lookup Tables'!$B$2:$B$7,0),0)
  + IF(Z131="Yes", IF(IFERROR(_xlfn.XLOOKUP(AJ131,'Lookup Tables'!$A$2:$A$7,'Lookup Tables'!$B$2:$B$7,0),0)&lt;20, 5, 0), 0)
  + _xlfn.IFS(AB131="Yes", IF(ISNUMBER(AC131)*AND(AC131&lt;=2030),15,10), AB131="Long-term Only", 5, AB131="No", 0, TRUE, 0)
  + _xlfn.IFS(AF131="Full",10, AF131="Partial",5, AF131="Scope 2 Only",3, TRUE,0)
  + _xlfn.IFS(AG131="Yes", IF(ISNUMBER(AH131)*AND(AH131&gt;=5),10,6), AG131="Partial",4, TRUE,0)
  + _xlfn.IFS(AI131="Yes",5, AI131="Partial (material categories only)",3, TRUE,0)
  + _xlfn.IFS(AL131="Yes — Detailed",10, AL131="Yes — High Level",5, TRUE,0)
  + _xlfn.IFS(AM131="Yes — Quantified",15, AM131="Yes — Directional Only",7, TRUE,0)
  + _xlfn.IFS(AP131="Formal",5, AP131="Referenced",2, TRUE,0)
  + _xlfn.IFS(AQ131="No Issues Found",5, AQ131="Concern Identified",-5, AQ131="Severe Contradiction",-15, TRUE,0)
  + _xlfn.IFS(BC131="Reasonable Assurance",5, BC131="Limited Assurance",3, TRUE,0)
  - IF(AND(Z131="Yes", AI131="No"), 10, 0)
  - IF(AND(Z131="Yes", AM131="No"), 10, 0)
))</f>
        <v/>
      </c>
      <c r="AS131" s="5" t="n"/>
      <c r="AT131" s="5" t="n"/>
      <c r="AU131" s="5" t="n"/>
      <c r="AV131" s="5" t="n"/>
      <c r="AW131" s="5" t="n"/>
      <c r="AX131" s="5" t="n"/>
      <c r="AY131" s="5" t="n"/>
      <c r="AZ131" s="5" t="n"/>
      <c r="BA131" s="5" t="n"/>
      <c r="BB131" s="5" t="n"/>
      <c r="BC131" s="5" t="n"/>
      <c r="BD131" s="5" t="n"/>
      <c r="BE131" s="39">
        <f t="array" ref="BE131">MIN(100, MAX(0,
  IFERROR(_xlfn.XLOOKUP(AT131,'Lookup Tables'!$D$2:$D$6,'Lookup Tables'!$E$2:$E$6,0),0)
  + IFERROR(_xlfn.XLOOKUP(AV131,'Lookup Tables'!$G$2:$G$5,'Lookup Tables'!$H$2:$H$5,0),0)
  + IFERROR(_xlfn.XLOOKUP(AW131,'Lookup Tables'!$J$2:$J$5,'Lookup Tables'!$K$2:$K$5,0),0)
  + _xlfn.IFS(AX131="No Issues",10, AX131="Complaint Filed",3, AX131="Confirmed Breach",-15, TRUE,0)
  + IFERROR(_xlfn.XLOOKUP(AY131,'Lookup Tables'!$M$2:$M$6,'Lookup Tables'!$N$2:$N$6,0),0)
  + IFERROR(_xlfn.XLOOKUP(AZ131,'Lookup Tables'!$P$2:$P$6,'Lookup Tables'!$Q$2:$Q$6,0),0)
  + _xlfn.IFS(BA131="Formal Board Committee",5, BA131="Board Oversight Mentioned",2, TRUE,0)
  + _xlfn.IFS(BB131="Yes — Quantified Targets",5, BB131="Yes — Discretionary Only",2, TRUE,0)
  + _xlfn.IFS(BC131="Reasonable Assurance",5, BC131="Limited Assurance",3, BC131="Management Review Only",1, TRUE,0)
))</f>
        <v/>
      </c>
      <c r="BF131" s="5" t="n"/>
      <c r="BG131" s="5" t="n"/>
      <c r="BH131" s="5" t="n"/>
      <c r="BI131" s="5" t="n"/>
      <c r="BJ131" s="5" t="n"/>
      <c r="BK131" s="5" t="n"/>
      <c r="BL131" s="5" t="n"/>
      <c r="BM131" s="5" t="n"/>
      <c r="BN131" s="5" t="n"/>
      <c r="BO131" s="5" t="n"/>
      <c r="BP131" s="5" t="n"/>
      <c r="BQ131" s="5" t="n"/>
      <c r="BR131" s="5" t="n"/>
      <c r="BS131" s="41">
        <f t="array" ref="BS131">MIN(100, MAX(0,
  IFERROR(_xlfn.XLOOKUP(BG131,'Lookup Tables'!$A$11:$A$16,'Lookup Tables'!$B$11:$B$16,0),0)
  + IFERROR(_xlfn.XLOOKUP(BR131,'Lookup Tables'!$M$11:$M$14,'Lookup Tables'!$N$11:$N$14,0),0)
  + IFERROR(_xlfn.XLOOKUP(BQ131,'Lookup Tables'!$J$11:$J$15,'Lookup Tables'!$K$11:$K$15,0),0)
  + IFERROR(_xlfn.XLOOKUP(BH131,'Lookup Tables'!$D$11:$D$15,'Lookup Tables'!$E$11:$E$15,0),0)
  + IFERROR(_xlfn.XLOOKUP(BJ131,'Lookup Tables'!$G$11:$G$16,'Lookup Tables'!$H$11:$H$16,0),0)
  + IFERROR(_xlfn.XLOOKUP(BN131,'Lookup Tables'!$P$11:$P$15,'Lookup Tables'!$Q$11:$Q$15,0),0)
  + _xlfn.IFS(BM131="No Evidence",10, BM131="Unknown",3, BM131="Likely",0, BM131="Confirmed",-10, TRUE,3)
  + IFERROR(_xlfn.XLOOKUP(BP131,'Lookup Tables'!$J$21:$J$24,'Lookup Tables'!$K$21:$K$24,0),0)
))</f>
        <v/>
      </c>
      <c r="BT131" s="5" t="n"/>
      <c r="BU131" s="5" t="n"/>
      <c r="BV131" s="5" t="n"/>
      <c r="BW131" s="5" t="n"/>
      <c r="BX131" s="5" t="n"/>
      <c r="BY131" s="5" t="n"/>
      <c r="BZ131" s="5" t="n"/>
      <c r="CA131" s="5" t="n"/>
      <c r="CB131" s="5" t="n"/>
      <c r="CC131" s="5" t="n"/>
      <c r="CD131" s="5" t="n"/>
      <c r="CE131" s="43">
        <f t="array" ref="CE131">MIN(100, MAX(0,
  IF(ISNUMBER(BV131)*AND(BV131&gt;0), 10, 0)
  + _xlfn.IFS(BY131="Independently Verified",25, BY131="Yes",15, TRUE,0)
  + IFERROR(_xlfn.XLOOKUP(BZ131,'Lookup Tables'!$A$21:$A$24,'Lookup Tables'!$B$21:$B$24,0),0)
  + IFERROR(_xlfn.XLOOKUP(CA131,'Lookup Tables'!$D$21:$D$24,'Lookup Tables'!$E$21:$E$24,0),0)
  + _xlfn.IFS(ISNUMBER(CB131)*AND(CB131&gt;=11),15, ISNUMBER(CB131)*AND(CB131&gt;=6),10, ISNUMBER(CB131)*AND(CB131&gt;=1),5, TRUE,0)
  + IFERROR(_xlfn.XLOOKUP(CC131,'Lookup Tables'!$G$21:$G$25,'Lookup Tables'!$H$21:$H$25,0),0)
  - IF(ISNUMBER(BW131)*AND(ISNUMBER(BV131))*AND(BW131&gt;BV131), 20, 0)
  - IF(AND(BY131="Yes", ISNUMBER(BW131), BW131&gt;60), 10, 0)
))</f>
        <v/>
      </c>
      <c r="CF131" s="5" t="n"/>
      <c r="CG131" s="5" t="n"/>
      <c r="CH131" s="5" t="n"/>
      <c r="CI131" s="5" t="n"/>
      <c r="CJ131" s="5" t="n"/>
      <c r="CK131" s="5" t="n"/>
      <c r="CL131" s="5" t="n"/>
      <c r="CM131" s="5" t="n"/>
      <c r="CN131" s="5" t="n"/>
      <c r="CO131" s="5" t="n"/>
      <c r="CP131" s="5" t="n"/>
      <c r="CQ131" s="5" t="n"/>
      <c r="CR131" s="5">
        <f>COUNTIF(CJ131:CQ131,"FAIL")</f>
        <v/>
      </c>
      <c r="CS131" s="5">
        <f>COUNTIF(CJ131:CQ131,"PARTIAL")</f>
        <v/>
      </c>
      <c r="CT131" s="5">
        <f>COUNTIF(CJ131:CQ131,"MISSING")</f>
        <v/>
      </c>
      <c r="CU131" s="5">
        <f>MIN(100,
  CR131*15
  + CS131*6
  + CT131*3
  + IFERROR(_xlfn.XLOOKUP(CW131,'Lookup Tables'!$M$21:$M$25,'Lookup Tables'!$N$21:$N$25,0),0)
)</f>
        <v/>
      </c>
      <c r="CV131" s="5">
        <f>IFERROR(
CHOOSE(
MATCH("FAIL",CJ131:CQ131,0),
"1-Specificity","2-Metric","3-Baseline","4-Target",
"5-Time Horizon","6-Scope","7-Verification","8-Consistency"
),
IFERROR(
CHOOSE(
MATCH("PARTIAL",CJ131:CQ131,0),
"1-Specificity","2-Metric","3-Baseline","4-Target",
"5-Time Horizon","6-Scope","7-Verification","8-Consistency"
),
"No failures"
)
)</f>
        <v/>
      </c>
      <c r="CW131" s="5" t="n"/>
      <c r="CX131" s="5" t="n"/>
      <c r="CY131" s="5" t="n"/>
      <c r="CZ131" s="5" t="n"/>
      <c r="DA131" s="5">
        <f>IF(OR(CU131&gt;=50,CW131="Material",CW131="Severe",AS131="Material",AS131="Severe",BF131="Material",BF131="Severe — Exclusion Trigger",AND(ISNUMBER(BS131),BS131&lt;30)),"Yes","No")</f>
        <v/>
      </c>
      <c r="DB131" s="5">
        <f>IF(OR(CR131&gt;=6,AW131="Confirmed Violation",AX131="Confirmed Breach"),"Yes — Automatic",IF(CW131="Severe","Yes — Requires Captain Confirmation","No"))</f>
        <v/>
      </c>
      <c r="DC131" s="5" t="n"/>
      <c r="DD131" s="5" t="n"/>
      <c r="DE131" s="5" t="n"/>
      <c r="DF131" s="5" t="n"/>
      <c r="DG131" s="5" t="n"/>
      <c r="DH131" s="5" t="n"/>
      <c r="DI131" s="5" t="n"/>
      <c r="DJ131" s="5" t="n"/>
      <c r="DK131" s="5" t="n"/>
      <c r="DL131" s="5">
        <f>IF(OR(IFERROR(VALUE(LEFT(DF131,1)),99)&lt;=2,IFERROR(VALUE(LEFT(DG131,1)),99)&lt;=2),"Flagged","Clear")</f>
        <v/>
      </c>
      <c r="DM131" s="5">
        <f>IF(OR(DA131="Yes",DB131&lt;&gt;"No",DH131="Unverified",DL131="Flagged"),"Yes","No")</f>
        <v/>
      </c>
      <c r="DN131" s="5">
        <f t="array" ref="DN131">MIN(100,
  IF(ISNUMBER(V131), _xlfn.IFS(V131&gt;=3,25, V131=2,15, V131=1,5, TRUE,0), 0)
  + IFERROR(_xlfn.IFS(VALUE(LEFT(DF131,1))=5,25, VALUE(LEFT(DF131,1))=4,20, VALUE(LEFT(DF131,1))=3,15, VALUE(LEFT(DF131,1))=2,8, TRUE,0), 15)
  + IFERROR(_xlfn.IFS(VALUE(LEFT(DG131,1))=5,25, VALUE(LEFT(DG131,1))=4,20, VALUE(LEFT(DG131,1))=3,15, VALUE(LEFT(DG131,1))=2,8, TRUE,0), 15)
  + _xlfn.IFS(DH131="Fully Verified",25, DH131="Partially Verified",12, TRUE,0)
)</f>
        <v/>
      </c>
      <c r="DO131" s="5">
        <f t="array" ref="DO131">_xlfn.IFS(
  ISBLANK(AR131), "Insufficient Evidence",
  AND(AR131&gt;=65, AJ131="Approved"), "Strong",
  AR131&gt;=65, "Adequate",
  AR131&gt;=40, "Adequate",
  AR131&gt;=20, "Weak",
  TRUE, "Insufficient Evidence"
)</f>
        <v/>
      </c>
      <c r="DP131" s="5">
        <f t="array" ref="DP131">_xlfn.IFS(
  ISBLANK(BS131), "Insufficient Evidence",
  BS131&gt;=65, "Strong",
  BS131&gt;=40, "Adequate",
  BS131&gt;=20, "Weak",
  TRUE, "Insufficient Evidence"
)</f>
        <v/>
      </c>
      <c r="DQ131" s="5">
        <f t="array" ref="DQ131">_xlfn.IFS(
  ISBLANK(BE131), "Insufficient Evidence",
  OR(AW131="Confirmed Violation", AX131="Confirmed Breach"), "Severe — Hard Trigger",
  BE131&gt;=65, "Strong",
  BE131&gt;=40, "Adequate",
  BE131&gt;=20, "Weak",
  TRUE, "Insufficient Evidence"
)</f>
        <v/>
      </c>
      <c r="DR131" s="5">
        <f t="array" ref="DR131">_xlfn.IFS(
  ISBLANK(CU131), "Insufficient Evidence",
  CU131&lt;=20, "Low Risk",
  CU131&lt;=50, "Moderate Risk",
  CU131&lt;=75, "High Risk",
  TRUE, "Very High Risk"
)</f>
        <v/>
      </c>
      <c r="DS131" s="5">
        <f t="array" ref="DS131">_xlfn.IFS(
  ISBLANK(CE131), "Insufficient Evidence",
  AND(ISNUMBER(BW131),ISNUMBER(BV131),BW131&gt;BV131), "Overclaiming Risk",
  CE131&gt;=65, "Strong",
  CE131&gt;=40, "Adequate",
  TRUE, "Weak"
)</f>
        <v/>
      </c>
      <c r="DT131" s="5">
        <f>IF(DB131="Yes — Automatic",0,ROUND((IF(ISNUMBER(AR131),AR131,0)*0.3+IF(ISNUMBER(BS131),BS131,0)*0.2+IF(ISNUMBER(BE131),BE131,0)*0.2+IF(ISNUMBER(CE131),CE131,0)*0.15+(100-IF(ISNUMBER(CU131),CU131,50))*0.15)*IF(DN131&gt;=75,1,IF(DN131&gt;=50,0.9,IF(DN131&gt;=25,0.75,0.6))),1))</f>
        <v/>
      </c>
      <c r="DU131" s="5">
        <f t="array" ref="DU131">_xlfn.IFS(
  DV131="Upgraded to Clear", "Clear",
  DV131="Downgraded to Watchlist", "Watchlist",
  DV131="Downgraded to Exclusion", "Exclusion Risk",
  DB131="Yes — Automatic", "Exclusion Risk",
  OR(AW131="Confirmed Violation", AX131="Confirmed Breach"), "Exclusion Risk",
  OR(V131=0, ISBLANK(V131), DN131&lt;20), "Insufficient Evidence",
  AND(DT131&gt;=65, DA131="No", DB131="No"), "Clear",
  OR(DT131&gt;=40, DA131="Yes"), "Watchlist",
  TRUE, "Exclusion Risk"
)</f>
        <v/>
      </c>
      <c r="DV131" s="5" t="n"/>
      <c r="DW131" s="5">
        <f t="array" ref="DW131">_xlfn.IFS(
  DU131="Exclusion Risk", "Exclude — Hard Trigger",
  DU131="Insufficient Evidence", "Watchlist — Further Evidence Needed",
  DU131="Watchlist", "Watchlist — Further Evidence Needed",
  AND(DU131="Clear", DT131&gt;=80), "Include — No Conditions",
  DU131="Clear", "Include — Monitor",
  TRUE, "Watchlist — Further Evidence Needed"
)</f>
        <v/>
      </c>
      <c r="DX131" s="5" t="n"/>
      <c r="DY131" s="5" t="n"/>
      <c r="DZ131" s="5" t="n"/>
      <c r="EA131" s="5" t="n"/>
      <c r="EB131" s="5">
        <f>IF(OR(V131=0, ISBLANK(V131)), "MISSING — No sources reviewed", "")</f>
        <v/>
      </c>
      <c r="EC131" s="5">
        <f>IF(AND(NOT(ISBLANK(DC131)), ISBLANK(DE131)), "PAGE REF MISSING", "")</f>
        <v/>
      </c>
    </row>
    <row r="132" ht="18" customHeight="1" s="60">
      <c r="A132" s="5" t="inlineStr">
        <is>
          <t>VZ Holding AG</t>
        </is>
      </c>
      <c r="B132" s="5" t="inlineStr">
        <is>
          <t>IHJN</t>
        </is>
      </c>
      <c r="C132" s="5">
        <f>IF(ISBLANK('Universe Tracker'!D107),"",'Universe Tracker'!D107)</f>
        <v/>
      </c>
      <c r="D132" s="5" t="n"/>
      <c r="E132" s="5" t="n"/>
      <c r="F132" s="5">
        <f>IF(ISBLANK('Universe Tracker'!F107),"",'Universe Tracker'!F107)</f>
        <v/>
      </c>
      <c r="G132" s="5">
        <f>IF(ISBLANK('Universe Tracker'!G107),"",'Universe Tracker'!G107)</f>
        <v/>
      </c>
      <c r="H132" s="5" t="n"/>
      <c r="I132" s="5" t="n"/>
      <c r="J132" s="5">
        <f>IF(ISBLANK(B132),"",B132&amp;"_"&amp;C132)</f>
        <v/>
      </c>
      <c r="K132" s="5" t="n"/>
      <c r="L132" s="5" t="n"/>
      <c r="M132" s="5" t="n"/>
      <c r="N132" s="5" t="n"/>
      <c r="O132" s="5" t="n"/>
      <c r="P132" s="5" t="n"/>
      <c r="Q132" s="5" t="n"/>
      <c r="R132" s="5" t="n"/>
      <c r="S132" s="5" t="n"/>
      <c r="T132" s="5" t="n"/>
      <c r="U132" s="5" t="n"/>
      <c r="V132" s="5" t="n"/>
      <c r="W132" s="5" t="n"/>
      <c r="X132" s="5" t="n"/>
      <c r="Y132" s="5">
        <f>IF(AND(V132&gt;=2,K132="Yes",L132="Yes"),"Sufficient",IF(AND(V132&gt;=1,OR(K132="Yes",L132="Yes")),"Thin","Insufficient"))</f>
        <v/>
      </c>
      <c r="Z132" s="5" t="n"/>
      <c r="AA132" s="5" t="n"/>
      <c r="AB132" s="5" t="n"/>
      <c r="AC132" s="5" t="n"/>
      <c r="AD132" s="5" t="n"/>
      <c r="AE132" s="5" t="n"/>
      <c r="AF132" s="5" t="n"/>
      <c r="AG132" s="5" t="n"/>
      <c r="AH132" s="5" t="n"/>
      <c r="AI132" s="5" t="n"/>
      <c r="AJ132" s="5" t="n"/>
      <c r="AK132" s="5" t="n"/>
      <c r="AL132" s="5" t="n"/>
      <c r="AM132" s="5" t="n"/>
      <c r="AN132" s="5" t="n"/>
      <c r="AO132" s="5" t="n"/>
      <c r="AP132" s="5" t="n"/>
      <c r="AQ132" s="5" t="n"/>
      <c r="AR132" s="40">
        <f t="array" ref="AR132">MIN(100, MAX(0,
  IFERROR(_xlfn.XLOOKUP(AJ132,'Lookup Tables'!$A$2:$A$7,'Lookup Tables'!$B$2:$B$7,0),0)
  + IF(Z132="Yes", IF(IFERROR(_xlfn.XLOOKUP(AJ132,'Lookup Tables'!$A$2:$A$7,'Lookup Tables'!$B$2:$B$7,0),0)&lt;20, 5, 0), 0)
  + _xlfn.IFS(AB132="Yes", IF(ISNUMBER(AC132)*AND(AC132&lt;=2030),15,10), AB132="Long-term Only", 5, AB132="No", 0, TRUE, 0)
  + _xlfn.IFS(AF132="Full",10, AF132="Partial",5, AF132="Scope 2 Only",3, TRUE,0)
  + _xlfn.IFS(AG132="Yes", IF(ISNUMBER(AH132)*AND(AH132&gt;=5),10,6), AG132="Partial",4, TRUE,0)
  + _xlfn.IFS(AI132="Yes",5, AI132="Partial (material categories only)",3, TRUE,0)
  + _xlfn.IFS(AL132="Yes — Detailed",10, AL132="Yes — High Level",5, TRUE,0)
  + _xlfn.IFS(AM132="Yes — Quantified",15, AM132="Yes — Directional Only",7, TRUE,0)
  + _xlfn.IFS(AP132="Formal",5, AP132="Referenced",2, TRUE,0)
  + _xlfn.IFS(AQ132="No Issues Found",5, AQ132="Concern Identified",-5, AQ132="Severe Contradiction",-15, TRUE,0)
  + _xlfn.IFS(BC132="Reasonable Assurance",5, BC132="Limited Assurance",3, TRUE,0)
  - IF(AND(Z132="Yes", AI132="No"), 10, 0)
  - IF(AND(Z132="Yes", AM132="No"), 10, 0)
))</f>
        <v/>
      </c>
      <c r="AS132" s="5" t="n"/>
      <c r="AT132" s="5" t="n"/>
      <c r="AU132" s="5" t="n"/>
      <c r="AV132" s="5" t="n"/>
      <c r="AW132" s="5" t="n"/>
      <c r="AX132" s="5" t="n"/>
      <c r="AY132" s="5" t="n"/>
      <c r="AZ132" s="5" t="n"/>
      <c r="BA132" s="5" t="n"/>
      <c r="BB132" s="5" t="n"/>
      <c r="BC132" s="5" t="n"/>
      <c r="BD132" s="5" t="n"/>
      <c r="BE132" s="39">
        <f t="array" ref="BE132">MIN(100, MAX(0,
  IFERROR(_xlfn.XLOOKUP(AT132,'Lookup Tables'!$D$2:$D$6,'Lookup Tables'!$E$2:$E$6,0),0)
  + IFERROR(_xlfn.XLOOKUP(AV132,'Lookup Tables'!$G$2:$G$5,'Lookup Tables'!$H$2:$H$5,0),0)
  + IFERROR(_xlfn.XLOOKUP(AW132,'Lookup Tables'!$J$2:$J$5,'Lookup Tables'!$K$2:$K$5,0),0)
  + _xlfn.IFS(AX132="No Issues",10, AX132="Complaint Filed",3, AX132="Confirmed Breach",-15, TRUE,0)
  + IFERROR(_xlfn.XLOOKUP(AY132,'Lookup Tables'!$M$2:$M$6,'Lookup Tables'!$N$2:$N$6,0),0)
  + IFERROR(_xlfn.XLOOKUP(AZ132,'Lookup Tables'!$P$2:$P$6,'Lookup Tables'!$Q$2:$Q$6,0),0)
  + _xlfn.IFS(BA132="Formal Board Committee",5, BA132="Board Oversight Mentioned",2, TRUE,0)
  + _xlfn.IFS(BB132="Yes — Quantified Targets",5, BB132="Yes — Discretionary Only",2, TRUE,0)
  + _xlfn.IFS(BC132="Reasonable Assurance",5, BC132="Limited Assurance",3, BC132="Management Review Only",1, TRUE,0)
))</f>
        <v/>
      </c>
      <c r="BF132" s="5" t="n"/>
      <c r="BG132" s="5" t="n"/>
      <c r="BH132" s="5" t="n"/>
      <c r="BI132" s="5" t="n"/>
      <c r="BJ132" s="5" t="n"/>
      <c r="BK132" s="5" t="n"/>
      <c r="BL132" s="5" t="n"/>
      <c r="BM132" s="5" t="n"/>
      <c r="BN132" s="5" t="n"/>
      <c r="BO132" s="5" t="n"/>
      <c r="BP132" s="5" t="n"/>
      <c r="BQ132" s="5" t="n"/>
      <c r="BR132" s="5" t="n"/>
      <c r="BS132" s="41">
        <f t="array" ref="BS132">MIN(100, MAX(0,
  IFERROR(_xlfn.XLOOKUP(BG132,'Lookup Tables'!$A$11:$A$16,'Lookup Tables'!$B$11:$B$16,0),0)
  + IFERROR(_xlfn.XLOOKUP(BR132,'Lookup Tables'!$M$11:$M$14,'Lookup Tables'!$N$11:$N$14,0),0)
  + IFERROR(_xlfn.XLOOKUP(BQ132,'Lookup Tables'!$J$11:$J$15,'Lookup Tables'!$K$11:$K$15,0),0)
  + IFERROR(_xlfn.XLOOKUP(BH132,'Lookup Tables'!$D$11:$D$15,'Lookup Tables'!$E$11:$E$15,0),0)
  + IFERROR(_xlfn.XLOOKUP(BJ132,'Lookup Tables'!$G$11:$G$16,'Lookup Tables'!$H$11:$H$16,0),0)
  + IFERROR(_xlfn.XLOOKUP(BN132,'Lookup Tables'!$P$11:$P$15,'Lookup Tables'!$Q$11:$Q$15,0),0)
  + _xlfn.IFS(BM132="No Evidence",10, BM132="Unknown",3, BM132="Likely",0, BM132="Confirmed",-10, TRUE,3)
  + IFERROR(_xlfn.XLOOKUP(BP132,'Lookup Tables'!$J$21:$J$24,'Lookup Tables'!$K$21:$K$24,0),0)
))</f>
        <v/>
      </c>
      <c r="BT132" s="5" t="n"/>
      <c r="BU132" s="5" t="n"/>
      <c r="BV132" s="5" t="n"/>
      <c r="BW132" s="5" t="n"/>
      <c r="BX132" s="5" t="n"/>
      <c r="BY132" s="5" t="n"/>
      <c r="BZ132" s="5" t="n"/>
      <c r="CA132" s="5" t="n"/>
      <c r="CB132" s="5" t="n"/>
      <c r="CC132" s="5" t="n"/>
      <c r="CD132" s="5" t="n"/>
      <c r="CE132" s="43">
        <f t="array" ref="CE132">MIN(100, MAX(0,
  IF(ISNUMBER(BV132)*AND(BV132&gt;0), 10, 0)
  + _xlfn.IFS(BY132="Independently Verified",25, BY132="Yes",15, TRUE,0)
  + IFERROR(_xlfn.XLOOKUP(BZ132,'Lookup Tables'!$A$21:$A$24,'Lookup Tables'!$B$21:$B$24,0),0)
  + IFERROR(_xlfn.XLOOKUP(CA132,'Lookup Tables'!$D$21:$D$24,'Lookup Tables'!$E$21:$E$24,0),0)
  + _xlfn.IFS(ISNUMBER(CB132)*AND(CB132&gt;=11),15, ISNUMBER(CB132)*AND(CB132&gt;=6),10, ISNUMBER(CB132)*AND(CB132&gt;=1),5, TRUE,0)
  + IFERROR(_xlfn.XLOOKUP(CC132,'Lookup Tables'!$G$21:$G$25,'Lookup Tables'!$H$21:$H$25,0),0)
  - IF(ISNUMBER(BW132)*AND(ISNUMBER(BV132))*AND(BW132&gt;BV132), 20, 0)
  - IF(AND(BY132="Yes", ISNUMBER(BW132), BW132&gt;60), 10, 0)
))</f>
        <v/>
      </c>
      <c r="CF132" s="5" t="n"/>
      <c r="CG132" s="5" t="n"/>
      <c r="CH132" s="5" t="n"/>
      <c r="CI132" s="5" t="n"/>
      <c r="CJ132" s="5" t="n"/>
      <c r="CK132" s="5" t="n"/>
      <c r="CL132" s="5" t="n"/>
      <c r="CM132" s="5" t="n"/>
      <c r="CN132" s="5" t="n"/>
      <c r="CO132" s="5" t="n"/>
      <c r="CP132" s="5" t="n"/>
      <c r="CQ132" s="5" t="n"/>
      <c r="CR132" s="5">
        <f>COUNTIF(CJ132:CQ132,"FAIL")</f>
        <v/>
      </c>
      <c r="CS132" s="5">
        <f>COUNTIF(CJ132:CQ132,"PARTIAL")</f>
        <v/>
      </c>
      <c r="CT132" s="5">
        <f>COUNTIF(CJ132:CQ132,"MISSING")</f>
        <v/>
      </c>
      <c r="CU132" s="5">
        <f>MIN(100,
  CR132*15
  + CS132*6
  + CT132*3
  + IFERROR(_xlfn.XLOOKUP(CW132,'Lookup Tables'!$M$21:$M$25,'Lookup Tables'!$N$21:$N$25,0),0)
)</f>
        <v/>
      </c>
      <c r="CV132" s="5">
        <f>IFERROR(
CHOOSE(
MATCH("FAIL",CJ132:CQ132,0),
"1-Specificity","2-Metric","3-Baseline","4-Target",
"5-Time Horizon","6-Scope","7-Verification","8-Consistency"
),
IFERROR(
CHOOSE(
MATCH("PARTIAL",CJ132:CQ132,0),
"1-Specificity","2-Metric","3-Baseline","4-Target",
"5-Time Horizon","6-Scope","7-Verification","8-Consistency"
),
"No failures"
)
)</f>
        <v/>
      </c>
      <c r="CW132" s="5" t="n"/>
      <c r="CX132" s="5" t="n"/>
      <c r="CY132" s="5" t="n"/>
      <c r="CZ132" s="5" t="n"/>
      <c r="DA132" s="5">
        <f>IF(OR(CU132&gt;=50,CW132="Material",CW132="Severe",AS132="Material",AS132="Severe",BF132="Material",BF132="Severe — Exclusion Trigger",AND(ISNUMBER(BS132),BS132&lt;30)),"Yes","No")</f>
        <v/>
      </c>
      <c r="DB132" s="5">
        <f>IF(OR(CR132&gt;=6,AW132="Confirmed Violation",AX132="Confirmed Breach"),"Yes — Automatic",IF(CW132="Severe","Yes — Requires Captain Confirmation","No"))</f>
        <v/>
      </c>
      <c r="DC132" s="5" t="n"/>
      <c r="DD132" s="5" t="n"/>
      <c r="DE132" s="5" t="n"/>
      <c r="DF132" s="5" t="n"/>
      <c r="DG132" s="5" t="n"/>
      <c r="DH132" s="5" t="n"/>
      <c r="DI132" s="5" t="n"/>
      <c r="DJ132" s="5" t="n"/>
      <c r="DK132" s="5" t="n"/>
      <c r="DL132" s="5">
        <f>IF(OR(IFERROR(VALUE(LEFT(DF132,1)),99)&lt;=2,IFERROR(VALUE(LEFT(DG132,1)),99)&lt;=2),"Flagged","Clear")</f>
        <v/>
      </c>
      <c r="DM132" s="5">
        <f>IF(OR(DA132="Yes",DB132&lt;&gt;"No",DH132="Unverified",DL132="Flagged"),"Yes","No")</f>
        <v/>
      </c>
      <c r="DN132" s="5">
        <f t="array" ref="DN132">MIN(100,
  IF(ISNUMBER(V132), _xlfn.IFS(V132&gt;=3,25, V132=2,15, V132=1,5, TRUE,0), 0)
  + IFERROR(_xlfn.IFS(VALUE(LEFT(DF132,1))=5,25, VALUE(LEFT(DF132,1))=4,20, VALUE(LEFT(DF132,1))=3,15, VALUE(LEFT(DF132,1))=2,8, TRUE,0), 15)
  + IFERROR(_xlfn.IFS(VALUE(LEFT(DG132,1))=5,25, VALUE(LEFT(DG132,1))=4,20, VALUE(LEFT(DG132,1))=3,15, VALUE(LEFT(DG132,1))=2,8, TRUE,0), 15)
  + _xlfn.IFS(DH132="Fully Verified",25, DH132="Partially Verified",12, TRUE,0)
)</f>
        <v/>
      </c>
      <c r="DO132" s="5">
        <f t="array" ref="DO132">_xlfn.IFS(
  ISBLANK(AR132), "Insufficient Evidence",
  AND(AR132&gt;=65, AJ132="Approved"), "Strong",
  AR132&gt;=65, "Adequate",
  AR132&gt;=40, "Adequate",
  AR132&gt;=20, "Weak",
  TRUE, "Insufficient Evidence"
)</f>
        <v/>
      </c>
      <c r="DP132" s="5">
        <f t="array" ref="DP132">_xlfn.IFS(
  ISBLANK(BS132), "Insufficient Evidence",
  BS132&gt;=65, "Strong",
  BS132&gt;=40, "Adequate",
  BS132&gt;=20, "Weak",
  TRUE, "Insufficient Evidence"
)</f>
        <v/>
      </c>
      <c r="DQ132" s="5">
        <f t="array" ref="DQ132">_xlfn.IFS(
  ISBLANK(BE132), "Insufficient Evidence",
  OR(AW132="Confirmed Violation", AX132="Confirmed Breach"), "Severe — Hard Trigger",
  BE132&gt;=65, "Strong",
  BE132&gt;=40, "Adequate",
  BE132&gt;=20, "Weak",
  TRUE, "Insufficient Evidence"
)</f>
        <v/>
      </c>
      <c r="DR132" s="5">
        <f t="array" ref="DR132">_xlfn.IFS(
  ISBLANK(CU132), "Insufficient Evidence",
  CU132&lt;=20, "Low Risk",
  CU132&lt;=50, "Moderate Risk",
  CU132&lt;=75, "High Risk",
  TRUE, "Very High Risk"
)</f>
        <v/>
      </c>
      <c r="DS132" s="5">
        <f t="array" ref="DS132">_xlfn.IFS(
  ISBLANK(CE132), "Insufficient Evidence",
  AND(ISNUMBER(BW132),ISNUMBER(BV132),BW132&gt;BV132), "Overclaiming Risk",
  CE132&gt;=65, "Strong",
  CE132&gt;=40, "Adequate",
  TRUE, "Weak"
)</f>
        <v/>
      </c>
      <c r="DT132" s="5">
        <f>IF(DB132="Yes — Automatic",0,ROUND((IF(ISNUMBER(AR132),AR132,0)*0.3+IF(ISNUMBER(BS132),BS132,0)*0.2+IF(ISNUMBER(BE132),BE132,0)*0.2+IF(ISNUMBER(CE132),CE132,0)*0.15+(100-IF(ISNUMBER(CU132),CU132,50))*0.15)*IF(DN132&gt;=75,1,IF(DN132&gt;=50,0.9,IF(DN132&gt;=25,0.75,0.6))),1))</f>
        <v/>
      </c>
      <c r="DU132" s="5">
        <f t="array" ref="DU132">_xlfn.IFS(
  DV132="Upgraded to Clear", "Clear",
  DV132="Downgraded to Watchlist", "Watchlist",
  DV132="Downgraded to Exclusion", "Exclusion Risk",
  DB132="Yes — Automatic", "Exclusion Risk",
  OR(AW132="Confirmed Violation", AX132="Confirmed Breach"), "Exclusion Risk",
  OR(V132=0, ISBLANK(V132), DN132&lt;20), "Insufficient Evidence",
  AND(DT132&gt;=65, DA132="No", DB132="No"), "Clear",
  OR(DT132&gt;=40, DA132="Yes"), "Watchlist",
  TRUE, "Exclusion Risk"
)</f>
        <v/>
      </c>
      <c r="DV132" s="5" t="n"/>
      <c r="DW132" s="5">
        <f t="array" ref="DW132">_xlfn.IFS(
  DU132="Exclusion Risk", "Exclude — Hard Trigger",
  DU132="Insufficient Evidence", "Watchlist — Further Evidence Needed",
  DU132="Watchlist", "Watchlist — Further Evidence Needed",
  AND(DU132="Clear", DT132&gt;=80), "Include — No Conditions",
  DU132="Clear", "Include — Monitor",
  TRUE, "Watchlist — Further Evidence Needed"
)</f>
        <v/>
      </c>
      <c r="DX132" s="5" t="n"/>
      <c r="DY132" s="5" t="n"/>
      <c r="DZ132" s="5" t="n"/>
      <c r="EA132" s="5" t="n"/>
      <c r="EB132" s="5">
        <f>IF(OR(V132=0, ISBLANK(V132)), "MISSING — No sources reviewed", "")</f>
        <v/>
      </c>
      <c r="EC132" s="5">
        <f>IF(AND(NOT(ISBLANK(DC132)), ISBLANK(DE132)), "PAGE REF MISSING", "")</f>
        <v/>
      </c>
    </row>
    <row r="133" ht="18" customHeight="1" s="60">
      <c r="A133" s="5" t="inlineStr">
        <is>
          <t>UBS Group AG</t>
        </is>
      </c>
      <c r="B133" s="5" t="inlineStr">
        <is>
          <t>0UB</t>
        </is>
      </c>
      <c r="C133" s="5">
        <f>IF(ISBLANK('Universe Tracker'!D108),"",'Universe Tracker'!D108)</f>
        <v/>
      </c>
      <c r="D133" s="5" t="n"/>
      <c r="E133" s="5" t="n"/>
      <c r="F133" s="5">
        <f>IF(ISBLANK('Universe Tracker'!F108),"",'Universe Tracker'!F108)</f>
        <v/>
      </c>
      <c r="G133" s="5">
        <f>IF(ISBLANK('Universe Tracker'!G108),"",'Universe Tracker'!G108)</f>
        <v/>
      </c>
      <c r="H133" s="5" t="n"/>
      <c r="I133" s="5" t="n"/>
      <c r="J133" s="5">
        <f>IF(ISBLANK(B133),"",B133&amp;"_"&amp;C133)</f>
        <v/>
      </c>
      <c r="K133" s="5" t="n"/>
      <c r="L133" s="5" t="n"/>
      <c r="M133" s="5" t="n"/>
      <c r="N133" s="5" t="n"/>
      <c r="O133" s="5" t="n"/>
      <c r="P133" s="5" t="n"/>
      <c r="Q133" s="5" t="n"/>
      <c r="R133" s="5" t="n"/>
      <c r="S133" s="5" t="n"/>
      <c r="T133" s="5" t="n"/>
      <c r="U133" s="5" t="n"/>
      <c r="V133" s="5" t="n"/>
      <c r="W133" s="5" t="n"/>
      <c r="X133" s="5" t="n"/>
      <c r="Y133" s="5">
        <f>IF(AND(V133&gt;=2,K133="Yes",L133="Yes"),"Sufficient",IF(AND(V133&gt;=1,OR(K133="Yes",L133="Yes")),"Thin","Insufficient"))</f>
        <v/>
      </c>
      <c r="Z133" s="5" t="n"/>
      <c r="AA133" s="5" t="n"/>
      <c r="AB133" s="5" t="n"/>
      <c r="AC133" s="5" t="n"/>
      <c r="AD133" s="5" t="n"/>
      <c r="AE133" s="5" t="n"/>
      <c r="AF133" s="5" t="n"/>
      <c r="AG133" s="5" t="n"/>
      <c r="AH133" s="5" t="n"/>
      <c r="AI133" s="5" t="n"/>
      <c r="AJ133" s="5" t="n"/>
      <c r="AK133" s="5" t="n"/>
      <c r="AL133" s="5" t="n"/>
      <c r="AM133" s="5" t="n"/>
      <c r="AN133" s="5" t="n"/>
      <c r="AO133" s="5" t="n"/>
      <c r="AP133" s="5" t="n"/>
      <c r="AQ133" s="5" t="n"/>
      <c r="AR133" s="40">
        <f t="array" ref="AR133">MIN(100, MAX(0,
  IFERROR(_xlfn.XLOOKUP(AJ133,'Lookup Tables'!$A$2:$A$7,'Lookup Tables'!$B$2:$B$7,0),0)
  + IF(Z133="Yes", IF(IFERROR(_xlfn.XLOOKUP(AJ133,'Lookup Tables'!$A$2:$A$7,'Lookup Tables'!$B$2:$B$7,0),0)&lt;20, 5, 0), 0)
  + _xlfn.IFS(AB133="Yes", IF(ISNUMBER(AC133)*AND(AC133&lt;=2030),15,10), AB133="Long-term Only", 5, AB133="No", 0, TRUE, 0)
  + _xlfn.IFS(AF133="Full",10, AF133="Partial",5, AF133="Scope 2 Only",3, TRUE,0)
  + _xlfn.IFS(AG133="Yes", IF(ISNUMBER(AH133)*AND(AH133&gt;=5),10,6), AG133="Partial",4, TRUE,0)
  + _xlfn.IFS(AI133="Yes",5, AI133="Partial (material categories only)",3, TRUE,0)
  + _xlfn.IFS(AL133="Yes — Detailed",10, AL133="Yes — High Level",5, TRUE,0)
  + _xlfn.IFS(AM133="Yes — Quantified",15, AM133="Yes — Directional Only",7, TRUE,0)
  + _xlfn.IFS(AP133="Formal",5, AP133="Referenced",2, TRUE,0)
  + _xlfn.IFS(AQ133="No Issues Found",5, AQ133="Concern Identified",-5, AQ133="Severe Contradiction",-15, TRUE,0)
  + _xlfn.IFS(BC133="Reasonable Assurance",5, BC133="Limited Assurance",3, TRUE,0)
  - IF(AND(Z133="Yes", AI133="No"), 10, 0)
  - IF(AND(Z133="Yes", AM133="No"), 10, 0)
))</f>
        <v/>
      </c>
      <c r="AS133" s="5" t="n"/>
      <c r="AT133" s="5" t="n"/>
      <c r="AU133" s="5" t="n"/>
      <c r="AV133" s="5" t="n"/>
      <c r="AW133" s="5" t="n"/>
      <c r="AX133" s="5" t="n"/>
      <c r="AY133" s="5" t="n"/>
      <c r="AZ133" s="5" t="n"/>
      <c r="BA133" s="5" t="n"/>
      <c r="BB133" s="5" t="n"/>
      <c r="BC133" s="5" t="n"/>
      <c r="BD133" s="5" t="n"/>
      <c r="BE133" s="39">
        <f t="array" ref="BE133">MIN(100, MAX(0,
  IFERROR(_xlfn.XLOOKUP(AT133,'Lookup Tables'!$D$2:$D$6,'Lookup Tables'!$E$2:$E$6,0),0)
  + IFERROR(_xlfn.XLOOKUP(AV133,'Lookup Tables'!$G$2:$G$5,'Lookup Tables'!$H$2:$H$5,0),0)
  + IFERROR(_xlfn.XLOOKUP(AW133,'Lookup Tables'!$J$2:$J$5,'Lookup Tables'!$K$2:$K$5,0),0)
  + _xlfn.IFS(AX133="No Issues",10, AX133="Complaint Filed",3, AX133="Confirmed Breach",-15, TRUE,0)
  + IFERROR(_xlfn.XLOOKUP(AY133,'Lookup Tables'!$M$2:$M$6,'Lookup Tables'!$N$2:$N$6,0),0)
  + IFERROR(_xlfn.XLOOKUP(AZ133,'Lookup Tables'!$P$2:$P$6,'Lookup Tables'!$Q$2:$Q$6,0),0)
  + _xlfn.IFS(BA133="Formal Board Committee",5, BA133="Board Oversight Mentioned",2, TRUE,0)
  + _xlfn.IFS(BB133="Yes — Quantified Targets",5, BB133="Yes — Discretionary Only",2, TRUE,0)
  + _xlfn.IFS(BC133="Reasonable Assurance",5, BC133="Limited Assurance",3, BC133="Management Review Only",1, TRUE,0)
))</f>
        <v/>
      </c>
      <c r="BF133" s="5" t="n"/>
      <c r="BG133" s="5" t="n"/>
      <c r="BH133" s="5" t="n"/>
      <c r="BI133" s="5" t="n"/>
      <c r="BJ133" s="5" t="n"/>
      <c r="BK133" s="5" t="n"/>
      <c r="BL133" s="5" t="n"/>
      <c r="BM133" s="5" t="n"/>
      <c r="BN133" s="5" t="n"/>
      <c r="BO133" s="5" t="n"/>
      <c r="BP133" s="5" t="n"/>
      <c r="BQ133" s="5" t="n"/>
      <c r="BR133" s="5" t="n"/>
      <c r="BS133" s="41">
        <f t="array" ref="BS133">MIN(100, MAX(0,
  IFERROR(_xlfn.XLOOKUP(BG133,'Lookup Tables'!$A$11:$A$16,'Lookup Tables'!$B$11:$B$16,0),0)
  + IFERROR(_xlfn.XLOOKUP(BR133,'Lookup Tables'!$M$11:$M$14,'Lookup Tables'!$N$11:$N$14,0),0)
  + IFERROR(_xlfn.XLOOKUP(BQ133,'Lookup Tables'!$J$11:$J$15,'Lookup Tables'!$K$11:$K$15,0),0)
  + IFERROR(_xlfn.XLOOKUP(BH133,'Lookup Tables'!$D$11:$D$15,'Lookup Tables'!$E$11:$E$15,0),0)
  + IFERROR(_xlfn.XLOOKUP(BJ133,'Lookup Tables'!$G$11:$G$16,'Lookup Tables'!$H$11:$H$16,0),0)
  + IFERROR(_xlfn.XLOOKUP(BN133,'Lookup Tables'!$P$11:$P$15,'Lookup Tables'!$Q$11:$Q$15,0),0)
  + _xlfn.IFS(BM133="No Evidence",10, BM133="Unknown",3, BM133="Likely",0, BM133="Confirmed",-10, TRUE,3)
  + IFERROR(_xlfn.XLOOKUP(BP133,'Lookup Tables'!$J$21:$J$24,'Lookup Tables'!$K$21:$K$24,0),0)
))</f>
        <v/>
      </c>
      <c r="BT133" s="5" t="n"/>
      <c r="BU133" s="5" t="n"/>
      <c r="BV133" s="5" t="n"/>
      <c r="BW133" s="5" t="n"/>
      <c r="BX133" s="5" t="n"/>
      <c r="BY133" s="5" t="n"/>
      <c r="BZ133" s="5" t="n"/>
      <c r="CA133" s="5" t="n"/>
      <c r="CB133" s="5" t="n"/>
      <c r="CC133" s="5" t="n"/>
      <c r="CD133" s="5" t="n"/>
      <c r="CE133" s="43">
        <f t="array" ref="CE133">MIN(100, MAX(0,
  IF(ISNUMBER(BV133)*AND(BV133&gt;0), 10, 0)
  + _xlfn.IFS(BY133="Independently Verified",25, BY133="Yes",15, TRUE,0)
  + IFERROR(_xlfn.XLOOKUP(BZ133,'Lookup Tables'!$A$21:$A$24,'Lookup Tables'!$B$21:$B$24,0),0)
  + IFERROR(_xlfn.XLOOKUP(CA133,'Lookup Tables'!$D$21:$D$24,'Lookup Tables'!$E$21:$E$24,0),0)
  + _xlfn.IFS(ISNUMBER(CB133)*AND(CB133&gt;=11),15, ISNUMBER(CB133)*AND(CB133&gt;=6),10, ISNUMBER(CB133)*AND(CB133&gt;=1),5, TRUE,0)
  + IFERROR(_xlfn.XLOOKUP(CC133,'Lookup Tables'!$G$21:$G$25,'Lookup Tables'!$H$21:$H$25,0),0)
  - IF(ISNUMBER(BW133)*AND(ISNUMBER(BV133))*AND(BW133&gt;BV133), 20, 0)
  - IF(AND(BY133="Yes", ISNUMBER(BW133), BW133&gt;60), 10, 0)
))</f>
        <v/>
      </c>
      <c r="CF133" s="5" t="n"/>
      <c r="CG133" s="5" t="n"/>
      <c r="CH133" s="5" t="n"/>
      <c r="CI133" s="5" t="n"/>
      <c r="CJ133" s="5" t="n"/>
      <c r="CK133" s="5" t="n"/>
      <c r="CL133" s="5" t="n"/>
      <c r="CM133" s="5" t="n"/>
      <c r="CN133" s="5" t="n"/>
      <c r="CO133" s="5" t="n"/>
      <c r="CP133" s="5" t="n"/>
      <c r="CQ133" s="5" t="n"/>
      <c r="CR133" s="5">
        <f>COUNTIF(CJ133:CQ133,"FAIL")</f>
        <v/>
      </c>
      <c r="CS133" s="5">
        <f>COUNTIF(CJ133:CQ133,"PARTIAL")</f>
        <v/>
      </c>
      <c r="CT133" s="5">
        <f>COUNTIF(CJ133:CQ133,"MISSING")</f>
        <v/>
      </c>
      <c r="CU133" s="5">
        <f>MIN(100,
  CR133*15
  + CS133*6
  + CT133*3
  + IFERROR(_xlfn.XLOOKUP(CW133,'Lookup Tables'!$M$21:$M$25,'Lookup Tables'!$N$21:$N$25,0),0)
)</f>
        <v/>
      </c>
      <c r="CV133" s="5">
        <f>IFERROR(
CHOOSE(
MATCH("FAIL",CJ133:CQ133,0),
"1-Specificity","2-Metric","3-Baseline","4-Target",
"5-Time Horizon","6-Scope","7-Verification","8-Consistency"
),
IFERROR(
CHOOSE(
MATCH("PARTIAL",CJ133:CQ133,0),
"1-Specificity","2-Metric","3-Baseline","4-Target",
"5-Time Horizon","6-Scope","7-Verification","8-Consistency"
),
"No failures"
)
)</f>
        <v/>
      </c>
      <c r="CW133" s="5" t="n"/>
      <c r="CX133" s="5" t="n"/>
      <c r="CY133" s="5" t="n"/>
      <c r="CZ133" s="5" t="n"/>
      <c r="DA133" s="5">
        <f>IF(OR(CU133&gt;=50,CW133="Material",CW133="Severe",AS133="Material",AS133="Severe",BF133="Material",BF133="Severe — Exclusion Trigger",AND(ISNUMBER(BS133),BS133&lt;30)),"Yes","No")</f>
        <v/>
      </c>
      <c r="DB133" s="5">
        <f>IF(OR(CR133&gt;=6,AW133="Confirmed Violation",AX133="Confirmed Breach"),"Yes — Automatic",IF(CW133="Severe","Yes — Requires Captain Confirmation","No"))</f>
        <v/>
      </c>
      <c r="DC133" s="5" t="n"/>
      <c r="DD133" s="5" t="n"/>
      <c r="DE133" s="5" t="n"/>
      <c r="DF133" s="5" t="n"/>
      <c r="DG133" s="5" t="n"/>
      <c r="DH133" s="5" t="n"/>
      <c r="DI133" s="5" t="n"/>
      <c r="DJ133" s="5" t="n"/>
      <c r="DK133" s="5" t="n"/>
      <c r="DL133" s="5">
        <f>IF(OR(IFERROR(VALUE(LEFT(DF133,1)),99)&lt;=2,IFERROR(VALUE(LEFT(DG133,1)),99)&lt;=2),"Flagged","Clear")</f>
        <v/>
      </c>
      <c r="DM133" s="5">
        <f>IF(OR(DA133="Yes",DB133&lt;&gt;"No",DH133="Unverified",DL133="Flagged"),"Yes","No")</f>
        <v/>
      </c>
      <c r="DN133" s="5">
        <f t="array" ref="DN133">MIN(100,
  IF(ISNUMBER(V133), _xlfn.IFS(V133&gt;=3,25, V133=2,15, V133=1,5, TRUE,0), 0)
  + IFERROR(_xlfn.IFS(VALUE(LEFT(DF133,1))=5,25, VALUE(LEFT(DF133,1))=4,20, VALUE(LEFT(DF133,1))=3,15, VALUE(LEFT(DF133,1))=2,8, TRUE,0), 15)
  + IFERROR(_xlfn.IFS(VALUE(LEFT(DG133,1))=5,25, VALUE(LEFT(DG133,1))=4,20, VALUE(LEFT(DG133,1))=3,15, VALUE(LEFT(DG133,1))=2,8, TRUE,0), 15)
  + _xlfn.IFS(DH133="Fully Verified",25, DH133="Partially Verified",12, TRUE,0)
)</f>
        <v/>
      </c>
      <c r="DO133" s="5">
        <f t="array" ref="DO133">_xlfn.IFS(
  ISBLANK(AR133), "Insufficient Evidence",
  AND(AR133&gt;=65, AJ133="Approved"), "Strong",
  AR133&gt;=65, "Adequate",
  AR133&gt;=40, "Adequate",
  AR133&gt;=20, "Weak",
  TRUE, "Insufficient Evidence"
)</f>
        <v/>
      </c>
      <c r="DP133" s="5">
        <f t="array" ref="DP133">_xlfn.IFS(
  ISBLANK(BS133), "Insufficient Evidence",
  BS133&gt;=65, "Strong",
  BS133&gt;=40, "Adequate",
  BS133&gt;=20, "Weak",
  TRUE, "Insufficient Evidence"
)</f>
        <v/>
      </c>
      <c r="DQ133" s="5">
        <f t="array" ref="DQ133">_xlfn.IFS(
  ISBLANK(BE133), "Insufficient Evidence",
  OR(AW133="Confirmed Violation", AX133="Confirmed Breach"), "Severe — Hard Trigger",
  BE133&gt;=65, "Strong",
  BE133&gt;=40, "Adequate",
  BE133&gt;=20, "Weak",
  TRUE, "Insufficient Evidence"
)</f>
        <v/>
      </c>
      <c r="DR133" s="5">
        <f t="array" ref="DR133">_xlfn.IFS(
  ISBLANK(CU133), "Insufficient Evidence",
  CU133&lt;=20, "Low Risk",
  CU133&lt;=50, "Moderate Risk",
  CU133&lt;=75, "High Risk",
  TRUE, "Very High Risk"
)</f>
        <v/>
      </c>
      <c r="DS133" s="5">
        <f t="array" ref="DS133">_xlfn.IFS(
  ISBLANK(CE133), "Insufficient Evidence",
  AND(ISNUMBER(BW133),ISNUMBER(BV133),BW133&gt;BV133), "Overclaiming Risk",
  CE133&gt;=65, "Strong",
  CE133&gt;=40, "Adequate",
  TRUE, "Weak"
)</f>
        <v/>
      </c>
      <c r="DT133" s="5">
        <f>IF(DB133="Yes — Automatic",0,ROUND((IF(ISNUMBER(AR133),AR133,0)*0.3+IF(ISNUMBER(BS133),BS133,0)*0.2+IF(ISNUMBER(BE133),BE133,0)*0.2+IF(ISNUMBER(CE133),CE133,0)*0.15+(100-IF(ISNUMBER(CU133),CU133,50))*0.15)*IF(DN133&gt;=75,1,IF(DN133&gt;=50,0.9,IF(DN133&gt;=25,0.75,0.6))),1))</f>
        <v/>
      </c>
      <c r="DU133" s="5">
        <f t="array" ref="DU133">_xlfn.IFS(
  DV133="Upgraded to Clear", "Clear",
  DV133="Downgraded to Watchlist", "Watchlist",
  DV133="Downgraded to Exclusion", "Exclusion Risk",
  DB133="Yes — Automatic", "Exclusion Risk",
  OR(AW133="Confirmed Violation", AX133="Confirmed Breach"), "Exclusion Risk",
  OR(V133=0, ISBLANK(V133), DN133&lt;20), "Insufficient Evidence",
  AND(DT133&gt;=65, DA133="No", DB133="No"), "Clear",
  OR(DT133&gt;=40, DA133="Yes"), "Watchlist",
  TRUE, "Exclusion Risk"
)</f>
        <v/>
      </c>
      <c r="DV133" s="5" t="n"/>
      <c r="DW133" s="5">
        <f t="array" ref="DW133">_xlfn.IFS(
  DU133="Exclusion Risk", "Exclude — Hard Trigger",
  DU133="Insufficient Evidence", "Watchlist — Further Evidence Needed",
  DU133="Watchlist", "Watchlist — Further Evidence Needed",
  AND(DU133="Clear", DT133&gt;=80), "Include — No Conditions",
  DU133="Clear", "Include — Monitor",
  TRUE, "Watchlist — Further Evidence Needed"
)</f>
        <v/>
      </c>
      <c r="DX133" s="5" t="n"/>
      <c r="DY133" s="5" t="n"/>
      <c r="DZ133" s="5" t="n"/>
      <c r="EA133" s="5" t="n"/>
      <c r="EB133" s="5">
        <f>IF(OR(V133=0, ISBLANK(V133)), "MISSING — No sources reviewed", "")</f>
        <v/>
      </c>
      <c r="EC133" s="5">
        <f>IF(AND(NOT(ISBLANK(DC133)), ISBLANK(DE133)), "PAGE REF MISSING", "")</f>
        <v/>
      </c>
    </row>
    <row r="134" ht="18" customHeight="1" s="60">
      <c r="A134" s="5" t="inlineStr">
        <is>
          <t>Antofagasta PLC</t>
        </is>
      </c>
      <c r="B134" s="5" t="inlineStr">
        <is>
          <t>FG1</t>
        </is>
      </c>
      <c r="C134" s="5">
        <f>IF(ISBLANK('Universe Tracker'!D109),"",'Universe Tracker'!D109)</f>
        <v/>
      </c>
      <c r="D134" s="5" t="n"/>
      <c r="E134" s="5" t="n"/>
      <c r="F134" s="5">
        <f>IF(ISBLANK('Universe Tracker'!F109),"",'Universe Tracker'!F109)</f>
        <v/>
      </c>
      <c r="G134" s="5">
        <f>IF(ISBLANK('Universe Tracker'!G109),"",'Universe Tracker'!G109)</f>
        <v/>
      </c>
      <c r="H134" s="5" t="n"/>
      <c r="I134" s="5" t="n"/>
      <c r="J134" s="5">
        <f>IF(ISBLANK(B134),"",B134&amp;"_"&amp;C134)</f>
        <v/>
      </c>
      <c r="K134" s="5" t="n"/>
      <c r="L134" s="5" t="n"/>
      <c r="M134" s="5" t="n"/>
      <c r="N134" s="5" t="n"/>
      <c r="O134" s="5" t="n"/>
      <c r="P134" s="5" t="n"/>
      <c r="Q134" s="5" t="n"/>
      <c r="R134" s="5" t="n"/>
      <c r="S134" s="5" t="n"/>
      <c r="T134" s="5" t="n"/>
      <c r="U134" s="5" t="n"/>
      <c r="V134" s="5" t="n"/>
      <c r="W134" s="5" t="n"/>
      <c r="X134" s="5" t="n"/>
      <c r="Y134" s="5">
        <f>IF(AND(V134&gt;=2,K134="Yes",L134="Yes"),"Sufficient",IF(AND(V134&gt;=1,OR(K134="Yes",L134="Yes")),"Thin","Insufficient"))</f>
        <v/>
      </c>
      <c r="Z134" s="5" t="n"/>
      <c r="AA134" s="5" t="n"/>
      <c r="AB134" s="5" t="n"/>
      <c r="AC134" s="5" t="n"/>
      <c r="AD134" s="5" t="n"/>
      <c r="AE134" s="5" t="n"/>
      <c r="AF134" s="5" t="n"/>
      <c r="AG134" s="5" t="n"/>
      <c r="AH134" s="5" t="n"/>
      <c r="AI134" s="5" t="n"/>
      <c r="AJ134" s="5" t="n"/>
      <c r="AK134" s="5" t="n"/>
      <c r="AL134" s="5" t="n"/>
      <c r="AM134" s="5" t="n"/>
      <c r="AN134" s="5" t="n"/>
      <c r="AO134" s="5" t="n"/>
      <c r="AP134" s="5" t="n"/>
      <c r="AQ134" s="5" t="n"/>
      <c r="AR134" s="40">
        <f t="array" ref="AR134">MIN(100, MAX(0,
  IFERROR(_xlfn.XLOOKUP(AJ134,'Lookup Tables'!$A$2:$A$7,'Lookup Tables'!$B$2:$B$7,0),0)
  + IF(Z134="Yes", IF(IFERROR(_xlfn.XLOOKUP(AJ134,'Lookup Tables'!$A$2:$A$7,'Lookup Tables'!$B$2:$B$7,0),0)&lt;20, 5, 0), 0)
  + _xlfn.IFS(AB134="Yes", IF(ISNUMBER(AC134)*AND(AC134&lt;=2030),15,10), AB134="Long-term Only", 5, AB134="No", 0, TRUE, 0)
  + _xlfn.IFS(AF134="Full",10, AF134="Partial",5, AF134="Scope 2 Only",3, TRUE,0)
  + _xlfn.IFS(AG134="Yes", IF(ISNUMBER(AH134)*AND(AH134&gt;=5),10,6), AG134="Partial",4, TRUE,0)
  + _xlfn.IFS(AI134="Yes",5, AI134="Partial (material categories only)",3, TRUE,0)
  + _xlfn.IFS(AL134="Yes — Detailed",10, AL134="Yes — High Level",5, TRUE,0)
  + _xlfn.IFS(AM134="Yes — Quantified",15, AM134="Yes — Directional Only",7, TRUE,0)
  + _xlfn.IFS(AP134="Formal",5, AP134="Referenced",2, TRUE,0)
  + _xlfn.IFS(AQ134="No Issues Found",5, AQ134="Concern Identified",-5, AQ134="Severe Contradiction",-15, TRUE,0)
  + _xlfn.IFS(BC134="Reasonable Assurance",5, BC134="Limited Assurance",3, TRUE,0)
  - IF(AND(Z134="Yes", AI134="No"), 10, 0)
  - IF(AND(Z134="Yes", AM134="No"), 10, 0)
))</f>
        <v/>
      </c>
      <c r="AS134" s="5" t="n"/>
      <c r="AT134" s="5" t="n"/>
      <c r="AU134" s="5" t="n"/>
      <c r="AV134" s="5" t="n"/>
      <c r="AW134" s="5" t="n"/>
      <c r="AX134" s="5" t="n"/>
      <c r="AY134" s="5" t="n"/>
      <c r="AZ134" s="5" t="n"/>
      <c r="BA134" s="5" t="n"/>
      <c r="BB134" s="5" t="n"/>
      <c r="BC134" s="5" t="n"/>
      <c r="BD134" s="5" t="n"/>
      <c r="BE134" s="39">
        <f t="array" ref="BE134">MIN(100, MAX(0,
  IFERROR(_xlfn.XLOOKUP(AT134,'Lookup Tables'!$D$2:$D$6,'Lookup Tables'!$E$2:$E$6,0),0)
  + IFERROR(_xlfn.XLOOKUP(AV134,'Lookup Tables'!$G$2:$G$5,'Lookup Tables'!$H$2:$H$5,0),0)
  + IFERROR(_xlfn.XLOOKUP(AW134,'Lookup Tables'!$J$2:$J$5,'Lookup Tables'!$K$2:$K$5,0),0)
  + _xlfn.IFS(AX134="No Issues",10, AX134="Complaint Filed",3, AX134="Confirmed Breach",-15, TRUE,0)
  + IFERROR(_xlfn.XLOOKUP(AY134,'Lookup Tables'!$M$2:$M$6,'Lookup Tables'!$N$2:$N$6,0),0)
  + IFERROR(_xlfn.XLOOKUP(AZ134,'Lookup Tables'!$P$2:$P$6,'Lookup Tables'!$Q$2:$Q$6,0),0)
  + _xlfn.IFS(BA134="Formal Board Committee",5, BA134="Board Oversight Mentioned",2, TRUE,0)
  + _xlfn.IFS(BB134="Yes — Quantified Targets",5, BB134="Yes — Discretionary Only",2, TRUE,0)
  + _xlfn.IFS(BC134="Reasonable Assurance",5, BC134="Limited Assurance",3, BC134="Management Review Only",1, TRUE,0)
))</f>
        <v/>
      </c>
      <c r="BF134" s="5" t="n"/>
      <c r="BG134" s="5" t="n"/>
      <c r="BH134" s="5" t="n"/>
      <c r="BI134" s="5" t="n"/>
      <c r="BJ134" s="5" t="n"/>
      <c r="BK134" s="5" t="n"/>
      <c r="BL134" s="5" t="n"/>
      <c r="BM134" s="5" t="n"/>
      <c r="BN134" s="5" t="n"/>
      <c r="BO134" s="5" t="n"/>
      <c r="BP134" s="5" t="n"/>
      <c r="BQ134" s="5" t="n"/>
      <c r="BR134" s="5" t="n"/>
      <c r="BS134" s="41">
        <f t="array" ref="BS134">MIN(100, MAX(0,
  IFERROR(_xlfn.XLOOKUP(BG134,'Lookup Tables'!$A$11:$A$16,'Lookup Tables'!$B$11:$B$16,0),0)
  + IFERROR(_xlfn.XLOOKUP(BR134,'Lookup Tables'!$M$11:$M$14,'Lookup Tables'!$N$11:$N$14,0),0)
  + IFERROR(_xlfn.XLOOKUP(BQ134,'Lookup Tables'!$J$11:$J$15,'Lookup Tables'!$K$11:$K$15,0),0)
  + IFERROR(_xlfn.XLOOKUP(BH134,'Lookup Tables'!$D$11:$D$15,'Lookup Tables'!$E$11:$E$15,0),0)
  + IFERROR(_xlfn.XLOOKUP(BJ134,'Lookup Tables'!$G$11:$G$16,'Lookup Tables'!$H$11:$H$16,0),0)
  + IFERROR(_xlfn.XLOOKUP(BN134,'Lookup Tables'!$P$11:$P$15,'Lookup Tables'!$Q$11:$Q$15,0),0)
  + _xlfn.IFS(BM134="No Evidence",10, BM134="Unknown",3, BM134="Likely",0, BM134="Confirmed",-10, TRUE,3)
  + IFERROR(_xlfn.XLOOKUP(BP134,'Lookup Tables'!$J$21:$J$24,'Lookup Tables'!$K$21:$K$24,0),0)
))</f>
        <v/>
      </c>
      <c r="BT134" s="5" t="n"/>
      <c r="BU134" s="5" t="n"/>
      <c r="BV134" s="5" t="n"/>
      <c r="BW134" s="5" t="n"/>
      <c r="BX134" s="5" t="n"/>
      <c r="BY134" s="5" t="n"/>
      <c r="BZ134" s="5" t="n"/>
      <c r="CA134" s="5" t="n"/>
      <c r="CB134" s="5" t="n"/>
      <c r="CC134" s="5" t="n"/>
      <c r="CD134" s="5" t="n"/>
      <c r="CE134" s="43">
        <f t="array" ref="CE134">MIN(100, MAX(0,
  IF(ISNUMBER(BV134)*AND(BV134&gt;0), 10, 0)
  + _xlfn.IFS(BY134="Independently Verified",25, BY134="Yes",15, TRUE,0)
  + IFERROR(_xlfn.XLOOKUP(BZ134,'Lookup Tables'!$A$21:$A$24,'Lookup Tables'!$B$21:$B$24,0),0)
  + IFERROR(_xlfn.XLOOKUP(CA134,'Lookup Tables'!$D$21:$D$24,'Lookup Tables'!$E$21:$E$24,0),0)
  + _xlfn.IFS(ISNUMBER(CB134)*AND(CB134&gt;=11),15, ISNUMBER(CB134)*AND(CB134&gt;=6),10, ISNUMBER(CB134)*AND(CB134&gt;=1),5, TRUE,0)
  + IFERROR(_xlfn.XLOOKUP(CC134,'Lookup Tables'!$G$21:$G$25,'Lookup Tables'!$H$21:$H$25,0),0)
  - IF(ISNUMBER(BW134)*AND(ISNUMBER(BV134))*AND(BW134&gt;BV134), 20, 0)
  - IF(AND(BY134="Yes", ISNUMBER(BW134), BW134&gt;60), 10, 0)
))</f>
        <v/>
      </c>
      <c r="CF134" s="5" t="n"/>
      <c r="CG134" s="5" t="n"/>
      <c r="CH134" s="5" t="n"/>
      <c r="CI134" s="5" t="n"/>
      <c r="CJ134" s="5" t="n"/>
      <c r="CK134" s="5" t="n"/>
      <c r="CL134" s="5" t="n"/>
      <c r="CM134" s="5" t="n"/>
      <c r="CN134" s="5" t="n"/>
      <c r="CO134" s="5" t="n"/>
      <c r="CP134" s="5" t="n"/>
      <c r="CQ134" s="5" t="n"/>
      <c r="CR134" s="5">
        <f>COUNTIF(CJ134:CQ134,"FAIL")</f>
        <v/>
      </c>
      <c r="CS134" s="5">
        <f>COUNTIF(CJ134:CQ134,"PARTIAL")</f>
        <v/>
      </c>
      <c r="CT134" s="5">
        <f>COUNTIF(CJ134:CQ134,"MISSING")</f>
        <v/>
      </c>
      <c r="CU134" s="5">
        <f>MIN(100,
  CR134*15
  + CS134*6
  + CT134*3
  + IFERROR(_xlfn.XLOOKUP(CW134,'Lookup Tables'!$M$21:$M$25,'Lookup Tables'!$N$21:$N$25,0),0)
)</f>
        <v/>
      </c>
      <c r="CV134" s="5">
        <f>IFERROR(
CHOOSE(
MATCH("FAIL",CJ134:CQ134,0),
"1-Specificity","2-Metric","3-Baseline","4-Target",
"5-Time Horizon","6-Scope","7-Verification","8-Consistency"
),
IFERROR(
CHOOSE(
MATCH("PARTIAL",CJ134:CQ134,0),
"1-Specificity","2-Metric","3-Baseline","4-Target",
"5-Time Horizon","6-Scope","7-Verification","8-Consistency"
),
"No failures"
)
)</f>
        <v/>
      </c>
      <c r="CW134" s="5" t="n"/>
      <c r="CX134" s="5" t="n"/>
      <c r="CY134" s="5" t="n"/>
      <c r="CZ134" s="5" t="n"/>
      <c r="DA134" s="5">
        <f>IF(OR(CU134&gt;=50,CW134="Material",CW134="Severe",AS134="Material",AS134="Severe",BF134="Material",BF134="Severe — Exclusion Trigger",AND(ISNUMBER(BS134),BS134&lt;30)),"Yes","No")</f>
        <v/>
      </c>
      <c r="DB134" s="5">
        <f>IF(OR(CR134&gt;=6,AW134="Confirmed Violation",AX134="Confirmed Breach"),"Yes — Automatic",IF(CW134="Severe","Yes — Requires Captain Confirmation","No"))</f>
        <v/>
      </c>
      <c r="DC134" s="5" t="n"/>
      <c r="DD134" s="5" t="n"/>
      <c r="DE134" s="5" t="n"/>
      <c r="DF134" s="5" t="n"/>
      <c r="DG134" s="5" t="n"/>
      <c r="DH134" s="5" t="n"/>
      <c r="DI134" s="5" t="n"/>
      <c r="DJ134" s="5" t="n"/>
      <c r="DK134" s="5" t="n"/>
      <c r="DL134" s="5">
        <f>IF(OR(IFERROR(VALUE(LEFT(DF134,1)),99)&lt;=2,IFERROR(VALUE(LEFT(DG134,1)),99)&lt;=2),"Flagged","Clear")</f>
        <v/>
      </c>
      <c r="DM134" s="5">
        <f>IF(OR(DA134="Yes",DB134&lt;&gt;"No",DH134="Unverified",DL134="Flagged"),"Yes","No")</f>
        <v/>
      </c>
      <c r="DN134" s="5">
        <f t="array" ref="DN134">MIN(100,
  IF(ISNUMBER(V134), _xlfn.IFS(V134&gt;=3,25, V134=2,15, V134=1,5, TRUE,0), 0)
  + IFERROR(_xlfn.IFS(VALUE(LEFT(DF134,1))=5,25, VALUE(LEFT(DF134,1))=4,20, VALUE(LEFT(DF134,1))=3,15, VALUE(LEFT(DF134,1))=2,8, TRUE,0), 15)
  + IFERROR(_xlfn.IFS(VALUE(LEFT(DG134,1))=5,25, VALUE(LEFT(DG134,1))=4,20, VALUE(LEFT(DG134,1))=3,15, VALUE(LEFT(DG134,1))=2,8, TRUE,0), 15)
  + _xlfn.IFS(DH134="Fully Verified",25, DH134="Partially Verified",12, TRUE,0)
)</f>
        <v/>
      </c>
      <c r="DO134" s="5">
        <f t="array" ref="DO134">_xlfn.IFS(
  ISBLANK(AR134), "Insufficient Evidence",
  AND(AR134&gt;=65, AJ134="Approved"), "Strong",
  AR134&gt;=65, "Adequate",
  AR134&gt;=40, "Adequate",
  AR134&gt;=20, "Weak",
  TRUE, "Insufficient Evidence"
)</f>
        <v/>
      </c>
      <c r="DP134" s="5">
        <f t="array" ref="DP134">_xlfn.IFS(
  ISBLANK(BS134), "Insufficient Evidence",
  BS134&gt;=65, "Strong",
  BS134&gt;=40, "Adequate",
  BS134&gt;=20, "Weak",
  TRUE, "Insufficient Evidence"
)</f>
        <v/>
      </c>
      <c r="DQ134" s="5">
        <f t="array" ref="DQ134">_xlfn.IFS(
  ISBLANK(BE134), "Insufficient Evidence",
  OR(AW134="Confirmed Violation", AX134="Confirmed Breach"), "Severe — Hard Trigger",
  BE134&gt;=65, "Strong",
  BE134&gt;=40, "Adequate",
  BE134&gt;=20, "Weak",
  TRUE, "Insufficient Evidence"
)</f>
        <v/>
      </c>
      <c r="DR134" s="5">
        <f t="array" ref="DR134">_xlfn.IFS(
  ISBLANK(CU134), "Insufficient Evidence",
  CU134&lt;=20, "Low Risk",
  CU134&lt;=50, "Moderate Risk",
  CU134&lt;=75, "High Risk",
  TRUE, "Very High Risk"
)</f>
        <v/>
      </c>
      <c r="DS134" s="5">
        <f t="array" ref="DS134">_xlfn.IFS(
  ISBLANK(CE134), "Insufficient Evidence",
  AND(ISNUMBER(BW134),ISNUMBER(BV134),BW134&gt;BV134), "Overclaiming Risk",
  CE134&gt;=65, "Strong",
  CE134&gt;=40, "Adequate",
  TRUE, "Weak"
)</f>
        <v/>
      </c>
      <c r="DT134" s="5">
        <f>IF(DB134="Yes — Automatic",0,ROUND((IF(ISNUMBER(AR134),AR134,0)*0.3+IF(ISNUMBER(BS134),BS134,0)*0.2+IF(ISNUMBER(BE134),BE134,0)*0.2+IF(ISNUMBER(CE134),CE134,0)*0.15+(100-IF(ISNUMBER(CU134),CU134,50))*0.15)*IF(DN134&gt;=75,1,IF(DN134&gt;=50,0.9,IF(DN134&gt;=25,0.75,0.6))),1))</f>
        <v/>
      </c>
      <c r="DU134" s="5">
        <f t="array" ref="DU134">_xlfn.IFS(
  DV134="Upgraded to Clear", "Clear",
  DV134="Downgraded to Watchlist", "Watchlist",
  DV134="Downgraded to Exclusion", "Exclusion Risk",
  DB134="Yes — Automatic", "Exclusion Risk",
  OR(AW134="Confirmed Violation", AX134="Confirmed Breach"), "Exclusion Risk",
  OR(V134=0, ISBLANK(V134), DN134&lt;20), "Insufficient Evidence",
  AND(DT134&gt;=65, DA134="No", DB134="No"), "Clear",
  OR(DT134&gt;=40, DA134="Yes"), "Watchlist",
  TRUE, "Exclusion Risk"
)</f>
        <v/>
      </c>
      <c r="DV134" s="5" t="n"/>
      <c r="DW134" s="5">
        <f t="array" ref="DW134">_xlfn.IFS(
  DU134="Exclusion Risk", "Exclude — Hard Trigger",
  DU134="Insufficient Evidence", "Watchlist — Further Evidence Needed",
  DU134="Watchlist", "Watchlist — Further Evidence Needed",
  AND(DU134="Clear", DT134&gt;=80), "Include — No Conditions",
  DU134="Clear", "Include — Monitor",
  TRUE, "Watchlist — Further Evidence Needed"
)</f>
        <v/>
      </c>
      <c r="DX134" s="5" t="n"/>
      <c r="DY134" s="5" t="n"/>
      <c r="DZ134" s="5" t="n"/>
      <c r="EA134" s="5" t="n"/>
      <c r="EB134" s="5">
        <f>IF(OR(V134=0, ISBLANK(V134)), "MISSING — No sources reviewed", "")</f>
        <v/>
      </c>
      <c r="EC134" s="5">
        <f>IF(AND(NOT(ISBLANK(DC134)), ISBLANK(DE134)), "PAGE REF MISSING", "")</f>
        <v/>
      </c>
    </row>
    <row r="135" ht="18" customHeight="1" s="60">
      <c r="A135" s="5" t="inlineStr">
        <is>
          <t>BKW AG</t>
        </is>
      </c>
      <c r="B135" s="5" t="inlineStr">
        <is>
          <t>B9W</t>
        </is>
      </c>
      <c r="C135" s="5">
        <f>IF(ISBLANK('Universe Tracker'!D110),"",'Universe Tracker'!D110)</f>
        <v/>
      </c>
      <c r="D135" s="5" t="n"/>
      <c r="E135" s="5" t="n"/>
      <c r="F135" s="5">
        <f>IF(ISBLANK('Universe Tracker'!F110),"",'Universe Tracker'!F110)</f>
        <v/>
      </c>
      <c r="G135" s="5">
        <f>IF(ISBLANK('Universe Tracker'!G110),"",'Universe Tracker'!G110)</f>
        <v/>
      </c>
      <c r="H135" s="5" t="n"/>
      <c r="I135" s="5" t="n"/>
      <c r="J135" s="5">
        <f>IF(ISBLANK(B135),"",B135&amp;"_"&amp;C135)</f>
        <v/>
      </c>
      <c r="K135" s="5" t="n"/>
      <c r="L135" s="5" t="n"/>
      <c r="M135" s="5" t="n"/>
      <c r="N135" s="5" t="n"/>
      <c r="O135" s="5" t="n"/>
      <c r="P135" s="5" t="n"/>
      <c r="Q135" s="5" t="n"/>
      <c r="R135" s="5" t="n"/>
      <c r="S135" s="5" t="n"/>
      <c r="T135" s="5" t="n"/>
      <c r="U135" s="5" t="n"/>
      <c r="V135" s="5" t="n"/>
      <c r="W135" s="5" t="n"/>
      <c r="X135" s="5" t="n"/>
      <c r="Y135" s="5">
        <f>IF(AND(V135&gt;=2,K135="Yes",L135="Yes"),"Sufficient",IF(AND(V135&gt;=1,OR(K135="Yes",L135="Yes")),"Thin","Insufficient"))</f>
        <v/>
      </c>
      <c r="Z135" s="5" t="n"/>
      <c r="AA135" s="5" t="n"/>
      <c r="AB135" s="5" t="n"/>
      <c r="AC135" s="5" t="n"/>
      <c r="AD135" s="5" t="n"/>
      <c r="AE135" s="5" t="n"/>
      <c r="AF135" s="5" t="n"/>
      <c r="AG135" s="5" t="n"/>
      <c r="AH135" s="5" t="n"/>
      <c r="AI135" s="5" t="n"/>
      <c r="AJ135" s="5" t="n"/>
      <c r="AK135" s="5" t="n"/>
      <c r="AL135" s="5" t="n"/>
      <c r="AM135" s="5" t="n"/>
      <c r="AN135" s="5" t="n"/>
      <c r="AO135" s="5" t="n"/>
      <c r="AP135" s="5" t="n"/>
      <c r="AQ135" s="5" t="n"/>
      <c r="AR135" s="40">
        <f t="array" ref="AR135">MIN(100, MAX(0,
  IFERROR(_xlfn.XLOOKUP(AJ135,'Lookup Tables'!$A$2:$A$7,'Lookup Tables'!$B$2:$B$7,0),0)
  + IF(Z135="Yes", IF(IFERROR(_xlfn.XLOOKUP(AJ135,'Lookup Tables'!$A$2:$A$7,'Lookup Tables'!$B$2:$B$7,0),0)&lt;20, 5, 0), 0)
  + _xlfn.IFS(AB135="Yes", IF(ISNUMBER(AC135)*AND(AC135&lt;=2030),15,10), AB135="Long-term Only", 5, AB135="No", 0, TRUE, 0)
  + _xlfn.IFS(AF135="Full",10, AF135="Partial",5, AF135="Scope 2 Only",3, TRUE,0)
  + _xlfn.IFS(AG135="Yes", IF(ISNUMBER(AH135)*AND(AH135&gt;=5),10,6), AG135="Partial",4, TRUE,0)
  + _xlfn.IFS(AI135="Yes",5, AI135="Partial (material categories only)",3, TRUE,0)
  + _xlfn.IFS(AL135="Yes — Detailed",10, AL135="Yes — High Level",5, TRUE,0)
  + _xlfn.IFS(AM135="Yes — Quantified",15, AM135="Yes — Directional Only",7, TRUE,0)
  + _xlfn.IFS(AP135="Formal",5, AP135="Referenced",2, TRUE,0)
  + _xlfn.IFS(AQ135="No Issues Found",5, AQ135="Concern Identified",-5, AQ135="Severe Contradiction",-15, TRUE,0)
  + _xlfn.IFS(BC135="Reasonable Assurance",5, BC135="Limited Assurance",3, TRUE,0)
  - IF(AND(Z135="Yes", AI135="No"), 10, 0)
  - IF(AND(Z135="Yes", AM135="No"), 10, 0)
))</f>
        <v/>
      </c>
      <c r="AS135" s="5" t="n"/>
      <c r="AT135" s="5" t="n"/>
      <c r="AU135" s="5" t="n"/>
      <c r="AV135" s="5" t="n"/>
      <c r="AW135" s="5" t="n"/>
      <c r="AX135" s="5" t="n"/>
      <c r="AY135" s="5" t="n"/>
      <c r="AZ135" s="5" t="n"/>
      <c r="BA135" s="5" t="n"/>
      <c r="BB135" s="5" t="n"/>
      <c r="BC135" s="5" t="n"/>
      <c r="BD135" s="5" t="n"/>
      <c r="BE135" s="39">
        <f t="array" ref="BE135">MIN(100, MAX(0,
  IFERROR(_xlfn.XLOOKUP(AT135,'Lookup Tables'!$D$2:$D$6,'Lookup Tables'!$E$2:$E$6,0),0)
  + IFERROR(_xlfn.XLOOKUP(AV135,'Lookup Tables'!$G$2:$G$5,'Lookup Tables'!$H$2:$H$5,0),0)
  + IFERROR(_xlfn.XLOOKUP(AW135,'Lookup Tables'!$J$2:$J$5,'Lookup Tables'!$K$2:$K$5,0),0)
  + _xlfn.IFS(AX135="No Issues",10, AX135="Complaint Filed",3, AX135="Confirmed Breach",-15, TRUE,0)
  + IFERROR(_xlfn.XLOOKUP(AY135,'Lookup Tables'!$M$2:$M$6,'Lookup Tables'!$N$2:$N$6,0),0)
  + IFERROR(_xlfn.XLOOKUP(AZ135,'Lookup Tables'!$P$2:$P$6,'Lookup Tables'!$Q$2:$Q$6,0),0)
  + _xlfn.IFS(BA135="Formal Board Committee",5, BA135="Board Oversight Mentioned",2, TRUE,0)
  + _xlfn.IFS(BB135="Yes — Quantified Targets",5, BB135="Yes — Discretionary Only",2, TRUE,0)
  + _xlfn.IFS(BC135="Reasonable Assurance",5, BC135="Limited Assurance",3, BC135="Management Review Only",1, TRUE,0)
))</f>
        <v/>
      </c>
      <c r="BF135" s="5" t="n"/>
      <c r="BG135" s="5" t="n"/>
      <c r="BH135" s="5" t="n"/>
      <c r="BI135" s="5" t="n"/>
      <c r="BJ135" s="5" t="n"/>
      <c r="BK135" s="5" t="n"/>
      <c r="BL135" s="5" t="n"/>
      <c r="BM135" s="5" t="n"/>
      <c r="BN135" s="5" t="n"/>
      <c r="BO135" s="5" t="n"/>
      <c r="BP135" s="5" t="n"/>
      <c r="BQ135" s="5" t="n"/>
      <c r="BR135" s="5" t="n"/>
      <c r="BS135" s="41">
        <f t="array" ref="BS135">MIN(100, MAX(0,
  IFERROR(_xlfn.XLOOKUP(BG135,'Lookup Tables'!$A$11:$A$16,'Lookup Tables'!$B$11:$B$16,0),0)
  + IFERROR(_xlfn.XLOOKUP(BR135,'Lookup Tables'!$M$11:$M$14,'Lookup Tables'!$N$11:$N$14,0),0)
  + IFERROR(_xlfn.XLOOKUP(BQ135,'Lookup Tables'!$J$11:$J$15,'Lookup Tables'!$K$11:$K$15,0),0)
  + IFERROR(_xlfn.XLOOKUP(BH135,'Lookup Tables'!$D$11:$D$15,'Lookup Tables'!$E$11:$E$15,0),0)
  + IFERROR(_xlfn.XLOOKUP(BJ135,'Lookup Tables'!$G$11:$G$16,'Lookup Tables'!$H$11:$H$16,0),0)
  + IFERROR(_xlfn.XLOOKUP(BN135,'Lookup Tables'!$P$11:$P$15,'Lookup Tables'!$Q$11:$Q$15,0),0)
  + _xlfn.IFS(BM135="No Evidence",10, BM135="Unknown",3, BM135="Likely",0, BM135="Confirmed",-10, TRUE,3)
  + IFERROR(_xlfn.XLOOKUP(BP135,'Lookup Tables'!$J$21:$J$24,'Lookup Tables'!$K$21:$K$24,0),0)
))</f>
        <v/>
      </c>
      <c r="BT135" s="5" t="n"/>
      <c r="BU135" s="5" t="n"/>
      <c r="BV135" s="5" t="n"/>
      <c r="BW135" s="5" t="n"/>
      <c r="BX135" s="5" t="n"/>
      <c r="BY135" s="5" t="n"/>
      <c r="BZ135" s="5" t="n"/>
      <c r="CA135" s="5" t="n"/>
      <c r="CB135" s="5" t="n"/>
      <c r="CC135" s="5" t="n"/>
      <c r="CD135" s="5" t="n"/>
      <c r="CE135" s="43">
        <f t="array" ref="CE135">MIN(100, MAX(0,
  IF(ISNUMBER(BV135)*AND(BV135&gt;0), 10, 0)
  + _xlfn.IFS(BY135="Independently Verified",25, BY135="Yes",15, TRUE,0)
  + IFERROR(_xlfn.XLOOKUP(BZ135,'Lookup Tables'!$A$21:$A$24,'Lookup Tables'!$B$21:$B$24,0),0)
  + IFERROR(_xlfn.XLOOKUP(CA135,'Lookup Tables'!$D$21:$D$24,'Lookup Tables'!$E$21:$E$24,0),0)
  + _xlfn.IFS(ISNUMBER(CB135)*AND(CB135&gt;=11),15, ISNUMBER(CB135)*AND(CB135&gt;=6),10, ISNUMBER(CB135)*AND(CB135&gt;=1),5, TRUE,0)
  + IFERROR(_xlfn.XLOOKUP(CC135,'Lookup Tables'!$G$21:$G$25,'Lookup Tables'!$H$21:$H$25,0),0)
  - IF(ISNUMBER(BW135)*AND(ISNUMBER(BV135))*AND(BW135&gt;BV135), 20, 0)
  - IF(AND(BY135="Yes", ISNUMBER(BW135), BW135&gt;60), 10, 0)
))</f>
        <v/>
      </c>
      <c r="CF135" s="5" t="n"/>
      <c r="CG135" s="5" t="n"/>
      <c r="CH135" s="5" t="n"/>
      <c r="CI135" s="5" t="n"/>
      <c r="CJ135" s="5" t="n"/>
      <c r="CK135" s="5" t="n"/>
      <c r="CL135" s="5" t="n"/>
      <c r="CM135" s="5" t="n"/>
      <c r="CN135" s="5" t="n"/>
      <c r="CO135" s="5" t="n"/>
      <c r="CP135" s="5" t="n"/>
      <c r="CQ135" s="5" t="n"/>
      <c r="CR135" s="5">
        <f>COUNTIF(CJ135:CQ135,"FAIL")</f>
        <v/>
      </c>
      <c r="CS135" s="5">
        <f>COUNTIF(CJ135:CQ135,"PARTIAL")</f>
        <v/>
      </c>
      <c r="CT135" s="5">
        <f>COUNTIF(CJ135:CQ135,"MISSING")</f>
        <v/>
      </c>
      <c r="CU135" s="5">
        <f>MIN(100,
  CR135*15
  + CS135*6
  + CT135*3
  + IFERROR(_xlfn.XLOOKUP(CW135,'Lookup Tables'!$M$21:$M$25,'Lookup Tables'!$N$21:$N$25,0),0)
)</f>
        <v/>
      </c>
      <c r="CV135" s="5">
        <f>IFERROR(
CHOOSE(
MATCH("FAIL",CJ135:CQ135,0),
"1-Specificity","2-Metric","3-Baseline","4-Target",
"5-Time Horizon","6-Scope","7-Verification","8-Consistency"
),
IFERROR(
CHOOSE(
MATCH("PARTIAL",CJ135:CQ135,0),
"1-Specificity","2-Metric","3-Baseline","4-Target",
"5-Time Horizon","6-Scope","7-Verification","8-Consistency"
),
"No failures"
)
)</f>
        <v/>
      </c>
      <c r="CW135" s="5" t="n"/>
      <c r="CX135" s="5" t="n"/>
      <c r="CY135" s="5" t="n"/>
      <c r="CZ135" s="5" t="n"/>
      <c r="DA135" s="5">
        <f>IF(OR(CU135&gt;=50,CW135="Material",CW135="Severe",AS135="Material",AS135="Severe",BF135="Material",BF135="Severe — Exclusion Trigger",AND(ISNUMBER(BS135),BS135&lt;30)),"Yes","No")</f>
        <v/>
      </c>
      <c r="DB135" s="5">
        <f>IF(OR(CR135&gt;=6,AW135="Confirmed Violation",AX135="Confirmed Breach"),"Yes — Automatic",IF(CW135="Severe","Yes — Requires Captain Confirmation","No"))</f>
        <v/>
      </c>
      <c r="DC135" s="5" t="n"/>
      <c r="DD135" s="5" t="n"/>
      <c r="DE135" s="5" t="n"/>
      <c r="DF135" s="5" t="n"/>
      <c r="DG135" s="5" t="n"/>
      <c r="DH135" s="5" t="n"/>
      <c r="DI135" s="5" t="n"/>
      <c r="DJ135" s="5" t="n"/>
      <c r="DK135" s="5" t="n"/>
      <c r="DL135" s="5">
        <f>IF(OR(IFERROR(VALUE(LEFT(DF135,1)),99)&lt;=2,IFERROR(VALUE(LEFT(DG135,1)),99)&lt;=2),"Flagged","Clear")</f>
        <v/>
      </c>
      <c r="DM135" s="5">
        <f>IF(OR(DA135="Yes",DB135&lt;&gt;"No",DH135="Unverified",DL135="Flagged"),"Yes","No")</f>
        <v/>
      </c>
      <c r="DN135" s="5">
        <f t="array" ref="DN135">MIN(100,
  IF(ISNUMBER(V135), _xlfn.IFS(V135&gt;=3,25, V135=2,15, V135=1,5, TRUE,0), 0)
  + IFERROR(_xlfn.IFS(VALUE(LEFT(DF135,1))=5,25, VALUE(LEFT(DF135,1))=4,20, VALUE(LEFT(DF135,1))=3,15, VALUE(LEFT(DF135,1))=2,8, TRUE,0), 15)
  + IFERROR(_xlfn.IFS(VALUE(LEFT(DG135,1))=5,25, VALUE(LEFT(DG135,1))=4,20, VALUE(LEFT(DG135,1))=3,15, VALUE(LEFT(DG135,1))=2,8, TRUE,0), 15)
  + _xlfn.IFS(DH135="Fully Verified",25, DH135="Partially Verified",12, TRUE,0)
)</f>
        <v/>
      </c>
      <c r="DO135" s="5">
        <f t="array" ref="DO135">_xlfn.IFS(
  ISBLANK(AR135), "Insufficient Evidence",
  AND(AR135&gt;=65, AJ135="Approved"), "Strong",
  AR135&gt;=65, "Adequate",
  AR135&gt;=40, "Adequate",
  AR135&gt;=20, "Weak",
  TRUE, "Insufficient Evidence"
)</f>
        <v/>
      </c>
      <c r="DP135" s="5">
        <f t="array" ref="DP135">_xlfn.IFS(
  ISBLANK(BS135), "Insufficient Evidence",
  BS135&gt;=65, "Strong",
  BS135&gt;=40, "Adequate",
  BS135&gt;=20, "Weak",
  TRUE, "Insufficient Evidence"
)</f>
        <v/>
      </c>
      <c r="DQ135" s="5">
        <f t="array" ref="DQ135">_xlfn.IFS(
  ISBLANK(BE135), "Insufficient Evidence",
  OR(AW135="Confirmed Violation", AX135="Confirmed Breach"), "Severe — Hard Trigger",
  BE135&gt;=65, "Strong",
  BE135&gt;=40, "Adequate",
  BE135&gt;=20, "Weak",
  TRUE, "Insufficient Evidence"
)</f>
        <v/>
      </c>
      <c r="DR135" s="5">
        <f t="array" ref="DR135">_xlfn.IFS(
  ISBLANK(CU135), "Insufficient Evidence",
  CU135&lt;=20, "Low Risk",
  CU135&lt;=50, "Moderate Risk",
  CU135&lt;=75, "High Risk",
  TRUE, "Very High Risk"
)</f>
        <v/>
      </c>
      <c r="DS135" s="5">
        <f t="array" ref="DS135">_xlfn.IFS(
  ISBLANK(CE135), "Insufficient Evidence",
  AND(ISNUMBER(BW135),ISNUMBER(BV135),BW135&gt;BV135), "Overclaiming Risk",
  CE135&gt;=65, "Strong",
  CE135&gt;=40, "Adequate",
  TRUE, "Weak"
)</f>
        <v/>
      </c>
      <c r="DT135" s="5">
        <f>IF(DB135="Yes — Automatic",0,ROUND((IF(ISNUMBER(AR135),AR135,0)*0.3+IF(ISNUMBER(BS135),BS135,0)*0.2+IF(ISNUMBER(BE135),BE135,0)*0.2+IF(ISNUMBER(CE135),CE135,0)*0.15+(100-IF(ISNUMBER(CU135),CU135,50))*0.15)*IF(DN135&gt;=75,1,IF(DN135&gt;=50,0.9,IF(DN135&gt;=25,0.75,0.6))),1))</f>
        <v/>
      </c>
      <c r="DU135" s="5">
        <f t="array" ref="DU135">_xlfn.IFS(
  DV135="Upgraded to Clear", "Clear",
  DV135="Downgraded to Watchlist", "Watchlist",
  DV135="Downgraded to Exclusion", "Exclusion Risk",
  DB135="Yes — Automatic", "Exclusion Risk",
  OR(AW135="Confirmed Violation", AX135="Confirmed Breach"), "Exclusion Risk",
  OR(V135=0, ISBLANK(V135), DN135&lt;20), "Insufficient Evidence",
  AND(DT135&gt;=65, DA135="No", DB135="No"), "Clear",
  OR(DT135&gt;=40, DA135="Yes"), "Watchlist",
  TRUE, "Exclusion Risk"
)</f>
        <v/>
      </c>
      <c r="DV135" s="5" t="n"/>
      <c r="DW135" s="5">
        <f t="array" ref="DW135">_xlfn.IFS(
  DU135="Exclusion Risk", "Exclude — Hard Trigger",
  DU135="Insufficient Evidence", "Watchlist — Further Evidence Needed",
  DU135="Watchlist", "Watchlist — Further Evidence Needed",
  AND(DU135="Clear", DT135&gt;=80), "Include — No Conditions",
  DU135="Clear", "Include — Monitor",
  TRUE, "Watchlist — Further Evidence Needed"
)</f>
        <v/>
      </c>
      <c r="DX135" s="5" t="n"/>
      <c r="DY135" s="5" t="n"/>
      <c r="DZ135" s="5" t="n"/>
      <c r="EA135" s="5" t="n"/>
      <c r="EB135" s="5">
        <f>IF(OR(V135=0, ISBLANK(V135)), "MISSING — No sources reviewed", "")</f>
        <v/>
      </c>
      <c r="EC135" s="5">
        <f>IF(AND(NOT(ISBLANK(DC135)), ISBLANK(DE135)), "PAGE REF MISSING", "")</f>
        <v/>
      </c>
    </row>
    <row r="136" ht="18" customHeight="1" s="60">
      <c r="A136" s="5" t="inlineStr">
        <is>
          <t>Jyske Bank A/S</t>
        </is>
      </c>
      <c r="B136" s="5" t="inlineStr">
        <is>
          <t>JYS1</t>
        </is>
      </c>
      <c r="C136" s="5">
        <f>IF(ISBLANK('Universe Tracker'!D111),"",'Universe Tracker'!D111)</f>
        <v/>
      </c>
      <c r="D136" s="5" t="n"/>
      <c r="E136" s="5" t="n"/>
      <c r="F136" s="5">
        <f>IF(ISBLANK('Universe Tracker'!F111),"",'Universe Tracker'!F111)</f>
        <v/>
      </c>
      <c r="G136" s="5">
        <f>IF(ISBLANK('Universe Tracker'!G111),"",'Universe Tracker'!G111)</f>
        <v/>
      </c>
      <c r="H136" s="5" t="n"/>
      <c r="I136" s="5" t="n"/>
      <c r="J136" s="5">
        <f>IF(ISBLANK(B136),"",B136&amp;"_"&amp;C136)</f>
        <v/>
      </c>
      <c r="K136" s="5" t="n"/>
      <c r="L136" s="5" t="n"/>
      <c r="M136" s="5" t="n"/>
      <c r="N136" s="5" t="n"/>
      <c r="O136" s="5" t="n"/>
      <c r="P136" s="5" t="n"/>
      <c r="Q136" s="5" t="n"/>
      <c r="R136" s="5" t="n"/>
      <c r="S136" s="5" t="n"/>
      <c r="T136" s="5" t="n"/>
      <c r="U136" s="5" t="n"/>
      <c r="V136" s="5" t="n"/>
      <c r="W136" s="5" t="n"/>
      <c r="X136" s="5" t="n"/>
      <c r="Y136" s="5">
        <f>IF(AND(V136&gt;=2,K136="Yes",L136="Yes"),"Sufficient",IF(AND(V136&gt;=1,OR(K136="Yes",L136="Yes")),"Thin","Insufficient"))</f>
        <v/>
      </c>
      <c r="Z136" s="5" t="n"/>
      <c r="AA136" s="5" t="n"/>
      <c r="AB136" s="5" t="n"/>
      <c r="AC136" s="5" t="n"/>
      <c r="AD136" s="5" t="n"/>
      <c r="AE136" s="5" t="n"/>
      <c r="AF136" s="5" t="n"/>
      <c r="AG136" s="5" t="n"/>
      <c r="AH136" s="5" t="n"/>
      <c r="AI136" s="5" t="n"/>
      <c r="AJ136" s="5" t="n"/>
      <c r="AK136" s="5" t="n"/>
      <c r="AL136" s="5" t="n"/>
      <c r="AM136" s="5" t="n"/>
      <c r="AN136" s="5" t="n"/>
      <c r="AO136" s="5" t="n"/>
      <c r="AP136" s="5" t="n"/>
      <c r="AQ136" s="5" t="n"/>
      <c r="AR136" s="40">
        <f t="array" ref="AR136">MIN(100, MAX(0,
  IFERROR(_xlfn.XLOOKUP(AJ136,'Lookup Tables'!$A$2:$A$7,'Lookup Tables'!$B$2:$B$7,0),0)
  + IF(Z136="Yes", IF(IFERROR(_xlfn.XLOOKUP(AJ136,'Lookup Tables'!$A$2:$A$7,'Lookup Tables'!$B$2:$B$7,0),0)&lt;20, 5, 0), 0)
  + _xlfn.IFS(AB136="Yes", IF(ISNUMBER(AC136)*AND(AC136&lt;=2030),15,10), AB136="Long-term Only", 5, AB136="No", 0, TRUE, 0)
  + _xlfn.IFS(AF136="Full",10, AF136="Partial",5, AF136="Scope 2 Only",3, TRUE,0)
  + _xlfn.IFS(AG136="Yes", IF(ISNUMBER(AH136)*AND(AH136&gt;=5),10,6), AG136="Partial",4, TRUE,0)
  + _xlfn.IFS(AI136="Yes",5, AI136="Partial (material categories only)",3, TRUE,0)
  + _xlfn.IFS(AL136="Yes — Detailed",10, AL136="Yes — High Level",5, TRUE,0)
  + _xlfn.IFS(AM136="Yes — Quantified",15, AM136="Yes — Directional Only",7, TRUE,0)
  + _xlfn.IFS(AP136="Formal",5, AP136="Referenced",2, TRUE,0)
  + _xlfn.IFS(AQ136="No Issues Found",5, AQ136="Concern Identified",-5, AQ136="Severe Contradiction",-15, TRUE,0)
  + _xlfn.IFS(BC136="Reasonable Assurance",5, BC136="Limited Assurance",3, TRUE,0)
  - IF(AND(Z136="Yes", AI136="No"), 10, 0)
  - IF(AND(Z136="Yes", AM136="No"), 10, 0)
))</f>
        <v/>
      </c>
      <c r="AS136" s="5" t="n"/>
      <c r="AT136" s="5" t="n"/>
      <c r="AU136" s="5" t="n"/>
      <c r="AV136" s="5" t="n"/>
      <c r="AW136" s="5" t="n"/>
      <c r="AX136" s="5" t="n"/>
      <c r="AY136" s="5" t="n"/>
      <c r="AZ136" s="5" t="n"/>
      <c r="BA136" s="5" t="n"/>
      <c r="BB136" s="5" t="n"/>
      <c r="BC136" s="5" t="n"/>
      <c r="BD136" s="5" t="n"/>
      <c r="BE136" s="39">
        <f t="array" ref="BE136">MIN(100, MAX(0,
  IFERROR(_xlfn.XLOOKUP(AT136,'Lookup Tables'!$D$2:$D$6,'Lookup Tables'!$E$2:$E$6,0),0)
  + IFERROR(_xlfn.XLOOKUP(AV136,'Lookup Tables'!$G$2:$G$5,'Lookup Tables'!$H$2:$H$5,0),0)
  + IFERROR(_xlfn.XLOOKUP(AW136,'Lookup Tables'!$J$2:$J$5,'Lookup Tables'!$K$2:$K$5,0),0)
  + _xlfn.IFS(AX136="No Issues",10, AX136="Complaint Filed",3, AX136="Confirmed Breach",-15, TRUE,0)
  + IFERROR(_xlfn.XLOOKUP(AY136,'Lookup Tables'!$M$2:$M$6,'Lookup Tables'!$N$2:$N$6,0),0)
  + IFERROR(_xlfn.XLOOKUP(AZ136,'Lookup Tables'!$P$2:$P$6,'Lookup Tables'!$Q$2:$Q$6,0),0)
  + _xlfn.IFS(BA136="Formal Board Committee",5, BA136="Board Oversight Mentioned",2, TRUE,0)
  + _xlfn.IFS(BB136="Yes — Quantified Targets",5, BB136="Yes — Discretionary Only",2, TRUE,0)
  + _xlfn.IFS(BC136="Reasonable Assurance",5, BC136="Limited Assurance",3, BC136="Management Review Only",1, TRUE,0)
))</f>
        <v/>
      </c>
      <c r="BF136" s="5" t="n"/>
      <c r="BG136" s="5" t="n"/>
      <c r="BH136" s="5" t="n"/>
      <c r="BI136" s="5" t="n"/>
      <c r="BJ136" s="5" t="n"/>
      <c r="BK136" s="5" t="n"/>
      <c r="BL136" s="5" t="n"/>
      <c r="BM136" s="5" t="n"/>
      <c r="BN136" s="5" t="n"/>
      <c r="BO136" s="5" t="n"/>
      <c r="BP136" s="5" t="n"/>
      <c r="BQ136" s="5" t="n"/>
      <c r="BR136" s="5" t="n"/>
      <c r="BS136" s="41">
        <f t="array" ref="BS136">MIN(100, MAX(0,
  IFERROR(_xlfn.XLOOKUP(BG136,'Lookup Tables'!$A$11:$A$16,'Lookup Tables'!$B$11:$B$16,0),0)
  + IFERROR(_xlfn.XLOOKUP(BR136,'Lookup Tables'!$M$11:$M$14,'Lookup Tables'!$N$11:$N$14,0),0)
  + IFERROR(_xlfn.XLOOKUP(BQ136,'Lookup Tables'!$J$11:$J$15,'Lookup Tables'!$K$11:$K$15,0),0)
  + IFERROR(_xlfn.XLOOKUP(BH136,'Lookup Tables'!$D$11:$D$15,'Lookup Tables'!$E$11:$E$15,0),0)
  + IFERROR(_xlfn.XLOOKUP(BJ136,'Lookup Tables'!$G$11:$G$16,'Lookup Tables'!$H$11:$H$16,0),0)
  + IFERROR(_xlfn.XLOOKUP(BN136,'Lookup Tables'!$P$11:$P$15,'Lookup Tables'!$Q$11:$Q$15,0),0)
  + _xlfn.IFS(BM136="No Evidence",10, BM136="Unknown",3, BM136="Likely",0, BM136="Confirmed",-10, TRUE,3)
  + IFERROR(_xlfn.XLOOKUP(BP136,'Lookup Tables'!$J$21:$J$24,'Lookup Tables'!$K$21:$K$24,0),0)
))</f>
        <v/>
      </c>
      <c r="BT136" s="5" t="n"/>
      <c r="BU136" s="5" t="n"/>
      <c r="BV136" s="5" t="n"/>
      <c r="BW136" s="5" t="n"/>
      <c r="BX136" s="5" t="n"/>
      <c r="BY136" s="5" t="n"/>
      <c r="BZ136" s="5" t="n"/>
      <c r="CA136" s="5" t="n"/>
      <c r="CB136" s="5" t="n"/>
      <c r="CC136" s="5" t="n"/>
      <c r="CD136" s="5" t="n"/>
      <c r="CE136" s="43">
        <f t="array" ref="CE136">MIN(100, MAX(0,
  IF(ISNUMBER(BV136)*AND(BV136&gt;0), 10, 0)
  + _xlfn.IFS(BY136="Independently Verified",25, BY136="Yes",15, TRUE,0)
  + IFERROR(_xlfn.XLOOKUP(BZ136,'Lookup Tables'!$A$21:$A$24,'Lookup Tables'!$B$21:$B$24,0),0)
  + IFERROR(_xlfn.XLOOKUP(CA136,'Lookup Tables'!$D$21:$D$24,'Lookup Tables'!$E$21:$E$24,0),0)
  + _xlfn.IFS(ISNUMBER(CB136)*AND(CB136&gt;=11),15, ISNUMBER(CB136)*AND(CB136&gt;=6),10, ISNUMBER(CB136)*AND(CB136&gt;=1),5, TRUE,0)
  + IFERROR(_xlfn.XLOOKUP(CC136,'Lookup Tables'!$G$21:$G$25,'Lookup Tables'!$H$21:$H$25,0),0)
  - IF(ISNUMBER(BW136)*AND(ISNUMBER(BV136))*AND(BW136&gt;BV136), 20, 0)
  - IF(AND(BY136="Yes", ISNUMBER(BW136), BW136&gt;60), 10, 0)
))</f>
        <v/>
      </c>
      <c r="CF136" s="5" t="n"/>
      <c r="CG136" s="5" t="n"/>
      <c r="CH136" s="5" t="n"/>
      <c r="CI136" s="5" t="n"/>
      <c r="CJ136" s="5" t="n"/>
      <c r="CK136" s="5" t="n"/>
      <c r="CL136" s="5" t="n"/>
      <c r="CM136" s="5" t="n"/>
      <c r="CN136" s="5" t="n"/>
      <c r="CO136" s="5" t="n"/>
      <c r="CP136" s="5" t="n"/>
      <c r="CQ136" s="5" t="n"/>
      <c r="CR136" s="5">
        <f>COUNTIF(CJ136:CQ136,"FAIL")</f>
        <v/>
      </c>
      <c r="CS136" s="5">
        <f>COUNTIF(CJ136:CQ136,"PARTIAL")</f>
        <v/>
      </c>
      <c r="CT136" s="5">
        <f>COUNTIF(CJ136:CQ136,"MISSING")</f>
        <v/>
      </c>
      <c r="CU136" s="5">
        <f>MIN(100,
  CR136*15
  + CS136*6
  + CT136*3
  + IFERROR(_xlfn.XLOOKUP(CW136,'Lookup Tables'!$M$21:$M$25,'Lookup Tables'!$N$21:$N$25,0),0)
)</f>
        <v/>
      </c>
      <c r="CV136" s="5">
        <f>IFERROR(
CHOOSE(
MATCH("FAIL",CJ136:CQ136,0),
"1-Specificity","2-Metric","3-Baseline","4-Target",
"5-Time Horizon","6-Scope","7-Verification","8-Consistency"
),
IFERROR(
CHOOSE(
MATCH("PARTIAL",CJ136:CQ136,0),
"1-Specificity","2-Metric","3-Baseline","4-Target",
"5-Time Horizon","6-Scope","7-Verification","8-Consistency"
),
"No failures"
)
)</f>
        <v/>
      </c>
      <c r="CW136" s="5" t="n"/>
      <c r="CX136" s="5" t="n"/>
      <c r="CY136" s="5" t="n"/>
      <c r="CZ136" s="5" t="n"/>
      <c r="DA136" s="5">
        <f>IF(OR(CU136&gt;=50,CW136="Material",CW136="Severe",AS136="Material",AS136="Severe",BF136="Material",BF136="Severe — Exclusion Trigger",AND(ISNUMBER(BS136),BS136&lt;30)),"Yes","No")</f>
        <v/>
      </c>
      <c r="DB136" s="5">
        <f>IF(OR(CR136&gt;=6,AW136="Confirmed Violation",AX136="Confirmed Breach"),"Yes — Automatic",IF(CW136="Severe","Yes — Requires Captain Confirmation","No"))</f>
        <v/>
      </c>
      <c r="DC136" s="5" t="n"/>
      <c r="DD136" s="5" t="n"/>
      <c r="DE136" s="5" t="n"/>
      <c r="DF136" s="5" t="n"/>
      <c r="DG136" s="5" t="n"/>
      <c r="DH136" s="5" t="n"/>
      <c r="DI136" s="5" t="n"/>
      <c r="DJ136" s="5" t="n"/>
      <c r="DK136" s="5" t="n"/>
      <c r="DL136" s="5">
        <f>IF(OR(IFERROR(VALUE(LEFT(DF136,1)),99)&lt;=2,IFERROR(VALUE(LEFT(DG136,1)),99)&lt;=2),"Flagged","Clear")</f>
        <v/>
      </c>
      <c r="DM136" s="5">
        <f>IF(OR(DA136="Yes",DB136&lt;&gt;"No",DH136="Unverified",DL136="Flagged"),"Yes","No")</f>
        <v/>
      </c>
      <c r="DN136" s="5">
        <f t="array" ref="DN136">MIN(100,
  IF(ISNUMBER(V136), _xlfn.IFS(V136&gt;=3,25, V136=2,15, V136=1,5, TRUE,0), 0)
  + IFERROR(_xlfn.IFS(VALUE(LEFT(DF136,1))=5,25, VALUE(LEFT(DF136,1))=4,20, VALUE(LEFT(DF136,1))=3,15, VALUE(LEFT(DF136,1))=2,8, TRUE,0), 15)
  + IFERROR(_xlfn.IFS(VALUE(LEFT(DG136,1))=5,25, VALUE(LEFT(DG136,1))=4,20, VALUE(LEFT(DG136,1))=3,15, VALUE(LEFT(DG136,1))=2,8, TRUE,0), 15)
  + _xlfn.IFS(DH136="Fully Verified",25, DH136="Partially Verified",12, TRUE,0)
)</f>
        <v/>
      </c>
      <c r="DO136" s="5">
        <f t="array" ref="DO136">_xlfn.IFS(
  ISBLANK(AR136), "Insufficient Evidence",
  AND(AR136&gt;=65, AJ136="Approved"), "Strong",
  AR136&gt;=65, "Adequate",
  AR136&gt;=40, "Adequate",
  AR136&gt;=20, "Weak",
  TRUE, "Insufficient Evidence"
)</f>
        <v/>
      </c>
      <c r="DP136" s="5">
        <f t="array" ref="DP136">_xlfn.IFS(
  ISBLANK(BS136), "Insufficient Evidence",
  BS136&gt;=65, "Strong",
  BS136&gt;=40, "Adequate",
  BS136&gt;=20, "Weak",
  TRUE, "Insufficient Evidence"
)</f>
        <v/>
      </c>
      <c r="DQ136" s="5">
        <f t="array" ref="DQ136">_xlfn.IFS(
  ISBLANK(BE136), "Insufficient Evidence",
  OR(AW136="Confirmed Violation", AX136="Confirmed Breach"), "Severe — Hard Trigger",
  BE136&gt;=65, "Strong",
  BE136&gt;=40, "Adequate",
  BE136&gt;=20, "Weak",
  TRUE, "Insufficient Evidence"
)</f>
        <v/>
      </c>
      <c r="DR136" s="5">
        <f t="array" ref="DR136">_xlfn.IFS(
  ISBLANK(CU136), "Insufficient Evidence",
  CU136&lt;=20, "Low Risk",
  CU136&lt;=50, "Moderate Risk",
  CU136&lt;=75, "High Risk",
  TRUE, "Very High Risk"
)</f>
        <v/>
      </c>
      <c r="DS136" s="5">
        <f t="array" ref="DS136">_xlfn.IFS(
  ISBLANK(CE136), "Insufficient Evidence",
  AND(ISNUMBER(BW136),ISNUMBER(BV136),BW136&gt;BV136), "Overclaiming Risk",
  CE136&gt;=65, "Strong",
  CE136&gt;=40, "Adequate",
  TRUE, "Weak"
)</f>
        <v/>
      </c>
      <c r="DT136" s="5">
        <f>IF(DB136="Yes — Automatic",0,ROUND((IF(ISNUMBER(AR136),AR136,0)*0.3+IF(ISNUMBER(BS136),BS136,0)*0.2+IF(ISNUMBER(BE136),BE136,0)*0.2+IF(ISNUMBER(CE136),CE136,0)*0.15+(100-IF(ISNUMBER(CU136),CU136,50))*0.15)*IF(DN136&gt;=75,1,IF(DN136&gt;=50,0.9,IF(DN136&gt;=25,0.75,0.6))),1))</f>
        <v/>
      </c>
      <c r="DU136" s="5">
        <f t="array" ref="DU136">_xlfn.IFS(
  DV136="Upgraded to Clear", "Clear",
  DV136="Downgraded to Watchlist", "Watchlist",
  DV136="Downgraded to Exclusion", "Exclusion Risk",
  DB136="Yes — Automatic", "Exclusion Risk",
  OR(AW136="Confirmed Violation", AX136="Confirmed Breach"), "Exclusion Risk",
  OR(V136=0, ISBLANK(V136), DN136&lt;20), "Insufficient Evidence",
  AND(DT136&gt;=65, DA136="No", DB136="No"), "Clear",
  OR(DT136&gt;=40, DA136="Yes"), "Watchlist",
  TRUE, "Exclusion Risk"
)</f>
        <v/>
      </c>
      <c r="DV136" s="5" t="n"/>
      <c r="DW136" s="5">
        <f t="array" ref="DW136">_xlfn.IFS(
  DU136="Exclusion Risk", "Exclude — Hard Trigger",
  DU136="Insufficient Evidence", "Watchlist — Further Evidence Needed",
  DU136="Watchlist", "Watchlist — Further Evidence Needed",
  AND(DU136="Clear", DT136&gt;=80), "Include — No Conditions",
  DU136="Clear", "Include — Monitor",
  TRUE, "Watchlist — Further Evidence Needed"
)</f>
        <v/>
      </c>
      <c r="DX136" s="5" t="n"/>
      <c r="DY136" s="5" t="n"/>
      <c r="DZ136" s="5" t="n"/>
      <c r="EA136" s="5" t="n"/>
      <c r="EB136" s="5">
        <f>IF(OR(V136=0, ISBLANK(V136)), "MISSING — No sources reviewed", "")</f>
        <v/>
      </c>
      <c r="EC136" s="5">
        <f>IF(AND(NOT(ISBLANK(DC136)), ISBLANK(DE136)), "PAGE REF MISSING", "")</f>
        <v/>
      </c>
    </row>
    <row r="137" ht="18" customHeight="1" s="60">
      <c r="A137" s="5" t="inlineStr">
        <is>
          <t>Endesa SA</t>
        </is>
      </c>
      <c r="B137" s="5" t="inlineStr">
        <is>
          <t>ENA</t>
        </is>
      </c>
      <c r="C137" s="5">
        <f>IF(ISBLANK('Universe Tracker'!D112),"",'Universe Tracker'!D112)</f>
        <v/>
      </c>
      <c r="D137" s="5" t="n"/>
      <c r="E137" s="5" t="n"/>
      <c r="F137" s="5">
        <f>IF(ISBLANK('Universe Tracker'!F112),"",'Universe Tracker'!F112)</f>
        <v/>
      </c>
      <c r="G137" s="5">
        <f>IF(ISBLANK('Universe Tracker'!G112),"",'Universe Tracker'!G112)</f>
        <v/>
      </c>
      <c r="H137" s="5" t="n"/>
      <c r="I137" s="5" t="n"/>
      <c r="J137" s="5">
        <f>IF(ISBLANK(B137),"",B137&amp;"_"&amp;C137)</f>
        <v/>
      </c>
      <c r="K137" s="5" t="n"/>
      <c r="L137" s="5" t="n"/>
      <c r="M137" s="5" t="n"/>
      <c r="N137" s="5" t="n"/>
      <c r="O137" s="5" t="n"/>
      <c r="P137" s="5" t="n"/>
      <c r="Q137" s="5" t="n"/>
      <c r="R137" s="5" t="n"/>
      <c r="S137" s="5" t="n"/>
      <c r="T137" s="5" t="n"/>
      <c r="U137" s="5" t="n"/>
      <c r="V137" s="5" t="n"/>
      <c r="W137" s="5" t="n"/>
      <c r="X137" s="5" t="n"/>
      <c r="Y137" s="5">
        <f>IF(AND(V137&gt;=2,K137="Yes",L137="Yes"),"Sufficient",IF(AND(V137&gt;=1,OR(K137="Yes",L137="Yes")),"Thin","Insufficient"))</f>
        <v/>
      </c>
      <c r="Z137" s="5" t="n"/>
      <c r="AA137" s="5" t="n"/>
      <c r="AB137" s="5" t="n"/>
      <c r="AC137" s="5" t="n"/>
      <c r="AD137" s="5" t="n"/>
      <c r="AE137" s="5" t="n"/>
      <c r="AF137" s="5" t="n"/>
      <c r="AG137" s="5" t="n"/>
      <c r="AH137" s="5" t="n"/>
      <c r="AI137" s="5" t="n"/>
      <c r="AJ137" s="5" t="n"/>
      <c r="AK137" s="5" t="n"/>
      <c r="AL137" s="5" t="n"/>
      <c r="AM137" s="5" t="n"/>
      <c r="AN137" s="5" t="n"/>
      <c r="AO137" s="5" t="n"/>
      <c r="AP137" s="5" t="n"/>
      <c r="AQ137" s="5" t="n"/>
      <c r="AR137" s="40">
        <f t="array" ref="AR137">MIN(100, MAX(0,
  IFERROR(_xlfn.XLOOKUP(AJ137,'Lookup Tables'!$A$2:$A$7,'Lookup Tables'!$B$2:$B$7,0),0)
  + IF(Z137="Yes", IF(IFERROR(_xlfn.XLOOKUP(AJ137,'Lookup Tables'!$A$2:$A$7,'Lookup Tables'!$B$2:$B$7,0),0)&lt;20, 5, 0), 0)
  + _xlfn.IFS(AB137="Yes", IF(ISNUMBER(AC137)*AND(AC137&lt;=2030),15,10), AB137="Long-term Only", 5, AB137="No", 0, TRUE, 0)
  + _xlfn.IFS(AF137="Full",10, AF137="Partial",5, AF137="Scope 2 Only",3, TRUE,0)
  + _xlfn.IFS(AG137="Yes", IF(ISNUMBER(AH137)*AND(AH137&gt;=5),10,6), AG137="Partial",4, TRUE,0)
  + _xlfn.IFS(AI137="Yes",5, AI137="Partial (material categories only)",3, TRUE,0)
  + _xlfn.IFS(AL137="Yes — Detailed",10, AL137="Yes — High Level",5, TRUE,0)
  + _xlfn.IFS(AM137="Yes — Quantified",15, AM137="Yes — Directional Only",7, TRUE,0)
  + _xlfn.IFS(AP137="Formal",5, AP137="Referenced",2, TRUE,0)
  + _xlfn.IFS(AQ137="No Issues Found",5, AQ137="Concern Identified",-5, AQ137="Severe Contradiction",-15, TRUE,0)
  + _xlfn.IFS(BC137="Reasonable Assurance",5, BC137="Limited Assurance",3, TRUE,0)
  - IF(AND(Z137="Yes", AI137="No"), 10, 0)
  - IF(AND(Z137="Yes", AM137="No"), 10, 0)
))</f>
        <v/>
      </c>
      <c r="AS137" s="5" t="n"/>
      <c r="AT137" s="5" t="n"/>
      <c r="AU137" s="5" t="n"/>
      <c r="AV137" s="5" t="n"/>
      <c r="AW137" s="5" t="n"/>
      <c r="AX137" s="5" t="n"/>
      <c r="AY137" s="5" t="n"/>
      <c r="AZ137" s="5" t="n"/>
      <c r="BA137" s="5" t="n"/>
      <c r="BB137" s="5" t="n"/>
      <c r="BC137" s="5" t="n"/>
      <c r="BD137" s="5" t="n"/>
      <c r="BE137" s="39">
        <f t="array" ref="BE137">MIN(100, MAX(0,
  IFERROR(_xlfn.XLOOKUP(AT137,'Lookup Tables'!$D$2:$D$6,'Lookup Tables'!$E$2:$E$6,0),0)
  + IFERROR(_xlfn.XLOOKUP(AV137,'Lookup Tables'!$G$2:$G$5,'Lookup Tables'!$H$2:$H$5,0),0)
  + IFERROR(_xlfn.XLOOKUP(AW137,'Lookup Tables'!$J$2:$J$5,'Lookup Tables'!$K$2:$K$5,0),0)
  + _xlfn.IFS(AX137="No Issues",10, AX137="Complaint Filed",3, AX137="Confirmed Breach",-15, TRUE,0)
  + IFERROR(_xlfn.XLOOKUP(AY137,'Lookup Tables'!$M$2:$M$6,'Lookup Tables'!$N$2:$N$6,0),0)
  + IFERROR(_xlfn.XLOOKUP(AZ137,'Lookup Tables'!$P$2:$P$6,'Lookup Tables'!$Q$2:$Q$6,0),0)
  + _xlfn.IFS(BA137="Formal Board Committee",5, BA137="Board Oversight Mentioned",2, TRUE,0)
  + _xlfn.IFS(BB137="Yes — Quantified Targets",5, BB137="Yes — Discretionary Only",2, TRUE,0)
  + _xlfn.IFS(BC137="Reasonable Assurance",5, BC137="Limited Assurance",3, BC137="Management Review Only",1, TRUE,0)
))</f>
        <v/>
      </c>
      <c r="BF137" s="5" t="n"/>
      <c r="BG137" s="5" t="n"/>
      <c r="BH137" s="5" t="n"/>
      <c r="BI137" s="5" t="n"/>
      <c r="BJ137" s="5" t="n"/>
      <c r="BK137" s="5" t="n"/>
      <c r="BL137" s="5" t="n"/>
      <c r="BM137" s="5" t="n"/>
      <c r="BN137" s="5" t="n"/>
      <c r="BO137" s="5" t="n"/>
      <c r="BP137" s="5" t="n"/>
      <c r="BQ137" s="5" t="n"/>
      <c r="BR137" s="5" t="n"/>
      <c r="BS137" s="41">
        <f t="array" ref="BS137">MIN(100, MAX(0,
  IFERROR(_xlfn.XLOOKUP(BG137,'Lookup Tables'!$A$11:$A$16,'Lookup Tables'!$B$11:$B$16,0),0)
  + IFERROR(_xlfn.XLOOKUP(BR137,'Lookup Tables'!$M$11:$M$14,'Lookup Tables'!$N$11:$N$14,0),0)
  + IFERROR(_xlfn.XLOOKUP(BQ137,'Lookup Tables'!$J$11:$J$15,'Lookup Tables'!$K$11:$K$15,0),0)
  + IFERROR(_xlfn.XLOOKUP(BH137,'Lookup Tables'!$D$11:$D$15,'Lookup Tables'!$E$11:$E$15,0),0)
  + IFERROR(_xlfn.XLOOKUP(BJ137,'Lookup Tables'!$G$11:$G$16,'Lookup Tables'!$H$11:$H$16,0),0)
  + IFERROR(_xlfn.XLOOKUP(BN137,'Lookup Tables'!$P$11:$P$15,'Lookup Tables'!$Q$11:$Q$15,0),0)
  + _xlfn.IFS(BM137="No Evidence",10, BM137="Unknown",3, BM137="Likely",0, BM137="Confirmed",-10, TRUE,3)
  + IFERROR(_xlfn.XLOOKUP(BP137,'Lookup Tables'!$J$21:$J$24,'Lookup Tables'!$K$21:$K$24,0),0)
))</f>
        <v/>
      </c>
      <c r="BT137" s="5" t="n"/>
      <c r="BU137" s="5" t="n"/>
      <c r="BV137" s="5" t="n"/>
      <c r="BW137" s="5" t="n"/>
      <c r="BX137" s="5" t="n"/>
      <c r="BY137" s="5" t="n"/>
      <c r="BZ137" s="5" t="n"/>
      <c r="CA137" s="5" t="n"/>
      <c r="CB137" s="5" t="n"/>
      <c r="CC137" s="5" t="n"/>
      <c r="CD137" s="5" t="n"/>
      <c r="CE137" s="43">
        <f t="array" ref="CE137">MIN(100, MAX(0,
  IF(ISNUMBER(BV137)*AND(BV137&gt;0), 10, 0)
  + _xlfn.IFS(BY137="Independently Verified",25, BY137="Yes",15, TRUE,0)
  + IFERROR(_xlfn.XLOOKUP(BZ137,'Lookup Tables'!$A$21:$A$24,'Lookup Tables'!$B$21:$B$24,0),0)
  + IFERROR(_xlfn.XLOOKUP(CA137,'Lookup Tables'!$D$21:$D$24,'Lookup Tables'!$E$21:$E$24,0),0)
  + _xlfn.IFS(ISNUMBER(CB137)*AND(CB137&gt;=11),15, ISNUMBER(CB137)*AND(CB137&gt;=6),10, ISNUMBER(CB137)*AND(CB137&gt;=1),5, TRUE,0)
  + IFERROR(_xlfn.XLOOKUP(CC137,'Lookup Tables'!$G$21:$G$25,'Lookup Tables'!$H$21:$H$25,0),0)
  - IF(ISNUMBER(BW137)*AND(ISNUMBER(BV137))*AND(BW137&gt;BV137), 20, 0)
  - IF(AND(BY137="Yes", ISNUMBER(BW137), BW137&gt;60), 10, 0)
))</f>
        <v/>
      </c>
      <c r="CF137" s="5" t="n"/>
      <c r="CG137" s="5" t="n"/>
      <c r="CH137" s="5" t="n"/>
      <c r="CI137" s="5" t="n"/>
      <c r="CJ137" s="5" t="n"/>
      <c r="CK137" s="5" t="n"/>
      <c r="CL137" s="5" t="n"/>
      <c r="CM137" s="5" t="n"/>
      <c r="CN137" s="5" t="n"/>
      <c r="CO137" s="5" t="n"/>
      <c r="CP137" s="5" t="n"/>
      <c r="CQ137" s="5" t="n"/>
      <c r="CR137" s="5">
        <f>COUNTIF(CJ137:CQ137,"FAIL")</f>
        <v/>
      </c>
      <c r="CS137" s="5">
        <f>COUNTIF(CJ137:CQ137,"PARTIAL")</f>
        <v/>
      </c>
      <c r="CT137" s="5">
        <f>COUNTIF(CJ137:CQ137,"MISSING")</f>
        <v/>
      </c>
      <c r="CU137" s="5">
        <f>MIN(100,
  CR137*15
  + CS137*6
  + CT137*3
  + IFERROR(_xlfn.XLOOKUP(CW137,'Lookup Tables'!$M$21:$M$25,'Lookup Tables'!$N$21:$N$25,0),0)
)</f>
        <v/>
      </c>
      <c r="CV137" s="5">
        <f>IFERROR(
CHOOSE(
MATCH("FAIL",CJ137:CQ137,0),
"1-Specificity","2-Metric","3-Baseline","4-Target",
"5-Time Horizon","6-Scope","7-Verification","8-Consistency"
),
IFERROR(
CHOOSE(
MATCH("PARTIAL",CJ137:CQ137,0),
"1-Specificity","2-Metric","3-Baseline","4-Target",
"5-Time Horizon","6-Scope","7-Verification","8-Consistency"
),
"No failures"
)
)</f>
        <v/>
      </c>
      <c r="CW137" s="5" t="n"/>
      <c r="CX137" s="5" t="n"/>
      <c r="CY137" s="5" t="n"/>
      <c r="CZ137" s="5" t="n"/>
      <c r="DA137" s="5">
        <f>IF(OR(CU137&gt;=50,CW137="Material",CW137="Severe",AS137="Material",AS137="Severe",BF137="Material",BF137="Severe — Exclusion Trigger",AND(ISNUMBER(BS137),BS137&lt;30)),"Yes","No")</f>
        <v/>
      </c>
      <c r="DB137" s="5">
        <f>IF(OR(CR137&gt;=6,AW137="Confirmed Violation",AX137="Confirmed Breach"),"Yes — Automatic",IF(CW137="Severe","Yes — Requires Captain Confirmation","No"))</f>
        <v/>
      </c>
      <c r="DC137" s="5" t="n"/>
      <c r="DD137" s="5" t="n"/>
      <c r="DE137" s="5" t="n"/>
      <c r="DF137" s="5" t="n"/>
      <c r="DG137" s="5" t="n"/>
      <c r="DH137" s="5" t="n"/>
      <c r="DI137" s="5" t="n"/>
      <c r="DJ137" s="5" t="n"/>
      <c r="DK137" s="5" t="n"/>
      <c r="DL137" s="5">
        <f>IF(OR(IFERROR(VALUE(LEFT(DF137,1)),99)&lt;=2,IFERROR(VALUE(LEFT(DG137,1)),99)&lt;=2),"Flagged","Clear")</f>
        <v/>
      </c>
      <c r="DM137" s="5">
        <f>IF(OR(DA137="Yes",DB137&lt;&gt;"No",DH137="Unverified",DL137="Flagged"),"Yes","No")</f>
        <v/>
      </c>
      <c r="DN137" s="5">
        <f t="array" ref="DN137">MIN(100,
  IF(ISNUMBER(V137), _xlfn.IFS(V137&gt;=3,25, V137=2,15, V137=1,5, TRUE,0), 0)
  + IFERROR(_xlfn.IFS(VALUE(LEFT(DF137,1))=5,25, VALUE(LEFT(DF137,1))=4,20, VALUE(LEFT(DF137,1))=3,15, VALUE(LEFT(DF137,1))=2,8, TRUE,0), 15)
  + IFERROR(_xlfn.IFS(VALUE(LEFT(DG137,1))=5,25, VALUE(LEFT(DG137,1))=4,20, VALUE(LEFT(DG137,1))=3,15, VALUE(LEFT(DG137,1))=2,8, TRUE,0), 15)
  + _xlfn.IFS(DH137="Fully Verified",25, DH137="Partially Verified",12, TRUE,0)
)</f>
        <v/>
      </c>
      <c r="DO137" s="5">
        <f t="array" ref="DO137">_xlfn.IFS(
  ISBLANK(AR137), "Insufficient Evidence",
  AND(AR137&gt;=65, AJ137="Approved"), "Strong",
  AR137&gt;=65, "Adequate",
  AR137&gt;=40, "Adequate",
  AR137&gt;=20, "Weak",
  TRUE, "Insufficient Evidence"
)</f>
        <v/>
      </c>
      <c r="DP137" s="5">
        <f t="array" ref="DP137">_xlfn.IFS(
  ISBLANK(BS137), "Insufficient Evidence",
  BS137&gt;=65, "Strong",
  BS137&gt;=40, "Adequate",
  BS137&gt;=20, "Weak",
  TRUE, "Insufficient Evidence"
)</f>
        <v/>
      </c>
      <c r="DQ137" s="5">
        <f t="array" ref="DQ137">_xlfn.IFS(
  ISBLANK(BE137), "Insufficient Evidence",
  OR(AW137="Confirmed Violation", AX137="Confirmed Breach"), "Severe — Hard Trigger",
  BE137&gt;=65, "Strong",
  BE137&gt;=40, "Adequate",
  BE137&gt;=20, "Weak",
  TRUE, "Insufficient Evidence"
)</f>
        <v/>
      </c>
      <c r="DR137" s="5">
        <f t="array" ref="DR137">_xlfn.IFS(
  ISBLANK(CU137), "Insufficient Evidence",
  CU137&lt;=20, "Low Risk",
  CU137&lt;=50, "Moderate Risk",
  CU137&lt;=75, "High Risk",
  TRUE, "Very High Risk"
)</f>
        <v/>
      </c>
      <c r="DS137" s="5">
        <f t="array" ref="DS137">_xlfn.IFS(
  ISBLANK(CE137), "Insufficient Evidence",
  AND(ISNUMBER(BW137),ISNUMBER(BV137),BW137&gt;BV137), "Overclaiming Risk",
  CE137&gt;=65, "Strong",
  CE137&gt;=40, "Adequate",
  TRUE, "Weak"
)</f>
        <v/>
      </c>
      <c r="DT137" s="5">
        <f>IF(DB137="Yes — Automatic",0,ROUND((IF(ISNUMBER(AR137),AR137,0)*0.3+IF(ISNUMBER(BS137),BS137,0)*0.2+IF(ISNUMBER(BE137),BE137,0)*0.2+IF(ISNUMBER(CE137),CE137,0)*0.15+(100-IF(ISNUMBER(CU137),CU137,50))*0.15)*IF(DN137&gt;=75,1,IF(DN137&gt;=50,0.9,IF(DN137&gt;=25,0.75,0.6))),1))</f>
        <v/>
      </c>
      <c r="DU137" s="5">
        <f t="array" ref="DU137">_xlfn.IFS(
  DV137="Upgraded to Clear", "Clear",
  DV137="Downgraded to Watchlist", "Watchlist",
  DV137="Downgraded to Exclusion", "Exclusion Risk",
  DB137="Yes — Automatic", "Exclusion Risk",
  OR(AW137="Confirmed Violation", AX137="Confirmed Breach"), "Exclusion Risk",
  OR(V137=0, ISBLANK(V137), DN137&lt;20), "Insufficient Evidence",
  AND(DT137&gt;=65, DA137="No", DB137="No"), "Clear",
  OR(DT137&gt;=40, DA137="Yes"), "Watchlist",
  TRUE, "Exclusion Risk"
)</f>
        <v/>
      </c>
      <c r="DV137" s="5" t="n"/>
      <c r="DW137" s="5">
        <f t="array" ref="DW137">_xlfn.IFS(
  DU137="Exclusion Risk", "Exclude — Hard Trigger",
  DU137="Insufficient Evidence", "Watchlist — Further Evidence Needed",
  DU137="Watchlist", "Watchlist — Further Evidence Needed",
  AND(DU137="Clear", DT137&gt;=80), "Include — No Conditions",
  DU137="Clear", "Include — Monitor",
  TRUE, "Watchlist — Further Evidence Needed"
)</f>
        <v/>
      </c>
      <c r="DX137" s="5" t="n"/>
      <c r="DY137" s="5" t="n"/>
      <c r="DZ137" s="5" t="n"/>
      <c r="EA137" s="5" t="n"/>
      <c r="EB137" s="5">
        <f>IF(OR(V137=0, ISBLANK(V137)), "MISSING — No sources reviewed", "")</f>
        <v/>
      </c>
      <c r="EC137" s="5">
        <f>IF(AND(NOT(ISBLANK(DC137)), ISBLANK(DE137)), "PAGE REF MISSING", "")</f>
        <v/>
      </c>
    </row>
    <row r="138" ht="18" customHeight="1" s="60">
      <c r="A138" s="5" t="inlineStr">
        <is>
          <t>Ferrovial SA</t>
        </is>
      </c>
      <c r="B138" s="5" t="inlineStr">
        <is>
          <t>UFG</t>
        </is>
      </c>
      <c r="C138" s="5">
        <f>IF(ISBLANK('Universe Tracker'!D113),"",'Universe Tracker'!D113)</f>
        <v/>
      </c>
      <c r="D138" s="5" t="n"/>
      <c r="E138" s="5" t="n"/>
      <c r="F138" s="5">
        <f>IF(ISBLANK('Universe Tracker'!F113),"",'Universe Tracker'!F113)</f>
        <v/>
      </c>
      <c r="G138" s="5">
        <f>IF(ISBLANK('Universe Tracker'!G113),"",'Universe Tracker'!G113)</f>
        <v/>
      </c>
      <c r="H138" s="5" t="n"/>
      <c r="I138" s="5" t="n"/>
      <c r="J138" s="5">
        <f>IF(ISBLANK(B138),"",B138&amp;"_"&amp;C138)</f>
        <v/>
      </c>
      <c r="K138" s="5" t="n"/>
      <c r="L138" s="5" t="n"/>
      <c r="M138" s="5" t="n"/>
      <c r="N138" s="5" t="n"/>
      <c r="O138" s="5" t="n"/>
      <c r="P138" s="5" t="n"/>
      <c r="Q138" s="5" t="n"/>
      <c r="R138" s="5" t="n"/>
      <c r="S138" s="5" t="n"/>
      <c r="T138" s="5" t="n"/>
      <c r="U138" s="5" t="n"/>
      <c r="V138" s="5" t="n"/>
      <c r="W138" s="5" t="n"/>
      <c r="X138" s="5" t="n"/>
      <c r="Y138" s="5">
        <f>IF(AND(V138&gt;=2,K138="Yes",L138="Yes"),"Sufficient",IF(AND(V138&gt;=1,OR(K138="Yes",L138="Yes")),"Thin","Insufficient"))</f>
        <v/>
      </c>
      <c r="Z138" s="5" t="n"/>
      <c r="AA138" s="5" t="n"/>
      <c r="AB138" s="5" t="n"/>
      <c r="AC138" s="5" t="n"/>
      <c r="AD138" s="5" t="n"/>
      <c r="AE138" s="5" t="n"/>
      <c r="AF138" s="5" t="n"/>
      <c r="AG138" s="5" t="n"/>
      <c r="AH138" s="5" t="n"/>
      <c r="AI138" s="5" t="n"/>
      <c r="AJ138" s="5" t="n"/>
      <c r="AK138" s="5" t="n"/>
      <c r="AL138" s="5" t="n"/>
      <c r="AM138" s="5" t="n"/>
      <c r="AN138" s="5" t="n"/>
      <c r="AO138" s="5" t="n"/>
      <c r="AP138" s="5" t="n"/>
      <c r="AQ138" s="5" t="n"/>
      <c r="AR138" s="40">
        <f t="array" ref="AR138">MIN(100, MAX(0,
  IFERROR(_xlfn.XLOOKUP(AJ138,'Lookup Tables'!$A$2:$A$7,'Lookup Tables'!$B$2:$B$7,0),0)
  + IF(Z138="Yes", IF(IFERROR(_xlfn.XLOOKUP(AJ138,'Lookup Tables'!$A$2:$A$7,'Lookup Tables'!$B$2:$B$7,0),0)&lt;20, 5, 0), 0)
  + _xlfn.IFS(AB138="Yes", IF(ISNUMBER(AC138)*AND(AC138&lt;=2030),15,10), AB138="Long-term Only", 5, AB138="No", 0, TRUE, 0)
  + _xlfn.IFS(AF138="Full",10, AF138="Partial",5, AF138="Scope 2 Only",3, TRUE,0)
  + _xlfn.IFS(AG138="Yes", IF(ISNUMBER(AH138)*AND(AH138&gt;=5),10,6), AG138="Partial",4, TRUE,0)
  + _xlfn.IFS(AI138="Yes",5, AI138="Partial (material categories only)",3, TRUE,0)
  + _xlfn.IFS(AL138="Yes — Detailed",10, AL138="Yes — High Level",5, TRUE,0)
  + _xlfn.IFS(AM138="Yes — Quantified",15, AM138="Yes — Directional Only",7, TRUE,0)
  + _xlfn.IFS(AP138="Formal",5, AP138="Referenced",2, TRUE,0)
  + _xlfn.IFS(AQ138="No Issues Found",5, AQ138="Concern Identified",-5, AQ138="Severe Contradiction",-15, TRUE,0)
  + _xlfn.IFS(BC138="Reasonable Assurance",5, BC138="Limited Assurance",3, TRUE,0)
  - IF(AND(Z138="Yes", AI138="No"), 10, 0)
  - IF(AND(Z138="Yes", AM138="No"), 10, 0)
))</f>
        <v/>
      </c>
      <c r="AS138" s="5" t="n"/>
      <c r="AT138" s="5" t="n"/>
      <c r="AU138" s="5" t="n"/>
      <c r="AV138" s="5" t="n"/>
      <c r="AW138" s="5" t="n"/>
      <c r="AX138" s="5" t="n"/>
      <c r="AY138" s="5" t="n"/>
      <c r="AZ138" s="5" t="n"/>
      <c r="BA138" s="5" t="n"/>
      <c r="BB138" s="5" t="n"/>
      <c r="BC138" s="5" t="n"/>
      <c r="BD138" s="5" t="n"/>
      <c r="BE138" s="39">
        <f t="array" ref="BE138">MIN(100, MAX(0,
  IFERROR(_xlfn.XLOOKUP(AT138,'Lookup Tables'!$D$2:$D$6,'Lookup Tables'!$E$2:$E$6,0),0)
  + IFERROR(_xlfn.XLOOKUP(AV138,'Lookup Tables'!$G$2:$G$5,'Lookup Tables'!$H$2:$H$5,0),0)
  + IFERROR(_xlfn.XLOOKUP(AW138,'Lookup Tables'!$J$2:$J$5,'Lookup Tables'!$K$2:$K$5,0),0)
  + _xlfn.IFS(AX138="No Issues",10, AX138="Complaint Filed",3, AX138="Confirmed Breach",-15, TRUE,0)
  + IFERROR(_xlfn.XLOOKUP(AY138,'Lookup Tables'!$M$2:$M$6,'Lookup Tables'!$N$2:$N$6,0),0)
  + IFERROR(_xlfn.XLOOKUP(AZ138,'Lookup Tables'!$P$2:$P$6,'Lookup Tables'!$Q$2:$Q$6,0),0)
  + _xlfn.IFS(BA138="Formal Board Committee",5, BA138="Board Oversight Mentioned",2, TRUE,0)
  + _xlfn.IFS(BB138="Yes — Quantified Targets",5, BB138="Yes — Discretionary Only",2, TRUE,0)
  + _xlfn.IFS(BC138="Reasonable Assurance",5, BC138="Limited Assurance",3, BC138="Management Review Only",1, TRUE,0)
))</f>
        <v/>
      </c>
      <c r="BF138" s="5" t="n"/>
      <c r="BG138" s="5" t="n"/>
      <c r="BH138" s="5" t="n"/>
      <c r="BI138" s="5" t="n"/>
      <c r="BJ138" s="5" t="n"/>
      <c r="BK138" s="5" t="n"/>
      <c r="BL138" s="5" t="n"/>
      <c r="BM138" s="5" t="n"/>
      <c r="BN138" s="5" t="n"/>
      <c r="BO138" s="5" t="n"/>
      <c r="BP138" s="5" t="n"/>
      <c r="BQ138" s="5" t="n"/>
      <c r="BR138" s="5" t="n"/>
      <c r="BS138" s="41">
        <f t="array" ref="BS138">MIN(100, MAX(0,
  IFERROR(_xlfn.XLOOKUP(BG138,'Lookup Tables'!$A$11:$A$16,'Lookup Tables'!$B$11:$B$16,0),0)
  + IFERROR(_xlfn.XLOOKUP(BR138,'Lookup Tables'!$M$11:$M$14,'Lookup Tables'!$N$11:$N$14,0),0)
  + IFERROR(_xlfn.XLOOKUP(BQ138,'Lookup Tables'!$J$11:$J$15,'Lookup Tables'!$K$11:$K$15,0),0)
  + IFERROR(_xlfn.XLOOKUP(BH138,'Lookup Tables'!$D$11:$D$15,'Lookup Tables'!$E$11:$E$15,0),0)
  + IFERROR(_xlfn.XLOOKUP(BJ138,'Lookup Tables'!$G$11:$G$16,'Lookup Tables'!$H$11:$H$16,0),0)
  + IFERROR(_xlfn.XLOOKUP(BN138,'Lookup Tables'!$P$11:$P$15,'Lookup Tables'!$Q$11:$Q$15,0),0)
  + _xlfn.IFS(BM138="No Evidence",10, BM138="Unknown",3, BM138="Likely",0, BM138="Confirmed",-10, TRUE,3)
  + IFERROR(_xlfn.XLOOKUP(BP138,'Lookup Tables'!$J$21:$J$24,'Lookup Tables'!$K$21:$K$24,0),0)
))</f>
        <v/>
      </c>
      <c r="BT138" s="5" t="n"/>
      <c r="BU138" s="5" t="n"/>
      <c r="BV138" s="5" t="n"/>
      <c r="BW138" s="5" t="n"/>
      <c r="BX138" s="5" t="n"/>
      <c r="BY138" s="5" t="n"/>
      <c r="BZ138" s="5" t="n"/>
      <c r="CA138" s="5" t="n"/>
      <c r="CB138" s="5" t="n"/>
      <c r="CC138" s="5" t="n"/>
      <c r="CD138" s="5" t="n"/>
      <c r="CE138" s="43">
        <f t="array" ref="CE138">MIN(100, MAX(0,
  IF(ISNUMBER(BV138)*AND(BV138&gt;0), 10, 0)
  + _xlfn.IFS(BY138="Independently Verified",25, BY138="Yes",15, TRUE,0)
  + IFERROR(_xlfn.XLOOKUP(BZ138,'Lookup Tables'!$A$21:$A$24,'Lookup Tables'!$B$21:$B$24,0),0)
  + IFERROR(_xlfn.XLOOKUP(CA138,'Lookup Tables'!$D$21:$D$24,'Lookup Tables'!$E$21:$E$24,0),0)
  + _xlfn.IFS(ISNUMBER(CB138)*AND(CB138&gt;=11),15, ISNUMBER(CB138)*AND(CB138&gt;=6),10, ISNUMBER(CB138)*AND(CB138&gt;=1),5, TRUE,0)
  + IFERROR(_xlfn.XLOOKUP(CC138,'Lookup Tables'!$G$21:$G$25,'Lookup Tables'!$H$21:$H$25,0),0)
  - IF(ISNUMBER(BW138)*AND(ISNUMBER(BV138))*AND(BW138&gt;BV138), 20, 0)
  - IF(AND(BY138="Yes", ISNUMBER(BW138), BW138&gt;60), 10, 0)
))</f>
        <v/>
      </c>
      <c r="CF138" s="5" t="n"/>
      <c r="CG138" s="5" t="n"/>
      <c r="CH138" s="5" t="n"/>
      <c r="CI138" s="5" t="n"/>
      <c r="CJ138" s="5" t="n"/>
      <c r="CK138" s="5" t="n"/>
      <c r="CL138" s="5" t="n"/>
      <c r="CM138" s="5" t="n"/>
      <c r="CN138" s="5" t="n"/>
      <c r="CO138" s="5" t="n"/>
      <c r="CP138" s="5" t="n"/>
      <c r="CQ138" s="5" t="n"/>
      <c r="CR138" s="5">
        <f>COUNTIF(CJ138:CQ138,"FAIL")</f>
        <v/>
      </c>
      <c r="CS138" s="5">
        <f>COUNTIF(CJ138:CQ138,"PARTIAL")</f>
        <v/>
      </c>
      <c r="CT138" s="5">
        <f>COUNTIF(CJ138:CQ138,"MISSING")</f>
        <v/>
      </c>
      <c r="CU138" s="5">
        <f>MIN(100,
  CR138*15
  + CS138*6
  + CT138*3
  + IFERROR(_xlfn.XLOOKUP(CW138,'Lookup Tables'!$M$21:$M$25,'Lookup Tables'!$N$21:$N$25,0),0)
)</f>
        <v/>
      </c>
      <c r="CV138" s="5">
        <f>IFERROR(
CHOOSE(
MATCH("FAIL",CJ138:CQ138,0),
"1-Specificity","2-Metric","3-Baseline","4-Target",
"5-Time Horizon","6-Scope","7-Verification","8-Consistency"
),
IFERROR(
CHOOSE(
MATCH("PARTIAL",CJ138:CQ138,0),
"1-Specificity","2-Metric","3-Baseline","4-Target",
"5-Time Horizon","6-Scope","7-Verification","8-Consistency"
),
"No failures"
)
)</f>
        <v/>
      </c>
      <c r="CW138" s="5" t="n"/>
      <c r="CX138" s="5" t="n"/>
      <c r="CY138" s="5" t="n"/>
      <c r="CZ138" s="5" t="n"/>
      <c r="DA138" s="5">
        <f>IF(OR(CU138&gt;=50,CW138="Material",CW138="Severe",AS138="Material",AS138="Severe",BF138="Material",BF138="Severe — Exclusion Trigger",AND(ISNUMBER(BS138),BS138&lt;30)),"Yes","No")</f>
        <v/>
      </c>
      <c r="DB138" s="5">
        <f>IF(OR(CR138&gt;=6,AW138="Confirmed Violation",AX138="Confirmed Breach"),"Yes — Automatic",IF(CW138="Severe","Yes — Requires Captain Confirmation","No"))</f>
        <v/>
      </c>
      <c r="DC138" s="5" t="n"/>
      <c r="DD138" s="5" t="n"/>
      <c r="DE138" s="5" t="n"/>
      <c r="DF138" s="5" t="n"/>
      <c r="DG138" s="5" t="n"/>
      <c r="DH138" s="5" t="n"/>
      <c r="DI138" s="5" t="n"/>
      <c r="DJ138" s="5" t="n"/>
      <c r="DK138" s="5" t="n"/>
      <c r="DL138" s="5">
        <f>IF(OR(IFERROR(VALUE(LEFT(DF138,1)),99)&lt;=2,IFERROR(VALUE(LEFT(DG138,1)),99)&lt;=2),"Flagged","Clear")</f>
        <v/>
      </c>
      <c r="DM138" s="5">
        <f>IF(OR(DA138="Yes",DB138&lt;&gt;"No",DH138="Unverified",DL138="Flagged"),"Yes","No")</f>
        <v/>
      </c>
      <c r="DN138" s="5">
        <f t="array" ref="DN138">MIN(100,
  IF(ISNUMBER(V138), _xlfn.IFS(V138&gt;=3,25, V138=2,15, V138=1,5, TRUE,0), 0)
  + IFERROR(_xlfn.IFS(VALUE(LEFT(DF138,1))=5,25, VALUE(LEFT(DF138,1))=4,20, VALUE(LEFT(DF138,1))=3,15, VALUE(LEFT(DF138,1))=2,8, TRUE,0), 15)
  + IFERROR(_xlfn.IFS(VALUE(LEFT(DG138,1))=5,25, VALUE(LEFT(DG138,1))=4,20, VALUE(LEFT(DG138,1))=3,15, VALUE(LEFT(DG138,1))=2,8, TRUE,0), 15)
  + _xlfn.IFS(DH138="Fully Verified",25, DH138="Partially Verified",12, TRUE,0)
)</f>
        <v/>
      </c>
      <c r="DO138" s="5">
        <f t="array" ref="DO138">_xlfn.IFS(
  ISBLANK(AR138), "Insufficient Evidence",
  AND(AR138&gt;=65, AJ138="Approved"), "Strong",
  AR138&gt;=65, "Adequate",
  AR138&gt;=40, "Adequate",
  AR138&gt;=20, "Weak",
  TRUE, "Insufficient Evidence"
)</f>
        <v/>
      </c>
      <c r="DP138" s="5">
        <f t="array" ref="DP138">_xlfn.IFS(
  ISBLANK(BS138), "Insufficient Evidence",
  BS138&gt;=65, "Strong",
  BS138&gt;=40, "Adequate",
  BS138&gt;=20, "Weak",
  TRUE, "Insufficient Evidence"
)</f>
        <v/>
      </c>
      <c r="DQ138" s="5">
        <f t="array" ref="DQ138">_xlfn.IFS(
  ISBLANK(BE138), "Insufficient Evidence",
  OR(AW138="Confirmed Violation", AX138="Confirmed Breach"), "Severe — Hard Trigger",
  BE138&gt;=65, "Strong",
  BE138&gt;=40, "Adequate",
  BE138&gt;=20, "Weak",
  TRUE, "Insufficient Evidence"
)</f>
        <v/>
      </c>
      <c r="DR138" s="5">
        <f t="array" ref="DR138">_xlfn.IFS(
  ISBLANK(CU138), "Insufficient Evidence",
  CU138&lt;=20, "Low Risk",
  CU138&lt;=50, "Moderate Risk",
  CU138&lt;=75, "High Risk",
  TRUE, "Very High Risk"
)</f>
        <v/>
      </c>
      <c r="DS138" s="5">
        <f t="array" ref="DS138">_xlfn.IFS(
  ISBLANK(CE138), "Insufficient Evidence",
  AND(ISNUMBER(BW138),ISNUMBER(BV138),BW138&gt;BV138), "Overclaiming Risk",
  CE138&gt;=65, "Strong",
  CE138&gt;=40, "Adequate",
  TRUE, "Weak"
)</f>
        <v/>
      </c>
      <c r="DT138" s="5">
        <f>IF(DB138="Yes — Automatic",0,ROUND((IF(ISNUMBER(AR138),AR138,0)*0.3+IF(ISNUMBER(BS138),BS138,0)*0.2+IF(ISNUMBER(BE138),BE138,0)*0.2+IF(ISNUMBER(CE138),CE138,0)*0.15+(100-IF(ISNUMBER(CU138),CU138,50))*0.15)*IF(DN138&gt;=75,1,IF(DN138&gt;=50,0.9,IF(DN138&gt;=25,0.75,0.6))),1))</f>
        <v/>
      </c>
      <c r="DU138" s="5">
        <f t="array" ref="DU138">_xlfn.IFS(
  DV138="Upgraded to Clear", "Clear",
  DV138="Downgraded to Watchlist", "Watchlist",
  DV138="Downgraded to Exclusion", "Exclusion Risk",
  DB138="Yes — Automatic", "Exclusion Risk",
  OR(AW138="Confirmed Violation", AX138="Confirmed Breach"), "Exclusion Risk",
  OR(V138=0, ISBLANK(V138), DN138&lt;20), "Insufficient Evidence",
  AND(DT138&gt;=65, DA138="No", DB138="No"), "Clear",
  OR(DT138&gt;=40, DA138="Yes"), "Watchlist",
  TRUE, "Exclusion Risk"
)</f>
        <v/>
      </c>
      <c r="DV138" s="5" t="n"/>
      <c r="DW138" s="5">
        <f t="array" ref="DW138">_xlfn.IFS(
  DU138="Exclusion Risk", "Exclude — Hard Trigger",
  DU138="Insufficient Evidence", "Watchlist — Further Evidence Needed",
  DU138="Watchlist", "Watchlist — Further Evidence Needed",
  AND(DU138="Clear", DT138&gt;=80), "Include — No Conditions",
  DU138="Clear", "Include — Monitor",
  TRUE, "Watchlist — Further Evidence Needed"
)</f>
        <v/>
      </c>
      <c r="DX138" s="5" t="n"/>
      <c r="DY138" s="5" t="n"/>
      <c r="DZ138" s="5" t="n"/>
      <c r="EA138" s="5" t="n"/>
      <c r="EB138" s="5">
        <f>IF(OR(V138=0, ISBLANK(V138)), "MISSING — No sources reviewed", "")</f>
        <v/>
      </c>
      <c r="EC138" s="5">
        <f>IF(AND(NOT(ISBLANK(DC138)), ISBLANK(DE138)), "PAGE REF MISSING", "")</f>
        <v/>
      </c>
    </row>
    <row r="139" ht="18" customHeight="1" s="60">
      <c r="A139" s="5" t="inlineStr">
        <is>
          <t>Nokia Oyj</t>
        </is>
      </c>
      <c r="B139" s="5" t="inlineStr">
        <is>
          <t>NOA3</t>
        </is>
      </c>
      <c r="C139" s="5">
        <f>IF(ISBLANK('Universe Tracker'!D114),"",'Universe Tracker'!D114)</f>
        <v/>
      </c>
      <c r="D139" s="5" t="n"/>
      <c r="E139" s="5" t="n"/>
      <c r="F139" s="5">
        <f>IF(ISBLANK('Universe Tracker'!F114),"",'Universe Tracker'!F114)</f>
        <v/>
      </c>
      <c r="G139" s="5">
        <f>IF(ISBLANK('Universe Tracker'!G114),"",'Universe Tracker'!G114)</f>
        <v/>
      </c>
      <c r="H139" s="5" t="n"/>
      <c r="I139" s="5" t="n"/>
      <c r="J139" s="5">
        <f>IF(ISBLANK(B139),"",B139&amp;"_"&amp;C139)</f>
        <v/>
      </c>
      <c r="K139" s="5" t="n"/>
      <c r="L139" s="5" t="n"/>
      <c r="M139" s="5" t="n"/>
      <c r="N139" s="5" t="n"/>
      <c r="O139" s="5" t="n"/>
      <c r="P139" s="5" t="n"/>
      <c r="Q139" s="5" t="n"/>
      <c r="R139" s="5" t="n"/>
      <c r="S139" s="5" t="n"/>
      <c r="T139" s="5" t="n"/>
      <c r="U139" s="5" t="n"/>
      <c r="V139" s="5" t="n"/>
      <c r="W139" s="5" t="n"/>
      <c r="X139" s="5" t="n"/>
      <c r="Y139" s="5">
        <f>IF(AND(V139&gt;=2,K139="Yes",L139="Yes"),"Sufficient",IF(AND(V139&gt;=1,OR(K139="Yes",L139="Yes")),"Thin","Insufficient"))</f>
        <v/>
      </c>
      <c r="Z139" s="5" t="n"/>
      <c r="AA139" s="5" t="n"/>
      <c r="AB139" s="5" t="n"/>
      <c r="AC139" s="5" t="n"/>
      <c r="AD139" s="5" t="n"/>
      <c r="AE139" s="5" t="n"/>
      <c r="AF139" s="5" t="n"/>
      <c r="AG139" s="5" t="n"/>
      <c r="AH139" s="5" t="n"/>
      <c r="AI139" s="5" t="n"/>
      <c r="AJ139" s="5" t="n"/>
      <c r="AK139" s="5" t="n"/>
      <c r="AL139" s="5" t="n"/>
      <c r="AM139" s="5" t="n"/>
      <c r="AN139" s="5" t="n"/>
      <c r="AO139" s="5" t="n"/>
      <c r="AP139" s="5" t="n"/>
      <c r="AQ139" s="5" t="n"/>
      <c r="AR139" s="40">
        <f t="array" ref="AR139">MIN(100, MAX(0,
  IFERROR(_xlfn.XLOOKUP(AJ139,'Lookup Tables'!$A$2:$A$7,'Lookup Tables'!$B$2:$B$7,0),0)
  + IF(Z139="Yes", IF(IFERROR(_xlfn.XLOOKUP(AJ139,'Lookup Tables'!$A$2:$A$7,'Lookup Tables'!$B$2:$B$7,0),0)&lt;20, 5, 0), 0)
  + _xlfn.IFS(AB139="Yes", IF(ISNUMBER(AC139)*AND(AC139&lt;=2030),15,10), AB139="Long-term Only", 5, AB139="No", 0, TRUE, 0)
  + _xlfn.IFS(AF139="Full",10, AF139="Partial",5, AF139="Scope 2 Only",3, TRUE,0)
  + _xlfn.IFS(AG139="Yes", IF(ISNUMBER(AH139)*AND(AH139&gt;=5),10,6), AG139="Partial",4, TRUE,0)
  + _xlfn.IFS(AI139="Yes",5, AI139="Partial (material categories only)",3, TRUE,0)
  + _xlfn.IFS(AL139="Yes — Detailed",10, AL139="Yes — High Level",5, TRUE,0)
  + _xlfn.IFS(AM139="Yes — Quantified",15, AM139="Yes — Directional Only",7, TRUE,0)
  + _xlfn.IFS(AP139="Formal",5, AP139="Referenced",2, TRUE,0)
  + _xlfn.IFS(AQ139="No Issues Found",5, AQ139="Concern Identified",-5, AQ139="Severe Contradiction",-15, TRUE,0)
  + _xlfn.IFS(BC139="Reasonable Assurance",5, BC139="Limited Assurance",3, TRUE,0)
  - IF(AND(Z139="Yes", AI139="No"), 10, 0)
  - IF(AND(Z139="Yes", AM139="No"), 10, 0)
))</f>
        <v/>
      </c>
      <c r="AS139" s="5" t="n"/>
      <c r="AT139" s="5" t="n"/>
      <c r="AU139" s="5" t="n"/>
      <c r="AV139" s="5" t="n"/>
      <c r="AW139" s="5" t="n"/>
      <c r="AX139" s="5" t="n"/>
      <c r="AY139" s="5" t="n"/>
      <c r="AZ139" s="5" t="n"/>
      <c r="BA139" s="5" t="n"/>
      <c r="BB139" s="5" t="n"/>
      <c r="BC139" s="5" t="n"/>
      <c r="BD139" s="5" t="n"/>
      <c r="BE139" s="39">
        <f t="array" ref="BE139">MIN(100, MAX(0,
  IFERROR(_xlfn.XLOOKUP(AT139,'Lookup Tables'!$D$2:$D$6,'Lookup Tables'!$E$2:$E$6,0),0)
  + IFERROR(_xlfn.XLOOKUP(AV139,'Lookup Tables'!$G$2:$G$5,'Lookup Tables'!$H$2:$H$5,0),0)
  + IFERROR(_xlfn.XLOOKUP(AW139,'Lookup Tables'!$J$2:$J$5,'Lookup Tables'!$K$2:$K$5,0),0)
  + _xlfn.IFS(AX139="No Issues",10, AX139="Complaint Filed",3, AX139="Confirmed Breach",-15, TRUE,0)
  + IFERROR(_xlfn.XLOOKUP(AY139,'Lookup Tables'!$M$2:$M$6,'Lookup Tables'!$N$2:$N$6,0),0)
  + IFERROR(_xlfn.XLOOKUP(AZ139,'Lookup Tables'!$P$2:$P$6,'Lookup Tables'!$Q$2:$Q$6,0),0)
  + _xlfn.IFS(BA139="Formal Board Committee",5, BA139="Board Oversight Mentioned",2, TRUE,0)
  + _xlfn.IFS(BB139="Yes — Quantified Targets",5, BB139="Yes — Discretionary Only",2, TRUE,0)
  + _xlfn.IFS(BC139="Reasonable Assurance",5, BC139="Limited Assurance",3, BC139="Management Review Only",1, TRUE,0)
))</f>
        <v/>
      </c>
      <c r="BF139" s="5" t="n"/>
      <c r="BG139" s="5" t="n"/>
      <c r="BH139" s="5" t="n"/>
      <c r="BI139" s="5" t="n"/>
      <c r="BJ139" s="5" t="n"/>
      <c r="BK139" s="5" t="n"/>
      <c r="BL139" s="5" t="n"/>
      <c r="BM139" s="5" t="n"/>
      <c r="BN139" s="5" t="n"/>
      <c r="BO139" s="5" t="n"/>
      <c r="BP139" s="5" t="n"/>
      <c r="BQ139" s="5" t="n"/>
      <c r="BR139" s="5" t="n"/>
      <c r="BS139" s="41">
        <f t="array" ref="BS139">MIN(100, MAX(0,
  IFERROR(_xlfn.XLOOKUP(BG139,'Lookup Tables'!$A$11:$A$16,'Lookup Tables'!$B$11:$B$16,0),0)
  + IFERROR(_xlfn.XLOOKUP(BR139,'Lookup Tables'!$M$11:$M$14,'Lookup Tables'!$N$11:$N$14,0),0)
  + IFERROR(_xlfn.XLOOKUP(BQ139,'Lookup Tables'!$J$11:$J$15,'Lookup Tables'!$K$11:$K$15,0),0)
  + IFERROR(_xlfn.XLOOKUP(BH139,'Lookup Tables'!$D$11:$D$15,'Lookup Tables'!$E$11:$E$15,0),0)
  + IFERROR(_xlfn.XLOOKUP(BJ139,'Lookup Tables'!$G$11:$G$16,'Lookup Tables'!$H$11:$H$16,0),0)
  + IFERROR(_xlfn.XLOOKUP(BN139,'Lookup Tables'!$P$11:$P$15,'Lookup Tables'!$Q$11:$Q$15,0),0)
  + _xlfn.IFS(BM139="No Evidence",10, BM139="Unknown",3, BM139="Likely",0, BM139="Confirmed",-10, TRUE,3)
  + IFERROR(_xlfn.XLOOKUP(BP139,'Lookup Tables'!$J$21:$J$24,'Lookup Tables'!$K$21:$K$24,0),0)
))</f>
        <v/>
      </c>
      <c r="BT139" s="5" t="n"/>
      <c r="BU139" s="5" t="n"/>
      <c r="BV139" s="5" t="n"/>
      <c r="BW139" s="5" t="n"/>
      <c r="BX139" s="5" t="n"/>
      <c r="BY139" s="5" t="n"/>
      <c r="BZ139" s="5" t="n"/>
      <c r="CA139" s="5" t="n"/>
      <c r="CB139" s="5" t="n"/>
      <c r="CC139" s="5" t="n"/>
      <c r="CD139" s="5" t="n"/>
      <c r="CE139" s="43">
        <f t="array" ref="CE139">MIN(100, MAX(0,
  IF(ISNUMBER(BV139)*AND(BV139&gt;0), 10, 0)
  + _xlfn.IFS(BY139="Independently Verified",25, BY139="Yes",15, TRUE,0)
  + IFERROR(_xlfn.XLOOKUP(BZ139,'Lookup Tables'!$A$21:$A$24,'Lookup Tables'!$B$21:$B$24,0),0)
  + IFERROR(_xlfn.XLOOKUP(CA139,'Lookup Tables'!$D$21:$D$24,'Lookup Tables'!$E$21:$E$24,0),0)
  + _xlfn.IFS(ISNUMBER(CB139)*AND(CB139&gt;=11),15, ISNUMBER(CB139)*AND(CB139&gt;=6),10, ISNUMBER(CB139)*AND(CB139&gt;=1),5, TRUE,0)
  + IFERROR(_xlfn.XLOOKUP(CC139,'Lookup Tables'!$G$21:$G$25,'Lookup Tables'!$H$21:$H$25,0),0)
  - IF(ISNUMBER(BW139)*AND(ISNUMBER(BV139))*AND(BW139&gt;BV139), 20, 0)
  - IF(AND(BY139="Yes", ISNUMBER(BW139), BW139&gt;60), 10, 0)
))</f>
        <v/>
      </c>
      <c r="CF139" s="5" t="n"/>
      <c r="CG139" s="5" t="n"/>
      <c r="CH139" s="5" t="n"/>
      <c r="CI139" s="5" t="n"/>
      <c r="CJ139" s="5" t="n"/>
      <c r="CK139" s="5" t="n"/>
      <c r="CL139" s="5" t="n"/>
      <c r="CM139" s="5" t="n"/>
      <c r="CN139" s="5" t="n"/>
      <c r="CO139" s="5" t="n"/>
      <c r="CP139" s="5" t="n"/>
      <c r="CQ139" s="5" t="n"/>
      <c r="CR139" s="5">
        <f>COUNTIF(CJ139:CQ139,"FAIL")</f>
        <v/>
      </c>
      <c r="CS139" s="5">
        <f>COUNTIF(CJ139:CQ139,"PARTIAL")</f>
        <v/>
      </c>
      <c r="CT139" s="5">
        <f>COUNTIF(CJ139:CQ139,"MISSING")</f>
        <v/>
      </c>
      <c r="CU139" s="5">
        <f>MIN(100,
  CR139*15
  + CS139*6
  + CT139*3
  + IFERROR(_xlfn.XLOOKUP(CW139,'Lookup Tables'!$M$21:$M$25,'Lookup Tables'!$N$21:$N$25,0),0)
)</f>
        <v/>
      </c>
      <c r="CV139" s="5">
        <f>IFERROR(
CHOOSE(
MATCH("FAIL",CJ139:CQ139,0),
"1-Specificity","2-Metric","3-Baseline","4-Target",
"5-Time Horizon","6-Scope","7-Verification","8-Consistency"
),
IFERROR(
CHOOSE(
MATCH("PARTIAL",CJ139:CQ139,0),
"1-Specificity","2-Metric","3-Baseline","4-Target",
"5-Time Horizon","6-Scope","7-Verification","8-Consistency"
),
"No failures"
)
)</f>
        <v/>
      </c>
      <c r="CW139" s="5" t="n"/>
      <c r="CX139" s="5" t="n"/>
      <c r="CY139" s="5" t="n"/>
      <c r="CZ139" s="5" t="n"/>
      <c r="DA139" s="5">
        <f>IF(OR(CU139&gt;=50,CW139="Material",CW139="Severe",AS139="Material",AS139="Severe",BF139="Material",BF139="Severe — Exclusion Trigger",AND(ISNUMBER(BS139),BS139&lt;30)),"Yes","No")</f>
        <v/>
      </c>
      <c r="DB139" s="5">
        <f>IF(OR(CR139&gt;=6,AW139="Confirmed Violation",AX139="Confirmed Breach"),"Yes — Automatic",IF(CW139="Severe","Yes — Requires Captain Confirmation","No"))</f>
        <v/>
      </c>
      <c r="DC139" s="5" t="n"/>
      <c r="DD139" s="5" t="n"/>
      <c r="DE139" s="5" t="n"/>
      <c r="DF139" s="5" t="n"/>
      <c r="DG139" s="5" t="n"/>
      <c r="DH139" s="5" t="n"/>
      <c r="DI139" s="5" t="n"/>
      <c r="DJ139" s="5" t="n"/>
      <c r="DK139" s="5" t="n"/>
      <c r="DL139" s="5">
        <f>IF(OR(IFERROR(VALUE(LEFT(DF139,1)),99)&lt;=2,IFERROR(VALUE(LEFT(DG139,1)),99)&lt;=2),"Flagged","Clear")</f>
        <v/>
      </c>
      <c r="DM139" s="5">
        <f>IF(OR(DA139="Yes",DB139&lt;&gt;"No",DH139="Unverified",DL139="Flagged"),"Yes","No")</f>
        <v/>
      </c>
      <c r="DN139" s="5">
        <f t="array" ref="DN139">MIN(100,
  IF(ISNUMBER(V139), _xlfn.IFS(V139&gt;=3,25, V139=2,15, V139=1,5, TRUE,0), 0)
  + IFERROR(_xlfn.IFS(VALUE(LEFT(DF139,1))=5,25, VALUE(LEFT(DF139,1))=4,20, VALUE(LEFT(DF139,1))=3,15, VALUE(LEFT(DF139,1))=2,8, TRUE,0), 15)
  + IFERROR(_xlfn.IFS(VALUE(LEFT(DG139,1))=5,25, VALUE(LEFT(DG139,1))=4,20, VALUE(LEFT(DG139,1))=3,15, VALUE(LEFT(DG139,1))=2,8, TRUE,0), 15)
  + _xlfn.IFS(DH139="Fully Verified",25, DH139="Partially Verified",12, TRUE,0)
)</f>
        <v/>
      </c>
      <c r="DO139" s="5">
        <f t="array" ref="DO139">_xlfn.IFS(
  ISBLANK(AR139), "Insufficient Evidence",
  AND(AR139&gt;=65, AJ139="Approved"), "Strong",
  AR139&gt;=65, "Adequate",
  AR139&gt;=40, "Adequate",
  AR139&gt;=20, "Weak",
  TRUE, "Insufficient Evidence"
)</f>
        <v/>
      </c>
      <c r="DP139" s="5">
        <f t="array" ref="DP139">_xlfn.IFS(
  ISBLANK(BS139), "Insufficient Evidence",
  BS139&gt;=65, "Strong",
  BS139&gt;=40, "Adequate",
  BS139&gt;=20, "Weak",
  TRUE, "Insufficient Evidence"
)</f>
        <v/>
      </c>
      <c r="DQ139" s="5">
        <f t="array" ref="DQ139">_xlfn.IFS(
  ISBLANK(BE139), "Insufficient Evidence",
  OR(AW139="Confirmed Violation", AX139="Confirmed Breach"), "Severe — Hard Trigger",
  BE139&gt;=65, "Strong",
  BE139&gt;=40, "Adequate",
  BE139&gt;=20, "Weak",
  TRUE, "Insufficient Evidence"
)</f>
        <v/>
      </c>
      <c r="DR139" s="5">
        <f t="array" ref="DR139">_xlfn.IFS(
  ISBLANK(CU139), "Insufficient Evidence",
  CU139&lt;=20, "Low Risk",
  CU139&lt;=50, "Moderate Risk",
  CU139&lt;=75, "High Risk",
  TRUE, "Very High Risk"
)</f>
        <v/>
      </c>
      <c r="DS139" s="5">
        <f t="array" ref="DS139">_xlfn.IFS(
  ISBLANK(CE139), "Insufficient Evidence",
  AND(ISNUMBER(BW139),ISNUMBER(BV139),BW139&gt;BV139), "Overclaiming Risk",
  CE139&gt;=65, "Strong",
  CE139&gt;=40, "Adequate",
  TRUE, "Weak"
)</f>
        <v/>
      </c>
      <c r="DT139" s="5">
        <f>IF(DB139="Yes — Automatic",0,ROUND((IF(ISNUMBER(AR139),AR139,0)*0.3+IF(ISNUMBER(BS139),BS139,0)*0.2+IF(ISNUMBER(BE139),BE139,0)*0.2+IF(ISNUMBER(CE139),CE139,0)*0.15+(100-IF(ISNUMBER(CU139),CU139,50))*0.15)*IF(DN139&gt;=75,1,IF(DN139&gt;=50,0.9,IF(DN139&gt;=25,0.75,0.6))),1))</f>
        <v/>
      </c>
      <c r="DU139" s="5">
        <f t="array" ref="DU139">_xlfn.IFS(
  DV139="Upgraded to Clear", "Clear",
  DV139="Downgraded to Watchlist", "Watchlist",
  DV139="Downgraded to Exclusion", "Exclusion Risk",
  DB139="Yes — Automatic", "Exclusion Risk",
  OR(AW139="Confirmed Violation", AX139="Confirmed Breach"), "Exclusion Risk",
  OR(V139=0, ISBLANK(V139), DN139&lt;20), "Insufficient Evidence",
  AND(DT139&gt;=65, DA139="No", DB139="No"), "Clear",
  OR(DT139&gt;=40, DA139="Yes"), "Watchlist",
  TRUE, "Exclusion Risk"
)</f>
        <v/>
      </c>
      <c r="DV139" s="5" t="n"/>
      <c r="DW139" s="5">
        <f t="array" ref="DW139">_xlfn.IFS(
  DU139="Exclusion Risk", "Exclude — Hard Trigger",
  DU139="Insufficient Evidence", "Watchlist — Further Evidence Needed",
  DU139="Watchlist", "Watchlist — Further Evidence Needed",
  AND(DU139="Clear", DT139&gt;=80), "Include — No Conditions",
  DU139="Clear", "Include — Monitor",
  TRUE, "Watchlist — Further Evidence Needed"
)</f>
        <v/>
      </c>
      <c r="DX139" s="5" t="n"/>
      <c r="DY139" s="5" t="n"/>
      <c r="DZ139" s="5" t="n"/>
      <c r="EA139" s="5" t="n"/>
      <c r="EB139" s="5">
        <f>IF(OR(V139=0, ISBLANK(V139)), "MISSING — No sources reviewed", "")</f>
        <v/>
      </c>
      <c r="EC139" s="5">
        <f>IF(AND(NOT(ISBLANK(DC139)), ISBLANK(DE139)), "PAGE REF MISSING", "")</f>
        <v/>
      </c>
    </row>
    <row r="140" ht="18" customHeight="1" s="60">
      <c r="A140" s="5" t="inlineStr">
        <is>
          <t>Rexel SA</t>
        </is>
      </c>
      <c r="B140" s="5" t="inlineStr">
        <is>
          <t>E7V</t>
        </is>
      </c>
      <c r="C140" s="5">
        <f>IF(ISBLANK('Universe Tracker'!D115),"",'Universe Tracker'!D115)</f>
        <v/>
      </c>
      <c r="D140" s="5" t="n"/>
      <c r="E140" s="5" t="n"/>
      <c r="F140" s="5">
        <f>IF(ISBLANK('Universe Tracker'!F115),"",'Universe Tracker'!F115)</f>
        <v/>
      </c>
      <c r="G140" s="5">
        <f>IF(ISBLANK('Universe Tracker'!G115),"",'Universe Tracker'!G115)</f>
        <v/>
      </c>
      <c r="H140" s="5" t="n"/>
      <c r="I140" s="5" t="n"/>
      <c r="J140" s="5">
        <f>IF(ISBLANK(B140),"",B140&amp;"_"&amp;C140)</f>
        <v/>
      </c>
      <c r="K140" s="5" t="n"/>
      <c r="L140" s="5" t="n"/>
      <c r="M140" s="5" t="n"/>
      <c r="N140" s="5" t="n"/>
      <c r="O140" s="5" t="n"/>
      <c r="P140" s="5" t="n"/>
      <c r="Q140" s="5" t="n"/>
      <c r="R140" s="5" t="n"/>
      <c r="S140" s="5" t="n"/>
      <c r="T140" s="5" t="n"/>
      <c r="U140" s="5" t="n"/>
      <c r="V140" s="5" t="n"/>
      <c r="W140" s="5" t="n"/>
      <c r="X140" s="5" t="n"/>
      <c r="Y140" s="5">
        <f>IF(AND(V140&gt;=2,K140="Yes",L140="Yes"),"Sufficient",IF(AND(V140&gt;=1,OR(K140="Yes",L140="Yes")),"Thin","Insufficient"))</f>
        <v/>
      </c>
      <c r="Z140" s="5" t="n"/>
      <c r="AA140" s="5" t="n"/>
      <c r="AB140" s="5" t="n"/>
      <c r="AC140" s="5" t="n"/>
      <c r="AD140" s="5" t="n"/>
      <c r="AE140" s="5" t="n"/>
      <c r="AF140" s="5" t="n"/>
      <c r="AG140" s="5" t="n"/>
      <c r="AH140" s="5" t="n"/>
      <c r="AI140" s="5" t="n"/>
      <c r="AJ140" s="5" t="n"/>
      <c r="AK140" s="5" t="n"/>
      <c r="AL140" s="5" t="n"/>
      <c r="AM140" s="5" t="n"/>
      <c r="AN140" s="5" t="n"/>
      <c r="AO140" s="5" t="n"/>
      <c r="AP140" s="5" t="n"/>
      <c r="AQ140" s="5" t="n"/>
      <c r="AR140" s="40">
        <f t="array" ref="AR140">MIN(100, MAX(0,
  IFERROR(_xlfn.XLOOKUP(AJ140,'Lookup Tables'!$A$2:$A$7,'Lookup Tables'!$B$2:$B$7,0),0)
  + IF(Z140="Yes", IF(IFERROR(_xlfn.XLOOKUP(AJ140,'Lookup Tables'!$A$2:$A$7,'Lookup Tables'!$B$2:$B$7,0),0)&lt;20, 5, 0), 0)
  + _xlfn.IFS(AB140="Yes", IF(ISNUMBER(AC140)*AND(AC140&lt;=2030),15,10), AB140="Long-term Only", 5, AB140="No", 0, TRUE, 0)
  + _xlfn.IFS(AF140="Full",10, AF140="Partial",5, AF140="Scope 2 Only",3, TRUE,0)
  + _xlfn.IFS(AG140="Yes", IF(ISNUMBER(AH140)*AND(AH140&gt;=5),10,6), AG140="Partial",4, TRUE,0)
  + _xlfn.IFS(AI140="Yes",5, AI140="Partial (material categories only)",3, TRUE,0)
  + _xlfn.IFS(AL140="Yes — Detailed",10, AL140="Yes — High Level",5, TRUE,0)
  + _xlfn.IFS(AM140="Yes — Quantified",15, AM140="Yes — Directional Only",7, TRUE,0)
  + _xlfn.IFS(AP140="Formal",5, AP140="Referenced",2, TRUE,0)
  + _xlfn.IFS(AQ140="No Issues Found",5, AQ140="Concern Identified",-5, AQ140="Severe Contradiction",-15, TRUE,0)
  + _xlfn.IFS(BC140="Reasonable Assurance",5, BC140="Limited Assurance",3, TRUE,0)
  - IF(AND(Z140="Yes", AI140="No"), 10, 0)
  - IF(AND(Z140="Yes", AM140="No"), 10, 0)
))</f>
        <v/>
      </c>
      <c r="AS140" s="5" t="n"/>
      <c r="AT140" s="5" t="n"/>
      <c r="AU140" s="5" t="n"/>
      <c r="AV140" s="5" t="n"/>
      <c r="AW140" s="5" t="n"/>
      <c r="AX140" s="5" t="n"/>
      <c r="AY140" s="5" t="n"/>
      <c r="AZ140" s="5" t="n"/>
      <c r="BA140" s="5" t="n"/>
      <c r="BB140" s="5" t="n"/>
      <c r="BC140" s="5" t="n"/>
      <c r="BD140" s="5" t="n"/>
      <c r="BE140" s="39">
        <f t="array" ref="BE140">MIN(100, MAX(0,
  IFERROR(_xlfn.XLOOKUP(AT140,'Lookup Tables'!$D$2:$D$6,'Lookup Tables'!$E$2:$E$6,0),0)
  + IFERROR(_xlfn.XLOOKUP(AV140,'Lookup Tables'!$G$2:$G$5,'Lookup Tables'!$H$2:$H$5,0),0)
  + IFERROR(_xlfn.XLOOKUP(AW140,'Lookup Tables'!$J$2:$J$5,'Lookup Tables'!$K$2:$K$5,0),0)
  + _xlfn.IFS(AX140="No Issues",10, AX140="Complaint Filed",3, AX140="Confirmed Breach",-15, TRUE,0)
  + IFERROR(_xlfn.XLOOKUP(AY140,'Lookup Tables'!$M$2:$M$6,'Lookup Tables'!$N$2:$N$6,0),0)
  + IFERROR(_xlfn.XLOOKUP(AZ140,'Lookup Tables'!$P$2:$P$6,'Lookup Tables'!$Q$2:$Q$6,0),0)
  + _xlfn.IFS(BA140="Formal Board Committee",5, BA140="Board Oversight Mentioned",2, TRUE,0)
  + _xlfn.IFS(BB140="Yes — Quantified Targets",5, BB140="Yes — Discretionary Only",2, TRUE,0)
  + _xlfn.IFS(BC140="Reasonable Assurance",5, BC140="Limited Assurance",3, BC140="Management Review Only",1, TRUE,0)
))</f>
        <v/>
      </c>
      <c r="BF140" s="5" t="n"/>
      <c r="BG140" s="5" t="n"/>
      <c r="BH140" s="5" t="n"/>
      <c r="BI140" s="5" t="n"/>
      <c r="BJ140" s="5" t="n"/>
      <c r="BK140" s="5" t="n"/>
      <c r="BL140" s="5" t="n"/>
      <c r="BM140" s="5" t="n"/>
      <c r="BN140" s="5" t="n"/>
      <c r="BO140" s="5" t="n"/>
      <c r="BP140" s="5" t="n"/>
      <c r="BQ140" s="5" t="n"/>
      <c r="BR140" s="5" t="n"/>
      <c r="BS140" s="41">
        <f t="array" ref="BS140">MIN(100, MAX(0,
  IFERROR(_xlfn.XLOOKUP(BG140,'Lookup Tables'!$A$11:$A$16,'Lookup Tables'!$B$11:$B$16,0),0)
  + IFERROR(_xlfn.XLOOKUP(BR140,'Lookup Tables'!$M$11:$M$14,'Lookup Tables'!$N$11:$N$14,0),0)
  + IFERROR(_xlfn.XLOOKUP(BQ140,'Lookup Tables'!$J$11:$J$15,'Lookup Tables'!$K$11:$K$15,0),0)
  + IFERROR(_xlfn.XLOOKUP(BH140,'Lookup Tables'!$D$11:$D$15,'Lookup Tables'!$E$11:$E$15,0),0)
  + IFERROR(_xlfn.XLOOKUP(BJ140,'Lookup Tables'!$G$11:$G$16,'Lookup Tables'!$H$11:$H$16,0),0)
  + IFERROR(_xlfn.XLOOKUP(BN140,'Lookup Tables'!$P$11:$P$15,'Lookup Tables'!$Q$11:$Q$15,0),0)
  + _xlfn.IFS(BM140="No Evidence",10, BM140="Unknown",3, BM140="Likely",0, BM140="Confirmed",-10, TRUE,3)
  + IFERROR(_xlfn.XLOOKUP(BP140,'Lookup Tables'!$J$21:$J$24,'Lookup Tables'!$K$21:$K$24,0),0)
))</f>
        <v/>
      </c>
      <c r="BT140" s="5" t="n"/>
      <c r="BU140" s="5" t="n"/>
      <c r="BV140" s="5" t="n"/>
      <c r="BW140" s="5" t="n"/>
      <c r="BX140" s="5" t="n"/>
      <c r="BY140" s="5" t="n"/>
      <c r="BZ140" s="5" t="n"/>
      <c r="CA140" s="5" t="n"/>
      <c r="CB140" s="5" t="n"/>
      <c r="CC140" s="5" t="n"/>
      <c r="CD140" s="5" t="n"/>
      <c r="CE140" s="43">
        <f t="array" ref="CE140">MIN(100, MAX(0,
  IF(ISNUMBER(BV140)*AND(BV140&gt;0), 10, 0)
  + _xlfn.IFS(BY140="Independently Verified",25, BY140="Yes",15, TRUE,0)
  + IFERROR(_xlfn.XLOOKUP(BZ140,'Lookup Tables'!$A$21:$A$24,'Lookup Tables'!$B$21:$B$24,0),0)
  + IFERROR(_xlfn.XLOOKUP(CA140,'Lookup Tables'!$D$21:$D$24,'Lookup Tables'!$E$21:$E$24,0),0)
  + _xlfn.IFS(ISNUMBER(CB140)*AND(CB140&gt;=11),15, ISNUMBER(CB140)*AND(CB140&gt;=6),10, ISNUMBER(CB140)*AND(CB140&gt;=1),5, TRUE,0)
  + IFERROR(_xlfn.XLOOKUP(CC140,'Lookup Tables'!$G$21:$G$25,'Lookup Tables'!$H$21:$H$25,0),0)
  - IF(ISNUMBER(BW140)*AND(ISNUMBER(BV140))*AND(BW140&gt;BV140), 20, 0)
  - IF(AND(BY140="Yes", ISNUMBER(BW140), BW140&gt;60), 10, 0)
))</f>
        <v/>
      </c>
      <c r="CF140" s="5" t="n"/>
      <c r="CG140" s="5" t="n"/>
      <c r="CH140" s="5" t="n"/>
      <c r="CI140" s="5" t="n"/>
      <c r="CJ140" s="5" t="n"/>
      <c r="CK140" s="5" t="n"/>
      <c r="CL140" s="5" t="n"/>
      <c r="CM140" s="5" t="n"/>
      <c r="CN140" s="5" t="n"/>
      <c r="CO140" s="5" t="n"/>
      <c r="CP140" s="5" t="n"/>
      <c r="CQ140" s="5" t="n"/>
      <c r="CR140" s="5">
        <f>COUNTIF(CJ140:CQ140,"FAIL")</f>
        <v/>
      </c>
      <c r="CS140" s="5">
        <f>COUNTIF(CJ140:CQ140,"PARTIAL")</f>
        <v/>
      </c>
      <c r="CT140" s="5">
        <f>COUNTIF(CJ140:CQ140,"MISSING")</f>
        <v/>
      </c>
      <c r="CU140" s="5">
        <f>MIN(100,
  CR140*15
  + CS140*6
  + CT140*3
  + IFERROR(_xlfn.XLOOKUP(CW140,'Lookup Tables'!$M$21:$M$25,'Lookup Tables'!$N$21:$N$25,0),0)
)</f>
        <v/>
      </c>
      <c r="CV140" s="5">
        <f>IFERROR(
CHOOSE(
MATCH("FAIL",CJ140:CQ140,0),
"1-Specificity","2-Metric","3-Baseline","4-Target",
"5-Time Horizon","6-Scope","7-Verification","8-Consistency"
),
IFERROR(
CHOOSE(
MATCH("PARTIAL",CJ140:CQ140,0),
"1-Specificity","2-Metric","3-Baseline","4-Target",
"5-Time Horizon","6-Scope","7-Verification","8-Consistency"
),
"No failures"
)
)</f>
        <v/>
      </c>
      <c r="CW140" s="5" t="n"/>
      <c r="CX140" s="5" t="n"/>
      <c r="CY140" s="5" t="n"/>
      <c r="CZ140" s="5" t="n"/>
      <c r="DA140" s="5">
        <f>IF(OR(CU140&gt;=50,CW140="Material",CW140="Severe",AS140="Material",AS140="Severe",BF140="Material",BF140="Severe — Exclusion Trigger",AND(ISNUMBER(BS140),BS140&lt;30)),"Yes","No")</f>
        <v/>
      </c>
      <c r="DB140" s="5">
        <f>IF(OR(CR140&gt;=6,AW140="Confirmed Violation",AX140="Confirmed Breach"),"Yes — Automatic",IF(CW140="Severe","Yes — Requires Captain Confirmation","No"))</f>
        <v/>
      </c>
      <c r="DC140" s="5" t="n"/>
      <c r="DD140" s="5" t="n"/>
      <c r="DE140" s="5" t="n"/>
      <c r="DF140" s="5" t="n"/>
      <c r="DG140" s="5" t="n"/>
      <c r="DH140" s="5" t="n"/>
      <c r="DI140" s="5" t="n"/>
      <c r="DJ140" s="5" t="n"/>
      <c r="DK140" s="5" t="n"/>
      <c r="DL140" s="5">
        <f>IF(OR(IFERROR(VALUE(LEFT(DF140,1)),99)&lt;=2,IFERROR(VALUE(LEFT(DG140,1)),99)&lt;=2),"Flagged","Clear")</f>
        <v/>
      </c>
      <c r="DM140" s="5">
        <f>IF(OR(DA140="Yes",DB140&lt;&gt;"No",DH140="Unverified",DL140="Flagged"),"Yes","No")</f>
        <v/>
      </c>
      <c r="DN140" s="5">
        <f t="array" ref="DN140">MIN(100,
  IF(ISNUMBER(V140), _xlfn.IFS(V140&gt;=3,25, V140=2,15, V140=1,5, TRUE,0), 0)
  + IFERROR(_xlfn.IFS(VALUE(LEFT(DF140,1))=5,25, VALUE(LEFT(DF140,1))=4,20, VALUE(LEFT(DF140,1))=3,15, VALUE(LEFT(DF140,1))=2,8, TRUE,0), 15)
  + IFERROR(_xlfn.IFS(VALUE(LEFT(DG140,1))=5,25, VALUE(LEFT(DG140,1))=4,20, VALUE(LEFT(DG140,1))=3,15, VALUE(LEFT(DG140,1))=2,8, TRUE,0), 15)
  + _xlfn.IFS(DH140="Fully Verified",25, DH140="Partially Verified",12, TRUE,0)
)</f>
        <v/>
      </c>
      <c r="DO140" s="5">
        <f t="array" ref="DO140">_xlfn.IFS(
  ISBLANK(AR140), "Insufficient Evidence",
  AND(AR140&gt;=65, AJ140="Approved"), "Strong",
  AR140&gt;=65, "Adequate",
  AR140&gt;=40, "Adequate",
  AR140&gt;=20, "Weak",
  TRUE, "Insufficient Evidence"
)</f>
        <v/>
      </c>
      <c r="DP140" s="5">
        <f t="array" ref="DP140">_xlfn.IFS(
  ISBLANK(BS140), "Insufficient Evidence",
  BS140&gt;=65, "Strong",
  BS140&gt;=40, "Adequate",
  BS140&gt;=20, "Weak",
  TRUE, "Insufficient Evidence"
)</f>
        <v/>
      </c>
      <c r="DQ140" s="5">
        <f t="array" ref="DQ140">_xlfn.IFS(
  ISBLANK(BE140), "Insufficient Evidence",
  OR(AW140="Confirmed Violation", AX140="Confirmed Breach"), "Severe — Hard Trigger",
  BE140&gt;=65, "Strong",
  BE140&gt;=40, "Adequate",
  BE140&gt;=20, "Weak",
  TRUE, "Insufficient Evidence"
)</f>
        <v/>
      </c>
      <c r="DR140" s="5">
        <f t="array" ref="DR140">_xlfn.IFS(
  ISBLANK(CU140), "Insufficient Evidence",
  CU140&lt;=20, "Low Risk",
  CU140&lt;=50, "Moderate Risk",
  CU140&lt;=75, "High Risk",
  TRUE, "Very High Risk"
)</f>
        <v/>
      </c>
      <c r="DS140" s="5">
        <f t="array" ref="DS140">_xlfn.IFS(
  ISBLANK(CE140), "Insufficient Evidence",
  AND(ISNUMBER(BW140),ISNUMBER(BV140),BW140&gt;BV140), "Overclaiming Risk",
  CE140&gt;=65, "Strong",
  CE140&gt;=40, "Adequate",
  TRUE, "Weak"
)</f>
        <v/>
      </c>
      <c r="DT140" s="5">
        <f>IF(DB140="Yes — Automatic",0,ROUND((IF(ISNUMBER(AR140),AR140,0)*0.3+IF(ISNUMBER(BS140),BS140,0)*0.2+IF(ISNUMBER(BE140),BE140,0)*0.2+IF(ISNUMBER(CE140),CE140,0)*0.15+(100-IF(ISNUMBER(CU140),CU140,50))*0.15)*IF(DN140&gt;=75,1,IF(DN140&gt;=50,0.9,IF(DN140&gt;=25,0.75,0.6))),1))</f>
        <v/>
      </c>
      <c r="DU140" s="5">
        <f t="array" ref="DU140">_xlfn.IFS(
  DV140="Upgraded to Clear", "Clear",
  DV140="Downgraded to Watchlist", "Watchlist",
  DV140="Downgraded to Exclusion", "Exclusion Risk",
  DB140="Yes — Automatic", "Exclusion Risk",
  OR(AW140="Confirmed Violation", AX140="Confirmed Breach"), "Exclusion Risk",
  OR(V140=0, ISBLANK(V140), DN140&lt;20), "Insufficient Evidence",
  AND(DT140&gt;=65, DA140="No", DB140="No"), "Clear",
  OR(DT140&gt;=40, DA140="Yes"), "Watchlist",
  TRUE, "Exclusion Risk"
)</f>
        <v/>
      </c>
      <c r="DV140" s="5" t="n"/>
      <c r="DW140" s="5">
        <f t="array" ref="DW140">_xlfn.IFS(
  DU140="Exclusion Risk", "Exclude — Hard Trigger",
  DU140="Insufficient Evidence", "Watchlist — Further Evidence Needed",
  DU140="Watchlist", "Watchlist — Further Evidence Needed",
  AND(DU140="Clear", DT140&gt;=80), "Include — No Conditions",
  DU140="Clear", "Include — Monitor",
  TRUE, "Watchlist — Further Evidence Needed"
)</f>
        <v/>
      </c>
      <c r="DX140" s="5" t="n"/>
      <c r="DY140" s="5" t="n"/>
      <c r="DZ140" s="5" t="n"/>
      <c r="EA140" s="5" t="n"/>
      <c r="EB140" s="5">
        <f>IF(OR(V140=0, ISBLANK(V140)), "MISSING — No sources reviewed", "")</f>
        <v/>
      </c>
      <c r="EC140" s="5">
        <f>IF(AND(NOT(ISBLANK(DC140)), ISBLANK(DE140)), "PAGE REF MISSING", "")</f>
        <v/>
      </c>
    </row>
    <row r="141" ht="18" customHeight="1" s="60">
      <c r="A141" s="5" t="inlineStr">
        <is>
          <t>Aurubis AG</t>
        </is>
      </c>
      <c r="B141" s="5" t="inlineStr">
        <is>
          <t>NDA</t>
        </is>
      </c>
      <c r="C141" s="5">
        <f>IF(ISBLANK('Universe Tracker'!D116),"",'Universe Tracker'!D116)</f>
        <v/>
      </c>
      <c r="D141" s="5" t="n"/>
      <c r="E141" s="5" t="n"/>
      <c r="F141" s="5">
        <f>IF(ISBLANK('Universe Tracker'!F116),"",'Universe Tracker'!F116)</f>
        <v/>
      </c>
      <c r="G141" s="5">
        <f>IF(ISBLANK('Universe Tracker'!G116),"",'Universe Tracker'!G116)</f>
        <v/>
      </c>
      <c r="H141" s="5" t="n"/>
      <c r="I141" s="5" t="n"/>
      <c r="J141" s="5">
        <f>IF(ISBLANK(B141),"",B141&amp;"_"&amp;C141)</f>
        <v/>
      </c>
      <c r="K141" s="5" t="n"/>
      <c r="L141" s="5" t="n"/>
      <c r="M141" s="5" t="n"/>
      <c r="N141" s="5" t="n"/>
      <c r="O141" s="5" t="n"/>
      <c r="P141" s="5" t="n"/>
      <c r="Q141" s="5" t="n"/>
      <c r="R141" s="5" t="n"/>
      <c r="S141" s="5" t="n"/>
      <c r="T141" s="5" t="n"/>
      <c r="U141" s="5" t="n"/>
      <c r="V141" s="5" t="n"/>
      <c r="W141" s="5" t="n"/>
      <c r="X141" s="5" t="n"/>
      <c r="Y141" s="5">
        <f>IF(AND(V141&gt;=2,K141="Yes",L141="Yes"),"Sufficient",IF(AND(V141&gt;=1,OR(K141="Yes",L141="Yes")),"Thin","Insufficient"))</f>
        <v/>
      </c>
      <c r="Z141" s="5" t="n"/>
      <c r="AA141" s="5" t="n"/>
      <c r="AB141" s="5" t="n"/>
      <c r="AC141" s="5" t="n"/>
      <c r="AD141" s="5" t="n"/>
      <c r="AE141" s="5" t="n"/>
      <c r="AF141" s="5" t="n"/>
      <c r="AG141" s="5" t="n"/>
      <c r="AH141" s="5" t="n"/>
      <c r="AI141" s="5" t="n"/>
      <c r="AJ141" s="5" t="n"/>
      <c r="AK141" s="5" t="n"/>
      <c r="AL141" s="5" t="n"/>
      <c r="AM141" s="5" t="n"/>
      <c r="AN141" s="5" t="n"/>
      <c r="AO141" s="5" t="n"/>
      <c r="AP141" s="5" t="n"/>
      <c r="AQ141" s="5" t="n"/>
      <c r="AR141" s="40">
        <f t="array" ref="AR141">MIN(100, MAX(0,
  IFERROR(_xlfn.XLOOKUP(AJ141,'Lookup Tables'!$A$2:$A$7,'Lookup Tables'!$B$2:$B$7,0),0)
  + IF(Z141="Yes", IF(IFERROR(_xlfn.XLOOKUP(AJ141,'Lookup Tables'!$A$2:$A$7,'Lookup Tables'!$B$2:$B$7,0),0)&lt;20, 5, 0), 0)
  + _xlfn.IFS(AB141="Yes", IF(ISNUMBER(AC141)*AND(AC141&lt;=2030),15,10), AB141="Long-term Only", 5, AB141="No", 0, TRUE, 0)
  + _xlfn.IFS(AF141="Full",10, AF141="Partial",5, AF141="Scope 2 Only",3, TRUE,0)
  + _xlfn.IFS(AG141="Yes", IF(ISNUMBER(AH141)*AND(AH141&gt;=5),10,6), AG141="Partial",4, TRUE,0)
  + _xlfn.IFS(AI141="Yes",5, AI141="Partial (material categories only)",3, TRUE,0)
  + _xlfn.IFS(AL141="Yes — Detailed",10, AL141="Yes — High Level",5, TRUE,0)
  + _xlfn.IFS(AM141="Yes — Quantified",15, AM141="Yes — Directional Only",7, TRUE,0)
  + _xlfn.IFS(AP141="Formal",5, AP141="Referenced",2, TRUE,0)
  + _xlfn.IFS(AQ141="No Issues Found",5, AQ141="Concern Identified",-5, AQ141="Severe Contradiction",-15, TRUE,0)
  + _xlfn.IFS(BC141="Reasonable Assurance",5, BC141="Limited Assurance",3, TRUE,0)
  - IF(AND(Z141="Yes", AI141="No"), 10, 0)
  - IF(AND(Z141="Yes", AM141="No"), 10, 0)
))</f>
        <v/>
      </c>
      <c r="AS141" s="5" t="n"/>
      <c r="AT141" s="5" t="n"/>
      <c r="AU141" s="5" t="n"/>
      <c r="AV141" s="5" t="n"/>
      <c r="AW141" s="5" t="n"/>
      <c r="AX141" s="5" t="n"/>
      <c r="AY141" s="5" t="n"/>
      <c r="AZ141" s="5" t="n"/>
      <c r="BA141" s="5" t="n"/>
      <c r="BB141" s="5" t="n"/>
      <c r="BC141" s="5" t="n"/>
      <c r="BD141" s="5" t="n"/>
      <c r="BE141" s="39">
        <f t="array" ref="BE141">MIN(100, MAX(0,
  IFERROR(_xlfn.XLOOKUP(AT141,'Lookup Tables'!$D$2:$D$6,'Lookup Tables'!$E$2:$E$6,0),0)
  + IFERROR(_xlfn.XLOOKUP(AV141,'Lookup Tables'!$G$2:$G$5,'Lookup Tables'!$H$2:$H$5,0),0)
  + IFERROR(_xlfn.XLOOKUP(AW141,'Lookup Tables'!$J$2:$J$5,'Lookup Tables'!$K$2:$K$5,0),0)
  + _xlfn.IFS(AX141="No Issues",10, AX141="Complaint Filed",3, AX141="Confirmed Breach",-15, TRUE,0)
  + IFERROR(_xlfn.XLOOKUP(AY141,'Lookup Tables'!$M$2:$M$6,'Lookup Tables'!$N$2:$N$6,0),0)
  + IFERROR(_xlfn.XLOOKUP(AZ141,'Lookup Tables'!$P$2:$P$6,'Lookup Tables'!$Q$2:$Q$6,0),0)
  + _xlfn.IFS(BA141="Formal Board Committee",5, BA141="Board Oversight Mentioned",2, TRUE,0)
  + _xlfn.IFS(BB141="Yes — Quantified Targets",5, BB141="Yes — Discretionary Only",2, TRUE,0)
  + _xlfn.IFS(BC141="Reasonable Assurance",5, BC141="Limited Assurance",3, BC141="Management Review Only",1, TRUE,0)
))</f>
        <v/>
      </c>
      <c r="BF141" s="5" t="n"/>
      <c r="BG141" s="5" t="n"/>
      <c r="BH141" s="5" t="n"/>
      <c r="BI141" s="5" t="n"/>
      <c r="BJ141" s="5" t="n"/>
      <c r="BK141" s="5" t="n"/>
      <c r="BL141" s="5" t="n"/>
      <c r="BM141" s="5" t="n"/>
      <c r="BN141" s="5" t="n"/>
      <c r="BO141" s="5" t="n"/>
      <c r="BP141" s="5" t="n"/>
      <c r="BQ141" s="5" t="n"/>
      <c r="BR141" s="5" t="n"/>
      <c r="BS141" s="41">
        <f t="array" ref="BS141">MIN(100, MAX(0,
  IFERROR(_xlfn.XLOOKUP(BG141,'Lookup Tables'!$A$11:$A$16,'Lookup Tables'!$B$11:$B$16,0),0)
  + IFERROR(_xlfn.XLOOKUP(BR141,'Lookup Tables'!$M$11:$M$14,'Lookup Tables'!$N$11:$N$14,0),0)
  + IFERROR(_xlfn.XLOOKUP(BQ141,'Lookup Tables'!$J$11:$J$15,'Lookup Tables'!$K$11:$K$15,0),0)
  + IFERROR(_xlfn.XLOOKUP(BH141,'Lookup Tables'!$D$11:$D$15,'Lookup Tables'!$E$11:$E$15,0),0)
  + IFERROR(_xlfn.XLOOKUP(BJ141,'Lookup Tables'!$G$11:$G$16,'Lookup Tables'!$H$11:$H$16,0),0)
  + IFERROR(_xlfn.XLOOKUP(BN141,'Lookup Tables'!$P$11:$P$15,'Lookup Tables'!$Q$11:$Q$15,0),0)
  + _xlfn.IFS(BM141="No Evidence",10, BM141="Unknown",3, BM141="Likely",0, BM141="Confirmed",-10, TRUE,3)
  + IFERROR(_xlfn.XLOOKUP(BP141,'Lookup Tables'!$J$21:$J$24,'Lookup Tables'!$K$21:$K$24,0),0)
))</f>
        <v/>
      </c>
      <c r="BT141" s="5" t="n"/>
      <c r="BU141" s="5" t="n"/>
      <c r="BV141" s="5" t="n"/>
      <c r="BW141" s="5" t="n"/>
      <c r="BX141" s="5" t="n"/>
      <c r="BY141" s="5" t="n"/>
      <c r="BZ141" s="5" t="n"/>
      <c r="CA141" s="5" t="n"/>
      <c r="CB141" s="5" t="n"/>
      <c r="CC141" s="5" t="n"/>
      <c r="CD141" s="5" t="n"/>
      <c r="CE141" s="43">
        <f t="array" ref="CE141">MIN(100, MAX(0,
  IF(ISNUMBER(BV141)*AND(BV141&gt;0), 10, 0)
  + _xlfn.IFS(BY141="Independently Verified",25, BY141="Yes",15, TRUE,0)
  + IFERROR(_xlfn.XLOOKUP(BZ141,'Lookup Tables'!$A$21:$A$24,'Lookup Tables'!$B$21:$B$24,0),0)
  + IFERROR(_xlfn.XLOOKUP(CA141,'Lookup Tables'!$D$21:$D$24,'Lookup Tables'!$E$21:$E$24,0),0)
  + _xlfn.IFS(ISNUMBER(CB141)*AND(CB141&gt;=11),15, ISNUMBER(CB141)*AND(CB141&gt;=6),10, ISNUMBER(CB141)*AND(CB141&gt;=1),5, TRUE,0)
  + IFERROR(_xlfn.XLOOKUP(CC141,'Lookup Tables'!$G$21:$G$25,'Lookup Tables'!$H$21:$H$25,0),0)
  - IF(ISNUMBER(BW141)*AND(ISNUMBER(BV141))*AND(BW141&gt;BV141), 20, 0)
  - IF(AND(BY141="Yes", ISNUMBER(BW141), BW141&gt;60), 10, 0)
))</f>
        <v/>
      </c>
      <c r="CF141" s="5" t="n"/>
      <c r="CG141" s="5" t="n"/>
      <c r="CH141" s="5" t="n"/>
      <c r="CI141" s="5" t="n"/>
      <c r="CJ141" s="5" t="n"/>
      <c r="CK141" s="5" t="n"/>
      <c r="CL141" s="5" t="n"/>
      <c r="CM141" s="5" t="n"/>
      <c r="CN141" s="5" t="n"/>
      <c r="CO141" s="5" t="n"/>
      <c r="CP141" s="5" t="n"/>
      <c r="CQ141" s="5" t="n"/>
      <c r="CR141" s="5">
        <f>COUNTIF(CJ141:CQ141,"FAIL")</f>
        <v/>
      </c>
      <c r="CS141" s="5">
        <f>COUNTIF(CJ141:CQ141,"PARTIAL")</f>
        <v/>
      </c>
      <c r="CT141" s="5">
        <f>COUNTIF(CJ141:CQ141,"MISSING")</f>
        <v/>
      </c>
      <c r="CU141" s="5">
        <f>MIN(100,
  CR141*15
  + CS141*6
  + CT141*3
  + IFERROR(_xlfn.XLOOKUP(CW141,'Lookup Tables'!$M$21:$M$25,'Lookup Tables'!$N$21:$N$25,0),0)
)</f>
        <v/>
      </c>
      <c r="CV141" s="5">
        <f>IFERROR(
CHOOSE(
MATCH("FAIL",CJ141:CQ141,0),
"1-Specificity","2-Metric","3-Baseline","4-Target",
"5-Time Horizon","6-Scope","7-Verification","8-Consistency"
),
IFERROR(
CHOOSE(
MATCH("PARTIAL",CJ141:CQ141,0),
"1-Specificity","2-Metric","3-Baseline","4-Target",
"5-Time Horizon","6-Scope","7-Verification","8-Consistency"
),
"No failures"
)
)</f>
        <v/>
      </c>
      <c r="CW141" s="5" t="n"/>
      <c r="CX141" s="5" t="n"/>
      <c r="CY141" s="5" t="n"/>
      <c r="CZ141" s="5" t="n"/>
      <c r="DA141" s="5">
        <f>IF(OR(CU141&gt;=50,CW141="Material",CW141="Severe",AS141="Material",AS141="Severe",BF141="Material",BF141="Severe — Exclusion Trigger",AND(ISNUMBER(BS141),BS141&lt;30)),"Yes","No")</f>
        <v/>
      </c>
      <c r="DB141" s="5">
        <f>IF(OR(CR141&gt;=6,AW141="Confirmed Violation",AX141="Confirmed Breach"),"Yes — Automatic",IF(CW141="Severe","Yes — Requires Captain Confirmation","No"))</f>
        <v/>
      </c>
      <c r="DC141" s="5" t="n"/>
      <c r="DD141" s="5" t="n"/>
      <c r="DE141" s="5" t="n"/>
      <c r="DF141" s="5" t="n"/>
      <c r="DG141" s="5" t="n"/>
      <c r="DH141" s="5" t="n"/>
      <c r="DI141" s="5" t="n"/>
      <c r="DJ141" s="5" t="n"/>
      <c r="DK141" s="5" t="n"/>
      <c r="DL141" s="5">
        <f>IF(OR(IFERROR(VALUE(LEFT(DF141,1)),99)&lt;=2,IFERROR(VALUE(LEFT(DG141,1)),99)&lt;=2),"Flagged","Clear")</f>
        <v/>
      </c>
      <c r="DM141" s="5">
        <f>IF(OR(DA141="Yes",DB141&lt;&gt;"No",DH141="Unverified",DL141="Flagged"),"Yes","No")</f>
        <v/>
      </c>
      <c r="DN141" s="5">
        <f t="array" ref="DN141">MIN(100,
  IF(ISNUMBER(V141), _xlfn.IFS(V141&gt;=3,25, V141=2,15, V141=1,5, TRUE,0), 0)
  + IFERROR(_xlfn.IFS(VALUE(LEFT(DF141,1))=5,25, VALUE(LEFT(DF141,1))=4,20, VALUE(LEFT(DF141,1))=3,15, VALUE(LEFT(DF141,1))=2,8, TRUE,0), 15)
  + IFERROR(_xlfn.IFS(VALUE(LEFT(DG141,1))=5,25, VALUE(LEFT(DG141,1))=4,20, VALUE(LEFT(DG141,1))=3,15, VALUE(LEFT(DG141,1))=2,8, TRUE,0), 15)
  + _xlfn.IFS(DH141="Fully Verified",25, DH141="Partially Verified",12, TRUE,0)
)</f>
        <v/>
      </c>
      <c r="DO141" s="5">
        <f t="array" ref="DO141">_xlfn.IFS(
  ISBLANK(AR141), "Insufficient Evidence",
  AND(AR141&gt;=65, AJ141="Approved"), "Strong",
  AR141&gt;=65, "Adequate",
  AR141&gt;=40, "Adequate",
  AR141&gt;=20, "Weak",
  TRUE, "Insufficient Evidence"
)</f>
        <v/>
      </c>
      <c r="DP141" s="5">
        <f t="array" ref="DP141">_xlfn.IFS(
  ISBLANK(BS141), "Insufficient Evidence",
  BS141&gt;=65, "Strong",
  BS141&gt;=40, "Adequate",
  BS141&gt;=20, "Weak",
  TRUE, "Insufficient Evidence"
)</f>
        <v/>
      </c>
      <c r="DQ141" s="5">
        <f t="array" ref="DQ141">_xlfn.IFS(
  ISBLANK(BE141), "Insufficient Evidence",
  OR(AW141="Confirmed Violation", AX141="Confirmed Breach"), "Severe — Hard Trigger",
  BE141&gt;=65, "Strong",
  BE141&gt;=40, "Adequate",
  BE141&gt;=20, "Weak",
  TRUE, "Insufficient Evidence"
)</f>
        <v/>
      </c>
      <c r="DR141" s="5">
        <f t="array" ref="DR141">_xlfn.IFS(
  ISBLANK(CU141), "Insufficient Evidence",
  CU141&lt;=20, "Low Risk",
  CU141&lt;=50, "Moderate Risk",
  CU141&lt;=75, "High Risk",
  TRUE, "Very High Risk"
)</f>
        <v/>
      </c>
      <c r="DS141" s="5">
        <f t="array" ref="DS141">_xlfn.IFS(
  ISBLANK(CE141), "Insufficient Evidence",
  AND(ISNUMBER(BW141),ISNUMBER(BV141),BW141&gt;BV141), "Overclaiming Risk",
  CE141&gt;=65, "Strong",
  CE141&gt;=40, "Adequate",
  TRUE, "Weak"
)</f>
        <v/>
      </c>
      <c r="DT141" s="5">
        <f>IF(DB141="Yes — Automatic",0,ROUND((IF(ISNUMBER(AR141),AR141,0)*0.3+IF(ISNUMBER(BS141),BS141,0)*0.2+IF(ISNUMBER(BE141),BE141,0)*0.2+IF(ISNUMBER(CE141),CE141,0)*0.15+(100-IF(ISNUMBER(CU141),CU141,50))*0.15)*IF(DN141&gt;=75,1,IF(DN141&gt;=50,0.9,IF(DN141&gt;=25,0.75,0.6))),1))</f>
        <v/>
      </c>
      <c r="DU141" s="5">
        <f t="array" ref="DU141">_xlfn.IFS(
  DV141="Upgraded to Clear", "Clear",
  DV141="Downgraded to Watchlist", "Watchlist",
  DV141="Downgraded to Exclusion", "Exclusion Risk",
  DB141="Yes — Automatic", "Exclusion Risk",
  OR(AW141="Confirmed Violation", AX141="Confirmed Breach"), "Exclusion Risk",
  OR(V141=0, ISBLANK(V141), DN141&lt;20), "Insufficient Evidence",
  AND(DT141&gt;=65, DA141="No", DB141="No"), "Clear",
  OR(DT141&gt;=40, DA141="Yes"), "Watchlist",
  TRUE, "Exclusion Risk"
)</f>
        <v/>
      </c>
      <c r="DV141" s="5" t="n"/>
      <c r="DW141" s="5">
        <f t="array" ref="DW141">_xlfn.IFS(
  DU141="Exclusion Risk", "Exclude — Hard Trigger",
  DU141="Insufficient Evidence", "Watchlist — Further Evidence Needed",
  DU141="Watchlist", "Watchlist — Further Evidence Needed",
  AND(DU141="Clear", DT141&gt;=80), "Include — No Conditions",
  DU141="Clear", "Include — Monitor",
  TRUE, "Watchlist — Further Evidence Needed"
)</f>
        <v/>
      </c>
      <c r="DX141" s="5" t="n"/>
      <c r="DY141" s="5" t="n"/>
      <c r="DZ141" s="5" t="n"/>
      <c r="EA141" s="5" t="n"/>
      <c r="EB141" s="5">
        <f>IF(OR(V141=0, ISBLANK(V141)), "MISSING — No sources reviewed", "")</f>
        <v/>
      </c>
      <c r="EC141" s="5">
        <f>IF(AND(NOT(ISBLANK(DC141)), ISBLANK(DE141)), "PAGE REF MISSING", "")</f>
        <v/>
      </c>
    </row>
    <row r="142" ht="18" customHeight="1" s="60">
      <c r="A142" s="5" t="inlineStr">
        <is>
          <t>Ipsen SA</t>
        </is>
      </c>
      <c r="B142" s="5" t="inlineStr">
        <is>
          <t>I7G</t>
        </is>
      </c>
      <c r="C142" s="5">
        <f>IF(ISBLANK('Universe Tracker'!D117),"",'Universe Tracker'!D117)</f>
        <v/>
      </c>
      <c r="D142" s="5" t="n"/>
      <c r="E142" s="5" t="n"/>
      <c r="F142" s="5">
        <f>IF(ISBLANK('Universe Tracker'!F117),"",'Universe Tracker'!F117)</f>
        <v/>
      </c>
      <c r="G142" s="5">
        <f>IF(ISBLANK('Universe Tracker'!G117),"",'Universe Tracker'!G117)</f>
        <v/>
      </c>
      <c r="H142" s="5" t="n"/>
      <c r="I142" s="5" t="n"/>
      <c r="J142" s="5">
        <f>IF(ISBLANK(B142),"",B142&amp;"_"&amp;C142)</f>
        <v/>
      </c>
      <c r="K142" s="5" t="n"/>
      <c r="L142" s="5" t="n"/>
      <c r="M142" s="5" t="n"/>
      <c r="N142" s="5" t="n"/>
      <c r="O142" s="5" t="n"/>
      <c r="P142" s="5" t="n"/>
      <c r="Q142" s="5" t="n"/>
      <c r="R142" s="5" t="n"/>
      <c r="S142" s="5" t="n"/>
      <c r="T142" s="5" t="n"/>
      <c r="U142" s="5" t="n"/>
      <c r="V142" s="5" t="n"/>
      <c r="W142" s="5" t="n"/>
      <c r="X142" s="5" t="n"/>
      <c r="Y142" s="5">
        <f>IF(AND(V142&gt;=2,K142="Yes",L142="Yes"),"Sufficient",IF(AND(V142&gt;=1,OR(K142="Yes",L142="Yes")),"Thin","Insufficient"))</f>
        <v/>
      </c>
      <c r="Z142" s="5" t="n"/>
      <c r="AA142" s="5" t="n"/>
      <c r="AB142" s="5" t="n"/>
      <c r="AC142" s="5" t="n"/>
      <c r="AD142" s="5" t="n"/>
      <c r="AE142" s="5" t="n"/>
      <c r="AF142" s="5" t="n"/>
      <c r="AG142" s="5" t="n"/>
      <c r="AH142" s="5" t="n"/>
      <c r="AI142" s="5" t="n"/>
      <c r="AJ142" s="5" t="n"/>
      <c r="AK142" s="5" t="n"/>
      <c r="AL142" s="5" t="n"/>
      <c r="AM142" s="5" t="n"/>
      <c r="AN142" s="5" t="n"/>
      <c r="AO142" s="5" t="n"/>
      <c r="AP142" s="5" t="n"/>
      <c r="AQ142" s="5" t="n"/>
      <c r="AR142" s="40">
        <f t="array" ref="AR142">MIN(100, MAX(0,
  IFERROR(_xlfn.XLOOKUP(AJ142,'Lookup Tables'!$A$2:$A$7,'Lookup Tables'!$B$2:$B$7,0),0)
  + IF(Z142="Yes", IF(IFERROR(_xlfn.XLOOKUP(AJ142,'Lookup Tables'!$A$2:$A$7,'Lookup Tables'!$B$2:$B$7,0),0)&lt;20, 5, 0), 0)
  + _xlfn.IFS(AB142="Yes", IF(ISNUMBER(AC142)*AND(AC142&lt;=2030),15,10), AB142="Long-term Only", 5, AB142="No", 0, TRUE, 0)
  + _xlfn.IFS(AF142="Full",10, AF142="Partial",5, AF142="Scope 2 Only",3, TRUE,0)
  + _xlfn.IFS(AG142="Yes", IF(ISNUMBER(AH142)*AND(AH142&gt;=5),10,6), AG142="Partial",4, TRUE,0)
  + _xlfn.IFS(AI142="Yes",5, AI142="Partial (material categories only)",3, TRUE,0)
  + _xlfn.IFS(AL142="Yes — Detailed",10, AL142="Yes — High Level",5, TRUE,0)
  + _xlfn.IFS(AM142="Yes — Quantified",15, AM142="Yes — Directional Only",7, TRUE,0)
  + _xlfn.IFS(AP142="Formal",5, AP142="Referenced",2, TRUE,0)
  + _xlfn.IFS(AQ142="No Issues Found",5, AQ142="Concern Identified",-5, AQ142="Severe Contradiction",-15, TRUE,0)
  + _xlfn.IFS(BC142="Reasonable Assurance",5, BC142="Limited Assurance",3, TRUE,0)
  - IF(AND(Z142="Yes", AI142="No"), 10, 0)
  - IF(AND(Z142="Yes", AM142="No"), 10, 0)
))</f>
        <v/>
      </c>
      <c r="AS142" s="5" t="n"/>
      <c r="AT142" s="5" t="n"/>
      <c r="AU142" s="5" t="n"/>
      <c r="AV142" s="5" t="n"/>
      <c r="AW142" s="5" t="n"/>
      <c r="AX142" s="5" t="n"/>
      <c r="AY142" s="5" t="n"/>
      <c r="AZ142" s="5" t="n"/>
      <c r="BA142" s="5" t="n"/>
      <c r="BB142" s="5" t="n"/>
      <c r="BC142" s="5" t="n"/>
      <c r="BD142" s="5" t="n"/>
      <c r="BE142" s="39">
        <f t="array" ref="BE142">MIN(100, MAX(0,
  IFERROR(_xlfn.XLOOKUP(AT142,'Lookup Tables'!$D$2:$D$6,'Lookup Tables'!$E$2:$E$6,0),0)
  + IFERROR(_xlfn.XLOOKUP(AV142,'Lookup Tables'!$G$2:$G$5,'Lookup Tables'!$H$2:$H$5,0),0)
  + IFERROR(_xlfn.XLOOKUP(AW142,'Lookup Tables'!$J$2:$J$5,'Lookup Tables'!$K$2:$K$5,0),0)
  + _xlfn.IFS(AX142="No Issues",10, AX142="Complaint Filed",3, AX142="Confirmed Breach",-15, TRUE,0)
  + IFERROR(_xlfn.XLOOKUP(AY142,'Lookup Tables'!$M$2:$M$6,'Lookup Tables'!$N$2:$N$6,0),0)
  + IFERROR(_xlfn.XLOOKUP(AZ142,'Lookup Tables'!$P$2:$P$6,'Lookup Tables'!$Q$2:$Q$6,0),0)
  + _xlfn.IFS(BA142="Formal Board Committee",5, BA142="Board Oversight Mentioned",2, TRUE,0)
  + _xlfn.IFS(BB142="Yes — Quantified Targets",5, BB142="Yes — Discretionary Only",2, TRUE,0)
  + _xlfn.IFS(BC142="Reasonable Assurance",5, BC142="Limited Assurance",3, BC142="Management Review Only",1, TRUE,0)
))</f>
        <v/>
      </c>
      <c r="BF142" s="5" t="n"/>
      <c r="BG142" s="5" t="n"/>
      <c r="BH142" s="5" t="n"/>
      <c r="BI142" s="5" t="n"/>
      <c r="BJ142" s="5" t="n"/>
      <c r="BK142" s="5" t="n"/>
      <c r="BL142" s="5" t="n"/>
      <c r="BM142" s="5" t="n"/>
      <c r="BN142" s="5" t="n"/>
      <c r="BO142" s="5" t="n"/>
      <c r="BP142" s="5" t="n"/>
      <c r="BQ142" s="5" t="n"/>
      <c r="BR142" s="5" t="n"/>
      <c r="BS142" s="41">
        <f t="array" ref="BS142">MIN(100, MAX(0,
  IFERROR(_xlfn.XLOOKUP(BG142,'Lookup Tables'!$A$11:$A$16,'Lookup Tables'!$B$11:$B$16,0),0)
  + IFERROR(_xlfn.XLOOKUP(BR142,'Lookup Tables'!$M$11:$M$14,'Lookup Tables'!$N$11:$N$14,0),0)
  + IFERROR(_xlfn.XLOOKUP(BQ142,'Lookup Tables'!$J$11:$J$15,'Lookup Tables'!$K$11:$K$15,0),0)
  + IFERROR(_xlfn.XLOOKUP(BH142,'Lookup Tables'!$D$11:$D$15,'Lookup Tables'!$E$11:$E$15,0),0)
  + IFERROR(_xlfn.XLOOKUP(BJ142,'Lookup Tables'!$G$11:$G$16,'Lookup Tables'!$H$11:$H$16,0),0)
  + IFERROR(_xlfn.XLOOKUP(BN142,'Lookup Tables'!$P$11:$P$15,'Lookup Tables'!$Q$11:$Q$15,0),0)
  + _xlfn.IFS(BM142="No Evidence",10, BM142="Unknown",3, BM142="Likely",0, BM142="Confirmed",-10, TRUE,3)
  + IFERROR(_xlfn.XLOOKUP(BP142,'Lookup Tables'!$J$21:$J$24,'Lookup Tables'!$K$21:$K$24,0),0)
))</f>
        <v/>
      </c>
      <c r="BT142" s="5" t="n"/>
      <c r="BU142" s="5" t="n"/>
      <c r="BV142" s="5" t="n"/>
      <c r="BW142" s="5" t="n"/>
      <c r="BX142" s="5" t="n"/>
      <c r="BY142" s="5" t="n"/>
      <c r="BZ142" s="5" t="n"/>
      <c r="CA142" s="5" t="n"/>
      <c r="CB142" s="5" t="n"/>
      <c r="CC142" s="5" t="n"/>
      <c r="CD142" s="5" t="n"/>
      <c r="CE142" s="43">
        <f t="array" ref="CE142">MIN(100, MAX(0,
  IF(ISNUMBER(BV142)*AND(BV142&gt;0), 10, 0)
  + _xlfn.IFS(BY142="Independently Verified",25, BY142="Yes",15, TRUE,0)
  + IFERROR(_xlfn.XLOOKUP(BZ142,'Lookup Tables'!$A$21:$A$24,'Lookup Tables'!$B$21:$B$24,0),0)
  + IFERROR(_xlfn.XLOOKUP(CA142,'Lookup Tables'!$D$21:$D$24,'Lookup Tables'!$E$21:$E$24,0),0)
  + _xlfn.IFS(ISNUMBER(CB142)*AND(CB142&gt;=11),15, ISNUMBER(CB142)*AND(CB142&gt;=6),10, ISNUMBER(CB142)*AND(CB142&gt;=1),5, TRUE,0)
  + IFERROR(_xlfn.XLOOKUP(CC142,'Lookup Tables'!$G$21:$G$25,'Lookup Tables'!$H$21:$H$25,0),0)
  - IF(ISNUMBER(BW142)*AND(ISNUMBER(BV142))*AND(BW142&gt;BV142), 20, 0)
  - IF(AND(BY142="Yes", ISNUMBER(BW142), BW142&gt;60), 10, 0)
))</f>
        <v/>
      </c>
      <c r="CF142" s="5" t="n"/>
      <c r="CG142" s="5" t="n"/>
      <c r="CH142" s="5" t="n"/>
      <c r="CI142" s="5" t="n"/>
      <c r="CJ142" s="5" t="n"/>
      <c r="CK142" s="5" t="n"/>
      <c r="CL142" s="5" t="n"/>
      <c r="CM142" s="5" t="n"/>
      <c r="CN142" s="5" t="n"/>
      <c r="CO142" s="5" t="n"/>
      <c r="CP142" s="5" t="n"/>
      <c r="CQ142" s="5" t="n"/>
      <c r="CR142" s="5">
        <f>COUNTIF(CJ142:CQ142,"FAIL")</f>
        <v/>
      </c>
      <c r="CS142" s="5">
        <f>COUNTIF(CJ142:CQ142,"PARTIAL")</f>
        <v/>
      </c>
      <c r="CT142" s="5">
        <f>COUNTIF(CJ142:CQ142,"MISSING")</f>
        <v/>
      </c>
      <c r="CU142" s="5">
        <f>MIN(100,
  CR142*15
  + CS142*6
  + CT142*3
  + IFERROR(_xlfn.XLOOKUP(CW142,'Lookup Tables'!$M$21:$M$25,'Lookup Tables'!$N$21:$N$25,0),0)
)</f>
        <v/>
      </c>
      <c r="CV142" s="5">
        <f>IFERROR(
CHOOSE(
MATCH("FAIL",CJ142:CQ142,0),
"1-Specificity","2-Metric","3-Baseline","4-Target",
"5-Time Horizon","6-Scope","7-Verification","8-Consistency"
),
IFERROR(
CHOOSE(
MATCH("PARTIAL",CJ142:CQ142,0),
"1-Specificity","2-Metric","3-Baseline","4-Target",
"5-Time Horizon","6-Scope","7-Verification","8-Consistency"
),
"No failures"
)
)</f>
        <v/>
      </c>
      <c r="CW142" s="5" t="n"/>
      <c r="CX142" s="5" t="n"/>
      <c r="CY142" s="5" t="n"/>
      <c r="CZ142" s="5" t="n"/>
      <c r="DA142" s="5">
        <f>IF(OR(CU142&gt;=50,CW142="Material",CW142="Severe",AS142="Material",AS142="Severe",BF142="Material",BF142="Severe — Exclusion Trigger",AND(ISNUMBER(BS142),BS142&lt;30)),"Yes","No")</f>
        <v/>
      </c>
      <c r="DB142" s="5">
        <f>IF(OR(CR142&gt;=6,AW142="Confirmed Violation",AX142="Confirmed Breach"),"Yes — Automatic",IF(CW142="Severe","Yes — Requires Captain Confirmation","No"))</f>
        <v/>
      </c>
      <c r="DC142" s="5" t="n"/>
      <c r="DD142" s="5" t="n"/>
      <c r="DE142" s="5" t="n"/>
      <c r="DF142" s="5" t="n"/>
      <c r="DG142" s="5" t="n"/>
      <c r="DH142" s="5" t="n"/>
      <c r="DI142" s="5" t="n"/>
      <c r="DJ142" s="5" t="n"/>
      <c r="DK142" s="5" t="n"/>
      <c r="DL142" s="5">
        <f>IF(OR(IFERROR(VALUE(LEFT(DF142,1)),99)&lt;=2,IFERROR(VALUE(LEFT(DG142,1)),99)&lt;=2),"Flagged","Clear")</f>
        <v/>
      </c>
      <c r="DM142" s="5">
        <f>IF(OR(DA142="Yes",DB142&lt;&gt;"No",DH142="Unverified",DL142="Flagged"),"Yes","No")</f>
        <v/>
      </c>
      <c r="DN142" s="5">
        <f t="array" ref="DN142">MIN(100,
  IF(ISNUMBER(V142), _xlfn.IFS(V142&gt;=3,25, V142=2,15, V142=1,5, TRUE,0), 0)
  + IFERROR(_xlfn.IFS(VALUE(LEFT(DF142,1))=5,25, VALUE(LEFT(DF142,1))=4,20, VALUE(LEFT(DF142,1))=3,15, VALUE(LEFT(DF142,1))=2,8, TRUE,0), 15)
  + IFERROR(_xlfn.IFS(VALUE(LEFT(DG142,1))=5,25, VALUE(LEFT(DG142,1))=4,20, VALUE(LEFT(DG142,1))=3,15, VALUE(LEFT(DG142,1))=2,8, TRUE,0), 15)
  + _xlfn.IFS(DH142="Fully Verified",25, DH142="Partially Verified",12, TRUE,0)
)</f>
        <v/>
      </c>
      <c r="DO142" s="5">
        <f t="array" ref="DO142">_xlfn.IFS(
  ISBLANK(AR142), "Insufficient Evidence",
  AND(AR142&gt;=65, AJ142="Approved"), "Strong",
  AR142&gt;=65, "Adequate",
  AR142&gt;=40, "Adequate",
  AR142&gt;=20, "Weak",
  TRUE, "Insufficient Evidence"
)</f>
        <v/>
      </c>
      <c r="DP142" s="5">
        <f t="array" ref="DP142">_xlfn.IFS(
  ISBLANK(BS142), "Insufficient Evidence",
  BS142&gt;=65, "Strong",
  BS142&gt;=40, "Adequate",
  BS142&gt;=20, "Weak",
  TRUE, "Insufficient Evidence"
)</f>
        <v/>
      </c>
      <c r="DQ142" s="5">
        <f t="array" ref="DQ142">_xlfn.IFS(
  ISBLANK(BE142), "Insufficient Evidence",
  OR(AW142="Confirmed Violation", AX142="Confirmed Breach"), "Severe — Hard Trigger",
  BE142&gt;=65, "Strong",
  BE142&gt;=40, "Adequate",
  BE142&gt;=20, "Weak",
  TRUE, "Insufficient Evidence"
)</f>
        <v/>
      </c>
      <c r="DR142" s="5">
        <f t="array" ref="DR142">_xlfn.IFS(
  ISBLANK(CU142), "Insufficient Evidence",
  CU142&lt;=20, "Low Risk",
  CU142&lt;=50, "Moderate Risk",
  CU142&lt;=75, "High Risk",
  TRUE, "Very High Risk"
)</f>
        <v/>
      </c>
      <c r="DS142" s="5">
        <f t="array" ref="DS142">_xlfn.IFS(
  ISBLANK(CE142), "Insufficient Evidence",
  AND(ISNUMBER(BW142),ISNUMBER(BV142),BW142&gt;BV142), "Overclaiming Risk",
  CE142&gt;=65, "Strong",
  CE142&gt;=40, "Adequate",
  TRUE, "Weak"
)</f>
        <v/>
      </c>
      <c r="DT142" s="5">
        <f>IF(DB142="Yes — Automatic",0,ROUND((IF(ISNUMBER(AR142),AR142,0)*0.3+IF(ISNUMBER(BS142),BS142,0)*0.2+IF(ISNUMBER(BE142),BE142,0)*0.2+IF(ISNUMBER(CE142),CE142,0)*0.15+(100-IF(ISNUMBER(CU142),CU142,50))*0.15)*IF(DN142&gt;=75,1,IF(DN142&gt;=50,0.9,IF(DN142&gt;=25,0.75,0.6))),1))</f>
        <v/>
      </c>
      <c r="DU142" s="5">
        <f t="array" ref="DU142">_xlfn.IFS(
  DV142="Upgraded to Clear", "Clear",
  DV142="Downgraded to Watchlist", "Watchlist",
  DV142="Downgraded to Exclusion", "Exclusion Risk",
  DB142="Yes — Automatic", "Exclusion Risk",
  OR(AW142="Confirmed Violation", AX142="Confirmed Breach"), "Exclusion Risk",
  OR(V142=0, ISBLANK(V142), DN142&lt;20), "Insufficient Evidence",
  AND(DT142&gt;=65, DA142="No", DB142="No"), "Clear",
  OR(DT142&gt;=40, DA142="Yes"), "Watchlist",
  TRUE, "Exclusion Risk"
)</f>
        <v/>
      </c>
      <c r="DV142" s="5" t="n"/>
      <c r="DW142" s="5">
        <f t="array" ref="DW142">_xlfn.IFS(
  DU142="Exclusion Risk", "Exclude — Hard Trigger",
  DU142="Insufficient Evidence", "Watchlist — Further Evidence Needed",
  DU142="Watchlist", "Watchlist — Further Evidence Needed",
  AND(DU142="Clear", DT142&gt;=80), "Include — No Conditions",
  DU142="Clear", "Include — Monitor",
  TRUE, "Watchlist — Further Evidence Needed"
)</f>
        <v/>
      </c>
      <c r="DX142" s="5" t="n"/>
      <c r="DY142" s="5" t="n"/>
      <c r="DZ142" s="5" t="n"/>
      <c r="EA142" s="5" t="n"/>
      <c r="EB142" s="5">
        <f>IF(OR(V142=0, ISBLANK(V142)), "MISSING — No sources reviewed", "")</f>
        <v/>
      </c>
      <c r="EC142" s="5">
        <f>IF(AND(NOT(ISBLANK(DC142)), ISBLANK(DE142)), "PAGE REF MISSING", "")</f>
        <v/>
      </c>
    </row>
    <row r="143" ht="18" customHeight="1" s="60">
      <c r="A143" s="5" t="inlineStr">
        <is>
          <t>Swiss Life Holding AG</t>
        </is>
      </c>
      <c r="B143" s="5" t="inlineStr">
        <is>
          <t>SLW</t>
        </is>
      </c>
      <c r="C143" s="5">
        <f>IF(ISBLANK('Universe Tracker'!D118),"",'Universe Tracker'!D118)</f>
        <v/>
      </c>
      <c r="D143" s="5" t="n"/>
      <c r="E143" s="5" t="n"/>
      <c r="F143" s="5">
        <f>IF(ISBLANK('Universe Tracker'!F118),"",'Universe Tracker'!F118)</f>
        <v/>
      </c>
      <c r="G143" s="5">
        <f>IF(ISBLANK('Universe Tracker'!G118),"",'Universe Tracker'!G118)</f>
        <v/>
      </c>
      <c r="H143" s="5" t="n"/>
      <c r="I143" s="5" t="n"/>
      <c r="J143" s="5">
        <f>IF(ISBLANK(B143),"",B143&amp;"_"&amp;C143)</f>
        <v/>
      </c>
      <c r="K143" s="5" t="n"/>
      <c r="L143" s="5" t="n"/>
      <c r="M143" s="5" t="n"/>
      <c r="N143" s="5" t="n"/>
      <c r="O143" s="5" t="n"/>
      <c r="P143" s="5" t="n"/>
      <c r="Q143" s="5" t="n"/>
      <c r="R143" s="5" t="n"/>
      <c r="S143" s="5" t="n"/>
      <c r="T143" s="5" t="n"/>
      <c r="U143" s="5" t="n"/>
      <c r="V143" s="5" t="n"/>
      <c r="W143" s="5" t="n"/>
      <c r="X143" s="5" t="n"/>
      <c r="Y143" s="5">
        <f>IF(AND(V143&gt;=2,K143="Yes",L143="Yes"),"Sufficient",IF(AND(V143&gt;=1,OR(K143="Yes",L143="Yes")),"Thin","Insufficient"))</f>
        <v/>
      </c>
      <c r="Z143" s="5" t="n"/>
      <c r="AA143" s="5" t="n"/>
      <c r="AB143" s="5" t="n"/>
      <c r="AC143" s="5" t="n"/>
      <c r="AD143" s="5" t="n"/>
      <c r="AE143" s="5" t="n"/>
      <c r="AF143" s="5" t="n"/>
      <c r="AG143" s="5" t="n"/>
      <c r="AH143" s="5" t="n"/>
      <c r="AI143" s="5" t="n"/>
      <c r="AJ143" s="5" t="n"/>
      <c r="AK143" s="5" t="n"/>
      <c r="AL143" s="5" t="n"/>
      <c r="AM143" s="5" t="n"/>
      <c r="AN143" s="5" t="n"/>
      <c r="AO143" s="5" t="n"/>
      <c r="AP143" s="5" t="n"/>
      <c r="AQ143" s="5" t="n"/>
      <c r="AR143" s="40">
        <f t="array" ref="AR143">MIN(100, MAX(0,
  IFERROR(_xlfn.XLOOKUP(AJ143,'Lookup Tables'!$A$2:$A$7,'Lookup Tables'!$B$2:$B$7,0),0)
  + IF(Z143="Yes", IF(IFERROR(_xlfn.XLOOKUP(AJ143,'Lookup Tables'!$A$2:$A$7,'Lookup Tables'!$B$2:$B$7,0),0)&lt;20, 5, 0), 0)
  + _xlfn.IFS(AB143="Yes", IF(ISNUMBER(AC143)*AND(AC143&lt;=2030),15,10), AB143="Long-term Only", 5, AB143="No", 0, TRUE, 0)
  + _xlfn.IFS(AF143="Full",10, AF143="Partial",5, AF143="Scope 2 Only",3, TRUE,0)
  + _xlfn.IFS(AG143="Yes", IF(ISNUMBER(AH143)*AND(AH143&gt;=5),10,6), AG143="Partial",4, TRUE,0)
  + _xlfn.IFS(AI143="Yes",5, AI143="Partial (material categories only)",3, TRUE,0)
  + _xlfn.IFS(AL143="Yes — Detailed",10, AL143="Yes — High Level",5, TRUE,0)
  + _xlfn.IFS(AM143="Yes — Quantified",15, AM143="Yes — Directional Only",7, TRUE,0)
  + _xlfn.IFS(AP143="Formal",5, AP143="Referenced",2, TRUE,0)
  + _xlfn.IFS(AQ143="No Issues Found",5, AQ143="Concern Identified",-5, AQ143="Severe Contradiction",-15, TRUE,0)
  + _xlfn.IFS(BC143="Reasonable Assurance",5, BC143="Limited Assurance",3, TRUE,0)
  - IF(AND(Z143="Yes", AI143="No"), 10, 0)
  - IF(AND(Z143="Yes", AM143="No"), 10, 0)
))</f>
        <v/>
      </c>
      <c r="AS143" s="5" t="n"/>
      <c r="AT143" s="5" t="n"/>
      <c r="AU143" s="5" t="n"/>
      <c r="AV143" s="5" t="n"/>
      <c r="AW143" s="5" t="n"/>
      <c r="AX143" s="5" t="n"/>
      <c r="AY143" s="5" t="n"/>
      <c r="AZ143" s="5" t="n"/>
      <c r="BA143" s="5" t="n"/>
      <c r="BB143" s="5" t="n"/>
      <c r="BC143" s="5" t="n"/>
      <c r="BD143" s="5" t="n"/>
      <c r="BE143" s="39">
        <f t="array" ref="BE143">MIN(100, MAX(0,
  IFERROR(_xlfn.XLOOKUP(AT143,'Lookup Tables'!$D$2:$D$6,'Lookup Tables'!$E$2:$E$6,0),0)
  + IFERROR(_xlfn.XLOOKUP(AV143,'Lookup Tables'!$G$2:$G$5,'Lookup Tables'!$H$2:$H$5,0),0)
  + IFERROR(_xlfn.XLOOKUP(AW143,'Lookup Tables'!$J$2:$J$5,'Lookup Tables'!$K$2:$K$5,0),0)
  + _xlfn.IFS(AX143="No Issues",10, AX143="Complaint Filed",3, AX143="Confirmed Breach",-15, TRUE,0)
  + IFERROR(_xlfn.XLOOKUP(AY143,'Lookup Tables'!$M$2:$M$6,'Lookup Tables'!$N$2:$N$6,0),0)
  + IFERROR(_xlfn.XLOOKUP(AZ143,'Lookup Tables'!$P$2:$P$6,'Lookup Tables'!$Q$2:$Q$6,0),0)
  + _xlfn.IFS(BA143="Formal Board Committee",5, BA143="Board Oversight Mentioned",2, TRUE,0)
  + _xlfn.IFS(BB143="Yes — Quantified Targets",5, BB143="Yes — Discretionary Only",2, TRUE,0)
  + _xlfn.IFS(BC143="Reasonable Assurance",5, BC143="Limited Assurance",3, BC143="Management Review Only",1, TRUE,0)
))</f>
        <v/>
      </c>
      <c r="BF143" s="5" t="n"/>
      <c r="BG143" s="5" t="n"/>
      <c r="BH143" s="5" t="n"/>
      <c r="BI143" s="5" t="n"/>
      <c r="BJ143" s="5" t="n"/>
      <c r="BK143" s="5" t="n"/>
      <c r="BL143" s="5" t="n"/>
      <c r="BM143" s="5" t="n"/>
      <c r="BN143" s="5" t="n"/>
      <c r="BO143" s="5" t="n"/>
      <c r="BP143" s="5" t="n"/>
      <c r="BQ143" s="5" t="n"/>
      <c r="BR143" s="5" t="n"/>
      <c r="BS143" s="41">
        <f t="array" ref="BS143">MIN(100, MAX(0,
  IFERROR(_xlfn.XLOOKUP(BG143,'Lookup Tables'!$A$11:$A$16,'Lookup Tables'!$B$11:$B$16,0),0)
  + IFERROR(_xlfn.XLOOKUP(BR143,'Lookup Tables'!$M$11:$M$14,'Lookup Tables'!$N$11:$N$14,0),0)
  + IFERROR(_xlfn.XLOOKUP(BQ143,'Lookup Tables'!$J$11:$J$15,'Lookup Tables'!$K$11:$K$15,0),0)
  + IFERROR(_xlfn.XLOOKUP(BH143,'Lookup Tables'!$D$11:$D$15,'Lookup Tables'!$E$11:$E$15,0),0)
  + IFERROR(_xlfn.XLOOKUP(BJ143,'Lookup Tables'!$G$11:$G$16,'Lookup Tables'!$H$11:$H$16,0),0)
  + IFERROR(_xlfn.XLOOKUP(BN143,'Lookup Tables'!$P$11:$P$15,'Lookup Tables'!$Q$11:$Q$15,0),0)
  + _xlfn.IFS(BM143="No Evidence",10, BM143="Unknown",3, BM143="Likely",0, BM143="Confirmed",-10, TRUE,3)
  + IFERROR(_xlfn.XLOOKUP(BP143,'Lookup Tables'!$J$21:$J$24,'Lookup Tables'!$K$21:$K$24,0),0)
))</f>
        <v/>
      </c>
      <c r="BT143" s="5" t="n"/>
      <c r="BU143" s="5" t="n"/>
      <c r="BV143" s="5" t="n"/>
      <c r="BW143" s="5" t="n"/>
      <c r="BX143" s="5" t="n"/>
      <c r="BY143" s="5" t="n"/>
      <c r="BZ143" s="5" t="n"/>
      <c r="CA143" s="5" t="n"/>
      <c r="CB143" s="5" t="n"/>
      <c r="CC143" s="5" t="n"/>
      <c r="CD143" s="5" t="n"/>
      <c r="CE143" s="43">
        <f t="array" ref="CE143">MIN(100, MAX(0,
  IF(ISNUMBER(BV143)*AND(BV143&gt;0), 10, 0)
  + _xlfn.IFS(BY143="Independently Verified",25, BY143="Yes",15, TRUE,0)
  + IFERROR(_xlfn.XLOOKUP(BZ143,'Lookup Tables'!$A$21:$A$24,'Lookup Tables'!$B$21:$B$24,0),0)
  + IFERROR(_xlfn.XLOOKUP(CA143,'Lookup Tables'!$D$21:$D$24,'Lookup Tables'!$E$21:$E$24,0),0)
  + _xlfn.IFS(ISNUMBER(CB143)*AND(CB143&gt;=11),15, ISNUMBER(CB143)*AND(CB143&gt;=6),10, ISNUMBER(CB143)*AND(CB143&gt;=1),5, TRUE,0)
  + IFERROR(_xlfn.XLOOKUP(CC143,'Lookup Tables'!$G$21:$G$25,'Lookup Tables'!$H$21:$H$25,0),0)
  - IF(ISNUMBER(BW143)*AND(ISNUMBER(BV143))*AND(BW143&gt;BV143), 20, 0)
  - IF(AND(BY143="Yes", ISNUMBER(BW143), BW143&gt;60), 10, 0)
))</f>
        <v/>
      </c>
      <c r="CF143" s="5" t="n"/>
      <c r="CG143" s="5" t="n"/>
      <c r="CH143" s="5" t="n"/>
      <c r="CI143" s="5" t="n"/>
      <c r="CJ143" s="5" t="n"/>
      <c r="CK143" s="5" t="n"/>
      <c r="CL143" s="5" t="n"/>
      <c r="CM143" s="5" t="n"/>
      <c r="CN143" s="5" t="n"/>
      <c r="CO143" s="5" t="n"/>
      <c r="CP143" s="5" t="n"/>
      <c r="CQ143" s="5" t="n"/>
      <c r="CR143" s="5">
        <f>COUNTIF(CJ143:CQ143,"FAIL")</f>
        <v/>
      </c>
      <c r="CS143" s="5">
        <f>COUNTIF(CJ143:CQ143,"PARTIAL")</f>
        <v/>
      </c>
      <c r="CT143" s="5">
        <f>COUNTIF(CJ143:CQ143,"MISSING")</f>
        <v/>
      </c>
      <c r="CU143" s="5">
        <f>MIN(100,
  CR143*15
  + CS143*6
  + CT143*3
  + IFERROR(_xlfn.XLOOKUP(CW143,'Lookup Tables'!$M$21:$M$25,'Lookup Tables'!$N$21:$N$25,0),0)
)</f>
        <v/>
      </c>
      <c r="CV143" s="5">
        <f>IFERROR(
CHOOSE(
MATCH("FAIL",CJ143:CQ143,0),
"1-Specificity","2-Metric","3-Baseline","4-Target",
"5-Time Horizon","6-Scope","7-Verification","8-Consistency"
),
IFERROR(
CHOOSE(
MATCH("PARTIAL",CJ143:CQ143,0),
"1-Specificity","2-Metric","3-Baseline","4-Target",
"5-Time Horizon","6-Scope","7-Verification","8-Consistency"
),
"No failures"
)
)</f>
        <v/>
      </c>
      <c r="CW143" s="5" t="n"/>
      <c r="CX143" s="5" t="n"/>
      <c r="CY143" s="5" t="n"/>
      <c r="CZ143" s="5" t="n"/>
      <c r="DA143" s="5">
        <f>IF(OR(CU143&gt;=50,CW143="Material",CW143="Severe",AS143="Material",AS143="Severe",BF143="Material",BF143="Severe — Exclusion Trigger",AND(ISNUMBER(BS143),BS143&lt;30)),"Yes","No")</f>
        <v/>
      </c>
      <c r="DB143" s="5">
        <f>IF(OR(CR143&gt;=6,AW143="Confirmed Violation",AX143="Confirmed Breach"),"Yes — Automatic",IF(CW143="Severe","Yes — Requires Captain Confirmation","No"))</f>
        <v/>
      </c>
      <c r="DC143" s="5" t="n"/>
      <c r="DD143" s="5" t="n"/>
      <c r="DE143" s="5" t="n"/>
      <c r="DF143" s="5" t="n"/>
      <c r="DG143" s="5" t="n"/>
      <c r="DH143" s="5" t="n"/>
      <c r="DI143" s="5" t="n"/>
      <c r="DJ143" s="5" t="n"/>
      <c r="DK143" s="5" t="n"/>
      <c r="DL143" s="5">
        <f>IF(OR(IFERROR(VALUE(LEFT(DF143,1)),99)&lt;=2,IFERROR(VALUE(LEFT(DG143,1)),99)&lt;=2),"Flagged","Clear")</f>
        <v/>
      </c>
      <c r="DM143" s="5">
        <f>IF(OR(DA143="Yes",DB143&lt;&gt;"No",DH143="Unverified",DL143="Flagged"),"Yes","No")</f>
        <v/>
      </c>
      <c r="DN143" s="5">
        <f t="array" ref="DN143">MIN(100,
  IF(ISNUMBER(V143), _xlfn.IFS(V143&gt;=3,25, V143=2,15, V143=1,5, TRUE,0), 0)
  + IFERROR(_xlfn.IFS(VALUE(LEFT(DF143,1))=5,25, VALUE(LEFT(DF143,1))=4,20, VALUE(LEFT(DF143,1))=3,15, VALUE(LEFT(DF143,1))=2,8, TRUE,0), 15)
  + IFERROR(_xlfn.IFS(VALUE(LEFT(DG143,1))=5,25, VALUE(LEFT(DG143,1))=4,20, VALUE(LEFT(DG143,1))=3,15, VALUE(LEFT(DG143,1))=2,8, TRUE,0), 15)
  + _xlfn.IFS(DH143="Fully Verified",25, DH143="Partially Verified",12, TRUE,0)
)</f>
        <v/>
      </c>
      <c r="DO143" s="5">
        <f t="array" ref="DO143">_xlfn.IFS(
  ISBLANK(AR143), "Insufficient Evidence",
  AND(AR143&gt;=65, AJ143="Approved"), "Strong",
  AR143&gt;=65, "Adequate",
  AR143&gt;=40, "Adequate",
  AR143&gt;=20, "Weak",
  TRUE, "Insufficient Evidence"
)</f>
        <v/>
      </c>
      <c r="DP143" s="5">
        <f t="array" ref="DP143">_xlfn.IFS(
  ISBLANK(BS143), "Insufficient Evidence",
  BS143&gt;=65, "Strong",
  BS143&gt;=40, "Adequate",
  BS143&gt;=20, "Weak",
  TRUE, "Insufficient Evidence"
)</f>
        <v/>
      </c>
      <c r="DQ143" s="5">
        <f t="array" ref="DQ143">_xlfn.IFS(
  ISBLANK(BE143), "Insufficient Evidence",
  OR(AW143="Confirmed Violation", AX143="Confirmed Breach"), "Severe — Hard Trigger",
  BE143&gt;=65, "Strong",
  BE143&gt;=40, "Adequate",
  BE143&gt;=20, "Weak",
  TRUE, "Insufficient Evidence"
)</f>
        <v/>
      </c>
      <c r="DR143" s="5">
        <f t="array" ref="DR143">_xlfn.IFS(
  ISBLANK(CU143), "Insufficient Evidence",
  CU143&lt;=20, "Low Risk",
  CU143&lt;=50, "Moderate Risk",
  CU143&lt;=75, "High Risk",
  TRUE, "Very High Risk"
)</f>
        <v/>
      </c>
      <c r="DS143" s="5">
        <f t="array" ref="DS143">_xlfn.IFS(
  ISBLANK(CE143), "Insufficient Evidence",
  AND(ISNUMBER(BW143),ISNUMBER(BV143),BW143&gt;BV143), "Overclaiming Risk",
  CE143&gt;=65, "Strong",
  CE143&gt;=40, "Adequate",
  TRUE, "Weak"
)</f>
        <v/>
      </c>
      <c r="DT143" s="5">
        <f>IF(DB143="Yes — Automatic",0,ROUND((IF(ISNUMBER(AR143),AR143,0)*0.3+IF(ISNUMBER(BS143),BS143,0)*0.2+IF(ISNUMBER(BE143),BE143,0)*0.2+IF(ISNUMBER(CE143),CE143,0)*0.15+(100-IF(ISNUMBER(CU143),CU143,50))*0.15)*IF(DN143&gt;=75,1,IF(DN143&gt;=50,0.9,IF(DN143&gt;=25,0.75,0.6))),1))</f>
        <v/>
      </c>
      <c r="DU143" s="5">
        <f t="array" ref="DU143">_xlfn.IFS(
  DV143="Upgraded to Clear", "Clear",
  DV143="Downgraded to Watchlist", "Watchlist",
  DV143="Downgraded to Exclusion", "Exclusion Risk",
  DB143="Yes — Automatic", "Exclusion Risk",
  OR(AW143="Confirmed Violation", AX143="Confirmed Breach"), "Exclusion Risk",
  OR(V143=0, ISBLANK(V143), DN143&lt;20), "Insufficient Evidence",
  AND(DT143&gt;=65, DA143="No", DB143="No"), "Clear",
  OR(DT143&gt;=40, DA143="Yes"), "Watchlist",
  TRUE, "Exclusion Risk"
)</f>
        <v/>
      </c>
      <c r="DV143" s="5" t="n"/>
      <c r="DW143" s="5">
        <f t="array" ref="DW143">_xlfn.IFS(
  DU143="Exclusion Risk", "Exclude — Hard Trigger",
  DU143="Insufficient Evidence", "Watchlist — Further Evidence Needed",
  DU143="Watchlist", "Watchlist — Further Evidence Needed",
  AND(DU143="Clear", DT143&gt;=80), "Include — No Conditions",
  DU143="Clear", "Include — Monitor",
  TRUE, "Watchlist — Further Evidence Needed"
)</f>
        <v/>
      </c>
      <c r="DX143" s="5" t="n"/>
      <c r="DY143" s="5" t="n"/>
      <c r="DZ143" s="5" t="n"/>
      <c r="EA143" s="5" t="n"/>
      <c r="EB143" s="5">
        <f>IF(OR(V143=0, ISBLANK(V143)), "MISSING — No sources reviewed", "")</f>
        <v/>
      </c>
      <c r="EC143" s="5">
        <f>IF(AND(NOT(ISBLANK(DC143)), ISBLANK(DE143)), "PAGE REF MISSING", "")</f>
        <v/>
      </c>
    </row>
    <row r="144" ht="18" customHeight="1" s="60">
      <c r="A144" s="5" t="inlineStr">
        <is>
          <t>Aker BP ASA</t>
        </is>
      </c>
      <c r="B144" s="5" t="inlineStr">
        <is>
          <t>ARC</t>
        </is>
      </c>
      <c r="C144" s="5">
        <f>IF(ISBLANK('Universe Tracker'!D119),"",'Universe Tracker'!D119)</f>
        <v/>
      </c>
      <c r="D144" s="5" t="n"/>
      <c r="E144" s="5" t="n"/>
      <c r="F144" s="5">
        <f>IF(ISBLANK('Universe Tracker'!F119),"",'Universe Tracker'!F119)</f>
        <v/>
      </c>
      <c r="G144" s="5">
        <f>IF(ISBLANK('Universe Tracker'!G119),"",'Universe Tracker'!G119)</f>
        <v/>
      </c>
      <c r="H144" s="5" t="n"/>
      <c r="I144" s="5" t="n"/>
      <c r="J144" s="5">
        <f>IF(ISBLANK(B144),"",B144&amp;"_"&amp;C144)</f>
        <v/>
      </c>
      <c r="K144" s="5" t="n"/>
      <c r="L144" s="5" t="n"/>
      <c r="M144" s="5" t="n"/>
      <c r="N144" s="5" t="n"/>
      <c r="O144" s="5" t="n"/>
      <c r="P144" s="5" t="n"/>
      <c r="Q144" s="5" t="n"/>
      <c r="R144" s="5" t="n"/>
      <c r="S144" s="5" t="n"/>
      <c r="T144" s="5" t="n"/>
      <c r="U144" s="5" t="n"/>
      <c r="V144" s="5" t="n"/>
      <c r="W144" s="5" t="n"/>
      <c r="X144" s="5" t="n"/>
      <c r="Y144" s="5">
        <f>IF(AND(V144&gt;=2,K144="Yes",L144="Yes"),"Sufficient",IF(AND(V144&gt;=1,OR(K144="Yes",L144="Yes")),"Thin","Insufficient"))</f>
        <v/>
      </c>
      <c r="Z144" s="5" t="n"/>
      <c r="AA144" s="5" t="n"/>
      <c r="AB144" s="5" t="n"/>
      <c r="AC144" s="5" t="n"/>
      <c r="AD144" s="5" t="n"/>
      <c r="AE144" s="5" t="n"/>
      <c r="AF144" s="5" t="n"/>
      <c r="AG144" s="5" t="n"/>
      <c r="AH144" s="5" t="n"/>
      <c r="AI144" s="5" t="n"/>
      <c r="AJ144" s="5" t="n"/>
      <c r="AK144" s="5" t="n"/>
      <c r="AL144" s="5" t="n"/>
      <c r="AM144" s="5" t="n"/>
      <c r="AN144" s="5" t="n"/>
      <c r="AO144" s="5" t="n"/>
      <c r="AP144" s="5" t="n"/>
      <c r="AQ144" s="5" t="n"/>
      <c r="AR144" s="40">
        <f t="array" ref="AR144">MIN(100, MAX(0,
  IFERROR(_xlfn.XLOOKUP(AJ144,'Lookup Tables'!$A$2:$A$7,'Lookup Tables'!$B$2:$B$7,0),0)
  + IF(Z144="Yes", IF(IFERROR(_xlfn.XLOOKUP(AJ144,'Lookup Tables'!$A$2:$A$7,'Lookup Tables'!$B$2:$B$7,0),0)&lt;20, 5, 0), 0)
  + _xlfn.IFS(AB144="Yes", IF(ISNUMBER(AC144)*AND(AC144&lt;=2030),15,10), AB144="Long-term Only", 5, AB144="No", 0, TRUE, 0)
  + _xlfn.IFS(AF144="Full",10, AF144="Partial",5, AF144="Scope 2 Only",3, TRUE,0)
  + _xlfn.IFS(AG144="Yes", IF(ISNUMBER(AH144)*AND(AH144&gt;=5),10,6), AG144="Partial",4, TRUE,0)
  + _xlfn.IFS(AI144="Yes",5, AI144="Partial (material categories only)",3, TRUE,0)
  + _xlfn.IFS(AL144="Yes — Detailed",10, AL144="Yes — High Level",5, TRUE,0)
  + _xlfn.IFS(AM144="Yes — Quantified",15, AM144="Yes — Directional Only",7, TRUE,0)
  + _xlfn.IFS(AP144="Formal",5, AP144="Referenced",2, TRUE,0)
  + _xlfn.IFS(AQ144="No Issues Found",5, AQ144="Concern Identified",-5, AQ144="Severe Contradiction",-15, TRUE,0)
  + _xlfn.IFS(BC144="Reasonable Assurance",5, BC144="Limited Assurance",3, TRUE,0)
  - IF(AND(Z144="Yes", AI144="No"), 10, 0)
  - IF(AND(Z144="Yes", AM144="No"), 10, 0)
))</f>
        <v/>
      </c>
      <c r="AS144" s="5" t="n"/>
      <c r="AT144" s="5" t="n"/>
      <c r="AU144" s="5" t="n"/>
      <c r="AV144" s="5" t="n"/>
      <c r="AW144" s="5" t="n"/>
      <c r="AX144" s="5" t="n"/>
      <c r="AY144" s="5" t="n"/>
      <c r="AZ144" s="5" t="n"/>
      <c r="BA144" s="5" t="n"/>
      <c r="BB144" s="5" t="n"/>
      <c r="BC144" s="5" t="n"/>
      <c r="BD144" s="5" t="n"/>
      <c r="BE144" s="39">
        <f t="array" ref="BE144">MIN(100, MAX(0,
  IFERROR(_xlfn.XLOOKUP(AT144,'Lookup Tables'!$D$2:$D$6,'Lookup Tables'!$E$2:$E$6,0),0)
  + IFERROR(_xlfn.XLOOKUP(AV144,'Lookup Tables'!$G$2:$G$5,'Lookup Tables'!$H$2:$H$5,0),0)
  + IFERROR(_xlfn.XLOOKUP(AW144,'Lookup Tables'!$J$2:$J$5,'Lookup Tables'!$K$2:$K$5,0),0)
  + _xlfn.IFS(AX144="No Issues",10, AX144="Complaint Filed",3, AX144="Confirmed Breach",-15, TRUE,0)
  + IFERROR(_xlfn.XLOOKUP(AY144,'Lookup Tables'!$M$2:$M$6,'Lookup Tables'!$N$2:$N$6,0),0)
  + IFERROR(_xlfn.XLOOKUP(AZ144,'Lookup Tables'!$P$2:$P$6,'Lookup Tables'!$Q$2:$Q$6,0),0)
  + _xlfn.IFS(BA144="Formal Board Committee",5, BA144="Board Oversight Mentioned",2, TRUE,0)
  + _xlfn.IFS(BB144="Yes — Quantified Targets",5, BB144="Yes — Discretionary Only",2, TRUE,0)
  + _xlfn.IFS(BC144="Reasonable Assurance",5, BC144="Limited Assurance",3, BC144="Management Review Only",1, TRUE,0)
))</f>
        <v/>
      </c>
      <c r="BF144" s="5" t="n"/>
      <c r="BG144" s="5" t="n"/>
      <c r="BH144" s="5" t="n"/>
      <c r="BI144" s="5" t="n"/>
      <c r="BJ144" s="5" t="n"/>
      <c r="BK144" s="5" t="n"/>
      <c r="BL144" s="5" t="n"/>
      <c r="BM144" s="5" t="n"/>
      <c r="BN144" s="5" t="n"/>
      <c r="BO144" s="5" t="n"/>
      <c r="BP144" s="5" t="n"/>
      <c r="BQ144" s="5" t="n"/>
      <c r="BR144" s="5" t="n"/>
      <c r="BS144" s="41">
        <f t="array" ref="BS144">MIN(100, MAX(0,
  IFERROR(_xlfn.XLOOKUP(BG144,'Lookup Tables'!$A$11:$A$16,'Lookup Tables'!$B$11:$B$16,0),0)
  + IFERROR(_xlfn.XLOOKUP(BR144,'Lookup Tables'!$M$11:$M$14,'Lookup Tables'!$N$11:$N$14,0),0)
  + IFERROR(_xlfn.XLOOKUP(BQ144,'Lookup Tables'!$J$11:$J$15,'Lookup Tables'!$K$11:$K$15,0),0)
  + IFERROR(_xlfn.XLOOKUP(BH144,'Lookup Tables'!$D$11:$D$15,'Lookup Tables'!$E$11:$E$15,0),0)
  + IFERROR(_xlfn.XLOOKUP(BJ144,'Lookup Tables'!$G$11:$G$16,'Lookup Tables'!$H$11:$H$16,0),0)
  + IFERROR(_xlfn.XLOOKUP(BN144,'Lookup Tables'!$P$11:$P$15,'Lookup Tables'!$Q$11:$Q$15,0),0)
  + _xlfn.IFS(BM144="No Evidence",10, BM144="Unknown",3, BM144="Likely",0, BM144="Confirmed",-10, TRUE,3)
  + IFERROR(_xlfn.XLOOKUP(BP144,'Lookup Tables'!$J$21:$J$24,'Lookup Tables'!$K$21:$K$24,0),0)
))</f>
        <v/>
      </c>
      <c r="BT144" s="5" t="n"/>
      <c r="BU144" s="5" t="n"/>
      <c r="BV144" s="5" t="n"/>
      <c r="BW144" s="5" t="n"/>
      <c r="BX144" s="5" t="n"/>
      <c r="BY144" s="5" t="n"/>
      <c r="BZ144" s="5" t="n"/>
      <c r="CA144" s="5" t="n"/>
      <c r="CB144" s="5" t="n"/>
      <c r="CC144" s="5" t="n"/>
      <c r="CD144" s="5" t="n"/>
      <c r="CE144" s="43">
        <f t="array" ref="CE144">MIN(100, MAX(0,
  IF(ISNUMBER(BV144)*AND(BV144&gt;0), 10, 0)
  + _xlfn.IFS(BY144="Independently Verified",25, BY144="Yes",15, TRUE,0)
  + IFERROR(_xlfn.XLOOKUP(BZ144,'Lookup Tables'!$A$21:$A$24,'Lookup Tables'!$B$21:$B$24,0),0)
  + IFERROR(_xlfn.XLOOKUP(CA144,'Lookup Tables'!$D$21:$D$24,'Lookup Tables'!$E$21:$E$24,0),0)
  + _xlfn.IFS(ISNUMBER(CB144)*AND(CB144&gt;=11),15, ISNUMBER(CB144)*AND(CB144&gt;=6),10, ISNUMBER(CB144)*AND(CB144&gt;=1),5, TRUE,0)
  + IFERROR(_xlfn.XLOOKUP(CC144,'Lookup Tables'!$G$21:$G$25,'Lookup Tables'!$H$21:$H$25,0),0)
  - IF(ISNUMBER(BW144)*AND(ISNUMBER(BV144))*AND(BW144&gt;BV144), 20, 0)
  - IF(AND(BY144="Yes", ISNUMBER(BW144), BW144&gt;60), 10, 0)
))</f>
        <v/>
      </c>
      <c r="CF144" s="5" t="n"/>
      <c r="CG144" s="5" t="n"/>
      <c r="CH144" s="5" t="n"/>
      <c r="CI144" s="5" t="n"/>
      <c r="CJ144" s="5" t="n"/>
      <c r="CK144" s="5" t="n"/>
      <c r="CL144" s="5" t="n"/>
      <c r="CM144" s="5" t="n"/>
      <c r="CN144" s="5" t="n"/>
      <c r="CO144" s="5" t="n"/>
      <c r="CP144" s="5" t="n"/>
      <c r="CQ144" s="5" t="n"/>
      <c r="CR144" s="5">
        <f>COUNTIF(CJ144:CQ144,"FAIL")</f>
        <v/>
      </c>
      <c r="CS144" s="5">
        <f>COUNTIF(CJ144:CQ144,"PARTIAL")</f>
        <v/>
      </c>
      <c r="CT144" s="5">
        <f>COUNTIF(CJ144:CQ144,"MISSING")</f>
        <v/>
      </c>
      <c r="CU144" s="5">
        <f>MIN(100,
  CR144*15
  + CS144*6
  + CT144*3
  + IFERROR(_xlfn.XLOOKUP(CW144,'Lookup Tables'!$M$21:$M$25,'Lookup Tables'!$N$21:$N$25,0),0)
)</f>
        <v/>
      </c>
      <c r="CV144" s="5">
        <f>IFERROR(
CHOOSE(
MATCH("FAIL",CJ144:CQ144,0),
"1-Specificity","2-Metric","3-Baseline","4-Target",
"5-Time Horizon","6-Scope","7-Verification","8-Consistency"
),
IFERROR(
CHOOSE(
MATCH("PARTIAL",CJ144:CQ144,0),
"1-Specificity","2-Metric","3-Baseline","4-Target",
"5-Time Horizon","6-Scope","7-Verification","8-Consistency"
),
"No failures"
)
)</f>
        <v/>
      </c>
      <c r="CW144" s="5" t="n"/>
      <c r="CX144" s="5" t="n"/>
      <c r="CY144" s="5" t="n"/>
      <c r="CZ144" s="5" t="n"/>
      <c r="DA144" s="5">
        <f>IF(OR(CU144&gt;=50,CW144="Material",CW144="Severe",AS144="Material",AS144="Severe",BF144="Material",BF144="Severe — Exclusion Trigger",AND(ISNUMBER(BS144),BS144&lt;30)),"Yes","No")</f>
        <v/>
      </c>
      <c r="DB144" s="5">
        <f>IF(OR(CR144&gt;=6,AW144="Confirmed Violation",AX144="Confirmed Breach"),"Yes — Automatic",IF(CW144="Severe","Yes — Requires Captain Confirmation","No"))</f>
        <v/>
      </c>
      <c r="DC144" s="5" t="n"/>
      <c r="DD144" s="5" t="n"/>
      <c r="DE144" s="5" t="n"/>
      <c r="DF144" s="5" t="n"/>
      <c r="DG144" s="5" t="n"/>
      <c r="DH144" s="5" t="n"/>
      <c r="DI144" s="5" t="n"/>
      <c r="DJ144" s="5" t="n"/>
      <c r="DK144" s="5" t="n"/>
      <c r="DL144" s="5">
        <f>IF(OR(IFERROR(VALUE(LEFT(DF144,1)),99)&lt;=2,IFERROR(VALUE(LEFT(DG144,1)),99)&lt;=2),"Flagged","Clear")</f>
        <v/>
      </c>
      <c r="DM144" s="5">
        <f>IF(OR(DA144="Yes",DB144&lt;&gt;"No",DH144="Unverified",DL144="Flagged"),"Yes","No")</f>
        <v/>
      </c>
      <c r="DN144" s="5">
        <f t="array" ref="DN144">MIN(100,
  IF(ISNUMBER(V144), _xlfn.IFS(V144&gt;=3,25, V144=2,15, V144=1,5, TRUE,0), 0)
  + IFERROR(_xlfn.IFS(VALUE(LEFT(DF144,1))=5,25, VALUE(LEFT(DF144,1))=4,20, VALUE(LEFT(DF144,1))=3,15, VALUE(LEFT(DF144,1))=2,8, TRUE,0), 15)
  + IFERROR(_xlfn.IFS(VALUE(LEFT(DG144,1))=5,25, VALUE(LEFT(DG144,1))=4,20, VALUE(LEFT(DG144,1))=3,15, VALUE(LEFT(DG144,1))=2,8, TRUE,0), 15)
  + _xlfn.IFS(DH144="Fully Verified",25, DH144="Partially Verified",12, TRUE,0)
)</f>
        <v/>
      </c>
      <c r="DO144" s="5">
        <f t="array" ref="DO144">_xlfn.IFS(
  ISBLANK(AR144), "Insufficient Evidence",
  AND(AR144&gt;=65, AJ144="Approved"), "Strong",
  AR144&gt;=65, "Adequate",
  AR144&gt;=40, "Adequate",
  AR144&gt;=20, "Weak",
  TRUE, "Insufficient Evidence"
)</f>
        <v/>
      </c>
      <c r="DP144" s="5">
        <f t="array" ref="DP144">_xlfn.IFS(
  ISBLANK(BS144), "Insufficient Evidence",
  BS144&gt;=65, "Strong",
  BS144&gt;=40, "Adequate",
  BS144&gt;=20, "Weak",
  TRUE, "Insufficient Evidence"
)</f>
        <v/>
      </c>
      <c r="DQ144" s="5">
        <f t="array" ref="DQ144">_xlfn.IFS(
  ISBLANK(BE144), "Insufficient Evidence",
  OR(AW144="Confirmed Violation", AX144="Confirmed Breach"), "Severe — Hard Trigger",
  BE144&gt;=65, "Strong",
  BE144&gt;=40, "Adequate",
  BE144&gt;=20, "Weak",
  TRUE, "Insufficient Evidence"
)</f>
        <v/>
      </c>
      <c r="DR144" s="5">
        <f t="array" ref="DR144">_xlfn.IFS(
  ISBLANK(CU144), "Insufficient Evidence",
  CU144&lt;=20, "Low Risk",
  CU144&lt;=50, "Moderate Risk",
  CU144&lt;=75, "High Risk",
  TRUE, "Very High Risk"
)</f>
        <v/>
      </c>
      <c r="DS144" s="5">
        <f t="array" ref="DS144">_xlfn.IFS(
  ISBLANK(CE144), "Insufficient Evidence",
  AND(ISNUMBER(BW144),ISNUMBER(BV144),BW144&gt;BV144), "Overclaiming Risk",
  CE144&gt;=65, "Strong",
  CE144&gt;=40, "Adequate",
  TRUE, "Weak"
)</f>
        <v/>
      </c>
      <c r="DT144" s="5">
        <f>IF(DB144="Yes — Automatic",0,ROUND((IF(ISNUMBER(AR144),AR144,0)*0.3+IF(ISNUMBER(BS144),BS144,0)*0.2+IF(ISNUMBER(BE144),BE144,0)*0.2+IF(ISNUMBER(CE144),CE144,0)*0.15+(100-IF(ISNUMBER(CU144),CU144,50))*0.15)*IF(DN144&gt;=75,1,IF(DN144&gt;=50,0.9,IF(DN144&gt;=25,0.75,0.6))),1))</f>
        <v/>
      </c>
      <c r="DU144" s="5">
        <f t="array" ref="DU144">_xlfn.IFS(
  DV144="Upgraded to Clear", "Clear",
  DV144="Downgraded to Watchlist", "Watchlist",
  DV144="Downgraded to Exclusion", "Exclusion Risk",
  DB144="Yes — Automatic", "Exclusion Risk",
  OR(AW144="Confirmed Violation", AX144="Confirmed Breach"), "Exclusion Risk",
  OR(V144=0, ISBLANK(V144), DN144&lt;20), "Insufficient Evidence",
  AND(DT144&gt;=65, DA144="No", DB144="No"), "Clear",
  OR(DT144&gt;=40, DA144="Yes"), "Watchlist",
  TRUE, "Exclusion Risk"
)</f>
        <v/>
      </c>
      <c r="DV144" s="5" t="n"/>
      <c r="DW144" s="5">
        <f t="array" ref="DW144">_xlfn.IFS(
  DU144="Exclusion Risk", "Exclude — Hard Trigger",
  DU144="Insufficient Evidence", "Watchlist — Further Evidence Needed",
  DU144="Watchlist", "Watchlist — Further Evidence Needed",
  AND(DU144="Clear", DT144&gt;=80), "Include — No Conditions",
  DU144="Clear", "Include — Monitor",
  TRUE, "Watchlist — Further Evidence Needed"
)</f>
        <v/>
      </c>
      <c r="DX144" s="5" t="n"/>
      <c r="DY144" s="5" t="n"/>
      <c r="DZ144" s="5" t="n"/>
      <c r="EA144" s="5" t="n"/>
      <c r="EB144" s="5">
        <f>IF(OR(V144=0, ISBLANK(V144)), "MISSING — No sources reviewed", "")</f>
        <v/>
      </c>
      <c r="EC144" s="5">
        <f>IF(AND(NOT(ISBLANK(DC144)), ISBLANK(DE144)), "PAGE REF MISSING", "")</f>
        <v/>
      </c>
    </row>
    <row r="145" ht="18" customHeight="1" s="60">
      <c r="A145" s="5" t="inlineStr">
        <is>
          <t>Huber + Suhner AG</t>
        </is>
      </c>
      <c r="B145" s="5" t="inlineStr">
        <is>
          <t>HGUA</t>
        </is>
      </c>
      <c r="C145" s="5">
        <f>IF(ISBLANK('Universe Tracker'!D120),"",'Universe Tracker'!D120)</f>
        <v/>
      </c>
      <c r="D145" s="5" t="n"/>
      <c r="E145" s="5" t="n"/>
      <c r="F145" s="5">
        <f>IF(ISBLANK('Universe Tracker'!F120),"",'Universe Tracker'!F120)</f>
        <v/>
      </c>
      <c r="G145" s="5">
        <f>IF(ISBLANK('Universe Tracker'!G120),"",'Universe Tracker'!G120)</f>
        <v/>
      </c>
      <c r="H145" s="5" t="n"/>
      <c r="I145" s="5" t="n"/>
      <c r="J145" s="5">
        <f>IF(ISBLANK(B145),"",B145&amp;"_"&amp;C145)</f>
        <v/>
      </c>
      <c r="K145" s="5" t="n"/>
      <c r="L145" s="5" t="n"/>
      <c r="M145" s="5" t="n"/>
      <c r="N145" s="5" t="n"/>
      <c r="O145" s="5" t="n"/>
      <c r="P145" s="5" t="n"/>
      <c r="Q145" s="5" t="n"/>
      <c r="R145" s="5" t="n"/>
      <c r="S145" s="5" t="n"/>
      <c r="T145" s="5" t="n"/>
      <c r="U145" s="5" t="n"/>
      <c r="V145" s="5" t="n"/>
      <c r="W145" s="5" t="n"/>
      <c r="X145" s="5" t="n"/>
      <c r="Y145" s="5">
        <f>IF(AND(V145&gt;=2,K145="Yes",L145="Yes"),"Sufficient",IF(AND(V145&gt;=1,OR(K145="Yes",L145="Yes")),"Thin","Insufficient"))</f>
        <v/>
      </c>
      <c r="Z145" s="5" t="n"/>
      <c r="AA145" s="5" t="n"/>
      <c r="AB145" s="5" t="n"/>
      <c r="AC145" s="5" t="n"/>
      <c r="AD145" s="5" t="n"/>
      <c r="AE145" s="5" t="n"/>
      <c r="AF145" s="5" t="n"/>
      <c r="AG145" s="5" t="n"/>
      <c r="AH145" s="5" t="n"/>
      <c r="AI145" s="5" t="n"/>
      <c r="AJ145" s="5" t="n"/>
      <c r="AK145" s="5" t="n"/>
      <c r="AL145" s="5" t="n"/>
      <c r="AM145" s="5" t="n"/>
      <c r="AN145" s="5" t="n"/>
      <c r="AO145" s="5" t="n"/>
      <c r="AP145" s="5" t="n"/>
      <c r="AQ145" s="5" t="n"/>
      <c r="AR145" s="40">
        <f t="array" ref="AR145">MIN(100, MAX(0,
  IFERROR(_xlfn.XLOOKUP(AJ145,'Lookup Tables'!$A$2:$A$7,'Lookup Tables'!$B$2:$B$7,0),0)
  + IF(Z145="Yes", IF(IFERROR(_xlfn.XLOOKUP(AJ145,'Lookup Tables'!$A$2:$A$7,'Lookup Tables'!$B$2:$B$7,0),0)&lt;20, 5, 0), 0)
  + _xlfn.IFS(AB145="Yes", IF(ISNUMBER(AC145)*AND(AC145&lt;=2030),15,10), AB145="Long-term Only", 5, AB145="No", 0, TRUE, 0)
  + _xlfn.IFS(AF145="Full",10, AF145="Partial",5, AF145="Scope 2 Only",3, TRUE,0)
  + _xlfn.IFS(AG145="Yes", IF(ISNUMBER(AH145)*AND(AH145&gt;=5),10,6), AG145="Partial",4, TRUE,0)
  + _xlfn.IFS(AI145="Yes",5, AI145="Partial (material categories only)",3, TRUE,0)
  + _xlfn.IFS(AL145="Yes — Detailed",10, AL145="Yes — High Level",5, TRUE,0)
  + _xlfn.IFS(AM145="Yes — Quantified",15, AM145="Yes — Directional Only",7, TRUE,0)
  + _xlfn.IFS(AP145="Formal",5, AP145="Referenced",2, TRUE,0)
  + _xlfn.IFS(AQ145="No Issues Found",5, AQ145="Concern Identified",-5, AQ145="Severe Contradiction",-15, TRUE,0)
  + _xlfn.IFS(BC145="Reasonable Assurance",5, BC145="Limited Assurance",3, TRUE,0)
  - IF(AND(Z145="Yes", AI145="No"), 10, 0)
  - IF(AND(Z145="Yes", AM145="No"), 10, 0)
))</f>
        <v/>
      </c>
      <c r="AS145" s="5" t="n"/>
      <c r="AT145" s="5" t="n"/>
      <c r="AU145" s="5" t="n"/>
      <c r="AV145" s="5" t="n"/>
      <c r="AW145" s="5" t="n"/>
      <c r="AX145" s="5" t="n"/>
      <c r="AY145" s="5" t="n"/>
      <c r="AZ145" s="5" t="n"/>
      <c r="BA145" s="5" t="n"/>
      <c r="BB145" s="5" t="n"/>
      <c r="BC145" s="5" t="n"/>
      <c r="BD145" s="5" t="n"/>
      <c r="BE145" s="39">
        <f t="array" ref="BE145">MIN(100, MAX(0,
  IFERROR(_xlfn.XLOOKUP(AT145,'Lookup Tables'!$D$2:$D$6,'Lookup Tables'!$E$2:$E$6,0),0)
  + IFERROR(_xlfn.XLOOKUP(AV145,'Lookup Tables'!$G$2:$G$5,'Lookup Tables'!$H$2:$H$5,0),0)
  + IFERROR(_xlfn.XLOOKUP(AW145,'Lookup Tables'!$J$2:$J$5,'Lookup Tables'!$K$2:$K$5,0),0)
  + _xlfn.IFS(AX145="No Issues",10, AX145="Complaint Filed",3, AX145="Confirmed Breach",-15, TRUE,0)
  + IFERROR(_xlfn.XLOOKUP(AY145,'Lookup Tables'!$M$2:$M$6,'Lookup Tables'!$N$2:$N$6,0),0)
  + IFERROR(_xlfn.XLOOKUP(AZ145,'Lookup Tables'!$P$2:$P$6,'Lookup Tables'!$Q$2:$Q$6,0),0)
  + _xlfn.IFS(BA145="Formal Board Committee",5, BA145="Board Oversight Mentioned",2, TRUE,0)
  + _xlfn.IFS(BB145="Yes — Quantified Targets",5, BB145="Yes — Discretionary Only",2, TRUE,0)
  + _xlfn.IFS(BC145="Reasonable Assurance",5, BC145="Limited Assurance",3, BC145="Management Review Only",1, TRUE,0)
))</f>
        <v/>
      </c>
      <c r="BF145" s="5" t="n"/>
      <c r="BG145" s="5" t="n"/>
      <c r="BH145" s="5" t="n"/>
      <c r="BI145" s="5" t="n"/>
      <c r="BJ145" s="5" t="n"/>
      <c r="BK145" s="5" t="n"/>
      <c r="BL145" s="5" t="n"/>
      <c r="BM145" s="5" t="n"/>
      <c r="BN145" s="5" t="n"/>
      <c r="BO145" s="5" t="n"/>
      <c r="BP145" s="5" t="n"/>
      <c r="BQ145" s="5" t="n"/>
      <c r="BR145" s="5" t="n"/>
      <c r="BS145" s="41">
        <f t="array" ref="BS145">MIN(100, MAX(0,
  IFERROR(_xlfn.XLOOKUP(BG145,'Lookup Tables'!$A$11:$A$16,'Lookup Tables'!$B$11:$B$16,0),0)
  + IFERROR(_xlfn.XLOOKUP(BR145,'Lookup Tables'!$M$11:$M$14,'Lookup Tables'!$N$11:$N$14,0),0)
  + IFERROR(_xlfn.XLOOKUP(BQ145,'Lookup Tables'!$J$11:$J$15,'Lookup Tables'!$K$11:$K$15,0),0)
  + IFERROR(_xlfn.XLOOKUP(BH145,'Lookup Tables'!$D$11:$D$15,'Lookup Tables'!$E$11:$E$15,0),0)
  + IFERROR(_xlfn.XLOOKUP(BJ145,'Lookup Tables'!$G$11:$G$16,'Lookup Tables'!$H$11:$H$16,0),0)
  + IFERROR(_xlfn.XLOOKUP(BN145,'Lookup Tables'!$P$11:$P$15,'Lookup Tables'!$Q$11:$Q$15,0),0)
  + _xlfn.IFS(BM145="No Evidence",10, BM145="Unknown",3, BM145="Likely",0, BM145="Confirmed",-10, TRUE,3)
  + IFERROR(_xlfn.XLOOKUP(BP145,'Lookup Tables'!$J$21:$J$24,'Lookup Tables'!$K$21:$K$24,0),0)
))</f>
        <v/>
      </c>
      <c r="BT145" s="5" t="n"/>
      <c r="BU145" s="5" t="n"/>
      <c r="BV145" s="5" t="n"/>
      <c r="BW145" s="5" t="n"/>
      <c r="BX145" s="5" t="n"/>
      <c r="BY145" s="5" t="n"/>
      <c r="BZ145" s="5" t="n"/>
      <c r="CA145" s="5" t="n"/>
      <c r="CB145" s="5" t="n"/>
      <c r="CC145" s="5" t="n"/>
      <c r="CD145" s="5" t="n"/>
      <c r="CE145" s="43">
        <f t="array" ref="CE145">MIN(100, MAX(0,
  IF(ISNUMBER(BV145)*AND(BV145&gt;0), 10, 0)
  + _xlfn.IFS(BY145="Independently Verified",25, BY145="Yes",15, TRUE,0)
  + IFERROR(_xlfn.XLOOKUP(BZ145,'Lookup Tables'!$A$21:$A$24,'Lookup Tables'!$B$21:$B$24,0),0)
  + IFERROR(_xlfn.XLOOKUP(CA145,'Lookup Tables'!$D$21:$D$24,'Lookup Tables'!$E$21:$E$24,0),0)
  + _xlfn.IFS(ISNUMBER(CB145)*AND(CB145&gt;=11),15, ISNUMBER(CB145)*AND(CB145&gt;=6),10, ISNUMBER(CB145)*AND(CB145&gt;=1),5, TRUE,0)
  + IFERROR(_xlfn.XLOOKUP(CC145,'Lookup Tables'!$G$21:$G$25,'Lookup Tables'!$H$21:$H$25,0),0)
  - IF(ISNUMBER(BW145)*AND(ISNUMBER(BV145))*AND(BW145&gt;BV145), 20, 0)
  - IF(AND(BY145="Yes", ISNUMBER(BW145), BW145&gt;60), 10, 0)
))</f>
        <v/>
      </c>
      <c r="CF145" s="5" t="n"/>
      <c r="CG145" s="5" t="n"/>
      <c r="CH145" s="5" t="n"/>
      <c r="CI145" s="5" t="n"/>
      <c r="CJ145" s="5" t="n"/>
      <c r="CK145" s="5" t="n"/>
      <c r="CL145" s="5" t="n"/>
      <c r="CM145" s="5" t="n"/>
      <c r="CN145" s="5" t="n"/>
      <c r="CO145" s="5" t="n"/>
      <c r="CP145" s="5" t="n"/>
      <c r="CQ145" s="5" t="n"/>
      <c r="CR145" s="5">
        <f>COUNTIF(CJ145:CQ145,"FAIL")</f>
        <v/>
      </c>
      <c r="CS145" s="5">
        <f>COUNTIF(CJ145:CQ145,"PARTIAL")</f>
        <v/>
      </c>
      <c r="CT145" s="5">
        <f>COUNTIF(CJ145:CQ145,"MISSING")</f>
        <v/>
      </c>
      <c r="CU145" s="5">
        <f>MIN(100,
  CR145*15
  + CS145*6
  + CT145*3
  + IFERROR(_xlfn.XLOOKUP(CW145,'Lookup Tables'!$M$21:$M$25,'Lookup Tables'!$N$21:$N$25,0),0)
)</f>
        <v/>
      </c>
      <c r="CV145" s="5">
        <f>IFERROR(
CHOOSE(
MATCH("FAIL",CJ145:CQ145,0),
"1-Specificity","2-Metric","3-Baseline","4-Target",
"5-Time Horizon","6-Scope","7-Verification","8-Consistency"
),
IFERROR(
CHOOSE(
MATCH("PARTIAL",CJ145:CQ145,0),
"1-Specificity","2-Metric","3-Baseline","4-Target",
"5-Time Horizon","6-Scope","7-Verification","8-Consistency"
),
"No failures"
)
)</f>
        <v/>
      </c>
      <c r="CW145" s="5" t="n"/>
      <c r="CX145" s="5" t="n"/>
      <c r="CY145" s="5" t="n"/>
      <c r="CZ145" s="5" t="n"/>
      <c r="DA145" s="5">
        <f>IF(OR(CU145&gt;=50,CW145="Material",CW145="Severe",AS145="Material",AS145="Severe",BF145="Material",BF145="Severe — Exclusion Trigger",AND(ISNUMBER(BS145),BS145&lt;30)),"Yes","No")</f>
        <v/>
      </c>
      <c r="DB145" s="5">
        <f>IF(OR(CR145&gt;=6,AW145="Confirmed Violation",AX145="Confirmed Breach"),"Yes — Automatic",IF(CW145="Severe","Yes — Requires Captain Confirmation","No"))</f>
        <v/>
      </c>
      <c r="DC145" s="5" t="n"/>
      <c r="DD145" s="5" t="n"/>
      <c r="DE145" s="5" t="n"/>
      <c r="DF145" s="5" t="n"/>
      <c r="DG145" s="5" t="n"/>
      <c r="DH145" s="5" t="n"/>
      <c r="DI145" s="5" t="n"/>
      <c r="DJ145" s="5" t="n"/>
      <c r="DK145" s="5" t="n"/>
      <c r="DL145" s="5">
        <f>IF(OR(IFERROR(VALUE(LEFT(DF145,1)),99)&lt;=2,IFERROR(VALUE(LEFT(DG145,1)),99)&lt;=2),"Flagged","Clear")</f>
        <v/>
      </c>
      <c r="DM145" s="5">
        <f>IF(OR(DA145="Yes",DB145&lt;&gt;"No",DH145="Unverified",DL145="Flagged"),"Yes","No")</f>
        <v/>
      </c>
      <c r="DN145" s="5">
        <f t="array" ref="DN145">MIN(100,
  IF(ISNUMBER(V145), _xlfn.IFS(V145&gt;=3,25, V145=2,15, V145=1,5, TRUE,0), 0)
  + IFERROR(_xlfn.IFS(VALUE(LEFT(DF145,1))=5,25, VALUE(LEFT(DF145,1))=4,20, VALUE(LEFT(DF145,1))=3,15, VALUE(LEFT(DF145,1))=2,8, TRUE,0), 15)
  + IFERROR(_xlfn.IFS(VALUE(LEFT(DG145,1))=5,25, VALUE(LEFT(DG145,1))=4,20, VALUE(LEFT(DG145,1))=3,15, VALUE(LEFT(DG145,1))=2,8, TRUE,0), 15)
  + _xlfn.IFS(DH145="Fully Verified",25, DH145="Partially Verified",12, TRUE,0)
)</f>
        <v/>
      </c>
      <c r="DO145" s="5">
        <f t="array" ref="DO145">_xlfn.IFS(
  ISBLANK(AR145), "Insufficient Evidence",
  AND(AR145&gt;=65, AJ145="Approved"), "Strong",
  AR145&gt;=65, "Adequate",
  AR145&gt;=40, "Adequate",
  AR145&gt;=20, "Weak",
  TRUE, "Insufficient Evidence"
)</f>
        <v/>
      </c>
      <c r="DP145" s="5">
        <f t="array" ref="DP145">_xlfn.IFS(
  ISBLANK(BS145), "Insufficient Evidence",
  BS145&gt;=65, "Strong",
  BS145&gt;=40, "Adequate",
  BS145&gt;=20, "Weak",
  TRUE, "Insufficient Evidence"
)</f>
        <v/>
      </c>
      <c r="DQ145" s="5">
        <f t="array" ref="DQ145">_xlfn.IFS(
  ISBLANK(BE145), "Insufficient Evidence",
  OR(AW145="Confirmed Violation", AX145="Confirmed Breach"), "Severe — Hard Trigger",
  BE145&gt;=65, "Strong",
  BE145&gt;=40, "Adequate",
  BE145&gt;=20, "Weak",
  TRUE, "Insufficient Evidence"
)</f>
        <v/>
      </c>
      <c r="DR145" s="5">
        <f t="array" ref="DR145">_xlfn.IFS(
  ISBLANK(CU145), "Insufficient Evidence",
  CU145&lt;=20, "Low Risk",
  CU145&lt;=50, "Moderate Risk",
  CU145&lt;=75, "High Risk",
  TRUE, "Very High Risk"
)</f>
        <v/>
      </c>
      <c r="DS145" s="5">
        <f t="array" ref="DS145">_xlfn.IFS(
  ISBLANK(CE145), "Insufficient Evidence",
  AND(ISNUMBER(BW145),ISNUMBER(BV145),BW145&gt;BV145), "Overclaiming Risk",
  CE145&gt;=65, "Strong",
  CE145&gt;=40, "Adequate",
  TRUE, "Weak"
)</f>
        <v/>
      </c>
      <c r="DT145" s="5">
        <f>IF(DB145="Yes — Automatic",0,ROUND((IF(ISNUMBER(AR145),AR145,0)*0.3+IF(ISNUMBER(BS145),BS145,0)*0.2+IF(ISNUMBER(BE145),BE145,0)*0.2+IF(ISNUMBER(CE145),CE145,0)*0.15+(100-IF(ISNUMBER(CU145),CU145,50))*0.15)*IF(DN145&gt;=75,1,IF(DN145&gt;=50,0.9,IF(DN145&gt;=25,0.75,0.6))),1))</f>
        <v/>
      </c>
      <c r="DU145" s="5">
        <f t="array" ref="DU145">_xlfn.IFS(
  DV145="Upgraded to Clear", "Clear",
  DV145="Downgraded to Watchlist", "Watchlist",
  DV145="Downgraded to Exclusion", "Exclusion Risk",
  DB145="Yes — Automatic", "Exclusion Risk",
  OR(AW145="Confirmed Violation", AX145="Confirmed Breach"), "Exclusion Risk",
  OR(V145=0, ISBLANK(V145), DN145&lt;20), "Insufficient Evidence",
  AND(DT145&gt;=65, DA145="No", DB145="No"), "Clear",
  OR(DT145&gt;=40, DA145="Yes"), "Watchlist",
  TRUE, "Exclusion Risk"
)</f>
        <v/>
      </c>
      <c r="DV145" s="5" t="n"/>
      <c r="DW145" s="5">
        <f t="array" ref="DW145">_xlfn.IFS(
  DU145="Exclusion Risk", "Exclude — Hard Trigger",
  DU145="Insufficient Evidence", "Watchlist — Further Evidence Needed",
  DU145="Watchlist", "Watchlist — Further Evidence Needed",
  AND(DU145="Clear", DT145&gt;=80), "Include — No Conditions",
  DU145="Clear", "Include — Monitor",
  TRUE, "Watchlist — Further Evidence Needed"
)</f>
        <v/>
      </c>
      <c r="DX145" s="5" t="n"/>
      <c r="DY145" s="5" t="n"/>
      <c r="DZ145" s="5" t="n"/>
      <c r="EA145" s="5" t="n"/>
      <c r="EB145" s="5">
        <f>IF(OR(V145=0, ISBLANK(V145)), "MISSING — No sources reviewed", "")</f>
        <v/>
      </c>
      <c r="EC145" s="5">
        <f>IF(AND(NOT(ISBLANK(DC145)), ISBLANK(DE145)), "PAGE REF MISSING", "")</f>
        <v/>
      </c>
    </row>
    <row r="146" ht="18" customHeight="1" s="60">
      <c r="A146" s="5" t="inlineStr">
        <is>
          <t>Bilfinger SE</t>
        </is>
      </c>
      <c r="B146" s="5" t="inlineStr">
        <is>
          <t>GBF</t>
        </is>
      </c>
      <c r="C146" s="5">
        <f>IF(ISBLANK('Universe Tracker'!D121),"",'Universe Tracker'!D121)</f>
        <v/>
      </c>
      <c r="D146" s="5" t="n"/>
      <c r="E146" s="5" t="n"/>
      <c r="F146" s="5">
        <f>IF(ISBLANK('Universe Tracker'!F121),"",'Universe Tracker'!F121)</f>
        <v/>
      </c>
      <c r="G146" s="5">
        <f>IF(ISBLANK('Universe Tracker'!G121),"",'Universe Tracker'!G121)</f>
        <v/>
      </c>
      <c r="H146" s="5" t="n"/>
      <c r="I146" s="5" t="n"/>
      <c r="J146" s="5">
        <f>IF(ISBLANK(B146),"",B146&amp;"_"&amp;C146)</f>
        <v/>
      </c>
      <c r="K146" s="5" t="n"/>
      <c r="L146" s="5" t="n"/>
      <c r="M146" s="5" t="n"/>
      <c r="N146" s="5" t="n"/>
      <c r="O146" s="5" t="n"/>
      <c r="P146" s="5" t="n"/>
      <c r="Q146" s="5" t="n"/>
      <c r="R146" s="5" t="n"/>
      <c r="S146" s="5" t="n"/>
      <c r="T146" s="5" t="n"/>
      <c r="U146" s="5" t="n"/>
      <c r="V146" s="5" t="n"/>
      <c r="W146" s="5" t="n"/>
      <c r="X146" s="5" t="n"/>
      <c r="Y146" s="5">
        <f>IF(AND(V146&gt;=2,K146="Yes",L146="Yes"),"Sufficient",IF(AND(V146&gt;=1,OR(K146="Yes",L146="Yes")),"Thin","Insufficient"))</f>
        <v/>
      </c>
      <c r="Z146" s="5" t="n"/>
      <c r="AA146" s="5" t="n"/>
      <c r="AB146" s="5" t="n"/>
      <c r="AC146" s="5" t="n"/>
      <c r="AD146" s="5" t="n"/>
      <c r="AE146" s="5" t="n"/>
      <c r="AF146" s="5" t="n"/>
      <c r="AG146" s="5" t="n"/>
      <c r="AH146" s="5" t="n"/>
      <c r="AI146" s="5" t="n"/>
      <c r="AJ146" s="5" t="n"/>
      <c r="AK146" s="5" t="n"/>
      <c r="AL146" s="5" t="n"/>
      <c r="AM146" s="5" t="n"/>
      <c r="AN146" s="5" t="n"/>
      <c r="AO146" s="5" t="n"/>
      <c r="AP146" s="5" t="n"/>
      <c r="AQ146" s="5" t="n"/>
      <c r="AR146" s="40">
        <f t="array" ref="AR146">MIN(100, MAX(0,
  IFERROR(_xlfn.XLOOKUP(AJ146,'Lookup Tables'!$A$2:$A$7,'Lookup Tables'!$B$2:$B$7,0),0)
  + IF(Z146="Yes", IF(IFERROR(_xlfn.XLOOKUP(AJ146,'Lookup Tables'!$A$2:$A$7,'Lookup Tables'!$B$2:$B$7,0),0)&lt;20, 5, 0), 0)
  + _xlfn.IFS(AB146="Yes", IF(ISNUMBER(AC146)*AND(AC146&lt;=2030),15,10), AB146="Long-term Only", 5, AB146="No", 0, TRUE, 0)
  + _xlfn.IFS(AF146="Full",10, AF146="Partial",5, AF146="Scope 2 Only",3, TRUE,0)
  + _xlfn.IFS(AG146="Yes", IF(ISNUMBER(AH146)*AND(AH146&gt;=5),10,6), AG146="Partial",4, TRUE,0)
  + _xlfn.IFS(AI146="Yes",5, AI146="Partial (material categories only)",3, TRUE,0)
  + _xlfn.IFS(AL146="Yes — Detailed",10, AL146="Yes — High Level",5, TRUE,0)
  + _xlfn.IFS(AM146="Yes — Quantified",15, AM146="Yes — Directional Only",7, TRUE,0)
  + _xlfn.IFS(AP146="Formal",5, AP146="Referenced",2, TRUE,0)
  + _xlfn.IFS(AQ146="No Issues Found",5, AQ146="Concern Identified",-5, AQ146="Severe Contradiction",-15, TRUE,0)
  + _xlfn.IFS(BC146="Reasonable Assurance",5, BC146="Limited Assurance",3, TRUE,0)
  - IF(AND(Z146="Yes", AI146="No"), 10, 0)
  - IF(AND(Z146="Yes", AM146="No"), 10, 0)
))</f>
        <v/>
      </c>
      <c r="AS146" s="5" t="n"/>
      <c r="AT146" s="5" t="n"/>
      <c r="AU146" s="5" t="n"/>
      <c r="AV146" s="5" t="n"/>
      <c r="AW146" s="5" t="n"/>
      <c r="AX146" s="5" t="n"/>
      <c r="AY146" s="5" t="n"/>
      <c r="AZ146" s="5" t="n"/>
      <c r="BA146" s="5" t="n"/>
      <c r="BB146" s="5" t="n"/>
      <c r="BC146" s="5" t="n"/>
      <c r="BD146" s="5" t="n"/>
      <c r="BE146" s="39">
        <f t="array" ref="BE146">MIN(100, MAX(0,
  IFERROR(_xlfn.XLOOKUP(AT146,'Lookup Tables'!$D$2:$D$6,'Lookup Tables'!$E$2:$E$6,0),0)
  + IFERROR(_xlfn.XLOOKUP(AV146,'Lookup Tables'!$G$2:$G$5,'Lookup Tables'!$H$2:$H$5,0),0)
  + IFERROR(_xlfn.XLOOKUP(AW146,'Lookup Tables'!$J$2:$J$5,'Lookup Tables'!$K$2:$K$5,0),0)
  + _xlfn.IFS(AX146="No Issues",10, AX146="Complaint Filed",3, AX146="Confirmed Breach",-15, TRUE,0)
  + IFERROR(_xlfn.XLOOKUP(AY146,'Lookup Tables'!$M$2:$M$6,'Lookup Tables'!$N$2:$N$6,0),0)
  + IFERROR(_xlfn.XLOOKUP(AZ146,'Lookup Tables'!$P$2:$P$6,'Lookup Tables'!$Q$2:$Q$6,0),0)
  + _xlfn.IFS(BA146="Formal Board Committee",5, BA146="Board Oversight Mentioned",2, TRUE,0)
  + _xlfn.IFS(BB146="Yes — Quantified Targets",5, BB146="Yes — Discretionary Only",2, TRUE,0)
  + _xlfn.IFS(BC146="Reasonable Assurance",5, BC146="Limited Assurance",3, BC146="Management Review Only",1, TRUE,0)
))</f>
        <v/>
      </c>
      <c r="BF146" s="5" t="n"/>
      <c r="BG146" s="5" t="n"/>
      <c r="BH146" s="5" t="n"/>
      <c r="BI146" s="5" t="n"/>
      <c r="BJ146" s="5" t="n"/>
      <c r="BK146" s="5" t="n"/>
      <c r="BL146" s="5" t="n"/>
      <c r="BM146" s="5" t="n"/>
      <c r="BN146" s="5" t="n"/>
      <c r="BO146" s="5" t="n"/>
      <c r="BP146" s="5" t="n"/>
      <c r="BQ146" s="5" t="n"/>
      <c r="BR146" s="5" t="n"/>
      <c r="BS146" s="41">
        <f t="array" ref="BS146">MIN(100, MAX(0,
  IFERROR(_xlfn.XLOOKUP(BG146,'Lookup Tables'!$A$11:$A$16,'Lookup Tables'!$B$11:$B$16,0),0)
  + IFERROR(_xlfn.XLOOKUP(BR146,'Lookup Tables'!$M$11:$M$14,'Lookup Tables'!$N$11:$N$14,0),0)
  + IFERROR(_xlfn.XLOOKUP(BQ146,'Lookup Tables'!$J$11:$J$15,'Lookup Tables'!$K$11:$K$15,0),0)
  + IFERROR(_xlfn.XLOOKUP(BH146,'Lookup Tables'!$D$11:$D$15,'Lookup Tables'!$E$11:$E$15,0),0)
  + IFERROR(_xlfn.XLOOKUP(BJ146,'Lookup Tables'!$G$11:$G$16,'Lookup Tables'!$H$11:$H$16,0),0)
  + IFERROR(_xlfn.XLOOKUP(BN146,'Lookup Tables'!$P$11:$P$15,'Lookup Tables'!$Q$11:$Q$15,0),0)
  + _xlfn.IFS(BM146="No Evidence",10, BM146="Unknown",3, BM146="Likely",0, BM146="Confirmed",-10, TRUE,3)
  + IFERROR(_xlfn.XLOOKUP(BP146,'Lookup Tables'!$J$21:$J$24,'Lookup Tables'!$K$21:$K$24,0),0)
))</f>
        <v/>
      </c>
      <c r="BT146" s="5" t="n"/>
      <c r="BU146" s="5" t="n"/>
      <c r="BV146" s="5" t="n"/>
      <c r="BW146" s="5" t="n"/>
      <c r="BX146" s="5" t="n"/>
      <c r="BY146" s="5" t="n"/>
      <c r="BZ146" s="5" t="n"/>
      <c r="CA146" s="5" t="n"/>
      <c r="CB146" s="5" t="n"/>
      <c r="CC146" s="5" t="n"/>
      <c r="CD146" s="5" t="n"/>
      <c r="CE146" s="43">
        <f t="array" ref="CE146">MIN(100, MAX(0,
  IF(ISNUMBER(BV146)*AND(BV146&gt;0), 10, 0)
  + _xlfn.IFS(BY146="Independently Verified",25, BY146="Yes",15, TRUE,0)
  + IFERROR(_xlfn.XLOOKUP(BZ146,'Lookup Tables'!$A$21:$A$24,'Lookup Tables'!$B$21:$B$24,0),0)
  + IFERROR(_xlfn.XLOOKUP(CA146,'Lookup Tables'!$D$21:$D$24,'Lookup Tables'!$E$21:$E$24,0),0)
  + _xlfn.IFS(ISNUMBER(CB146)*AND(CB146&gt;=11),15, ISNUMBER(CB146)*AND(CB146&gt;=6),10, ISNUMBER(CB146)*AND(CB146&gt;=1),5, TRUE,0)
  + IFERROR(_xlfn.XLOOKUP(CC146,'Lookup Tables'!$G$21:$G$25,'Lookup Tables'!$H$21:$H$25,0),0)
  - IF(ISNUMBER(BW146)*AND(ISNUMBER(BV146))*AND(BW146&gt;BV146), 20, 0)
  - IF(AND(BY146="Yes", ISNUMBER(BW146), BW146&gt;60), 10, 0)
))</f>
        <v/>
      </c>
      <c r="CF146" s="5" t="n"/>
      <c r="CG146" s="5" t="n"/>
      <c r="CH146" s="5" t="n"/>
      <c r="CI146" s="5" t="n"/>
      <c r="CJ146" s="5" t="n"/>
      <c r="CK146" s="5" t="n"/>
      <c r="CL146" s="5" t="n"/>
      <c r="CM146" s="5" t="n"/>
      <c r="CN146" s="5" t="n"/>
      <c r="CO146" s="5" t="n"/>
      <c r="CP146" s="5" t="n"/>
      <c r="CQ146" s="5" t="n"/>
      <c r="CR146" s="5">
        <f>COUNTIF(CJ146:CQ146,"FAIL")</f>
        <v/>
      </c>
      <c r="CS146" s="5">
        <f>COUNTIF(CJ146:CQ146,"PARTIAL")</f>
        <v/>
      </c>
      <c r="CT146" s="5">
        <f>COUNTIF(CJ146:CQ146,"MISSING")</f>
        <v/>
      </c>
      <c r="CU146" s="5">
        <f>MIN(100,
  CR146*15
  + CS146*6
  + CT146*3
  + IFERROR(_xlfn.XLOOKUP(CW146,'Lookup Tables'!$M$21:$M$25,'Lookup Tables'!$N$21:$N$25,0),0)
)</f>
        <v/>
      </c>
      <c r="CV146" s="5">
        <f>IFERROR(
CHOOSE(
MATCH("FAIL",CJ146:CQ146,0),
"1-Specificity","2-Metric","3-Baseline","4-Target",
"5-Time Horizon","6-Scope","7-Verification","8-Consistency"
),
IFERROR(
CHOOSE(
MATCH("PARTIAL",CJ146:CQ146,0),
"1-Specificity","2-Metric","3-Baseline","4-Target",
"5-Time Horizon","6-Scope","7-Verification","8-Consistency"
),
"No failures"
)
)</f>
        <v/>
      </c>
      <c r="CW146" s="5" t="n"/>
      <c r="CX146" s="5" t="n"/>
      <c r="CY146" s="5" t="n"/>
      <c r="CZ146" s="5" t="n"/>
      <c r="DA146" s="5">
        <f>IF(OR(CU146&gt;=50,CW146="Material",CW146="Severe",AS146="Material",AS146="Severe",BF146="Material",BF146="Severe — Exclusion Trigger",AND(ISNUMBER(BS146),BS146&lt;30)),"Yes","No")</f>
        <v/>
      </c>
      <c r="DB146" s="5">
        <f>IF(OR(CR146&gt;=6,AW146="Confirmed Violation",AX146="Confirmed Breach"),"Yes — Automatic",IF(CW146="Severe","Yes — Requires Captain Confirmation","No"))</f>
        <v/>
      </c>
      <c r="DC146" s="5" t="n"/>
      <c r="DD146" s="5" t="n"/>
      <c r="DE146" s="5" t="n"/>
      <c r="DF146" s="5" t="n"/>
      <c r="DG146" s="5" t="n"/>
      <c r="DH146" s="5" t="n"/>
      <c r="DI146" s="5" t="n"/>
      <c r="DJ146" s="5" t="n"/>
      <c r="DK146" s="5" t="n"/>
      <c r="DL146" s="5">
        <f>IF(OR(IFERROR(VALUE(LEFT(DF146,1)),99)&lt;=2,IFERROR(VALUE(LEFT(DG146,1)),99)&lt;=2),"Flagged","Clear")</f>
        <v/>
      </c>
      <c r="DM146" s="5">
        <f>IF(OR(DA146="Yes",DB146&lt;&gt;"No",DH146="Unverified",DL146="Flagged"),"Yes","No")</f>
        <v/>
      </c>
      <c r="DN146" s="5">
        <f t="array" ref="DN146">MIN(100,
  IF(ISNUMBER(V146), _xlfn.IFS(V146&gt;=3,25, V146=2,15, V146=1,5, TRUE,0), 0)
  + IFERROR(_xlfn.IFS(VALUE(LEFT(DF146,1))=5,25, VALUE(LEFT(DF146,1))=4,20, VALUE(LEFT(DF146,1))=3,15, VALUE(LEFT(DF146,1))=2,8, TRUE,0), 15)
  + IFERROR(_xlfn.IFS(VALUE(LEFT(DG146,1))=5,25, VALUE(LEFT(DG146,1))=4,20, VALUE(LEFT(DG146,1))=3,15, VALUE(LEFT(DG146,1))=2,8, TRUE,0), 15)
  + _xlfn.IFS(DH146="Fully Verified",25, DH146="Partially Verified",12, TRUE,0)
)</f>
        <v/>
      </c>
      <c r="DO146" s="5">
        <f t="array" ref="DO146">_xlfn.IFS(
  ISBLANK(AR146), "Insufficient Evidence",
  AND(AR146&gt;=65, AJ146="Approved"), "Strong",
  AR146&gt;=65, "Adequate",
  AR146&gt;=40, "Adequate",
  AR146&gt;=20, "Weak",
  TRUE, "Insufficient Evidence"
)</f>
        <v/>
      </c>
      <c r="DP146" s="5">
        <f t="array" ref="DP146">_xlfn.IFS(
  ISBLANK(BS146), "Insufficient Evidence",
  BS146&gt;=65, "Strong",
  BS146&gt;=40, "Adequate",
  BS146&gt;=20, "Weak",
  TRUE, "Insufficient Evidence"
)</f>
        <v/>
      </c>
      <c r="DQ146" s="5">
        <f t="array" ref="DQ146">_xlfn.IFS(
  ISBLANK(BE146), "Insufficient Evidence",
  OR(AW146="Confirmed Violation", AX146="Confirmed Breach"), "Severe — Hard Trigger",
  BE146&gt;=65, "Strong",
  BE146&gt;=40, "Adequate",
  BE146&gt;=20, "Weak",
  TRUE, "Insufficient Evidence"
)</f>
        <v/>
      </c>
      <c r="DR146" s="5">
        <f t="array" ref="DR146">_xlfn.IFS(
  ISBLANK(CU146), "Insufficient Evidence",
  CU146&lt;=20, "Low Risk",
  CU146&lt;=50, "Moderate Risk",
  CU146&lt;=75, "High Risk",
  TRUE, "Very High Risk"
)</f>
        <v/>
      </c>
      <c r="DS146" s="5">
        <f t="array" ref="DS146">_xlfn.IFS(
  ISBLANK(CE146), "Insufficient Evidence",
  AND(ISNUMBER(BW146),ISNUMBER(BV146),BW146&gt;BV146), "Overclaiming Risk",
  CE146&gt;=65, "Strong",
  CE146&gt;=40, "Adequate",
  TRUE, "Weak"
)</f>
        <v/>
      </c>
      <c r="DT146" s="5">
        <f>IF(DB146="Yes — Automatic",0,ROUND((IF(ISNUMBER(AR146),AR146,0)*0.3+IF(ISNUMBER(BS146),BS146,0)*0.2+IF(ISNUMBER(BE146),BE146,0)*0.2+IF(ISNUMBER(CE146),CE146,0)*0.15+(100-IF(ISNUMBER(CU146),CU146,50))*0.15)*IF(DN146&gt;=75,1,IF(DN146&gt;=50,0.9,IF(DN146&gt;=25,0.75,0.6))),1))</f>
        <v/>
      </c>
      <c r="DU146" s="5">
        <f t="array" ref="DU146">_xlfn.IFS(
  DV146="Upgraded to Clear", "Clear",
  DV146="Downgraded to Watchlist", "Watchlist",
  DV146="Downgraded to Exclusion", "Exclusion Risk",
  DB146="Yes — Automatic", "Exclusion Risk",
  OR(AW146="Confirmed Violation", AX146="Confirmed Breach"), "Exclusion Risk",
  OR(V146=0, ISBLANK(V146), DN146&lt;20), "Insufficient Evidence",
  AND(DT146&gt;=65, DA146="No", DB146="No"), "Clear",
  OR(DT146&gt;=40, DA146="Yes"), "Watchlist",
  TRUE, "Exclusion Risk"
)</f>
        <v/>
      </c>
      <c r="DV146" s="5" t="n"/>
      <c r="DW146" s="5">
        <f t="array" ref="DW146">_xlfn.IFS(
  DU146="Exclusion Risk", "Exclude — Hard Trigger",
  DU146="Insufficient Evidence", "Watchlist — Further Evidence Needed",
  DU146="Watchlist", "Watchlist — Further Evidence Needed",
  AND(DU146="Clear", DT146&gt;=80), "Include — No Conditions",
  DU146="Clear", "Include — Monitor",
  TRUE, "Watchlist — Further Evidence Needed"
)</f>
        <v/>
      </c>
      <c r="DX146" s="5" t="n"/>
      <c r="DY146" s="5" t="n"/>
      <c r="DZ146" s="5" t="n"/>
      <c r="EA146" s="5" t="n"/>
      <c r="EB146" s="5">
        <f>IF(OR(V146=0, ISBLANK(V146)), "MISSING — No sources reviewed", "")</f>
        <v/>
      </c>
      <c r="EC146" s="5">
        <f>IF(AND(NOT(ISBLANK(DC146)), ISBLANK(DE146)), "PAGE REF MISSING", "")</f>
        <v/>
      </c>
    </row>
    <row r="147" ht="18" customHeight="1" s="60">
      <c r="A147" s="5" t="inlineStr">
        <is>
          <t>Alfa Laval AB</t>
        </is>
      </c>
      <c r="B147" s="5" t="inlineStr">
        <is>
          <t>AA9</t>
        </is>
      </c>
      <c r="C147" s="5" t="inlineStr">
        <is>
          <t>SE0000695876</t>
        </is>
      </c>
      <c r="D147" s="5" t="n"/>
      <c r="E147" s="5" t="n"/>
      <c r="F147" s="5">
        <f>IF(ISBLANK('Universe Tracker'!F122),"",'Universe Tracker'!F122)</f>
        <v/>
      </c>
      <c r="G147" s="5">
        <f>IF(ISBLANK('Universe Tracker'!G122),"",'Universe Tracker'!G122)</f>
        <v/>
      </c>
      <c r="H147" s="5" t="n"/>
      <c r="I147" s="5" t="n"/>
      <c r="J147" s="5">
        <f>IF(ISBLANK(B147),"",B147&amp;"_"&amp;C147)</f>
        <v/>
      </c>
      <c r="K147" s="5" t="n"/>
      <c r="L147" s="5" t="n"/>
      <c r="M147" s="5" t="n"/>
      <c r="N147" s="5" t="n"/>
      <c r="O147" s="5" t="inlineStr">
        <is>
          <t>Yes</t>
        </is>
      </c>
      <c r="P147" s="5" t="inlineStr">
        <is>
          <t>Yes</t>
        </is>
      </c>
      <c r="Q147" s="5" t="n"/>
      <c r="R147" s="5" t="n"/>
      <c r="S147" s="5" t="n"/>
      <c r="T147" s="5" t="n"/>
      <c r="U147" s="5" t="n"/>
      <c r="V147" s="5" t="n"/>
      <c r="W147" s="5" t="n"/>
      <c r="X147" s="5" t="n"/>
      <c r="Y147" s="5">
        <f>IF(AND(V147&gt;=2,K147="Yes",L147="Yes"),"Sufficient",IF(AND(V147&gt;=1,OR(K147="Yes",L147="Yes")),"Thin","Insufficient"))</f>
        <v/>
      </c>
      <c r="Z147" s="5" t="n"/>
      <c r="AA147" s="5" t="n"/>
      <c r="AB147" s="5" t="n"/>
      <c r="AC147" s="5" t="n"/>
      <c r="AD147" s="5" t="n"/>
      <c r="AE147" s="5" t="n"/>
      <c r="AF147" s="5" t="n"/>
      <c r="AG147" s="5" t="n"/>
      <c r="AH147" s="5" t="n"/>
      <c r="AI147" s="5" t="n"/>
      <c r="AJ147" s="5" t="inlineStr">
        <is>
          <t>Targets set (1.5°C)</t>
        </is>
      </c>
      <c r="AK147" s="5" t="inlineStr">
        <is>
          <t>2030</t>
        </is>
      </c>
      <c r="AL147" s="5" t="n"/>
      <c r="AM147" s="5" t="n"/>
      <c r="AN147" s="5" t="n"/>
      <c r="AO147" s="5" t="n"/>
      <c r="AP147" s="5" t="n"/>
      <c r="AQ147" s="5" t="n"/>
      <c r="AR147" s="40">
        <f t="array" ref="AR147">MIN(100, MAX(0,
  IFERROR(_xlfn.XLOOKUP(AJ147,'Lookup Tables'!$A$2:$A$7,'Lookup Tables'!$B$2:$B$7,0),0)
  + IF(Z147="Yes", IF(IFERROR(_xlfn.XLOOKUP(AJ147,'Lookup Tables'!$A$2:$A$7,'Lookup Tables'!$B$2:$B$7,0),0)&lt;20, 5, 0), 0)
  + _xlfn.IFS(AB147="Yes", IF(ISNUMBER(AC147)*AND(AC147&lt;=2030),15,10), AB147="Long-term Only", 5, AB147="No", 0, TRUE, 0)
  + _xlfn.IFS(AF147="Full",10, AF147="Partial",5, AF147="Scope 2 Only",3, TRUE,0)
  + _xlfn.IFS(AG147="Yes", IF(ISNUMBER(AH147)*AND(AH147&gt;=5),10,6), AG147="Partial",4, TRUE,0)
  + _xlfn.IFS(AI147="Yes",5, AI147="Partial (material categories only)",3, TRUE,0)
  + _xlfn.IFS(AL147="Yes — Detailed",10, AL147="Yes — High Level",5, TRUE,0)
  + _xlfn.IFS(AM147="Yes — Quantified",15, AM147="Yes — Directional Only",7, TRUE,0)
  + _xlfn.IFS(AP147="Formal",5, AP147="Referenced",2, TRUE,0)
  + _xlfn.IFS(AQ147="No Issues Found",5, AQ147="Concern Identified",-5, AQ147="Severe Contradiction",-15, TRUE,0)
  + _xlfn.IFS(BC147="Reasonable Assurance",5, BC147="Limited Assurance",3, TRUE,0)
  - IF(AND(Z147="Yes", AI147="No"), 10, 0)
  - IF(AND(Z147="Yes", AM147="No"), 10, 0)
))</f>
        <v/>
      </c>
      <c r="AS147" s="5" t="n"/>
      <c r="AT147" s="5" t="n"/>
      <c r="AU147" s="5" t="n"/>
      <c r="AV147" s="5" t="n"/>
      <c r="AW147" s="5" t="n"/>
      <c r="AX147" s="5" t="n"/>
      <c r="AY147" s="5" t="n"/>
      <c r="AZ147" s="5" t="n"/>
      <c r="BA147" s="5" t="n"/>
      <c r="BB147" s="5" t="n"/>
      <c r="BC147" s="5" t="n"/>
      <c r="BD147" s="5" t="n"/>
      <c r="BE147" s="39">
        <f t="array" ref="BE147">MIN(100, MAX(0,
  IFERROR(_xlfn.XLOOKUP(AT147,'Lookup Tables'!$D$2:$D$6,'Lookup Tables'!$E$2:$E$6,0),0)
  + IFERROR(_xlfn.XLOOKUP(AV147,'Lookup Tables'!$G$2:$G$5,'Lookup Tables'!$H$2:$H$5,0),0)
  + IFERROR(_xlfn.XLOOKUP(AW147,'Lookup Tables'!$J$2:$J$5,'Lookup Tables'!$K$2:$K$5,0),0)
  + _xlfn.IFS(AX147="No Issues",10, AX147="Complaint Filed",3, AX147="Confirmed Breach",-15, TRUE,0)
  + IFERROR(_xlfn.XLOOKUP(AY147,'Lookup Tables'!$M$2:$M$6,'Lookup Tables'!$N$2:$N$6,0),0)
  + IFERROR(_xlfn.XLOOKUP(AZ147,'Lookup Tables'!$P$2:$P$6,'Lookup Tables'!$Q$2:$Q$6,0),0)
  + _xlfn.IFS(BA147="Formal Board Committee",5, BA147="Board Oversight Mentioned",2, TRUE,0)
  + _xlfn.IFS(BB147="Yes — Quantified Targets",5, BB147="Yes — Discretionary Only",2, TRUE,0)
  + _xlfn.IFS(BC147="Reasonable Assurance",5, BC147="Limited Assurance",3, BC147="Management Review Only",1, TRUE,0)
))</f>
        <v/>
      </c>
      <c r="BF147" s="5" t="n"/>
      <c r="BG147" s="5" t="n"/>
      <c r="BH147" s="5" t="n"/>
      <c r="BI147" s="5" t="n"/>
      <c r="BJ147" s="5" t="n"/>
      <c r="BK147" s="5" t="n"/>
      <c r="BL147" s="5" t="n"/>
      <c r="BM147" s="5" t="n"/>
      <c r="BN147" s="5" t="n"/>
      <c r="BO147" s="5" t="n"/>
      <c r="BP147" s="5" t="n"/>
      <c r="BQ147" s="5" t="n"/>
      <c r="BR147" s="5" t="n"/>
      <c r="BS147" s="41">
        <f t="array" ref="BS147">MIN(100, MAX(0,
  IFERROR(_xlfn.XLOOKUP(BG147,'Lookup Tables'!$A$11:$A$16,'Lookup Tables'!$B$11:$B$16,0),0)
  + IFERROR(_xlfn.XLOOKUP(BR147,'Lookup Tables'!$M$11:$M$14,'Lookup Tables'!$N$11:$N$14,0),0)
  + IFERROR(_xlfn.XLOOKUP(BQ147,'Lookup Tables'!$J$11:$J$15,'Lookup Tables'!$K$11:$K$15,0),0)
  + IFERROR(_xlfn.XLOOKUP(BH147,'Lookup Tables'!$D$11:$D$15,'Lookup Tables'!$E$11:$E$15,0),0)
  + IFERROR(_xlfn.XLOOKUP(BJ147,'Lookup Tables'!$G$11:$G$16,'Lookup Tables'!$H$11:$H$16,0),0)
  + IFERROR(_xlfn.XLOOKUP(BN147,'Lookup Tables'!$P$11:$P$15,'Lookup Tables'!$Q$11:$Q$15,0),0)
  + _xlfn.IFS(BM147="No Evidence",10, BM147="Unknown",3, BM147="Likely",0, BM147="Confirmed",-10, TRUE,3)
  + IFERROR(_xlfn.XLOOKUP(BP147,'Lookup Tables'!$J$21:$J$24,'Lookup Tables'!$K$21:$K$24,0),0)
))</f>
        <v/>
      </c>
      <c r="BT147" s="5" t="n"/>
      <c r="BU147" s="5" t="n"/>
      <c r="BV147" s="5" t="n"/>
      <c r="BW147" s="5" t="n"/>
      <c r="BX147" s="5" t="n"/>
      <c r="BY147" s="5" t="n"/>
      <c r="BZ147" s="5" t="n"/>
      <c r="CA147" s="5" t="n"/>
      <c r="CB147" s="5" t="n"/>
      <c r="CC147" s="5" t="n"/>
      <c r="CD147" s="5" t="n"/>
      <c r="CE147" s="43">
        <f t="array" ref="CE147">MIN(100, MAX(0,
  IF(ISNUMBER(BV147)*AND(BV147&gt;0), 10, 0)
  + _xlfn.IFS(BY147="Independently Verified",25, BY147="Yes",15, TRUE,0)
  + IFERROR(_xlfn.XLOOKUP(BZ147,'Lookup Tables'!$A$21:$A$24,'Lookup Tables'!$B$21:$B$24,0),0)
  + IFERROR(_xlfn.XLOOKUP(CA147,'Lookup Tables'!$D$21:$D$24,'Lookup Tables'!$E$21:$E$24,0),0)
  + _xlfn.IFS(ISNUMBER(CB147)*AND(CB147&gt;=11),15, ISNUMBER(CB147)*AND(CB147&gt;=6),10, ISNUMBER(CB147)*AND(CB147&gt;=1),5, TRUE,0)
  + IFERROR(_xlfn.XLOOKUP(CC147,'Lookup Tables'!$G$21:$G$25,'Lookup Tables'!$H$21:$H$25,0),0)
  - IF(ISNUMBER(BW147)*AND(ISNUMBER(BV147))*AND(BW147&gt;BV147), 20, 0)
  - IF(AND(BY147="Yes", ISNUMBER(BW147), BW147&gt;60), 10, 0)
))</f>
        <v/>
      </c>
      <c r="CF147" s="5" t="n"/>
      <c r="CG147" s="5" t="inlineStr">
        <is>
          <t>The ambition is to achieve net zero scope 1 and 2 GHG emissions by 2027</t>
        </is>
      </c>
      <c r="CH147" s="5" t="inlineStr">
        <is>
          <t>annual-and-sustainability-report-2025.pdf</t>
        </is>
      </c>
      <c r="CI147" s="5" t="n">
        <v>18</v>
      </c>
      <c r="CJ147" s="5" t="inlineStr">
        <is>
          <t>PASS</t>
        </is>
      </c>
      <c r="CK147" s="5" t="inlineStr">
        <is>
          <t>PASS</t>
        </is>
      </c>
      <c r="CL147" s="5" t="inlineStr">
        <is>
          <t>PASS</t>
        </is>
      </c>
      <c r="CM147" s="5" t="inlineStr">
        <is>
          <t>PASS</t>
        </is>
      </c>
      <c r="CN147" s="5" t="inlineStr">
        <is>
          <t>PASS</t>
        </is>
      </c>
      <c r="CO147" s="5" t="inlineStr">
        <is>
          <t>PASS</t>
        </is>
      </c>
      <c r="CP147" s="5" t="inlineStr">
        <is>
          <t>PASS</t>
        </is>
      </c>
      <c r="CQ147" s="5" t="inlineStr">
        <is>
          <t>PASS</t>
        </is>
      </c>
      <c r="CR147" s="5">
        <f>COUNTIF(CJ147:CQ147,"FAIL")</f>
        <v/>
      </c>
      <c r="CS147" s="5">
        <f>COUNTIF(CJ147:CQ147,"PARTIAL")</f>
        <v/>
      </c>
      <c r="CT147" s="5">
        <f>COUNTIF(CJ147:CQ147,"MISSING")</f>
        <v/>
      </c>
      <c r="CU147" s="5">
        <f>MIN(100,
  CR147*15
  + CS147*6
  + CT147*3
  + IFERROR(_xlfn.XLOOKUP(CW147,'Lookup Tables'!$M$21:$M$25,'Lookup Tables'!$N$21:$N$25,0),0)
)</f>
        <v/>
      </c>
      <c r="CV147" s="5">
        <f>IFERROR(
CHOOSE(
MATCH("FAIL",CJ147:CQ147,0),
"1-Specificity","2-Metric","3-Baseline","4-Target",
"5-Time Horizon","6-Scope","7-Verification","8-Consistency"
),
IFERROR(
CHOOSE(
MATCH("PARTIAL",CJ147:CQ147,0),
"1-Specificity","2-Metric","3-Baseline","4-Target",
"5-Time Horizon","6-Scope","7-Verification","8-Consistency"
),
"No failures"
)
)</f>
        <v/>
      </c>
      <c r="CW147" s="5" t="n"/>
      <c r="CX147" s="5" t="n"/>
      <c r="CY147" s="5" t="n"/>
      <c r="CZ147" s="5" t="n"/>
      <c r="DA147" s="5">
        <f>IF(OR(CU147&gt;=50,CW147="Material",CW147="Severe",AS147="Material",AS147="Severe",BF147="Material",BF147="Severe — Exclusion Trigger",AND(ISNUMBER(BS147),BS147&lt;30)),"Yes","No")</f>
        <v/>
      </c>
      <c r="DB147" s="5">
        <f>IF(OR(CR147&gt;=6,AW147="Confirmed Violation",AX147="Confirmed Breach"),"Yes — Automatic",IF(CW147="Severe","Yes — Requires Captain Confirmation","No"))</f>
        <v/>
      </c>
      <c r="DC147" s="5" t="inlineStr">
        <is>
          <t>The ambition is to achieve net zero scope 1 and 2 GHG emissions by 2027</t>
        </is>
      </c>
      <c r="DD147" s="5" t="inlineStr">
        <is>
          <t>annual-and-sustainability-report-2025.pdf</t>
        </is>
      </c>
      <c r="DE147" s="5" t="n">
        <v>18</v>
      </c>
      <c r="DF147" s="5" t="n">
        <v>4</v>
      </c>
      <c r="DG147" s="5" t="n">
        <v>4</v>
      </c>
      <c r="DH147" s="5" t="inlineStr">
        <is>
          <t>PENDING</t>
        </is>
      </c>
      <c r="DI147" s="5" t="n"/>
      <c r="DJ147" s="5" t="n"/>
      <c r="DK147" s="5" t="n"/>
      <c r="DL147" s="5">
        <f>IF(OR(IFERROR(VALUE(LEFT(DF147,1)),99)&lt;=2,IFERROR(VALUE(LEFT(DG147,1)),99)&lt;=2),"Flagged","Clear")</f>
        <v/>
      </c>
      <c r="DM147" s="5">
        <f>IF(OR(DA147="Yes",DB147&lt;&gt;"No",DH147="Unverified",DL147="Flagged"),"Yes","No")</f>
        <v/>
      </c>
      <c r="DN147" s="5">
        <f t="array" ref="DN147">MIN(100,
  IF(ISNUMBER(V147), _xlfn.IFS(V147&gt;=3,25, V147=2,15, V147=1,5, TRUE,0), 0)
  + IFERROR(_xlfn.IFS(VALUE(LEFT(DF147,1))=5,25, VALUE(LEFT(DF147,1))=4,20, VALUE(LEFT(DF147,1))=3,15, VALUE(LEFT(DF147,1))=2,8, TRUE,0), 15)
  + IFERROR(_xlfn.IFS(VALUE(LEFT(DG147,1))=5,25, VALUE(LEFT(DG147,1))=4,20, VALUE(LEFT(DG147,1))=3,15, VALUE(LEFT(DG147,1))=2,8, TRUE,0), 15)
  + _xlfn.IFS(DH147="Fully Verified",25, DH147="Partially Verified",12, TRUE,0)
)</f>
        <v/>
      </c>
      <c r="DO147" s="5">
        <f t="array" ref="DO147">_xlfn.IFS(
  ISBLANK(AR147), "Insufficient Evidence",
  AND(AR147&gt;=65, AJ147="Approved"), "Strong",
  AR147&gt;=65, "Adequate",
  AR147&gt;=40, "Adequate",
  AR147&gt;=20, "Weak",
  TRUE, "Insufficient Evidence"
)</f>
        <v/>
      </c>
      <c r="DP147" s="5">
        <f t="array" ref="DP147">_xlfn.IFS(
  ISBLANK(BS147), "Insufficient Evidence",
  BS147&gt;=65, "Strong",
  BS147&gt;=40, "Adequate",
  BS147&gt;=20, "Weak",
  TRUE, "Insufficient Evidence"
)</f>
        <v/>
      </c>
      <c r="DQ147" s="5">
        <f t="array" ref="DQ147">_xlfn.IFS(
  ISBLANK(BE147), "Insufficient Evidence",
  OR(AW147="Confirmed Violation", AX147="Confirmed Breach"), "Severe — Hard Trigger",
  BE147&gt;=65, "Strong",
  BE147&gt;=40, "Adequate",
  BE147&gt;=20, "Weak",
  TRUE, "Insufficient Evidence"
)</f>
        <v/>
      </c>
      <c r="DR147" s="5">
        <f t="array" ref="DR147">_xlfn.IFS(
  ISBLANK(CU147), "Insufficient Evidence",
  CU147&lt;=20, "Low Risk",
  CU147&lt;=50, "Moderate Risk",
  CU147&lt;=75, "High Risk",
  TRUE, "Very High Risk"
)</f>
        <v/>
      </c>
      <c r="DS147" s="5">
        <f t="array" ref="DS147">_xlfn.IFS(
  ISBLANK(CE147), "Insufficient Evidence",
  AND(ISNUMBER(BW147),ISNUMBER(BV147),BW147&gt;BV147), "Overclaiming Risk",
  CE147&gt;=65, "Strong",
  CE147&gt;=40, "Adequate",
  TRUE, "Weak"
)</f>
        <v/>
      </c>
      <c r="DT147" s="5">
        <f>IF(DB147="Yes — Automatic",0,ROUND((IF(ISNUMBER(AR147),AR147,0)*0.3+IF(ISNUMBER(BS147),BS147,0)*0.2+IF(ISNUMBER(BE147),BE147,0)*0.2+IF(ISNUMBER(CE147),CE147,0)*0.15+(100-IF(ISNUMBER(CU147),CU147,50))*0.15)*IF(DN147&gt;=75,1,IF(DN147&gt;=50,0.9,IF(DN147&gt;=25,0.75,0.6))),1))</f>
        <v/>
      </c>
      <c r="DU147" s="5">
        <f t="array" ref="DU147">_xlfn.IFS(
  DV147="Upgraded to Clear", "Clear",
  DV147="Downgraded to Watchlist", "Watchlist",
  DV147="Downgraded to Exclusion", "Exclusion Risk",
  DB147="Yes — Automatic", "Exclusion Risk",
  OR(AW147="Confirmed Violation", AX147="Confirmed Breach"), "Exclusion Risk",
  OR(V147=0, ISBLANK(V147), DN147&lt;20), "Insufficient Evidence",
  AND(DT147&gt;=65, DA147="No", DB147="No"), "Clear",
  OR(DT147&gt;=40, DA147="Yes"), "Watchlist",
  TRUE, "Exclusion Risk"
)</f>
        <v/>
      </c>
      <c r="DV147" s="5" t="n"/>
      <c r="DW147" s="5">
        <f t="array" ref="DW147">_xlfn.IFS(
  DU147="Exclusion Risk", "Exclude — Hard Trigger",
  DU147="Insufficient Evidence", "Watchlist — Further Evidence Needed",
  DU147="Watchlist", "Watchlist — Further Evidence Needed",
  AND(DU147="Clear", DT147&gt;=80), "Include — No Conditions",
  DU147="Clear", "Include — Monitor",
  TRUE, "Watchlist — Further Evidence Needed"
)</f>
        <v/>
      </c>
      <c r="DX147" s="5" t="inlineStr">
        <is>
          <t>Main claim: "The ambition is to achieve net zero scope 1 and 2 GHG emissions by 2027" (annual-and-sustainability-report-2025.pdf, p18). SBTi: Targets set, 1.5°C near-term target (2030). 8-Test: 0 PARTIAL, 0 FAIL, 0 MISSING -&gt; PASS. Strong climate disclosure — near-dated net-zero (Scope 1+2 by 2027), explicit 2020 baseline, SBTi-approved targets, full scope coverage. One MED: emissions-data assurance level not crisply evidenced in the extract.</t>
        </is>
      </c>
      <c r="DY147" s="5" t="n"/>
      <c r="DZ147" s="5" t="n"/>
      <c r="EA147" s="5" t="n"/>
      <c r="EB147" s="5">
        <f>IF(OR(V147=0, ISBLANK(V147)), "MISSING — No sources reviewed", "")</f>
        <v/>
      </c>
      <c r="EC147" s="5">
        <f>IF(AND(NOT(ISBLANK(DC147)), ISBLANK(DE147)), "PAGE REF MISSING", "")</f>
        <v/>
      </c>
    </row>
    <row r="148" ht="18" customHeight="1" s="60">
      <c r="A148" s="5" t="inlineStr">
        <is>
          <t>Deutsche Boerse AG</t>
        </is>
      </c>
      <c r="B148" s="5" t="inlineStr">
        <is>
          <t>DB1</t>
        </is>
      </c>
      <c r="C148" s="5">
        <f>IF(ISBLANK('Universe Tracker'!D123),"",'Universe Tracker'!D123)</f>
        <v/>
      </c>
      <c r="D148" s="5" t="n"/>
      <c r="E148" s="5" t="n"/>
      <c r="F148" s="5">
        <f>IF(ISBLANK('Universe Tracker'!F123),"",'Universe Tracker'!F123)</f>
        <v/>
      </c>
      <c r="G148" s="5">
        <f>IF(ISBLANK('Universe Tracker'!G123),"",'Universe Tracker'!G123)</f>
        <v/>
      </c>
      <c r="H148" s="5" t="n"/>
      <c r="I148" s="5" t="n"/>
      <c r="J148" s="5">
        <f>IF(ISBLANK(B148),"",B148&amp;"_"&amp;C148)</f>
        <v/>
      </c>
      <c r="K148" s="5" t="n"/>
      <c r="L148" s="5" t="n"/>
      <c r="M148" s="5" t="n"/>
      <c r="N148" s="5" t="n"/>
      <c r="O148" s="5" t="n"/>
      <c r="P148" s="5" t="n"/>
      <c r="Q148" s="5" t="n"/>
      <c r="R148" s="5" t="n"/>
      <c r="S148" s="5" t="n"/>
      <c r="T148" s="5" t="n"/>
      <c r="U148" s="5" t="n"/>
      <c r="V148" s="5" t="n"/>
      <c r="W148" s="5" t="n"/>
      <c r="X148" s="5" t="n"/>
      <c r="Y148" s="5">
        <f>IF(AND(V148&gt;=2,K148="Yes",L148="Yes"),"Sufficient",IF(AND(V148&gt;=1,OR(K148="Yes",L148="Yes")),"Thin","Insufficient"))</f>
        <v/>
      </c>
      <c r="Z148" s="5" t="n"/>
      <c r="AA148" s="5" t="n"/>
      <c r="AB148" s="5" t="n"/>
      <c r="AC148" s="5" t="n"/>
      <c r="AD148" s="5" t="n"/>
      <c r="AE148" s="5" t="n"/>
      <c r="AF148" s="5" t="n"/>
      <c r="AG148" s="5" t="n"/>
      <c r="AH148" s="5" t="n"/>
      <c r="AI148" s="5" t="n"/>
      <c r="AJ148" s="5" t="n"/>
      <c r="AK148" s="5" t="n"/>
      <c r="AL148" s="5" t="n"/>
      <c r="AM148" s="5" t="n"/>
      <c r="AN148" s="5" t="n"/>
      <c r="AO148" s="5" t="n"/>
      <c r="AP148" s="5" t="n"/>
      <c r="AQ148" s="5" t="n"/>
      <c r="AR148" s="40">
        <f t="array" ref="AR148">MIN(100, MAX(0,
  IFERROR(_xlfn.XLOOKUP(AJ148,'Lookup Tables'!$A$2:$A$7,'Lookup Tables'!$B$2:$B$7,0),0)
  + IF(Z148="Yes", IF(IFERROR(_xlfn.XLOOKUP(AJ148,'Lookup Tables'!$A$2:$A$7,'Lookup Tables'!$B$2:$B$7,0),0)&lt;20, 5, 0), 0)
  + _xlfn.IFS(AB148="Yes", IF(ISNUMBER(AC148)*AND(AC148&lt;=2030),15,10), AB148="Long-term Only", 5, AB148="No", 0, TRUE, 0)
  + _xlfn.IFS(AF148="Full",10, AF148="Partial",5, AF148="Scope 2 Only",3, TRUE,0)
  + _xlfn.IFS(AG148="Yes", IF(ISNUMBER(AH148)*AND(AH148&gt;=5),10,6), AG148="Partial",4, TRUE,0)
  + _xlfn.IFS(AI148="Yes",5, AI148="Partial (material categories only)",3, TRUE,0)
  + _xlfn.IFS(AL148="Yes — Detailed",10, AL148="Yes — High Level",5, TRUE,0)
  + _xlfn.IFS(AM148="Yes — Quantified",15, AM148="Yes — Directional Only",7, TRUE,0)
  + _xlfn.IFS(AP148="Formal",5, AP148="Referenced",2, TRUE,0)
  + _xlfn.IFS(AQ148="No Issues Found",5, AQ148="Concern Identified",-5, AQ148="Severe Contradiction",-15, TRUE,0)
  + _xlfn.IFS(BC148="Reasonable Assurance",5, BC148="Limited Assurance",3, TRUE,0)
  - IF(AND(Z148="Yes", AI148="No"), 10, 0)
  - IF(AND(Z148="Yes", AM148="No"), 10, 0)
))</f>
        <v/>
      </c>
      <c r="AS148" s="5" t="n"/>
      <c r="AT148" s="5" t="n"/>
      <c r="AU148" s="5" t="n"/>
      <c r="AV148" s="5" t="n"/>
      <c r="AW148" s="5" t="n"/>
      <c r="AX148" s="5" t="n"/>
      <c r="AY148" s="5" t="n"/>
      <c r="AZ148" s="5" t="n"/>
      <c r="BA148" s="5" t="n"/>
      <c r="BB148" s="5" t="n"/>
      <c r="BC148" s="5" t="n"/>
      <c r="BD148" s="5" t="n"/>
      <c r="BE148" s="39">
        <f t="array" ref="BE148">MIN(100, MAX(0,
  IFERROR(_xlfn.XLOOKUP(AT148,'Lookup Tables'!$D$2:$D$6,'Lookup Tables'!$E$2:$E$6,0),0)
  + IFERROR(_xlfn.XLOOKUP(AV148,'Lookup Tables'!$G$2:$G$5,'Lookup Tables'!$H$2:$H$5,0),0)
  + IFERROR(_xlfn.XLOOKUP(AW148,'Lookup Tables'!$J$2:$J$5,'Lookup Tables'!$K$2:$K$5,0),0)
  + _xlfn.IFS(AX148="No Issues",10, AX148="Complaint Filed",3, AX148="Confirmed Breach",-15, TRUE,0)
  + IFERROR(_xlfn.XLOOKUP(AY148,'Lookup Tables'!$M$2:$M$6,'Lookup Tables'!$N$2:$N$6,0),0)
  + IFERROR(_xlfn.XLOOKUP(AZ148,'Lookup Tables'!$P$2:$P$6,'Lookup Tables'!$Q$2:$Q$6,0),0)
  + _xlfn.IFS(BA148="Formal Board Committee",5, BA148="Board Oversight Mentioned",2, TRUE,0)
  + _xlfn.IFS(BB148="Yes — Quantified Targets",5, BB148="Yes — Discretionary Only",2, TRUE,0)
  + _xlfn.IFS(BC148="Reasonable Assurance",5, BC148="Limited Assurance",3, BC148="Management Review Only",1, TRUE,0)
))</f>
        <v/>
      </c>
      <c r="BF148" s="5" t="n"/>
      <c r="BG148" s="5" t="n"/>
      <c r="BH148" s="5" t="n"/>
      <c r="BI148" s="5" t="n"/>
      <c r="BJ148" s="5" t="n"/>
      <c r="BK148" s="5" t="n"/>
      <c r="BL148" s="5" t="n"/>
      <c r="BM148" s="5" t="n"/>
      <c r="BN148" s="5" t="n"/>
      <c r="BO148" s="5" t="n"/>
      <c r="BP148" s="5" t="n"/>
      <c r="BQ148" s="5" t="n"/>
      <c r="BR148" s="5" t="n"/>
      <c r="BS148" s="41">
        <f t="array" ref="BS148">MIN(100, MAX(0,
  IFERROR(_xlfn.XLOOKUP(BG148,'Lookup Tables'!$A$11:$A$16,'Lookup Tables'!$B$11:$B$16,0),0)
  + IFERROR(_xlfn.XLOOKUP(BR148,'Lookup Tables'!$M$11:$M$14,'Lookup Tables'!$N$11:$N$14,0),0)
  + IFERROR(_xlfn.XLOOKUP(BQ148,'Lookup Tables'!$J$11:$J$15,'Lookup Tables'!$K$11:$K$15,0),0)
  + IFERROR(_xlfn.XLOOKUP(BH148,'Lookup Tables'!$D$11:$D$15,'Lookup Tables'!$E$11:$E$15,0),0)
  + IFERROR(_xlfn.XLOOKUP(BJ148,'Lookup Tables'!$G$11:$G$16,'Lookup Tables'!$H$11:$H$16,0),0)
  + IFERROR(_xlfn.XLOOKUP(BN148,'Lookup Tables'!$P$11:$P$15,'Lookup Tables'!$Q$11:$Q$15,0),0)
  + _xlfn.IFS(BM148="No Evidence",10, BM148="Unknown",3, BM148="Likely",0, BM148="Confirmed",-10, TRUE,3)
  + IFERROR(_xlfn.XLOOKUP(BP148,'Lookup Tables'!$J$21:$J$24,'Lookup Tables'!$K$21:$K$24,0),0)
))</f>
        <v/>
      </c>
      <c r="BT148" s="5" t="n"/>
      <c r="BU148" s="5" t="n"/>
      <c r="BV148" s="5" t="n"/>
      <c r="BW148" s="5" t="n"/>
      <c r="BX148" s="5" t="n"/>
      <c r="BY148" s="5" t="n"/>
      <c r="BZ148" s="5" t="n"/>
      <c r="CA148" s="5" t="n"/>
      <c r="CB148" s="5" t="n"/>
      <c r="CC148" s="5" t="n"/>
      <c r="CD148" s="5" t="n"/>
      <c r="CE148" s="43">
        <f t="array" ref="CE148">MIN(100, MAX(0,
  IF(ISNUMBER(BV148)*AND(BV148&gt;0), 10, 0)
  + _xlfn.IFS(BY148="Independently Verified",25, BY148="Yes",15, TRUE,0)
  + IFERROR(_xlfn.XLOOKUP(BZ148,'Lookup Tables'!$A$21:$A$24,'Lookup Tables'!$B$21:$B$24,0),0)
  + IFERROR(_xlfn.XLOOKUP(CA148,'Lookup Tables'!$D$21:$D$24,'Lookup Tables'!$E$21:$E$24,0),0)
  + _xlfn.IFS(ISNUMBER(CB148)*AND(CB148&gt;=11),15, ISNUMBER(CB148)*AND(CB148&gt;=6),10, ISNUMBER(CB148)*AND(CB148&gt;=1),5, TRUE,0)
  + IFERROR(_xlfn.XLOOKUP(CC148,'Lookup Tables'!$G$21:$G$25,'Lookup Tables'!$H$21:$H$25,0),0)
  - IF(ISNUMBER(BW148)*AND(ISNUMBER(BV148))*AND(BW148&gt;BV148), 20, 0)
  - IF(AND(BY148="Yes", ISNUMBER(BW148), BW148&gt;60), 10, 0)
))</f>
        <v/>
      </c>
      <c r="CF148" s="5" t="n"/>
      <c r="CG148" s="5" t="n"/>
      <c r="CH148" s="5" t="n"/>
      <c r="CI148" s="5" t="n"/>
      <c r="CJ148" s="5" t="n"/>
      <c r="CK148" s="5" t="n"/>
      <c r="CL148" s="5" t="n"/>
      <c r="CM148" s="5" t="n"/>
      <c r="CN148" s="5" t="n"/>
      <c r="CO148" s="5" t="n"/>
      <c r="CP148" s="5" t="n"/>
      <c r="CQ148" s="5" t="n"/>
      <c r="CR148" s="5">
        <f>COUNTIF(CJ148:CQ148,"FAIL")</f>
        <v/>
      </c>
      <c r="CS148" s="5">
        <f>COUNTIF(CJ148:CQ148,"PARTIAL")</f>
        <v/>
      </c>
      <c r="CT148" s="5">
        <f>COUNTIF(CJ148:CQ148,"MISSING")</f>
        <v/>
      </c>
      <c r="CU148" s="5">
        <f>MIN(100,
  CR148*15
  + CS148*6
  + CT148*3
  + IFERROR(_xlfn.XLOOKUP(CW148,'Lookup Tables'!$M$21:$M$25,'Lookup Tables'!$N$21:$N$25,0),0)
)</f>
        <v/>
      </c>
      <c r="CV148" s="5">
        <f>IFERROR(
CHOOSE(
MATCH("FAIL",CJ148:CQ148,0),
"1-Specificity","2-Metric","3-Baseline","4-Target",
"5-Time Horizon","6-Scope","7-Verification","8-Consistency"
),
IFERROR(
CHOOSE(
MATCH("PARTIAL",CJ148:CQ148,0),
"1-Specificity","2-Metric","3-Baseline","4-Target",
"5-Time Horizon","6-Scope","7-Verification","8-Consistency"
),
"No failures"
)
)</f>
        <v/>
      </c>
      <c r="CW148" s="5" t="n"/>
      <c r="CX148" s="5" t="n"/>
      <c r="CY148" s="5" t="n"/>
      <c r="CZ148" s="5" t="n"/>
      <c r="DA148" s="5">
        <f>IF(OR(CU148&gt;=50,CW148="Material",CW148="Severe",AS148="Material",AS148="Severe",BF148="Material",BF148="Severe — Exclusion Trigger",AND(ISNUMBER(BS148),BS148&lt;30)),"Yes","No")</f>
        <v/>
      </c>
      <c r="DB148" s="5">
        <f>IF(OR(CR148&gt;=6,AW148="Confirmed Violation",AX148="Confirmed Breach"),"Yes — Automatic",IF(CW148="Severe","Yes — Requires Captain Confirmation","No"))</f>
        <v/>
      </c>
      <c r="DC148" s="5" t="n"/>
      <c r="DD148" s="5" t="n"/>
      <c r="DE148" s="5" t="n"/>
      <c r="DF148" s="5" t="n"/>
      <c r="DG148" s="5" t="n"/>
      <c r="DH148" s="5" t="n"/>
      <c r="DI148" s="5" t="n"/>
      <c r="DJ148" s="5" t="n"/>
      <c r="DK148" s="5" t="n"/>
      <c r="DL148" s="5">
        <f>IF(OR(IFERROR(VALUE(LEFT(DF148,1)),99)&lt;=2,IFERROR(VALUE(LEFT(DG148,1)),99)&lt;=2),"Flagged","Clear")</f>
        <v/>
      </c>
      <c r="DM148" s="5">
        <f>IF(OR(DA148="Yes",DB148&lt;&gt;"No",DH148="Unverified",DL148="Flagged"),"Yes","No")</f>
        <v/>
      </c>
      <c r="DN148" s="5">
        <f t="array" ref="DN148">MIN(100,
  IF(ISNUMBER(V148), _xlfn.IFS(V148&gt;=3,25, V148=2,15, V148=1,5, TRUE,0), 0)
  + IFERROR(_xlfn.IFS(VALUE(LEFT(DF148,1))=5,25, VALUE(LEFT(DF148,1))=4,20, VALUE(LEFT(DF148,1))=3,15, VALUE(LEFT(DF148,1))=2,8, TRUE,0), 15)
  + IFERROR(_xlfn.IFS(VALUE(LEFT(DG148,1))=5,25, VALUE(LEFT(DG148,1))=4,20, VALUE(LEFT(DG148,1))=3,15, VALUE(LEFT(DG148,1))=2,8, TRUE,0), 15)
  + _xlfn.IFS(DH148="Fully Verified",25, DH148="Partially Verified",12, TRUE,0)
)</f>
        <v/>
      </c>
      <c r="DO148" s="5">
        <f t="array" ref="DO148">_xlfn.IFS(
  ISBLANK(AR148), "Insufficient Evidence",
  AND(AR148&gt;=65, AJ148="Approved"), "Strong",
  AR148&gt;=65, "Adequate",
  AR148&gt;=40, "Adequate",
  AR148&gt;=20, "Weak",
  TRUE, "Insufficient Evidence"
)</f>
        <v/>
      </c>
      <c r="DP148" s="5">
        <f t="array" ref="DP148">_xlfn.IFS(
  ISBLANK(BS148), "Insufficient Evidence",
  BS148&gt;=65, "Strong",
  BS148&gt;=40, "Adequate",
  BS148&gt;=20, "Weak",
  TRUE, "Insufficient Evidence"
)</f>
        <v/>
      </c>
      <c r="DQ148" s="5">
        <f t="array" ref="DQ148">_xlfn.IFS(
  ISBLANK(BE148), "Insufficient Evidence",
  OR(AW148="Confirmed Violation", AX148="Confirmed Breach"), "Severe — Hard Trigger",
  BE148&gt;=65, "Strong",
  BE148&gt;=40, "Adequate",
  BE148&gt;=20, "Weak",
  TRUE, "Insufficient Evidence"
)</f>
        <v/>
      </c>
      <c r="DR148" s="5">
        <f t="array" ref="DR148">_xlfn.IFS(
  ISBLANK(CU148), "Insufficient Evidence",
  CU148&lt;=20, "Low Risk",
  CU148&lt;=50, "Moderate Risk",
  CU148&lt;=75, "High Risk",
  TRUE, "Very High Risk"
)</f>
        <v/>
      </c>
      <c r="DS148" s="5">
        <f t="array" ref="DS148">_xlfn.IFS(
  ISBLANK(CE148), "Insufficient Evidence",
  AND(ISNUMBER(BW148),ISNUMBER(BV148),BW148&gt;BV148), "Overclaiming Risk",
  CE148&gt;=65, "Strong",
  CE148&gt;=40, "Adequate",
  TRUE, "Weak"
)</f>
        <v/>
      </c>
      <c r="DT148" s="5">
        <f>IF(DB148="Yes — Automatic",0,ROUND((IF(ISNUMBER(AR148),AR148,0)*0.3+IF(ISNUMBER(BS148),BS148,0)*0.2+IF(ISNUMBER(BE148),BE148,0)*0.2+IF(ISNUMBER(CE148),CE148,0)*0.15+(100-IF(ISNUMBER(CU148),CU148,50))*0.15)*IF(DN148&gt;=75,1,IF(DN148&gt;=50,0.9,IF(DN148&gt;=25,0.75,0.6))),1))</f>
        <v/>
      </c>
      <c r="DU148" s="5">
        <f t="array" ref="DU148">_xlfn.IFS(
  DV148="Upgraded to Clear", "Clear",
  DV148="Downgraded to Watchlist", "Watchlist",
  DV148="Downgraded to Exclusion", "Exclusion Risk",
  DB148="Yes — Automatic", "Exclusion Risk",
  OR(AW148="Confirmed Violation", AX148="Confirmed Breach"), "Exclusion Risk",
  OR(V148=0, ISBLANK(V148), DN148&lt;20), "Insufficient Evidence",
  AND(DT148&gt;=65, DA148="No", DB148="No"), "Clear",
  OR(DT148&gt;=40, DA148="Yes"), "Watchlist",
  TRUE, "Exclusion Risk"
)</f>
        <v/>
      </c>
      <c r="DV148" s="5" t="n"/>
      <c r="DW148" s="5">
        <f t="array" ref="DW148">_xlfn.IFS(
  DU148="Exclusion Risk", "Exclude — Hard Trigger",
  DU148="Insufficient Evidence", "Watchlist — Further Evidence Needed",
  DU148="Watchlist", "Watchlist — Further Evidence Needed",
  AND(DU148="Clear", DT148&gt;=80), "Include — No Conditions",
  DU148="Clear", "Include — Monitor",
  TRUE, "Watchlist — Further Evidence Needed"
)</f>
        <v/>
      </c>
      <c r="DX148" s="5" t="n"/>
      <c r="DY148" s="5" t="n"/>
      <c r="DZ148" s="5" t="n"/>
      <c r="EA148" s="5" t="n"/>
      <c r="EB148" s="5">
        <f>IF(OR(V148=0, ISBLANK(V148)), "MISSING — No sources reviewed", "")</f>
        <v/>
      </c>
      <c r="EC148" s="5">
        <f>IF(AND(NOT(ISBLANK(DC148)), ISBLANK(DE148)), "PAGE REF MISSING", "")</f>
        <v/>
      </c>
    </row>
    <row r="149" ht="18" customHeight="1" s="60">
      <c r="A149" s="5" t="inlineStr">
        <is>
          <t>HeidelbergCement AG</t>
        </is>
      </c>
      <c r="B149" s="5" t="inlineStr">
        <is>
          <t>HEI</t>
        </is>
      </c>
      <c r="C149" s="5">
        <f>IF(ISBLANK('Universe Tracker'!D124),"",'Universe Tracker'!D124)</f>
        <v/>
      </c>
      <c r="D149" s="5" t="n"/>
      <c r="E149" s="5" t="n"/>
      <c r="F149" s="5">
        <f>IF(ISBLANK('Universe Tracker'!F124),"",'Universe Tracker'!F124)</f>
        <v/>
      </c>
      <c r="G149" s="5">
        <f>IF(ISBLANK('Universe Tracker'!G124),"",'Universe Tracker'!G124)</f>
        <v/>
      </c>
      <c r="H149" s="5" t="n"/>
      <c r="I149" s="5" t="n"/>
      <c r="J149" s="5">
        <f>IF(ISBLANK(B149),"",B149&amp;"_"&amp;C149)</f>
        <v/>
      </c>
      <c r="K149" s="5" t="n"/>
      <c r="L149" s="5" t="n"/>
      <c r="M149" s="5" t="n"/>
      <c r="N149" s="5" t="n"/>
      <c r="O149" s="5" t="n"/>
      <c r="P149" s="5" t="n"/>
      <c r="Q149" s="5" t="n"/>
      <c r="R149" s="5" t="n"/>
      <c r="S149" s="5" t="n"/>
      <c r="T149" s="5" t="n"/>
      <c r="U149" s="5" t="n"/>
      <c r="V149" s="5" t="n"/>
      <c r="W149" s="5" t="n"/>
      <c r="X149" s="5" t="n"/>
      <c r="Y149" s="5">
        <f>IF(AND(V149&gt;=2,K149="Yes",L149="Yes"),"Sufficient",IF(AND(V149&gt;=1,OR(K149="Yes",L149="Yes")),"Thin","Insufficient"))</f>
        <v/>
      </c>
      <c r="Z149" s="5" t="n"/>
      <c r="AA149" s="5" t="n"/>
      <c r="AB149" s="5" t="n"/>
      <c r="AC149" s="5" t="n"/>
      <c r="AD149" s="5" t="n"/>
      <c r="AE149" s="5" t="n"/>
      <c r="AF149" s="5" t="n"/>
      <c r="AG149" s="5" t="n"/>
      <c r="AH149" s="5" t="n"/>
      <c r="AI149" s="5" t="n"/>
      <c r="AJ149" s="5" t="n"/>
      <c r="AK149" s="5" t="n"/>
      <c r="AL149" s="5" t="n"/>
      <c r="AM149" s="5" t="n"/>
      <c r="AN149" s="5" t="n"/>
      <c r="AO149" s="5" t="n"/>
      <c r="AP149" s="5" t="n"/>
      <c r="AQ149" s="5" t="n"/>
      <c r="AR149" s="40">
        <f t="array" ref="AR149">MIN(100, MAX(0,
  IFERROR(_xlfn.XLOOKUP(AJ149,'Lookup Tables'!$A$2:$A$7,'Lookup Tables'!$B$2:$B$7,0),0)
  + IF(Z149="Yes", IF(IFERROR(_xlfn.XLOOKUP(AJ149,'Lookup Tables'!$A$2:$A$7,'Lookup Tables'!$B$2:$B$7,0),0)&lt;20, 5, 0), 0)
  + _xlfn.IFS(AB149="Yes", IF(ISNUMBER(AC149)*AND(AC149&lt;=2030),15,10), AB149="Long-term Only", 5, AB149="No", 0, TRUE, 0)
  + _xlfn.IFS(AF149="Full",10, AF149="Partial",5, AF149="Scope 2 Only",3, TRUE,0)
  + _xlfn.IFS(AG149="Yes", IF(ISNUMBER(AH149)*AND(AH149&gt;=5),10,6), AG149="Partial",4, TRUE,0)
  + _xlfn.IFS(AI149="Yes",5, AI149="Partial (material categories only)",3, TRUE,0)
  + _xlfn.IFS(AL149="Yes — Detailed",10, AL149="Yes — High Level",5, TRUE,0)
  + _xlfn.IFS(AM149="Yes — Quantified",15, AM149="Yes — Directional Only",7, TRUE,0)
  + _xlfn.IFS(AP149="Formal",5, AP149="Referenced",2, TRUE,0)
  + _xlfn.IFS(AQ149="No Issues Found",5, AQ149="Concern Identified",-5, AQ149="Severe Contradiction",-15, TRUE,0)
  + _xlfn.IFS(BC149="Reasonable Assurance",5, BC149="Limited Assurance",3, TRUE,0)
  - IF(AND(Z149="Yes", AI149="No"), 10, 0)
  - IF(AND(Z149="Yes", AM149="No"), 10, 0)
))</f>
        <v/>
      </c>
      <c r="AS149" s="5" t="n"/>
      <c r="AT149" s="5" t="n"/>
      <c r="AU149" s="5" t="n"/>
      <c r="AV149" s="5" t="n"/>
      <c r="AW149" s="5" t="n"/>
      <c r="AX149" s="5" t="n"/>
      <c r="AY149" s="5" t="n"/>
      <c r="AZ149" s="5" t="n"/>
      <c r="BA149" s="5" t="n"/>
      <c r="BB149" s="5" t="n"/>
      <c r="BC149" s="5" t="n"/>
      <c r="BD149" s="5" t="n"/>
      <c r="BE149" s="39">
        <f t="array" ref="BE149">MIN(100, MAX(0,
  IFERROR(_xlfn.XLOOKUP(AT149,'Lookup Tables'!$D$2:$D$6,'Lookup Tables'!$E$2:$E$6,0),0)
  + IFERROR(_xlfn.XLOOKUP(AV149,'Lookup Tables'!$G$2:$G$5,'Lookup Tables'!$H$2:$H$5,0),0)
  + IFERROR(_xlfn.XLOOKUP(AW149,'Lookup Tables'!$J$2:$J$5,'Lookup Tables'!$K$2:$K$5,0),0)
  + _xlfn.IFS(AX149="No Issues",10, AX149="Complaint Filed",3, AX149="Confirmed Breach",-15, TRUE,0)
  + IFERROR(_xlfn.XLOOKUP(AY149,'Lookup Tables'!$M$2:$M$6,'Lookup Tables'!$N$2:$N$6,0),0)
  + IFERROR(_xlfn.XLOOKUP(AZ149,'Lookup Tables'!$P$2:$P$6,'Lookup Tables'!$Q$2:$Q$6,0),0)
  + _xlfn.IFS(BA149="Formal Board Committee",5, BA149="Board Oversight Mentioned",2, TRUE,0)
  + _xlfn.IFS(BB149="Yes — Quantified Targets",5, BB149="Yes — Discretionary Only",2, TRUE,0)
  + _xlfn.IFS(BC149="Reasonable Assurance",5, BC149="Limited Assurance",3, BC149="Management Review Only",1, TRUE,0)
))</f>
        <v/>
      </c>
      <c r="BF149" s="5" t="n"/>
      <c r="BG149" s="5" t="n"/>
      <c r="BH149" s="5" t="n"/>
      <c r="BI149" s="5" t="n"/>
      <c r="BJ149" s="5" t="n"/>
      <c r="BK149" s="5" t="n"/>
      <c r="BL149" s="5" t="n"/>
      <c r="BM149" s="5" t="n"/>
      <c r="BN149" s="5" t="n"/>
      <c r="BO149" s="5" t="n"/>
      <c r="BP149" s="5" t="n"/>
      <c r="BQ149" s="5" t="n"/>
      <c r="BR149" s="5" t="n"/>
      <c r="BS149" s="41">
        <f t="array" ref="BS149">MIN(100, MAX(0,
  IFERROR(_xlfn.XLOOKUP(BG149,'Lookup Tables'!$A$11:$A$16,'Lookup Tables'!$B$11:$B$16,0),0)
  + IFERROR(_xlfn.XLOOKUP(BR149,'Lookup Tables'!$M$11:$M$14,'Lookup Tables'!$N$11:$N$14,0),0)
  + IFERROR(_xlfn.XLOOKUP(BQ149,'Lookup Tables'!$J$11:$J$15,'Lookup Tables'!$K$11:$K$15,0),0)
  + IFERROR(_xlfn.XLOOKUP(BH149,'Lookup Tables'!$D$11:$D$15,'Lookup Tables'!$E$11:$E$15,0),0)
  + IFERROR(_xlfn.XLOOKUP(BJ149,'Lookup Tables'!$G$11:$G$16,'Lookup Tables'!$H$11:$H$16,0),0)
  + IFERROR(_xlfn.XLOOKUP(BN149,'Lookup Tables'!$P$11:$P$15,'Lookup Tables'!$Q$11:$Q$15,0),0)
  + _xlfn.IFS(BM149="No Evidence",10, BM149="Unknown",3, BM149="Likely",0, BM149="Confirmed",-10, TRUE,3)
  + IFERROR(_xlfn.XLOOKUP(BP149,'Lookup Tables'!$J$21:$J$24,'Lookup Tables'!$K$21:$K$24,0),0)
))</f>
        <v/>
      </c>
      <c r="BT149" s="5" t="n"/>
      <c r="BU149" s="5" t="n"/>
      <c r="BV149" s="5" t="n"/>
      <c r="BW149" s="5" t="n"/>
      <c r="BX149" s="5" t="n"/>
      <c r="BY149" s="5" t="n"/>
      <c r="BZ149" s="5" t="n"/>
      <c r="CA149" s="5" t="n"/>
      <c r="CB149" s="5" t="n"/>
      <c r="CC149" s="5" t="n"/>
      <c r="CD149" s="5" t="n"/>
      <c r="CE149" s="43">
        <f t="array" ref="CE149">MIN(100, MAX(0,
  IF(ISNUMBER(BV149)*AND(BV149&gt;0), 10, 0)
  + _xlfn.IFS(BY149="Independently Verified",25, BY149="Yes",15, TRUE,0)
  + IFERROR(_xlfn.XLOOKUP(BZ149,'Lookup Tables'!$A$21:$A$24,'Lookup Tables'!$B$21:$B$24,0),0)
  + IFERROR(_xlfn.XLOOKUP(CA149,'Lookup Tables'!$D$21:$D$24,'Lookup Tables'!$E$21:$E$24,0),0)
  + _xlfn.IFS(ISNUMBER(CB149)*AND(CB149&gt;=11),15, ISNUMBER(CB149)*AND(CB149&gt;=6),10, ISNUMBER(CB149)*AND(CB149&gt;=1),5, TRUE,0)
  + IFERROR(_xlfn.XLOOKUP(CC149,'Lookup Tables'!$G$21:$G$25,'Lookup Tables'!$H$21:$H$25,0),0)
  - IF(ISNUMBER(BW149)*AND(ISNUMBER(BV149))*AND(BW149&gt;BV149), 20, 0)
  - IF(AND(BY149="Yes", ISNUMBER(BW149), BW149&gt;60), 10, 0)
))</f>
        <v/>
      </c>
      <c r="CF149" s="5" t="n"/>
      <c r="CG149" s="5" t="n"/>
      <c r="CH149" s="5" t="n"/>
      <c r="CI149" s="5" t="n"/>
      <c r="CJ149" s="5" t="n"/>
      <c r="CK149" s="5" t="n"/>
      <c r="CL149" s="5" t="n"/>
      <c r="CM149" s="5" t="n"/>
      <c r="CN149" s="5" t="n"/>
      <c r="CO149" s="5" t="n"/>
      <c r="CP149" s="5" t="n"/>
      <c r="CQ149" s="5" t="n"/>
      <c r="CR149" s="5">
        <f>COUNTIF(CJ149:CQ149,"FAIL")</f>
        <v/>
      </c>
      <c r="CS149" s="5">
        <f>COUNTIF(CJ149:CQ149,"PARTIAL")</f>
        <v/>
      </c>
      <c r="CT149" s="5">
        <f>COUNTIF(CJ149:CQ149,"MISSING")</f>
        <v/>
      </c>
      <c r="CU149" s="5">
        <f>MIN(100,
  CR149*15
  + CS149*6
  + CT149*3
  + IFERROR(_xlfn.XLOOKUP(CW149,'Lookup Tables'!$M$21:$M$25,'Lookup Tables'!$N$21:$N$25,0),0)
)</f>
        <v/>
      </c>
      <c r="CV149" s="5">
        <f>IFERROR(
CHOOSE(
MATCH("FAIL",CJ149:CQ149,0),
"1-Specificity","2-Metric","3-Baseline","4-Target",
"5-Time Horizon","6-Scope","7-Verification","8-Consistency"
),
IFERROR(
CHOOSE(
MATCH("PARTIAL",CJ149:CQ149,0),
"1-Specificity","2-Metric","3-Baseline","4-Target",
"5-Time Horizon","6-Scope","7-Verification","8-Consistency"
),
"No failures"
)
)</f>
        <v/>
      </c>
      <c r="CW149" s="5" t="n"/>
      <c r="CX149" s="5" t="n"/>
      <c r="CY149" s="5" t="n"/>
      <c r="CZ149" s="5" t="n"/>
      <c r="DA149" s="5">
        <f>IF(OR(CU149&gt;=50,CW149="Material",CW149="Severe",AS149="Material",AS149="Severe",BF149="Material",BF149="Severe — Exclusion Trigger",AND(ISNUMBER(BS149),BS149&lt;30)),"Yes","No")</f>
        <v/>
      </c>
      <c r="DB149" s="5">
        <f>IF(OR(CR149&gt;=6,AW149="Confirmed Violation",AX149="Confirmed Breach"),"Yes — Automatic",IF(CW149="Severe","Yes — Requires Captain Confirmation","No"))</f>
        <v/>
      </c>
      <c r="DC149" s="5" t="n"/>
      <c r="DD149" s="5" t="n"/>
      <c r="DE149" s="5" t="n"/>
      <c r="DF149" s="5" t="n"/>
      <c r="DG149" s="5" t="n"/>
      <c r="DH149" s="5" t="n"/>
      <c r="DI149" s="5" t="n"/>
      <c r="DJ149" s="5" t="n"/>
      <c r="DK149" s="5" t="n"/>
      <c r="DL149" s="5">
        <f>IF(OR(IFERROR(VALUE(LEFT(DF149,1)),99)&lt;=2,IFERROR(VALUE(LEFT(DG149,1)),99)&lt;=2),"Flagged","Clear")</f>
        <v/>
      </c>
      <c r="DM149" s="5">
        <f>IF(OR(DA149="Yes",DB149&lt;&gt;"No",DH149="Unverified",DL149="Flagged"),"Yes","No")</f>
        <v/>
      </c>
      <c r="DN149" s="5">
        <f t="array" ref="DN149">MIN(100,
  IF(ISNUMBER(V149), _xlfn.IFS(V149&gt;=3,25, V149=2,15, V149=1,5, TRUE,0), 0)
  + IFERROR(_xlfn.IFS(VALUE(LEFT(DF149,1))=5,25, VALUE(LEFT(DF149,1))=4,20, VALUE(LEFT(DF149,1))=3,15, VALUE(LEFT(DF149,1))=2,8, TRUE,0), 15)
  + IFERROR(_xlfn.IFS(VALUE(LEFT(DG149,1))=5,25, VALUE(LEFT(DG149,1))=4,20, VALUE(LEFT(DG149,1))=3,15, VALUE(LEFT(DG149,1))=2,8, TRUE,0), 15)
  + _xlfn.IFS(DH149="Fully Verified",25, DH149="Partially Verified",12, TRUE,0)
)</f>
        <v/>
      </c>
      <c r="DO149" s="5">
        <f t="array" ref="DO149">_xlfn.IFS(
  ISBLANK(AR149), "Insufficient Evidence",
  AND(AR149&gt;=65, AJ149="Approved"), "Strong",
  AR149&gt;=65, "Adequate",
  AR149&gt;=40, "Adequate",
  AR149&gt;=20, "Weak",
  TRUE, "Insufficient Evidence"
)</f>
        <v/>
      </c>
      <c r="DP149" s="5">
        <f t="array" ref="DP149">_xlfn.IFS(
  ISBLANK(BS149), "Insufficient Evidence",
  BS149&gt;=65, "Strong",
  BS149&gt;=40, "Adequate",
  BS149&gt;=20, "Weak",
  TRUE, "Insufficient Evidence"
)</f>
        <v/>
      </c>
      <c r="DQ149" s="5">
        <f t="array" ref="DQ149">_xlfn.IFS(
  ISBLANK(BE149), "Insufficient Evidence",
  OR(AW149="Confirmed Violation", AX149="Confirmed Breach"), "Severe — Hard Trigger",
  BE149&gt;=65, "Strong",
  BE149&gt;=40, "Adequate",
  BE149&gt;=20, "Weak",
  TRUE, "Insufficient Evidence"
)</f>
        <v/>
      </c>
      <c r="DR149" s="5">
        <f t="array" ref="DR149">_xlfn.IFS(
  ISBLANK(CU149), "Insufficient Evidence",
  CU149&lt;=20, "Low Risk",
  CU149&lt;=50, "Moderate Risk",
  CU149&lt;=75, "High Risk",
  TRUE, "Very High Risk"
)</f>
        <v/>
      </c>
      <c r="DS149" s="5">
        <f t="array" ref="DS149">_xlfn.IFS(
  ISBLANK(CE149), "Insufficient Evidence",
  AND(ISNUMBER(BW149),ISNUMBER(BV149),BW149&gt;BV149), "Overclaiming Risk",
  CE149&gt;=65, "Strong",
  CE149&gt;=40, "Adequate",
  TRUE, "Weak"
)</f>
        <v/>
      </c>
      <c r="DT149" s="5">
        <f>IF(DB149="Yes — Automatic",0,ROUND((IF(ISNUMBER(AR149),AR149,0)*0.3+IF(ISNUMBER(BS149),BS149,0)*0.2+IF(ISNUMBER(BE149),BE149,0)*0.2+IF(ISNUMBER(CE149),CE149,0)*0.15+(100-IF(ISNUMBER(CU149),CU149,50))*0.15)*IF(DN149&gt;=75,1,IF(DN149&gt;=50,0.9,IF(DN149&gt;=25,0.75,0.6))),1))</f>
        <v/>
      </c>
      <c r="DU149" s="5">
        <f t="array" ref="DU149">_xlfn.IFS(
  DV149="Upgraded to Clear", "Clear",
  DV149="Downgraded to Watchlist", "Watchlist",
  DV149="Downgraded to Exclusion", "Exclusion Risk",
  DB149="Yes — Automatic", "Exclusion Risk",
  OR(AW149="Confirmed Violation", AX149="Confirmed Breach"), "Exclusion Risk",
  OR(V149=0, ISBLANK(V149), DN149&lt;20), "Insufficient Evidence",
  AND(DT149&gt;=65, DA149="No", DB149="No"), "Clear",
  OR(DT149&gt;=40, DA149="Yes"), "Watchlist",
  TRUE, "Exclusion Risk"
)</f>
        <v/>
      </c>
      <c r="DV149" s="5" t="n"/>
      <c r="DW149" s="5">
        <f t="array" ref="DW149">_xlfn.IFS(
  DU149="Exclusion Risk", "Exclude — Hard Trigger",
  DU149="Insufficient Evidence", "Watchlist — Further Evidence Needed",
  DU149="Watchlist", "Watchlist — Further Evidence Needed",
  AND(DU149="Clear", DT149&gt;=80), "Include — No Conditions",
  DU149="Clear", "Include — Monitor",
  TRUE, "Watchlist — Further Evidence Needed"
)</f>
        <v/>
      </c>
      <c r="DX149" s="5" t="n"/>
      <c r="DY149" s="5" t="n"/>
      <c r="DZ149" s="5" t="n"/>
      <c r="EA149" s="5" t="n"/>
      <c r="EB149" s="5">
        <f>IF(OR(V149=0, ISBLANK(V149)), "MISSING — No sources reviewed", "")</f>
        <v/>
      </c>
      <c r="EC149" s="5">
        <f>IF(AND(NOT(ISBLANK(DC149)), ISBLANK(DE149)), "PAGE REF MISSING", "")</f>
        <v/>
      </c>
    </row>
    <row r="150" ht="18" customHeight="1" s="60">
      <c r="A150" s="5" t="inlineStr">
        <is>
          <t>Hannover Rueck SE</t>
        </is>
      </c>
      <c r="B150" s="5" t="inlineStr">
        <is>
          <t>HNR1</t>
        </is>
      </c>
      <c r="C150" s="5">
        <f>IF(ISBLANK('Universe Tracker'!D125),"",'Universe Tracker'!D125)</f>
        <v/>
      </c>
      <c r="D150" s="5" t="n"/>
      <c r="E150" s="5" t="n"/>
      <c r="F150" s="5">
        <f>IF(ISBLANK('Universe Tracker'!F125),"",'Universe Tracker'!F125)</f>
        <v/>
      </c>
      <c r="G150" s="5">
        <f>IF(ISBLANK('Universe Tracker'!G125),"",'Universe Tracker'!G125)</f>
        <v/>
      </c>
      <c r="H150" s="5" t="n"/>
      <c r="I150" s="5" t="n"/>
      <c r="J150" s="5">
        <f>IF(ISBLANK(B150),"",B150&amp;"_"&amp;C150)</f>
        <v/>
      </c>
      <c r="K150" s="5" t="n"/>
      <c r="L150" s="5" t="n"/>
      <c r="M150" s="5" t="n"/>
      <c r="N150" s="5" t="n"/>
      <c r="O150" s="5" t="n"/>
      <c r="P150" s="5" t="n"/>
      <c r="Q150" s="5" t="n"/>
      <c r="R150" s="5" t="n"/>
      <c r="S150" s="5" t="n"/>
      <c r="T150" s="5" t="n"/>
      <c r="U150" s="5" t="n"/>
      <c r="V150" s="5" t="n"/>
      <c r="W150" s="5" t="n"/>
      <c r="X150" s="5" t="n"/>
      <c r="Y150" s="5">
        <f>IF(AND(V150&gt;=2,K150="Yes",L150="Yes"),"Sufficient",IF(AND(V150&gt;=1,OR(K150="Yes",L150="Yes")),"Thin","Insufficient"))</f>
        <v/>
      </c>
      <c r="Z150" s="5" t="n"/>
      <c r="AA150" s="5" t="n"/>
      <c r="AB150" s="5" t="n"/>
      <c r="AC150" s="5" t="n"/>
      <c r="AD150" s="5" t="n"/>
      <c r="AE150" s="5" t="n"/>
      <c r="AF150" s="5" t="n"/>
      <c r="AG150" s="5" t="n"/>
      <c r="AH150" s="5" t="n"/>
      <c r="AI150" s="5" t="n"/>
      <c r="AJ150" s="5" t="n"/>
      <c r="AK150" s="5" t="n"/>
      <c r="AL150" s="5" t="n"/>
      <c r="AM150" s="5" t="n"/>
      <c r="AN150" s="5" t="n"/>
      <c r="AO150" s="5" t="n"/>
      <c r="AP150" s="5" t="n"/>
      <c r="AQ150" s="5" t="n"/>
      <c r="AR150" s="40">
        <f t="array" ref="AR150">MIN(100, MAX(0,
  IFERROR(_xlfn.XLOOKUP(AJ150,'Lookup Tables'!$A$2:$A$7,'Lookup Tables'!$B$2:$B$7,0),0)
  + IF(Z150="Yes", IF(IFERROR(_xlfn.XLOOKUP(AJ150,'Lookup Tables'!$A$2:$A$7,'Lookup Tables'!$B$2:$B$7,0),0)&lt;20, 5, 0), 0)
  + _xlfn.IFS(AB150="Yes", IF(ISNUMBER(AC150)*AND(AC150&lt;=2030),15,10), AB150="Long-term Only", 5, AB150="No", 0, TRUE, 0)
  + _xlfn.IFS(AF150="Full",10, AF150="Partial",5, AF150="Scope 2 Only",3, TRUE,0)
  + _xlfn.IFS(AG150="Yes", IF(ISNUMBER(AH150)*AND(AH150&gt;=5),10,6), AG150="Partial",4, TRUE,0)
  + _xlfn.IFS(AI150="Yes",5, AI150="Partial (material categories only)",3, TRUE,0)
  + _xlfn.IFS(AL150="Yes — Detailed",10, AL150="Yes — High Level",5, TRUE,0)
  + _xlfn.IFS(AM150="Yes — Quantified",15, AM150="Yes — Directional Only",7, TRUE,0)
  + _xlfn.IFS(AP150="Formal",5, AP150="Referenced",2, TRUE,0)
  + _xlfn.IFS(AQ150="No Issues Found",5, AQ150="Concern Identified",-5, AQ150="Severe Contradiction",-15, TRUE,0)
  + _xlfn.IFS(BC150="Reasonable Assurance",5, BC150="Limited Assurance",3, TRUE,0)
  - IF(AND(Z150="Yes", AI150="No"), 10, 0)
  - IF(AND(Z150="Yes", AM150="No"), 10, 0)
))</f>
        <v/>
      </c>
      <c r="AS150" s="5" t="n"/>
      <c r="AT150" s="5" t="n"/>
      <c r="AU150" s="5" t="n"/>
      <c r="AV150" s="5" t="n"/>
      <c r="AW150" s="5" t="n"/>
      <c r="AX150" s="5" t="n"/>
      <c r="AY150" s="5" t="n"/>
      <c r="AZ150" s="5" t="n"/>
      <c r="BA150" s="5" t="n"/>
      <c r="BB150" s="5" t="n"/>
      <c r="BC150" s="5" t="n"/>
      <c r="BD150" s="5" t="n"/>
      <c r="BE150" s="39">
        <f t="array" ref="BE150">MIN(100, MAX(0,
  IFERROR(_xlfn.XLOOKUP(AT150,'Lookup Tables'!$D$2:$D$6,'Lookup Tables'!$E$2:$E$6,0),0)
  + IFERROR(_xlfn.XLOOKUP(AV150,'Lookup Tables'!$G$2:$G$5,'Lookup Tables'!$H$2:$H$5,0),0)
  + IFERROR(_xlfn.XLOOKUP(AW150,'Lookup Tables'!$J$2:$J$5,'Lookup Tables'!$K$2:$K$5,0),0)
  + _xlfn.IFS(AX150="No Issues",10, AX150="Complaint Filed",3, AX150="Confirmed Breach",-15, TRUE,0)
  + IFERROR(_xlfn.XLOOKUP(AY150,'Lookup Tables'!$M$2:$M$6,'Lookup Tables'!$N$2:$N$6,0),0)
  + IFERROR(_xlfn.XLOOKUP(AZ150,'Lookup Tables'!$P$2:$P$6,'Lookup Tables'!$Q$2:$Q$6,0),0)
  + _xlfn.IFS(BA150="Formal Board Committee",5, BA150="Board Oversight Mentioned",2, TRUE,0)
  + _xlfn.IFS(BB150="Yes — Quantified Targets",5, BB150="Yes — Discretionary Only",2, TRUE,0)
  + _xlfn.IFS(BC150="Reasonable Assurance",5, BC150="Limited Assurance",3, BC150="Management Review Only",1, TRUE,0)
))</f>
        <v/>
      </c>
      <c r="BF150" s="5" t="n"/>
      <c r="BG150" s="5" t="n"/>
      <c r="BH150" s="5" t="n"/>
      <c r="BI150" s="5" t="n"/>
      <c r="BJ150" s="5" t="n"/>
      <c r="BK150" s="5" t="n"/>
      <c r="BL150" s="5" t="n"/>
      <c r="BM150" s="5" t="n"/>
      <c r="BN150" s="5" t="n"/>
      <c r="BO150" s="5" t="n"/>
      <c r="BP150" s="5" t="n"/>
      <c r="BQ150" s="5" t="n"/>
      <c r="BR150" s="5" t="n"/>
      <c r="BS150" s="41">
        <f t="array" ref="BS150">MIN(100, MAX(0,
  IFERROR(_xlfn.XLOOKUP(BG150,'Lookup Tables'!$A$11:$A$16,'Lookup Tables'!$B$11:$B$16,0),0)
  + IFERROR(_xlfn.XLOOKUP(BR150,'Lookup Tables'!$M$11:$M$14,'Lookup Tables'!$N$11:$N$14,0),0)
  + IFERROR(_xlfn.XLOOKUP(BQ150,'Lookup Tables'!$J$11:$J$15,'Lookup Tables'!$K$11:$K$15,0),0)
  + IFERROR(_xlfn.XLOOKUP(BH150,'Lookup Tables'!$D$11:$D$15,'Lookup Tables'!$E$11:$E$15,0),0)
  + IFERROR(_xlfn.XLOOKUP(BJ150,'Lookup Tables'!$G$11:$G$16,'Lookup Tables'!$H$11:$H$16,0),0)
  + IFERROR(_xlfn.XLOOKUP(BN150,'Lookup Tables'!$P$11:$P$15,'Lookup Tables'!$Q$11:$Q$15,0),0)
  + _xlfn.IFS(BM150="No Evidence",10, BM150="Unknown",3, BM150="Likely",0, BM150="Confirmed",-10, TRUE,3)
  + IFERROR(_xlfn.XLOOKUP(BP150,'Lookup Tables'!$J$21:$J$24,'Lookup Tables'!$K$21:$K$24,0),0)
))</f>
        <v/>
      </c>
      <c r="BT150" s="5" t="n"/>
      <c r="BU150" s="5" t="n"/>
      <c r="BV150" s="5" t="n"/>
      <c r="BW150" s="5" t="n"/>
      <c r="BX150" s="5" t="n"/>
      <c r="BY150" s="5" t="n"/>
      <c r="BZ150" s="5" t="n"/>
      <c r="CA150" s="5" t="n"/>
      <c r="CB150" s="5" t="n"/>
      <c r="CC150" s="5" t="n"/>
      <c r="CD150" s="5" t="n"/>
      <c r="CE150" s="43">
        <f t="array" ref="CE150">MIN(100, MAX(0,
  IF(ISNUMBER(BV150)*AND(BV150&gt;0), 10, 0)
  + _xlfn.IFS(BY150="Independently Verified",25, BY150="Yes",15, TRUE,0)
  + IFERROR(_xlfn.XLOOKUP(BZ150,'Lookup Tables'!$A$21:$A$24,'Lookup Tables'!$B$21:$B$24,0),0)
  + IFERROR(_xlfn.XLOOKUP(CA150,'Lookup Tables'!$D$21:$D$24,'Lookup Tables'!$E$21:$E$24,0),0)
  + _xlfn.IFS(ISNUMBER(CB150)*AND(CB150&gt;=11),15, ISNUMBER(CB150)*AND(CB150&gt;=6),10, ISNUMBER(CB150)*AND(CB150&gt;=1),5, TRUE,0)
  + IFERROR(_xlfn.XLOOKUP(CC150,'Lookup Tables'!$G$21:$G$25,'Lookup Tables'!$H$21:$H$25,0),0)
  - IF(ISNUMBER(BW150)*AND(ISNUMBER(BV150))*AND(BW150&gt;BV150), 20, 0)
  - IF(AND(BY150="Yes", ISNUMBER(BW150), BW150&gt;60), 10, 0)
))</f>
        <v/>
      </c>
      <c r="CF150" s="5" t="n"/>
      <c r="CG150" s="5" t="n"/>
      <c r="CH150" s="5" t="n"/>
      <c r="CI150" s="5" t="n"/>
      <c r="CJ150" s="5" t="n"/>
      <c r="CK150" s="5" t="n"/>
      <c r="CL150" s="5" t="n"/>
      <c r="CM150" s="5" t="n"/>
      <c r="CN150" s="5" t="n"/>
      <c r="CO150" s="5" t="n"/>
      <c r="CP150" s="5" t="n"/>
      <c r="CQ150" s="5" t="n"/>
      <c r="CR150" s="5">
        <f>COUNTIF(CJ150:CQ150,"FAIL")</f>
        <v/>
      </c>
      <c r="CS150" s="5">
        <f>COUNTIF(CJ150:CQ150,"PARTIAL")</f>
        <v/>
      </c>
      <c r="CT150" s="5">
        <f>COUNTIF(CJ150:CQ150,"MISSING")</f>
        <v/>
      </c>
      <c r="CU150" s="5">
        <f>MIN(100,
  CR150*15
  + CS150*6
  + CT150*3
  + IFERROR(_xlfn.XLOOKUP(CW150,'Lookup Tables'!$M$21:$M$25,'Lookup Tables'!$N$21:$N$25,0),0)
)</f>
        <v/>
      </c>
      <c r="CV150" s="5">
        <f>IFERROR(
CHOOSE(
MATCH("FAIL",CJ150:CQ150,0),
"1-Specificity","2-Metric","3-Baseline","4-Target",
"5-Time Horizon","6-Scope","7-Verification","8-Consistency"
),
IFERROR(
CHOOSE(
MATCH("PARTIAL",CJ150:CQ150,0),
"1-Specificity","2-Metric","3-Baseline","4-Target",
"5-Time Horizon","6-Scope","7-Verification","8-Consistency"
),
"No failures"
)
)</f>
        <v/>
      </c>
      <c r="CW150" s="5" t="n"/>
      <c r="CX150" s="5" t="n"/>
      <c r="CY150" s="5" t="n"/>
      <c r="CZ150" s="5" t="n"/>
      <c r="DA150" s="5">
        <f>IF(OR(CU150&gt;=50,CW150="Material",CW150="Severe",AS150="Material",AS150="Severe",BF150="Material",BF150="Severe — Exclusion Trigger",AND(ISNUMBER(BS150),BS150&lt;30)),"Yes","No")</f>
        <v/>
      </c>
      <c r="DB150" s="5">
        <f>IF(OR(CR150&gt;=6,AW150="Confirmed Violation",AX150="Confirmed Breach"),"Yes — Automatic",IF(CW150="Severe","Yes — Requires Captain Confirmation","No"))</f>
        <v/>
      </c>
      <c r="DC150" s="5" t="n"/>
      <c r="DD150" s="5" t="n"/>
      <c r="DE150" s="5" t="n"/>
      <c r="DF150" s="5" t="n"/>
      <c r="DG150" s="5" t="n"/>
      <c r="DH150" s="5" t="n"/>
      <c r="DI150" s="5" t="n"/>
      <c r="DJ150" s="5" t="n"/>
      <c r="DK150" s="5" t="n"/>
      <c r="DL150" s="5">
        <f>IF(OR(IFERROR(VALUE(LEFT(DF150,1)),99)&lt;=2,IFERROR(VALUE(LEFT(DG150,1)),99)&lt;=2),"Flagged","Clear")</f>
        <v/>
      </c>
      <c r="DM150" s="5">
        <f>IF(OR(DA150="Yes",DB150&lt;&gt;"No",DH150="Unverified",DL150="Flagged"),"Yes","No")</f>
        <v/>
      </c>
      <c r="DN150" s="5">
        <f t="array" ref="DN150">MIN(100,
  IF(ISNUMBER(V150), _xlfn.IFS(V150&gt;=3,25, V150=2,15, V150=1,5, TRUE,0), 0)
  + IFERROR(_xlfn.IFS(VALUE(LEFT(DF150,1))=5,25, VALUE(LEFT(DF150,1))=4,20, VALUE(LEFT(DF150,1))=3,15, VALUE(LEFT(DF150,1))=2,8, TRUE,0), 15)
  + IFERROR(_xlfn.IFS(VALUE(LEFT(DG150,1))=5,25, VALUE(LEFT(DG150,1))=4,20, VALUE(LEFT(DG150,1))=3,15, VALUE(LEFT(DG150,1))=2,8, TRUE,0), 15)
  + _xlfn.IFS(DH150="Fully Verified",25, DH150="Partially Verified",12, TRUE,0)
)</f>
        <v/>
      </c>
      <c r="DO150" s="5">
        <f t="array" ref="DO150">_xlfn.IFS(
  ISBLANK(AR150), "Insufficient Evidence",
  AND(AR150&gt;=65, AJ150="Approved"), "Strong",
  AR150&gt;=65, "Adequate",
  AR150&gt;=40, "Adequate",
  AR150&gt;=20, "Weak",
  TRUE, "Insufficient Evidence"
)</f>
        <v/>
      </c>
      <c r="DP150" s="5">
        <f t="array" ref="DP150">_xlfn.IFS(
  ISBLANK(BS150), "Insufficient Evidence",
  BS150&gt;=65, "Strong",
  BS150&gt;=40, "Adequate",
  BS150&gt;=20, "Weak",
  TRUE, "Insufficient Evidence"
)</f>
        <v/>
      </c>
      <c r="DQ150" s="5">
        <f t="array" ref="DQ150">_xlfn.IFS(
  ISBLANK(BE150), "Insufficient Evidence",
  OR(AW150="Confirmed Violation", AX150="Confirmed Breach"), "Severe — Hard Trigger",
  BE150&gt;=65, "Strong",
  BE150&gt;=40, "Adequate",
  BE150&gt;=20, "Weak",
  TRUE, "Insufficient Evidence"
)</f>
        <v/>
      </c>
      <c r="DR150" s="5">
        <f t="array" ref="DR150">_xlfn.IFS(
  ISBLANK(CU150), "Insufficient Evidence",
  CU150&lt;=20, "Low Risk",
  CU150&lt;=50, "Moderate Risk",
  CU150&lt;=75, "High Risk",
  TRUE, "Very High Risk"
)</f>
        <v/>
      </c>
      <c r="DS150" s="5">
        <f t="array" ref="DS150">_xlfn.IFS(
  ISBLANK(CE150), "Insufficient Evidence",
  AND(ISNUMBER(BW150),ISNUMBER(BV150),BW150&gt;BV150), "Overclaiming Risk",
  CE150&gt;=65, "Strong",
  CE150&gt;=40, "Adequate",
  TRUE, "Weak"
)</f>
        <v/>
      </c>
      <c r="DT150" s="5">
        <f>IF(DB150="Yes — Automatic",0,ROUND((IF(ISNUMBER(AR150),AR150,0)*0.3+IF(ISNUMBER(BS150),BS150,0)*0.2+IF(ISNUMBER(BE150),BE150,0)*0.2+IF(ISNUMBER(CE150),CE150,0)*0.15+(100-IF(ISNUMBER(CU150),CU150,50))*0.15)*IF(DN150&gt;=75,1,IF(DN150&gt;=50,0.9,IF(DN150&gt;=25,0.75,0.6))),1))</f>
        <v/>
      </c>
      <c r="DU150" s="5">
        <f t="array" ref="DU150">_xlfn.IFS(
  DV150="Upgraded to Clear", "Clear",
  DV150="Downgraded to Watchlist", "Watchlist",
  DV150="Downgraded to Exclusion", "Exclusion Risk",
  DB150="Yes — Automatic", "Exclusion Risk",
  OR(AW150="Confirmed Violation", AX150="Confirmed Breach"), "Exclusion Risk",
  OR(V150=0, ISBLANK(V150), DN150&lt;20), "Insufficient Evidence",
  AND(DT150&gt;=65, DA150="No", DB150="No"), "Clear",
  OR(DT150&gt;=40, DA150="Yes"), "Watchlist",
  TRUE, "Exclusion Risk"
)</f>
        <v/>
      </c>
      <c r="DV150" s="5" t="n"/>
      <c r="DW150" s="5">
        <f t="array" ref="DW150">_xlfn.IFS(
  DU150="Exclusion Risk", "Exclude — Hard Trigger",
  DU150="Insufficient Evidence", "Watchlist — Further Evidence Needed",
  DU150="Watchlist", "Watchlist — Further Evidence Needed",
  AND(DU150="Clear", DT150&gt;=80), "Include — No Conditions",
  DU150="Clear", "Include — Monitor",
  TRUE, "Watchlist — Further Evidence Needed"
)</f>
        <v/>
      </c>
      <c r="DX150" s="5" t="n"/>
      <c r="DY150" s="5" t="n"/>
      <c r="DZ150" s="5" t="n"/>
      <c r="EA150" s="5" t="n"/>
      <c r="EB150" s="5">
        <f>IF(OR(V150=0, ISBLANK(V150)), "MISSING — No sources reviewed", "")</f>
        <v/>
      </c>
      <c r="EC150" s="5">
        <f>IF(AND(NOT(ISBLANK(DC150)), ISBLANK(DE150)), "PAGE REF MISSING", "")</f>
        <v/>
      </c>
    </row>
    <row r="151" ht="18" customHeight="1" s="60">
      <c r="A151" s="5" t="inlineStr">
        <is>
          <t>Lotus Bakeries NV</t>
        </is>
      </c>
      <c r="B151" s="5" t="inlineStr">
        <is>
          <t>7LB</t>
        </is>
      </c>
      <c r="C151" s="5">
        <f>IF(ISBLANK('Universe Tracker'!D126),"",'Universe Tracker'!D126)</f>
        <v/>
      </c>
      <c r="D151" s="5" t="n"/>
      <c r="E151" s="5" t="n"/>
      <c r="F151" s="5">
        <f>IF(ISBLANK('Universe Tracker'!F126),"",'Universe Tracker'!F126)</f>
        <v/>
      </c>
      <c r="G151" s="5">
        <f>IF(ISBLANK('Universe Tracker'!G126),"",'Universe Tracker'!G126)</f>
        <v/>
      </c>
      <c r="H151" s="5" t="n"/>
      <c r="I151" s="5" t="n"/>
      <c r="J151" s="5">
        <f>IF(ISBLANK(B151),"",B151&amp;"_"&amp;C151)</f>
        <v/>
      </c>
      <c r="K151" s="5" t="n"/>
      <c r="L151" s="5" t="n"/>
      <c r="M151" s="5" t="n"/>
      <c r="N151" s="5" t="n"/>
      <c r="O151" s="5" t="n"/>
      <c r="P151" s="5" t="n"/>
      <c r="Q151" s="5" t="n"/>
      <c r="R151" s="5" t="n"/>
      <c r="S151" s="5" t="n"/>
      <c r="T151" s="5" t="n"/>
      <c r="U151" s="5" t="n"/>
      <c r="V151" s="5" t="n"/>
      <c r="W151" s="5" t="n"/>
      <c r="X151" s="5" t="n"/>
      <c r="Y151" s="5">
        <f>IF(AND(V151&gt;=2,K151="Yes",L151="Yes"),"Sufficient",IF(AND(V151&gt;=1,OR(K151="Yes",L151="Yes")),"Thin","Insufficient"))</f>
        <v/>
      </c>
      <c r="Z151" s="5" t="n"/>
      <c r="AA151" s="5" t="n"/>
      <c r="AB151" s="5" t="n"/>
      <c r="AC151" s="5" t="n"/>
      <c r="AD151" s="5" t="n"/>
      <c r="AE151" s="5" t="n"/>
      <c r="AF151" s="5" t="n"/>
      <c r="AG151" s="5" t="n"/>
      <c r="AH151" s="5" t="n"/>
      <c r="AI151" s="5" t="n"/>
      <c r="AJ151" s="5" t="n"/>
      <c r="AK151" s="5" t="n"/>
      <c r="AL151" s="5" t="n"/>
      <c r="AM151" s="5" t="n"/>
      <c r="AN151" s="5" t="n"/>
      <c r="AO151" s="5" t="n"/>
      <c r="AP151" s="5" t="n"/>
      <c r="AQ151" s="5" t="n"/>
      <c r="AR151" s="40">
        <f t="array" ref="AR151">MIN(100, MAX(0,
  IFERROR(_xlfn.XLOOKUP(AJ151,'Lookup Tables'!$A$2:$A$7,'Lookup Tables'!$B$2:$B$7,0),0)
  + IF(Z151="Yes", IF(IFERROR(_xlfn.XLOOKUP(AJ151,'Lookup Tables'!$A$2:$A$7,'Lookup Tables'!$B$2:$B$7,0),0)&lt;20, 5, 0), 0)
  + _xlfn.IFS(AB151="Yes", IF(ISNUMBER(AC151)*AND(AC151&lt;=2030),15,10), AB151="Long-term Only", 5, AB151="No", 0, TRUE, 0)
  + _xlfn.IFS(AF151="Full",10, AF151="Partial",5, AF151="Scope 2 Only",3, TRUE,0)
  + _xlfn.IFS(AG151="Yes", IF(ISNUMBER(AH151)*AND(AH151&gt;=5),10,6), AG151="Partial",4, TRUE,0)
  + _xlfn.IFS(AI151="Yes",5, AI151="Partial (material categories only)",3, TRUE,0)
  + _xlfn.IFS(AL151="Yes — Detailed",10, AL151="Yes — High Level",5, TRUE,0)
  + _xlfn.IFS(AM151="Yes — Quantified",15, AM151="Yes — Directional Only",7, TRUE,0)
  + _xlfn.IFS(AP151="Formal",5, AP151="Referenced",2, TRUE,0)
  + _xlfn.IFS(AQ151="No Issues Found",5, AQ151="Concern Identified",-5, AQ151="Severe Contradiction",-15, TRUE,0)
  + _xlfn.IFS(BC151="Reasonable Assurance",5, BC151="Limited Assurance",3, TRUE,0)
  - IF(AND(Z151="Yes", AI151="No"), 10, 0)
  - IF(AND(Z151="Yes", AM151="No"), 10, 0)
))</f>
        <v/>
      </c>
      <c r="AS151" s="5" t="n"/>
      <c r="AT151" s="5" t="n"/>
      <c r="AU151" s="5" t="n"/>
      <c r="AV151" s="5" t="n"/>
      <c r="AW151" s="5" t="n"/>
      <c r="AX151" s="5" t="n"/>
      <c r="AY151" s="5" t="n"/>
      <c r="AZ151" s="5" t="n"/>
      <c r="BA151" s="5" t="n"/>
      <c r="BB151" s="5" t="n"/>
      <c r="BC151" s="5" t="n"/>
      <c r="BD151" s="5" t="n"/>
      <c r="BE151" s="39">
        <f t="array" ref="BE151">MIN(100, MAX(0,
  IFERROR(_xlfn.XLOOKUP(AT151,'Lookup Tables'!$D$2:$D$6,'Lookup Tables'!$E$2:$E$6,0),0)
  + IFERROR(_xlfn.XLOOKUP(AV151,'Lookup Tables'!$G$2:$G$5,'Lookup Tables'!$H$2:$H$5,0),0)
  + IFERROR(_xlfn.XLOOKUP(AW151,'Lookup Tables'!$J$2:$J$5,'Lookup Tables'!$K$2:$K$5,0),0)
  + _xlfn.IFS(AX151="No Issues",10, AX151="Complaint Filed",3, AX151="Confirmed Breach",-15, TRUE,0)
  + IFERROR(_xlfn.XLOOKUP(AY151,'Lookup Tables'!$M$2:$M$6,'Lookup Tables'!$N$2:$N$6,0),0)
  + IFERROR(_xlfn.XLOOKUP(AZ151,'Lookup Tables'!$P$2:$P$6,'Lookup Tables'!$Q$2:$Q$6,0),0)
  + _xlfn.IFS(BA151="Formal Board Committee",5, BA151="Board Oversight Mentioned",2, TRUE,0)
  + _xlfn.IFS(BB151="Yes — Quantified Targets",5, BB151="Yes — Discretionary Only",2, TRUE,0)
  + _xlfn.IFS(BC151="Reasonable Assurance",5, BC151="Limited Assurance",3, BC151="Management Review Only",1, TRUE,0)
))</f>
        <v/>
      </c>
      <c r="BF151" s="5" t="n"/>
      <c r="BG151" s="5" t="n"/>
      <c r="BH151" s="5" t="n"/>
      <c r="BI151" s="5" t="n"/>
      <c r="BJ151" s="5" t="n"/>
      <c r="BK151" s="5" t="n"/>
      <c r="BL151" s="5" t="n"/>
      <c r="BM151" s="5" t="n"/>
      <c r="BN151" s="5" t="n"/>
      <c r="BO151" s="5" t="n"/>
      <c r="BP151" s="5" t="n"/>
      <c r="BQ151" s="5" t="n"/>
      <c r="BR151" s="5" t="n"/>
      <c r="BS151" s="41">
        <f t="array" ref="BS151">MIN(100, MAX(0,
  IFERROR(_xlfn.XLOOKUP(BG151,'Lookup Tables'!$A$11:$A$16,'Lookup Tables'!$B$11:$B$16,0),0)
  + IFERROR(_xlfn.XLOOKUP(BR151,'Lookup Tables'!$M$11:$M$14,'Lookup Tables'!$N$11:$N$14,0),0)
  + IFERROR(_xlfn.XLOOKUP(BQ151,'Lookup Tables'!$J$11:$J$15,'Lookup Tables'!$K$11:$K$15,0),0)
  + IFERROR(_xlfn.XLOOKUP(BH151,'Lookup Tables'!$D$11:$D$15,'Lookup Tables'!$E$11:$E$15,0),0)
  + IFERROR(_xlfn.XLOOKUP(BJ151,'Lookup Tables'!$G$11:$G$16,'Lookup Tables'!$H$11:$H$16,0),0)
  + IFERROR(_xlfn.XLOOKUP(BN151,'Lookup Tables'!$P$11:$P$15,'Lookup Tables'!$Q$11:$Q$15,0),0)
  + _xlfn.IFS(BM151="No Evidence",10, BM151="Unknown",3, BM151="Likely",0, BM151="Confirmed",-10, TRUE,3)
  + IFERROR(_xlfn.XLOOKUP(BP151,'Lookup Tables'!$J$21:$J$24,'Lookup Tables'!$K$21:$K$24,0),0)
))</f>
        <v/>
      </c>
      <c r="BT151" s="5" t="n"/>
      <c r="BU151" s="5" t="n"/>
      <c r="BV151" s="5" t="n"/>
      <c r="BW151" s="5" t="n"/>
      <c r="BX151" s="5" t="n"/>
      <c r="BY151" s="5" t="n"/>
      <c r="BZ151" s="5" t="n"/>
      <c r="CA151" s="5" t="n"/>
      <c r="CB151" s="5" t="n"/>
      <c r="CC151" s="5" t="n"/>
      <c r="CD151" s="5" t="n"/>
      <c r="CE151" s="43">
        <f t="array" ref="CE151">MIN(100, MAX(0,
  IF(ISNUMBER(BV151)*AND(BV151&gt;0), 10, 0)
  + _xlfn.IFS(BY151="Independently Verified",25, BY151="Yes",15, TRUE,0)
  + IFERROR(_xlfn.XLOOKUP(BZ151,'Lookup Tables'!$A$21:$A$24,'Lookup Tables'!$B$21:$B$24,0),0)
  + IFERROR(_xlfn.XLOOKUP(CA151,'Lookup Tables'!$D$21:$D$24,'Lookup Tables'!$E$21:$E$24,0),0)
  + _xlfn.IFS(ISNUMBER(CB151)*AND(CB151&gt;=11),15, ISNUMBER(CB151)*AND(CB151&gt;=6),10, ISNUMBER(CB151)*AND(CB151&gt;=1),5, TRUE,0)
  + IFERROR(_xlfn.XLOOKUP(CC151,'Lookup Tables'!$G$21:$G$25,'Lookup Tables'!$H$21:$H$25,0),0)
  - IF(ISNUMBER(BW151)*AND(ISNUMBER(BV151))*AND(BW151&gt;BV151), 20, 0)
  - IF(AND(BY151="Yes", ISNUMBER(BW151), BW151&gt;60), 10, 0)
))</f>
        <v/>
      </c>
      <c r="CF151" s="5" t="n"/>
      <c r="CG151" s="5" t="n"/>
      <c r="CH151" s="5" t="n"/>
      <c r="CI151" s="5" t="n"/>
      <c r="CJ151" s="5" t="n"/>
      <c r="CK151" s="5" t="n"/>
      <c r="CL151" s="5" t="n"/>
      <c r="CM151" s="5" t="n"/>
      <c r="CN151" s="5" t="n"/>
      <c r="CO151" s="5" t="n"/>
      <c r="CP151" s="5" t="n"/>
      <c r="CQ151" s="5" t="n"/>
      <c r="CR151" s="5">
        <f>COUNTIF(CJ151:CQ151,"FAIL")</f>
        <v/>
      </c>
      <c r="CS151" s="5">
        <f>COUNTIF(CJ151:CQ151,"PARTIAL")</f>
        <v/>
      </c>
      <c r="CT151" s="5">
        <f>COUNTIF(CJ151:CQ151,"MISSING")</f>
        <v/>
      </c>
      <c r="CU151" s="5">
        <f>MIN(100,
  CR151*15
  + CS151*6
  + CT151*3
  + IFERROR(_xlfn.XLOOKUP(CW151,'Lookup Tables'!$M$21:$M$25,'Lookup Tables'!$N$21:$N$25,0),0)
)</f>
        <v/>
      </c>
      <c r="CV151" s="5">
        <f>IFERROR(
CHOOSE(
MATCH("FAIL",CJ151:CQ151,0),
"1-Specificity","2-Metric","3-Baseline","4-Target",
"5-Time Horizon","6-Scope","7-Verification","8-Consistency"
),
IFERROR(
CHOOSE(
MATCH("PARTIAL",CJ151:CQ151,0),
"1-Specificity","2-Metric","3-Baseline","4-Target",
"5-Time Horizon","6-Scope","7-Verification","8-Consistency"
),
"No failures"
)
)</f>
        <v/>
      </c>
      <c r="CW151" s="5" t="n"/>
      <c r="CX151" s="5" t="n"/>
      <c r="CY151" s="5" t="n"/>
      <c r="CZ151" s="5" t="n"/>
      <c r="DA151" s="5">
        <f>IF(OR(CU151&gt;=50,CW151="Material",CW151="Severe",AS151="Material",AS151="Severe",BF151="Material",BF151="Severe — Exclusion Trigger",AND(ISNUMBER(BS151),BS151&lt;30)),"Yes","No")</f>
        <v/>
      </c>
      <c r="DB151" s="5">
        <f>IF(OR(CR151&gt;=6,AW151="Confirmed Violation",AX151="Confirmed Breach"),"Yes — Automatic",IF(CW151="Severe","Yes — Requires Captain Confirmation","No"))</f>
        <v/>
      </c>
      <c r="DC151" s="5" t="n"/>
      <c r="DD151" s="5" t="n"/>
      <c r="DE151" s="5" t="n"/>
      <c r="DF151" s="5" t="n"/>
      <c r="DG151" s="5" t="n"/>
      <c r="DH151" s="5" t="n"/>
      <c r="DI151" s="5" t="n"/>
      <c r="DJ151" s="5" t="n"/>
      <c r="DK151" s="5" t="n"/>
      <c r="DL151" s="5">
        <f>IF(OR(IFERROR(VALUE(LEFT(DF151,1)),99)&lt;=2,IFERROR(VALUE(LEFT(DG151,1)),99)&lt;=2),"Flagged","Clear")</f>
        <v/>
      </c>
      <c r="DM151" s="5">
        <f>IF(OR(DA151="Yes",DB151&lt;&gt;"No",DH151="Unverified",DL151="Flagged"),"Yes","No")</f>
        <v/>
      </c>
      <c r="DN151" s="5">
        <f t="array" ref="DN151">MIN(100,
  IF(ISNUMBER(V151), _xlfn.IFS(V151&gt;=3,25, V151=2,15, V151=1,5, TRUE,0), 0)
  + IFERROR(_xlfn.IFS(VALUE(LEFT(DF151,1))=5,25, VALUE(LEFT(DF151,1))=4,20, VALUE(LEFT(DF151,1))=3,15, VALUE(LEFT(DF151,1))=2,8, TRUE,0), 15)
  + IFERROR(_xlfn.IFS(VALUE(LEFT(DG151,1))=5,25, VALUE(LEFT(DG151,1))=4,20, VALUE(LEFT(DG151,1))=3,15, VALUE(LEFT(DG151,1))=2,8, TRUE,0), 15)
  + _xlfn.IFS(DH151="Fully Verified",25, DH151="Partially Verified",12, TRUE,0)
)</f>
        <v/>
      </c>
      <c r="DO151" s="5">
        <f t="array" ref="DO151">_xlfn.IFS(
  ISBLANK(AR151), "Insufficient Evidence",
  AND(AR151&gt;=65, AJ151="Approved"), "Strong",
  AR151&gt;=65, "Adequate",
  AR151&gt;=40, "Adequate",
  AR151&gt;=20, "Weak",
  TRUE, "Insufficient Evidence"
)</f>
        <v/>
      </c>
      <c r="DP151" s="5">
        <f t="array" ref="DP151">_xlfn.IFS(
  ISBLANK(BS151), "Insufficient Evidence",
  BS151&gt;=65, "Strong",
  BS151&gt;=40, "Adequate",
  BS151&gt;=20, "Weak",
  TRUE, "Insufficient Evidence"
)</f>
        <v/>
      </c>
      <c r="DQ151" s="5">
        <f t="array" ref="DQ151">_xlfn.IFS(
  ISBLANK(BE151), "Insufficient Evidence",
  OR(AW151="Confirmed Violation", AX151="Confirmed Breach"), "Severe — Hard Trigger",
  BE151&gt;=65, "Strong",
  BE151&gt;=40, "Adequate",
  BE151&gt;=20, "Weak",
  TRUE, "Insufficient Evidence"
)</f>
        <v/>
      </c>
      <c r="DR151" s="5">
        <f t="array" ref="DR151">_xlfn.IFS(
  ISBLANK(CU151), "Insufficient Evidence",
  CU151&lt;=20, "Low Risk",
  CU151&lt;=50, "Moderate Risk",
  CU151&lt;=75, "High Risk",
  TRUE, "Very High Risk"
)</f>
        <v/>
      </c>
      <c r="DS151" s="5">
        <f t="array" ref="DS151">_xlfn.IFS(
  ISBLANK(CE151), "Insufficient Evidence",
  AND(ISNUMBER(BW151),ISNUMBER(BV151),BW151&gt;BV151), "Overclaiming Risk",
  CE151&gt;=65, "Strong",
  CE151&gt;=40, "Adequate",
  TRUE, "Weak"
)</f>
        <v/>
      </c>
      <c r="DT151" s="5">
        <f>IF(DB151="Yes — Automatic",0,ROUND((IF(ISNUMBER(AR151),AR151,0)*0.3+IF(ISNUMBER(BS151),BS151,0)*0.2+IF(ISNUMBER(BE151),BE151,0)*0.2+IF(ISNUMBER(CE151),CE151,0)*0.15+(100-IF(ISNUMBER(CU151),CU151,50))*0.15)*IF(DN151&gt;=75,1,IF(DN151&gt;=50,0.9,IF(DN151&gt;=25,0.75,0.6))),1))</f>
        <v/>
      </c>
      <c r="DU151" s="5">
        <f t="array" ref="DU151">_xlfn.IFS(
  DV151="Upgraded to Clear", "Clear",
  DV151="Downgraded to Watchlist", "Watchlist",
  DV151="Downgraded to Exclusion", "Exclusion Risk",
  DB151="Yes — Automatic", "Exclusion Risk",
  OR(AW151="Confirmed Violation", AX151="Confirmed Breach"), "Exclusion Risk",
  OR(V151=0, ISBLANK(V151), DN151&lt;20), "Insufficient Evidence",
  AND(DT151&gt;=65, DA151="No", DB151="No"), "Clear",
  OR(DT151&gt;=40, DA151="Yes"), "Watchlist",
  TRUE, "Exclusion Risk"
)</f>
        <v/>
      </c>
      <c r="DV151" s="5" t="n"/>
      <c r="DW151" s="5">
        <f t="array" ref="DW151">_xlfn.IFS(
  DU151="Exclusion Risk", "Exclude — Hard Trigger",
  DU151="Insufficient Evidence", "Watchlist — Further Evidence Needed",
  DU151="Watchlist", "Watchlist — Further Evidence Needed",
  AND(DU151="Clear", DT151&gt;=80), "Include — No Conditions",
  DU151="Clear", "Include — Monitor",
  TRUE, "Watchlist — Further Evidence Needed"
)</f>
        <v/>
      </c>
      <c r="DX151" s="5" t="n"/>
      <c r="DY151" s="5" t="n"/>
      <c r="DZ151" s="5" t="n"/>
      <c r="EA151" s="5" t="n"/>
      <c r="EB151" s="5">
        <f>IF(OR(V151=0, ISBLANK(V151)), "MISSING — No sources reviewed", "")</f>
        <v/>
      </c>
      <c r="EC151" s="5">
        <f>IF(AND(NOT(ISBLANK(DC151)), ISBLANK(DE151)), "PAGE REF MISSING", "")</f>
        <v/>
      </c>
    </row>
    <row r="152" ht="18" customHeight="1" s="60">
      <c r="A152" s="5" t="inlineStr">
        <is>
          <t>Euronext NV</t>
        </is>
      </c>
      <c r="B152" s="5" t="inlineStr">
        <is>
          <t>ENXB</t>
        </is>
      </c>
      <c r="C152" s="5">
        <f>IF(ISBLANK('Universe Tracker'!D127),"",'Universe Tracker'!D127)</f>
        <v/>
      </c>
      <c r="D152" s="5" t="n"/>
      <c r="E152" s="5" t="n"/>
      <c r="F152" s="5">
        <f>IF(ISBLANK('Universe Tracker'!F127),"",'Universe Tracker'!F127)</f>
        <v/>
      </c>
      <c r="G152" s="5">
        <f>IF(ISBLANK('Universe Tracker'!G127),"",'Universe Tracker'!G127)</f>
        <v/>
      </c>
      <c r="H152" s="5" t="n"/>
      <c r="I152" s="5" t="n"/>
      <c r="J152" s="5">
        <f>IF(ISBLANK(B152),"",B152&amp;"_"&amp;C152)</f>
        <v/>
      </c>
      <c r="K152" s="5" t="n"/>
      <c r="L152" s="5" t="n"/>
      <c r="M152" s="5" t="n"/>
      <c r="N152" s="5" t="n"/>
      <c r="O152" s="5" t="n"/>
      <c r="P152" s="5" t="n"/>
      <c r="Q152" s="5" t="n"/>
      <c r="R152" s="5" t="n"/>
      <c r="S152" s="5" t="n"/>
      <c r="T152" s="5" t="n"/>
      <c r="U152" s="5" t="n"/>
      <c r="V152" s="5" t="n"/>
      <c r="W152" s="5" t="n"/>
      <c r="X152" s="5" t="n"/>
      <c r="Y152" s="5">
        <f>IF(AND(V152&gt;=2,K152="Yes",L152="Yes"),"Sufficient",IF(AND(V152&gt;=1,OR(K152="Yes",L152="Yes")),"Thin","Insufficient"))</f>
        <v/>
      </c>
      <c r="Z152" s="5" t="n"/>
      <c r="AA152" s="5" t="n"/>
      <c r="AB152" s="5" t="n"/>
      <c r="AC152" s="5" t="n"/>
      <c r="AD152" s="5" t="n"/>
      <c r="AE152" s="5" t="n"/>
      <c r="AF152" s="5" t="n"/>
      <c r="AG152" s="5" t="n"/>
      <c r="AH152" s="5" t="n"/>
      <c r="AI152" s="5" t="n"/>
      <c r="AJ152" s="5" t="n"/>
      <c r="AK152" s="5" t="n"/>
      <c r="AL152" s="5" t="n"/>
      <c r="AM152" s="5" t="n"/>
      <c r="AN152" s="5" t="n"/>
      <c r="AO152" s="5" t="n"/>
      <c r="AP152" s="5" t="n"/>
      <c r="AQ152" s="5" t="n"/>
      <c r="AR152" s="40">
        <f t="array" ref="AR152">MIN(100, MAX(0,
  IFERROR(_xlfn.XLOOKUP(AJ152,'Lookup Tables'!$A$2:$A$7,'Lookup Tables'!$B$2:$B$7,0),0)
  + IF(Z152="Yes", IF(IFERROR(_xlfn.XLOOKUP(AJ152,'Lookup Tables'!$A$2:$A$7,'Lookup Tables'!$B$2:$B$7,0),0)&lt;20, 5, 0), 0)
  + _xlfn.IFS(AB152="Yes", IF(ISNUMBER(AC152)*AND(AC152&lt;=2030),15,10), AB152="Long-term Only", 5, AB152="No", 0, TRUE, 0)
  + _xlfn.IFS(AF152="Full",10, AF152="Partial",5, AF152="Scope 2 Only",3, TRUE,0)
  + _xlfn.IFS(AG152="Yes", IF(ISNUMBER(AH152)*AND(AH152&gt;=5),10,6), AG152="Partial",4, TRUE,0)
  + _xlfn.IFS(AI152="Yes",5, AI152="Partial (material categories only)",3, TRUE,0)
  + _xlfn.IFS(AL152="Yes — Detailed",10, AL152="Yes — High Level",5, TRUE,0)
  + _xlfn.IFS(AM152="Yes — Quantified",15, AM152="Yes — Directional Only",7, TRUE,0)
  + _xlfn.IFS(AP152="Formal",5, AP152="Referenced",2, TRUE,0)
  + _xlfn.IFS(AQ152="No Issues Found",5, AQ152="Concern Identified",-5, AQ152="Severe Contradiction",-15, TRUE,0)
  + _xlfn.IFS(BC152="Reasonable Assurance",5, BC152="Limited Assurance",3, TRUE,0)
  - IF(AND(Z152="Yes", AI152="No"), 10, 0)
  - IF(AND(Z152="Yes", AM152="No"), 10, 0)
))</f>
        <v/>
      </c>
      <c r="AS152" s="5" t="n"/>
      <c r="AT152" s="5" t="n"/>
      <c r="AU152" s="5" t="n"/>
      <c r="AV152" s="5" t="n"/>
      <c r="AW152" s="5" t="n"/>
      <c r="AX152" s="5" t="n"/>
      <c r="AY152" s="5" t="n"/>
      <c r="AZ152" s="5" t="n"/>
      <c r="BA152" s="5" t="n"/>
      <c r="BB152" s="5" t="n"/>
      <c r="BC152" s="5" t="n"/>
      <c r="BD152" s="5" t="n"/>
      <c r="BE152" s="39">
        <f t="array" ref="BE152">MIN(100, MAX(0,
  IFERROR(_xlfn.XLOOKUP(AT152,'Lookup Tables'!$D$2:$D$6,'Lookup Tables'!$E$2:$E$6,0),0)
  + IFERROR(_xlfn.XLOOKUP(AV152,'Lookup Tables'!$G$2:$G$5,'Lookup Tables'!$H$2:$H$5,0),0)
  + IFERROR(_xlfn.XLOOKUP(AW152,'Lookup Tables'!$J$2:$J$5,'Lookup Tables'!$K$2:$K$5,0),0)
  + _xlfn.IFS(AX152="No Issues",10, AX152="Complaint Filed",3, AX152="Confirmed Breach",-15, TRUE,0)
  + IFERROR(_xlfn.XLOOKUP(AY152,'Lookup Tables'!$M$2:$M$6,'Lookup Tables'!$N$2:$N$6,0),0)
  + IFERROR(_xlfn.XLOOKUP(AZ152,'Lookup Tables'!$P$2:$P$6,'Lookup Tables'!$Q$2:$Q$6,0),0)
  + _xlfn.IFS(BA152="Formal Board Committee",5, BA152="Board Oversight Mentioned",2, TRUE,0)
  + _xlfn.IFS(BB152="Yes — Quantified Targets",5, BB152="Yes — Discretionary Only",2, TRUE,0)
  + _xlfn.IFS(BC152="Reasonable Assurance",5, BC152="Limited Assurance",3, BC152="Management Review Only",1, TRUE,0)
))</f>
        <v/>
      </c>
      <c r="BF152" s="5" t="n"/>
      <c r="BG152" s="5" t="n"/>
      <c r="BH152" s="5" t="n"/>
      <c r="BI152" s="5" t="n"/>
      <c r="BJ152" s="5" t="n"/>
      <c r="BK152" s="5" t="n"/>
      <c r="BL152" s="5" t="n"/>
      <c r="BM152" s="5" t="n"/>
      <c r="BN152" s="5" t="n"/>
      <c r="BO152" s="5" t="n"/>
      <c r="BP152" s="5" t="n"/>
      <c r="BQ152" s="5" t="n"/>
      <c r="BR152" s="5" t="n"/>
      <c r="BS152" s="41">
        <f t="array" ref="BS152">MIN(100, MAX(0,
  IFERROR(_xlfn.XLOOKUP(BG152,'Lookup Tables'!$A$11:$A$16,'Lookup Tables'!$B$11:$B$16,0),0)
  + IFERROR(_xlfn.XLOOKUP(BR152,'Lookup Tables'!$M$11:$M$14,'Lookup Tables'!$N$11:$N$14,0),0)
  + IFERROR(_xlfn.XLOOKUP(BQ152,'Lookup Tables'!$J$11:$J$15,'Lookup Tables'!$K$11:$K$15,0),0)
  + IFERROR(_xlfn.XLOOKUP(BH152,'Lookup Tables'!$D$11:$D$15,'Lookup Tables'!$E$11:$E$15,0),0)
  + IFERROR(_xlfn.XLOOKUP(BJ152,'Lookup Tables'!$G$11:$G$16,'Lookup Tables'!$H$11:$H$16,0),0)
  + IFERROR(_xlfn.XLOOKUP(BN152,'Lookup Tables'!$P$11:$P$15,'Lookup Tables'!$Q$11:$Q$15,0),0)
  + _xlfn.IFS(BM152="No Evidence",10, BM152="Unknown",3, BM152="Likely",0, BM152="Confirmed",-10, TRUE,3)
  + IFERROR(_xlfn.XLOOKUP(BP152,'Lookup Tables'!$J$21:$J$24,'Lookup Tables'!$K$21:$K$24,0),0)
))</f>
        <v/>
      </c>
      <c r="BT152" s="5" t="n"/>
      <c r="BU152" s="5" t="n"/>
      <c r="BV152" s="5" t="n"/>
      <c r="BW152" s="5" t="n"/>
      <c r="BX152" s="5" t="n"/>
      <c r="BY152" s="5" t="n"/>
      <c r="BZ152" s="5" t="n"/>
      <c r="CA152" s="5" t="n"/>
      <c r="CB152" s="5" t="n"/>
      <c r="CC152" s="5" t="n"/>
      <c r="CD152" s="5" t="n"/>
      <c r="CE152" s="43">
        <f t="array" ref="CE152">MIN(100, MAX(0,
  IF(ISNUMBER(BV152)*AND(BV152&gt;0), 10, 0)
  + _xlfn.IFS(BY152="Independently Verified",25, BY152="Yes",15, TRUE,0)
  + IFERROR(_xlfn.XLOOKUP(BZ152,'Lookup Tables'!$A$21:$A$24,'Lookup Tables'!$B$21:$B$24,0),0)
  + IFERROR(_xlfn.XLOOKUP(CA152,'Lookup Tables'!$D$21:$D$24,'Lookup Tables'!$E$21:$E$24,0),0)
  + _xlfn.IFS(ISNUMBER(CB152)*AND(CB152&gt;=11),15, ISNUMBER(CB152)*AND(CB152&gt;=6),10, ISNUMBER(CB152)*AND(CB152&gt;=1),5, TRUE,0)
  + IFERROR(_xlfn.XLOOKUP(CC152,'Lookup Tables'!$G$21:$G$25,'Lookup Tables'!$H$21:$H$25,0),0)
  - IF(ISNUMBER(BW152)*AND(ISNUMBER(BV152))*AND(BW152&gt;BV152), 20, 0)
  - IF(AND(BY152="Yes", ISNUMBER(BW152), BW152&gt;60), 10, 0)
))</f>
        <v/>
      </c>
      <c r="CF152" s="5" t="n"/>
      <c r="CG152" s="5" t="n"/>
      <c r="CH152" s="5" t="n"/>
      <c r="CI152" s="5" t="n"/>
      <c r="CJ152" s="5" t="n"/>
      <c r="CK152" s="5" t="n"/>
      <c r="CL152" s="5" t="n"/>
      <c r="CM152" s="5" t="n"/>
      <c r="CN152" s="5" t="n"/>
      <c r="CO152" s="5" t="n"/>
      <c r="CP152" s="5" t="n"/>
      <c r="CQ152" s="5" t="n"/>
      <c r="CR152" s="5">
        <f>COUNTIF(CJ152:CQ152,"FAIL")</f>
        <v/>
      </c>
      <c r="CS152" s="5">
        <f>COUNTIF(CJ152:CQ152,"PARTIAL")</f>
        <v/>
      </c>
      <c r="CT152" s="5">
        <f>COUNTIF(CJ152:CQ152,"MISSING")</f>
        <v/>
      </c>
      <c r="CU152" s="5">
        <f>MIN(100,
  CR152*15
  + CS152*6
  + CT152*3
  + IFERROR(_xlfn.XLOOKUP(CW152,'Lookup Tables'!$M$21:$M$25,'Lookup Tables'!$N$21:$N$25,0),0)
)</f>
        <v/>
      </c>
      <c r="CV152" s="5">
        <f>IFERROR(
CHOOSE(
MATCH("FAIL",CJ152:CQ152,0),
"1-Specificity","2-Metric","3-Baseline","4-Target",
"5-Time Horizon","6-Scope","7-Verification","8-Consistency"
),
IFERROR(
CHOOSE(
MATCH("PARTIAL",CJ152:CQ152,0),
"1-Specificity","2-Metric","3-Baseline","4-Target",
"5-Time Horizon","6-Scope","7-Verification","8-Consistency"
),
"No failures"
)
)</f>
        <v/>
      </c>
      <c r="CW152" s="5" t="n"/>
      <c r="CX152" s="5" t="n"/>
      <c r="CY152" s="5" t="n"/>
      <c r="CZ152" s="5" t="n"/>
      <c r="DA152" s="5">
        <f>IF(OR(CU152&gt;=50,CW152="Material",CW152="Severe",AS152="Material",AS152="Severe",BF152="Material",BF152="Severe — Exclusion Trigger",AND(ISNUMBER(BS152),BS152&lt;30)),"Yes","No")</f>
        <v/>
      </c>
      <c r="DB152" s="5">
        <f>IF(OR(CR152&gt;=6,AW152="Confirmed Violation",AX152="Confirmed Breach"),"Yes — Automatic",IF(CW152="Severe","Yes — Requires Captain Confirmation","No"))</f>
        <v/>
      </c>
      <c r="DC152" s="5" t="n"/>
      <c r="DD152" s="5" t="n"/>
      <c r="DE152" s="5" t="n"/>
      <c r="DF152" s="5" t="n"/>
      <c r="DG152" s="5" t="n"/>
      <c r="DH152" s="5" t="n"/>
      <c r="DI152" s="5" t="n"/>
      <c r="DJ152" s="5" t="n"/>
      <c r="DK152" s="5" t="n"/>
      <c r="DL152" s="5">
        <f>IF(OR(IFERROR(VALUE(LEFT(DF152,1)),99)&lt;=2,IFERROR(VALUE(LEFT(DG152,1)),99)&lt;=2),"Flagged","Clear")</f>
        <v/>
      </c>
      <c r="DM152" s="5">
        <f>IF(OR(DA152="Yes",DB152&lt;&gt;"No",DH152="Unverified",DL152="Flagged"),"Yes","No")</f>
        <v/>
      </c>
      <c r="DN152" s="5">
        <f t="array" ref="DN152">MIN(100,
  IF(ISNUMBER(V152), _xlfn.IFS(V152&gt;=3,25, V152=2,15, V152=1,5, TRUE,0), 0)
  + IFERROR(_xlfn.IFS(VALUE(LEFT(DF152,1))=5,25, VALUE(LEFT(DF152,1))=4,20, VALUE(LEFT(DF152,1))=3,15, VALUE(LEFT(DF152,1))=2,8, TRUE,0), 15)
  + IFERROR(_xlfn.IFS(VALUE(LEFT(DG152,1))=5,25, VALUE(LEFT(DG152,1))=4,20, VALUE(LEFT(DG152,1))=3,15, VALUE(LEFT(DG152,1))=2,8, TRUE,0), 15)
  + _xlfn.IFS(DH152="Fully Verified",25, DH152="Partially Verified",12, TRUE,0)
)</f>
        <v/>
      </c>
      <c r="DO152" s="5">
        <f t="array" ref="DO152">_xlfn.IFS(
  ISBLANK(AR152), "Insufficient Evidence",
  AND(AR152&gt;=65, AJ152="Approved"), "Strong",
  AR152&gt;=65, "Adequate",
  AR152&gt;=40, "Adequate",
  AR152&gt;=20, "Weak",
  TRUE, "Insufficient Evidence"
)</f>
        <v/>
      </c>
      <c r="DP152" s="5">
        <f t="array" ref="DP152">_xlfn.IFS(
  ISBLANK(BS152), "Insufficient Evidence",
  BS152&gt;=65, "Strong",
  BS152&gt;=40, "Adequate",
  BS152&gt;=20, "Weak",
  TRUE, "Insufficient Evidence"
)</f>
        <v/>
      </c>
      <c r="DQ152" s="5">
        <f t="array" ref="DQ152">_xlfn.IFS(
  ISBLANK(BE152), "Insufficient Evidence",
  OR(AW152="Confirmed Violation", AX152="Confirmed Breach"), "Severe — Hard Trigger",
  BE152&gt;=65, "Strong",
  BE152&gt;=40, "Adequate",
  BE152&gt;=20, "Weak",
  TRUE, "Insufficient Evidence"
)</f>
        <v/>
      </c>
      <c r="DR152" s="5">
        <f t="array" ref="DR152">_xlfn.IFS(
  ISBLANK(CU152), "Insufficient Evidence",
  CU152&lt;=20, "Low Risk",
  CU152&lt;=50, "Moderate Risk",
  CU152&lt;=75, "High Risk",
  TRUE, "Very High Risk"
)</f>
        <v/>
      </c>
      <c r="DS152" s="5">
        <f t="array" ref="DS152">_xlfn.IFS(
  ISBLANK(CE152), "Insufficient Evidence",
  AND(ISNUMBER(BW152),ISNUMBER(BV152),BW152&gt;BV152), "Overclaiming Risk",
  CE152&gt;=65, "Strong",
  CE152&gt;=40, "Adequate",
  TRUE, "Weak"
)</f>
        <v/>
      </c>
      <c r="DT152" s="5">
        <f>IF(DB152="Yes — Automatic",0,ROUND((IF(ISNUMBER(AR152),AR152,0)*0.3+IF(ISNUMBER(BS152),BS152,0)*0.2+IF(ISNUMBER(BE152),BE152,0)*0.2+IF(ISNUMBER(CE152),CE152,0)*0.15+(100-IF(ISNUMBER(CU152),CU152,50))*0.15)*IF(DN152&gt;=75,1,IF(DN152&gt;=50,0.9,IF(DN152&gt;=25,0.75,0.6))),1))</f>
        <v/>
      </c>
      <c r="DU152" s="5">
        <f t="array" ref="DU152">_xlfn.IFS(
  DV152="Upgraded to Clear", "Clear",
  DV152="Downgraded to Watchlist", "Watchlist",
  DV152="Downgraded to Exclusion", "Exclusion Risk",
  DB152="Yes — Automatic", "Exclusion Risk",
  OR(AW152="Confirmed Violation", AX152="Confirmed Breach"), "Exclusion Risk",
  OR(V152=0, ISBLANK(V152), DN152&lt;20), "Insufficient Evidence",
  AND(DT152&gt;=65, DA152="No", DB152="No"), "Clear",
  OR(DT152&gt;=40, DA152="Yes"), "Watchlist",
  TRUE, "Exclusion Risk"
)</f>
        <v/>
      </c>
      <c r="DV152" s="5" t="n"/>
      <c r="DW152" s="5">
        <f t="array" ref="DW152">_xlfn.IFS(
  DU152="Exclusion Risk", "Exclude — Hard Trigger",
  DU152="Insufficient Evidence", "Watchlist — Further Evidence Needed",
  DU152="Watchlist", "Watchlist — Further Evidence Needed",
  AND(DU152="Clear", DT152&gt;=80), "Include — No Conditions",
  DU152="Clear", "Include — Monitor",
  TRUE, "Watchlist — Further Evidence Needed"
)</f>
        <v/>
      </c>
      <c r="DX152" s="5" t="n"/>
      <c r="DY152" s="5" t="n"/>
      <c r="DZ152" s="5" t="n"/>
      <c r="EA152" s="5" t="n"/>
      <c r="EB152" s="5">
        <f>IF(OR(V152=0, ISBLANK(V152)), "MISSING — No sources reviewed", "")</f>
        <v/>
      </c>
      <c r="EC152" s="5">
        <f>IF(AND(NOT(ISBLANK(DC152)), ISBLANK(DE152)), "PAGE REF MISSING", "")</f>
        <v/>
      </c>
    </row>
    <row r="153" ht="18" customHeight="1" s="60">
      <c r="A153" s="5" t="inlineStr">
        <is>
          <t>Asseco Poland SA</t>
        </is>
      </c>
      <c r="B153" s="5" t="inlineStr">
        <is>
          <t>SFB1</t>
        </is>
      </c>
      <c r="C153" s="5">
        <f>IF(ISBLANK('Universe Tracker'!D128),"",'Universe Tracker'!D128)</f>
        <v/>
      </c>
      <c r="D153" s="5" t="n"/>
      <c r="E153" s="5" t="n"/>
      <c r="F153" s="5">
        <f>IF(ISBLANK('Universe Tracker'!F128),"",'Universe Tracker'!F128)</f>
        <v/>
      </c>
      <c r="G153" s="5">
        <f>IF(ISBLANK('Universe Tracker'!G128),"",'Universe Tracker'!G128)</f>
        <v/>
      </c>
      <c r="H153" s="5" t="n"/>
      <c r="I153" s="5" t="n"/>
      <c r="J153" s="5">
        <f>IF(ISBLANK(B153),"",B153&amp;"_"&amp;C153)</f>
        <v/>
      </c>
      <c r="K153" s="5" t="n"/>
      <c r="L153" s="5" t="n"/>
      <c r="M153" s="5" t="n"/>
      <c r="N153" s="5" t="n"/>
      <c r="O153" s="5" t="n"/>
      <c r="P153" s="5" t="n"/>
      <c r="Q153" s="5" t="n"/>
      <c r="R153" s="5" t="n"/>
      <c r="S153" s="5" t="n"/>
      <c r="T153" s="5" t="n"/>
      <c r="U153" s="5" t="n"/>
      <c r="V153" s="5" t="n"/>
      <c r="W153" s="5" t="n"/>
      <c r="X153" s="5" t="n"/>
      <c r="Y153" s="5">
        <f>IF(AND(V153&gt;=2,K153="Yes",L153="Yes"),"Sufficient",IF(AND(V153&gt;=1,OR(K153="Yes",L153="Yes")),"Thin","Insufficient"))</f>
        <v/>
      </c>
      <c r="Z153" s="5" t="n"/>
      <c r="AA153" s="5" t="n"/>
      <c r="AB153" s="5" t="n"/>
      <c r="AC153" s="5" t="n"/>
      <c r="AD153" s="5" t="n"/>
      <c r="AE153" s="5" t="n"/>
      <c r="AF153" s="5" t="n"/>
      <c r="AG153" s="5" t="n"/>
      <c r="AH153" s="5" t="n"/>
      <c r="AI153" s="5" t="n"/>
      <c r="AJ153" s="5" t="n"/>
      <c r="AK153" s="5" t="n"/>
      <c r="AL153" s="5" t="n"/>
      <c r="AM153" s="5" t="n"/>
      <c r="AN153" s="5" t="n"/>
      <c r="AO153" s="5" t="n"/>
      <c r="AP153" s="5" t="n"/>
      <c r="AQ153" s="5" t="n"/>
      <c r="AR153" s="40">
        <f t="array" ref="AR153">MIN(100, MAX(0,
  IFERROR(_xlfn.XLOOKUP(AJ153,'Lookup Tables'!$A$2:$A$7,'Lookup Tables'!$B$2:$B$7,0),0)
  + IF(Z153="Yes", IF(IFERROR(_xlfn.XLOOKUP(AJ153,'Lookup Tables'!$A$2:$A$7,'Lookup Tables'!$B$2:$B$7,0),0)&lt;20, 5, 0), 0)
  + _xlfn.IFS(AB153="Yes", IF(ISNUMBER(AC153)*AND(AC153&lt;=2030),15,10), AB153="Long-term Only", 5, AB153="No", 0, TRUE, 0)
  + _xlfn.IFS(AF153="Full",10, AF153="Partial",5, AF153="Scope 2 Only",3, TRUE,0)
  + _xlfn.IFS(AG153="Yes", IF(ISNUMBER(AH153)*AND(AH153&gt;=5),10,6), AG153="Partial",4, TRUE,0)
  + _xlfn.IFS(AI153="Yes",5, AI153="Partial (material categories only)",3, TRUE,0)
  + _xlfn.IFS(AL153="Yes — Detailed",10, AL153="Yes — High Level",5, TRUE,0)
  + _xlfn.IFS(AM153="Yes — Quantified",15, AM153="Yes — Directional Only",7, TRUE,0)
  + _xlfn.IFS(AP153="Formal",5, AP153="Referenced",2, TRUE,0)
  + _xlfn.IFS(AQ153="No Issues Found",5, AQ153="Concern Identified",-5, AQ153="Severe Contradiction",-15, TRUE,0)
  + _xlfn.IFS(BC153="Reasonable Assurance",5, BC153="Limited Assurance",3, TRUE,0)
  - IF(AND(Z153="Yes", AI153="No"), 10, 0)
  - IF(AND(Z153="Yes", AM153="No"), 10, 0)
))</f>
        <v/>
      </c>
      <c r="AS153" s="5" t="n"/>
      <c r="AT153" s="5" t="n"/>
      <c r="AU153" s="5" t="n"/>
      <c r="AV153" s="5" t="n"/>
      <c r="AW153" s="5" t="n"/>
      <c r="AX153" s="5" t="n"/>
      <c r="AY153" s="5" t="n"/>
      <c r="AZ153" s="5" t="n"/>
      <c r="BA153" s="5" t="n"/>
      <c r="BB153" s="5" t="n"/>
      <c r="BC153" s="5" t="n"/>
      <c r="BD153" s="5" t="n"/>
      <c r="BE153" s="39">
        <f t="array" ref="BE153">MIN(100, MAX(0,
  IFERROR(_xlfn.XLOOKUP(AT153,'Lookup Tables'!$D$2:$D$6,'Lookup Tables'!$E$2:$E$6,0),0)
  + IFERROR(_xlfn.XLOOKUP(AV153,'Lookup Tables'!$G$2:$G$5,'Lookup Tables'!$H$2:$H$5,0),0)
  + IFERROR(_xlfn.XLOOKUP(AW153,'Lookup Tables'!$J$2:$J$5,'Lookup Tables'!$K$2:$K$5,0),0)
  + _xlfn.IFS(AX153="No Issues",10, AX153="Complaint Filed",3, AX153="Confirmed Breach",-15, TRUE,0)
  + IFERROR(_xlfn.XLOOKUP(AY153,'Lookup Tables'!$M$2:$M$6,'Lookup Tables'!$N$2:$N$6,0),0)
  + IFERROR(_xlfn.XLOOKUP(AZ153,'Lookup Tables'!$P$2:$P$6,'Lookup Tables'!$Q$2:$Q$6,0),0)
  + _xlfn.IFS(BA153="Formal Board Committee",5, BA153="Board Oversight Mentioned",2, TRUE,0)
  + _xlfn.IFS(BB153="Yes — Quantified Targets",5, BB153="Yes — Discretionary Only",2, TRUE,0)
  + _xlfn.IFS(BC153="Reasonable Assurance",5, BC153="Limited Assurance",3, BC153="Management Review Only",1, TRUE,0)
))</f>
        <v/>
      </c>
      <c r="BF153" s="5" t="n"/>
      <c r="BG153" s="5" t="n"/>
      <c r="BH153" s="5" t="n"/>
      <c r="BI153" s="5" t="n"/>
      <c r="BJ153" s="5" t="n"/>
      <c r="BK153" s="5" t="n"/>
      <c r="BL153" s="5" t="n"/>
      <c r="BM153" s="5" t="n"/>
      <c r="BN153" s="5" t="n"/>
      <c r="BO153" s="5" t="n"/>
      <c r="BP153" s="5" t="n"/>
      <c r="BQ153" s="5" t="n"/>
      <c r="BR153" s="5" t="n"/>
      <c r="BS153" s="41">
        <f t="array" ref="BS153">MIN(100, MAX(0,
  IFERROR(_xlfn.XLOOKUP(BG153,'Lookup Tables'!$A$11:$A$16,'Lookup Tables'!$B$11:$B$16,0),0)
  + IFERROR(_xlfn.XLOOKUP(BR153,'Lookup Tables'!$M$11:$M$14,'Lookup Tables'!$N$11:$N$14,0),0)
  + IFERROR(_xlfn.XLOOKUP(BQ153,'Lookup Tables'!$J$11:$J$15,'Lookup Tables'!$K$11:$K$15,0),0)
  + IFERROR(_xlfn.XLOOKUP(BH153,'Lookup Tables'!$D$11:$D$15,'Lookup Tables'!$E$11:$E$15,0),0)
  + IFERROR(_xlfn.XLOOKUP(BJ153,'Lookup Tables'!$G$11:$G$16,'Lookup Tables'!$H$11:$H$16,0),0)
  + IFERROR(_xlfn.XLOOKUP(BN153,'Lookup Tables'!$P$11:$P$15,'Lookup Tables'!$Q$11:$Q$15,0),0)
  + _xlfn.IFS(BM153="No Evidence",10, BM153="Unknown",3, BM153="Likely",0, BM153="Confirmed",-10, TRUE,3)
  + IFERROR(_xlfn.XLOOKUP(BP153,'Lookup Tables'!$J$21:$J$24,'Lookup Tables'!$K$21:$K$24,0),0)
))</f>
        <v/>
      </c>
      <c r="BT153" s="5" t="n"/>
      <c r="BU153" s="5" t="n"/>
      <c r="BV153" s="5" t="n"/>
      <c r="BW153" s="5" t="n"/>
      <c r="BX153" s="5" t="n"/>
      <c r="BY153" s="5" t="n"/>
      <c r="BZ153" s="5" t="n"/>
      <c r="CA153" s="5" t="n"/>
      <c r="CB153" s="5" t="n"/>
      <c r="CC153" s="5" t="n"/>
      <c r="CD153" s="5" t="n"/>
      <c r="CE153" s="43">
        <f t="array" ref="CE153">MIN(100, MAX(0,
  IF(ISNUMBER(BV153)*AND(BV153&gt;0), 10, 0)
  + _xlfn.IFS(BY153="Independently Verified",25, BY153="Yes",15, TRUE,0)
  + IFERROR(_xlfn.XLOOKUP(BZ153,'Lookup Tables'!$A$21:$A$24,'Lookup Tables'!$B$21:$B$24,0),0)
  + IFERROR(_xlfn.XLOOKUP(CA153,'Lookup Tables'!$D$21:$D$24,'Lookup Tables'!$E$21:$E$24,0),0)
  + _xlfn.IFS(ISNUMBER(CB153)*AND(CB153&gt;=11),15, ISNUMBER(CB153)*AND(CB153&gt;=6),10, ISNUMBER(CB153)*AND(CB153&gt;=1),5, TRUE,0)
  + IFERROR(_xlfn.XLOOKUP(CC153,'Lookup Tables'!$G$21:$G$25,'Lookup Tables'!$H$21:$H$25,0),0)
  - IF(ISNUMBER(BW153)*AND(ISNUMBER(BV153))*AND(BW153&gt;BV153), 20, 0)
  - IF(AND(BY153="Yes", ISNUMBER(BW153), BW153&gt;60), 10, 0)
))</f>
        <v/>
      </c>
      <c r="CF153" s="5" t="n"/>
      <c r="CG153" s="5" t="n"/>
      <c r="CH153" s="5" t="n"/>
      <c r="CI153" s="5" t="n"/>
      <c r="CJ153" s="5" t="n"/>
      <c r="CK153" s="5" t="n"/>
      <c r="CL153" s="5" t="n"/>
      <c r="CM153" s="5" t="n"/>
      <c r="CN153" s="5" t="n"/>
      <c r="CO153" s="5" t="n"/>
      <c r="CP153" s="5" t="n"/>
      <c r="CQ153" s="5" t="n"/>
      <c r="CR153" s="5">
        <f>COUNTIF(CJ153:CQ153,"FAIL")</f>
        <v/>
      </c>
      <c r="CS153" s="5">
        <f>COUNTIF(CJ153:CQ153,"PARTIAL")</f>
        <v/>
      </c>
      <c r="CT153" s="5">
        <f>COUNTIF(CJ153:CQ153,"MISSING")</f>
        <v/>
      </c>
      <c r="CU153" s="5">
        <f>MIN(100,
  CR153*15
  + CS153*6
  + CT153*3
  + IFERROR(_xlfn.XLOOKUP(CW153,'Lookup Tables'!$M$21:$M$25,'Lookup Tables'!$N$21:$N$25,0),0)
)</f>
        <v/>
      </c>
      <c r="CV153" s="5">
        <f>IFERROR(
CHOOSE(
MATCH("FAIL",CJ153:CQ153,0),
"1-Specificity","2-Metric","3-Baseline","4-Target",
"5-Time Horizon","6-Scope","7-Verification","8-Consistency"
),
IFERROR(
CHOOSE(
MATCH("PARTIAL",CJ153:CQ153,0),
"1-Specificity","2-Metric","3-Baseline","4-Target",
"5-Time Horizon","6-Scope","7-Verification","8-Consistency"
),
"No failures"
)
)</f>
        <v/>
      </c>
      <c r="CW153" s="5" t="n"/>
      <c r="CX153" s="5" t="n"/>
      <c r="CY153" s="5" t="n"/>
      <c r="CZ153" s="5" t="n"/>
      <c r="DA153" s="5">
        <f>IF(OR(CU153&gt;=50,CW153="Material",CW153="Severe",AS153="Material",AS153="Severe",BF153="Material",BF153="Severe — Exclusion Trigger",AND(ISNUMBER(BS153),BS153&lt;30)),"Yes","No")</f>
        <v/>
      </c>
      <c r="DB153" s="5">
        <f>IF(OR(CR153&gt;=6,AW153="Confirmed Violation",AX153="Confirmed Breach"),"Yes — Automatic",IF(CW153="Severe","Yes — Requires Captain Confirmation","No"))</f>
        <v/>
      </c>
      <c r="DC153" s="5" t="n"/>
      <c r="DD153" s="5" t="n"/>
      <c r="DE153" s="5" t="n"/>
      <c r="DF153" s="5" t="n"/>
      <c r="DG153" s="5" t="n"/>
      <c r="DH153" s="5" t="n"/>
      <c r="DI153" s="5" t="n"/>
      <c r="DJ153" s="5" t="n"/>
      <c r="DK153" s="5" t="n"/>
      <c r="DL153" s="5">
        <f>IF(OR(IFERROR(VALUE(LEFT(DF153,1)),99)&lt;=2,IFERROR(VALUE(LEFT(DG153,1)),99)&lt;=2),"Flagged","Clear")</f>
        <v/>
      </c>
      <c r="DM153" s="5">
        <f>IF(OR(DA153="Yes",DB153&lt;&gt;"No",DH153="Unverified",DL153="Flagged"),"Yes","No")</f>
        <v/>
      </c>
      <c r="DN153" s="5">
        <f t="array" ref="DN153">MIN(100,
  IF(ISNUMBER(V153), _xlfn.IFS(V153&gt;=3,25, V153=2,15, V153=1,5, TRUE,0), 0)
  + IFERROR(_xlfn.IFS(VALUE(LEFT(DF153,1))=5,25, VALUE(LEFT(DF153,1))=4,20, VALUE(LEFT(DF153,1))=3,15, VALUE(LEFT(DF153,1))=2,8, TRUE,0), 15)
  + IFERROR(_xlfn.IFS(VALUE(LEFT(DG153,1))=5,25, VALUE(LEFT(DG153,1))=4,20, VALUE(LEFT(DG153,1))=3,15, VALUE(LEFT(DG153,1))=2,8, TRUE,0), 15)
  + _xlfn.IFS(DH153="Fully Verified",25, DH153="Partially Verified",12, TRUE,0)
)</f>
        <v/>
      </c>
      <c r="DO153" s="5">
        <f t="array" ref="DO153">_xlfn.IFS(
  ISBLANK(AR153), "Insufficient Evidence",
  AND(AR153&gt;=65, AJ153="Approved"), "Strong",
  AR153&gt;=65, "Adequate",
  AR153&gt;=40, "Adequate",
  AR153&gt;=20, "Weak",
  TRUE, "Insufficient Evidence"
)</f>
        <v/>
      </c>
      <c r="DP153" s="5">
        <f t="array" ref="DP153">_xlfn.IFS(
  ISBLANK(BS153), "Insufficient Evidence",
  BS153&gt;=65, "Strong",
  BS153&gt;=40, "Adequate",
  BS153&gt;=20, "Weak",
  TRUE, "Insufficient Evidence"
)</f>
        <v/>
      </c>
      <c r="DQ153" s="5">
        <f t="array" ref="DQ153">_xlfn.IFS(
  ISBLANK(BE153), "Insufficient Evidence",
  OR(AW153="Confirmed Violation", AX153="Confirmed Breach"), "Severe — Hard Trigger",
  BE153&gt;=65, "Strong",
  BE153&gt;=40, "Adequate",
  BE153&gt;=20, "Weak",
  TRUE, "Insufficient Evidence"
)</f>
        <v/>
      </c>
      <c r="DR153" s="5">
        <f t="array" ref="DR153">_xlfn.IFS(
  ISBLANK(CU153), "Insufficient Evidence",
  CU153&lt;=20, "Low Risk",
  CU153&lt;=50, "Moderate Risk",
  CU153&lt;=75, "High Risk",
  TRUE, "Very High Risk"
)</f>
        <v/>
      </c>
      <c r="DS153" s="5">
        <f t="array" ref="DS153">_xlfn.IFS(
  ISBLANK(CE153), "Insufficient Evidence",
  AND(ISNUMBER(BW153),ISNUMBER(BV153),BW153&gt;BV153), "Overclaiming Risk",
  CE153&gt;=65, "Strong",
  CE153&gt;=40, "Adequate",
  TRUE, "Weak"
)</f>
        <v/>
      </c>
      <c r="DT153" s="5">
        <f>IF(DB153="Yes — Automatic",0,ROUND((IF(ISNUMBER(AR153),AR153,0)*0.3+IF(ISNUMBER(BS153),BS153,0)*0.2+IF(ISNUMBER(BE153),BE153,0)*0.2+IF(ISNUMBER(CE153),CE153,0)*0.15+(100-IF(ISNUMBER(CU153),CU153,50))*0.15)*IF(DN153&gt;=75,1,IF(DN153&gt;=50,0.9,IF(DN153&gt;=25,0.75,0.6))),1))</f>
        <v/>
      </c>
      <c r="DU153" s="5">
        <f t="array" ref="DU153">_xlfn.IFS(
  DV153="Upgraded to Clear", "Clear",
  DV153="Downgraded to Watchlist", "Watchlist",
  DV153="Downgraded to Exclusion", "Exclusion Risk",
  DB153="Yes — Automatic", "Exclusion Risk",
  OR(AW153="Confirmed Violation", AX153="Confirmed Breach"), "Exclusion Risk",
  OR(V153=0, ISBLANK(V153), DN153&lt;20), "Insufficient Evidence",
  AND(DT153&gt;=65, DA153="No", DB153="No"), "Clear",
  OR(DT153&gt;=40, DA153="Yes"), "Watchlist",
  TRUE, "Exclusion Risk"
)</f>
        <v/>
      </c>
      <c r="DV153" s="5" t="n"/>
      <c r="DW153" s="5">
        <f t="array" ref="DW153">_xlfn.IFS(
  DU153="Exclusion Risk", "Exclude — Hard Trigger",
  DU153="Insufficient Evidence", "Watchlist — Further Evidence Needed",
  DU153="Watchlist", "Watchlist — Further Evidence Needed",
  AND(DU153="Clear", DT153&gt;=80), "Include — No Conditions",
  DU153="Clear", "Include — Monitor",
  TRUE, "Watchlist — Further Evidence Needed"
)</f>
        <v/>
      </c>
      <c r="DX153" s="5" t="n"/>
      <c r="DY153" s="5" t="n"/>
      <c r="DZ153" s="5" t="n"/>
      <c r="EA153" s="5" t="n"/>
      <c r="EB153" s="5">
        <f>IF(OR(V153=0, ISBLANK(V153)), "MISSING — No sources reviewed", "")</f>
        <v/>
      </c>
      <c r="EC153" s="5">
        <f>IF(AND(NOT(ISBLANK(DC153)), ISBLANK(DE153)), "PAGE REF MISSING", "")</f>
        <v/>
      </c>
    </row>
    <row r="154" ht="18" customHeight="1" s="60">
      <c r="A154" s="5" t="inlineStr">
        <is>
          <t>SpareBank 1 Sorost-Norge</t>
        </is>
      </c>
      <c r="B154" s="5" t="inlineStr">
        <is>
          <t>EZ4</t>
        </is>
      </c>
      <c r="C154" s="5">
        <f>IF(ISBLANK('Universe Tracker'!D129),"",'Universe Tracker'!D129)</f>
        <v/>
      </c>
      <c r="D154" s="5" t="n"/>
      <c r="E154" s="5" t="n"/>
      <c r="F154" s="5">
        <f>IF(ISBLANK('Universe Tracker'!F129),"",'Universe Tracker'!F129)</f>
        <v/>
      </c>
      <c r="G154" s="5">
        <f>IF(ISBLANK('Universe Tracker'!G129),"",'Universe Tracker'!G129)</f>
        <v/>
      </c>
      <c r="H154" s="5" t="n"/>
      <c r="I154" s="5" t="n"/>
      <c r="J154" s="5">
        <f>IF(ISBLANK(B154),"",B154&amp;"_"&amp;C154)</f>
        <v/>
      </c>
      <c r="K154" s="5" t="n"/>
      <c r="L154" s="5" t="n"/>
      <c r="M154" s="5" t="n"/>
      <c r="N154" s="5" t="n"/>
      <c r="O154" s="5" t="n"/>
      <c r="P154" s="5" t="n"/>
      <c r="Q154" s="5" t="n"/>
      <c r="R154" s="5" t="n"/>
      <c r="S154" s="5" t="n"/>
      <c r="T154" s="5" t="n"/>
      <c r="U154" s="5" t="n"/>
      <c r="V154" s="5" t="n"/>
      <c r="W154" s="5" t="n"/>
      <c r="X154" s="5" t="n"/>
      <c r="Y154" s="5">
        <f>IF(AND(V154&gt;=2,K154="Yes",L154="Yes"),"Sufficient",IF(AND(V154&gt;=1,OR(K154="Yes",L154="Yes")),"Thin","Insufficient"))</f>
        <v/>
      </c>
      <c r="Z154" s="5" t="n"/>
      <c r="AA154" s="5" t="n"/>
      <c r="AB154" s="5" t="n"/>
      <c r="AC154" s="5" t="n"/>
      <c r="AD154" s="5" t="n"/>
      <c r="AE154" s="5" t="n"/>
      <c r="AF154" s="5" t="n"/>
      <c r="AG154" s="5" t="n"/>
      <c r="AH154" s="5" t="n"/>
      <c r="AI154" s="5" t="n"/>
      <c r="AJ154" s="5" t="n"/>
      <c r="AK154" s="5" t="n"/>
      <c r="AL154" s="5" t="n"/>
      <c r="AM154" s="5" t="n"/>
      <c r="AN154" s="5" t="n"/>
      <c r="AO154" s="5" t="n"/>
      <c r="AP154" s="5" t="n"/>
      <c r="AQ154" s="5" t="n"/>
      <c r="AR154" s="40">
        <f t="array" ref="AR154">MIN(100, MAX(0,
  IFERROR(_xlfn.XLOOKUP(AJ154,'Lookup Tables'!$A$2:$A$7,'Lookup Tables'!$B$2:$B$7,0),0)
  + IF(Z154="Yes", IF(IFERROR(_xlfn.XLOOKUP(AJ154,'Lookup Tables'!$A$2:$A$7,'Lookup Tables'!$B$2:$B$7,0),0)&lt;20, 5, 0), 0)
  + _xlfn.IFS(AB154="Yes", IF(ISNUMBER(AC154)*AND(AC154&lt;=2030),15,10), AB154="Long-term Only", 5, AB154="No", 0, TRUE, 0)
  + _xlfn.IFS(AF154="Full",10, AF154="Partial",5, AF154="Scope 2 Only",3, TRUE,0)
  + _xlfn.IFS(AG154="Yes", IF(ISNUMBER(AH154)*AND(AH154&gt;=5),10,6), AG154="Partial",4, TRUE,0)
  + _xlfn.IFS(AI154="Yes",5, AI154="Partial (material categories only)",3, TRUE,0)
  + _xlfn.IFS(AL154="Yes — Detailed",10, AL154="Yes — High Level",5, TRUE,0)
  + _xlfn.IFS(AM154="Yes — Quantified",15, AM154="Yes — Directional Only",7, TRUE,0)
  + _xlfn.IFS(AP154="Formal",5, AP154="Referenced",2, TRUE,0)
  + _xlfn.IFS(AQ154="No Issues Found",5, AQ154="Concern Identified",-5, AQ154="Severe Contradiction",-15, TRUE,0)
  + _xlfn.IFS(BC154="Reasonable Assurance",5, BC154="Limited Assurance",3, TRUE,0)
  - IF(AND(Z154="Yes", AI154="No"), 10, 0)
  - IF(AND(Z154="Yes", AM154="No"), 10, 0)
))</f>
        <v/>
      </c>
      <c r="AS154" s="5" t="n"/>
      <c r="AT154" s="5" t="n"/>
      <c r="AU154" s="5" t="n"/>
      <c r="AV154" s="5" t="n"/>
      <c r="AW154" s="5" t="n"/>
      <c r="AX154" s="5" t="n"/>
      <c r="AY154" s="5" t="n"/>
      <c r="AZ154" s="5" t="n"/>
      <c r="BA154" s="5" t="n"/>
      <c r="BB154" s="5" t="n"/>
      <c r="BC154" s="5" t="n"/>
      <c r="BD154" s="5" t="n"/>
      <c r="BE154" s="39">
        <f t="array" ref="BE154">MIN(100, MAX(0,
  IFERROR(_xlfn.XLOOKUP(AT154,'Lookup Tables'!$D$2:$D$6,'Lookup Tables'!$E$2:$E$6,0),0)
  + IFERROR(_xlfn.XLOOKUP(AV154,'Lookup Tables'!$G$2:$G$5,'Lookup Tables'!$H$2:$H$5,0),0)
  + IFERROR(_xlfn.XLOOKUP(AW154,'Lookup Tables'!$J$2:$J$5,'Lookup Tables'!$K$2:$K$5,0),0)
  + _xlfn.IFS(AX154="No Issues",10, AX154="Complaint Filed",3, AX154="Confirmed Breach",-15, TRUE,0)
  + IFERROR(_xlfn.XLOOKUP(AY154,'Lookup Tables'!$M$2:$M$6,'Lookup Tables'!$N$2:$N$6,0),0)
  + IFERROR(_xlfn.XLOOKUP(AZ154,'Lookup Tables'!$P$2:$P$6,'Lookup Tables'!$Q$2:$Q$6,0),0)
  + _xlfn.IFS(BA154="Formal Board Committee",5, BA154="Board Oversight Mentioned",2, TRUE,0)
  + _xlfn.IFS(BB154="Yes — Quantified Targets",5, BB154="Yes — Discretionary Only",2, TRUE,0)
  + _xlfn.IFS(BC154="Reasonable Assurance",5, BC154="Limited Assurance",3, BC154="Management Review Only",1, TRUE,0)
))</f>
        <v/>
      </c>
      <c r="BF154" s="5" t="n"/>
      <c r="BG154" s="5" t="n"/>
      <c r="BH154" s="5" t="n"/>
      <c r="BI154" s="5" t="n"/>
      <c r="BJ154" s="5" t="n"/>
      <c r="BK154" s="5" t="n"/>
      <c r="BL154" s="5" t="n"/>
      <c r="BM154" s="5" t="n"/>
      <c r="BN154" s="5" t="n"/>
      <c r="BO154" s="5" t="n"/>
      <c r="BP154" s="5" t="n"/>
      <c r="BQ154" s="5" t="n"/>
      <c r="BR154" s="5" t="n"/>
      <c r="BS154" s="41">
        <f t="array" ref="BS154">MIN(100, MAX(0,
  IFERROR(_xlfn.XLOOKUP(BG154,'Lookup Tables'!$A$11:$A$16,'Lookup Tables'!$B$11:$B$16,0),0)
  + IFERROR(_xlfn.XLOOKUP(BR154,'Lookup Tables'!$M$11:$M$14,'Lookup Tables'!$N$11:$N$14,0),0)
  + IFERROR(_xlfn.XLOOKUP(BQ154,'Lookup Tables'!$J$11:$J$15,'Lookup Tables'!$K$11:$K$15,0),0)
  + IFERROR(_xlfn.XLOOKUP(BH154,'Lookup Tables'!$D$11:$D$15,'Lookup Tables'!$E$11:$E$15,0),0)
  + IFERROR(_xlfn.XLOOKUP(BJ154,'Lookup Tables'!$G$11:$G$16,'Lookup Tables'!$H$11:$H$16,0),0)
  + IFERROR(_xlfn.XLOOKUP(BN154,'Lookup Tables'!$P$11:$P$15,'Lookup Tables'!$Q$11:$Q$15,0),0)
  + _xlfn.IFS(BM154="No Evidence",10, BM154="Unknown",3, BM154="Likely",0, BM154="Confirmed",-10, TRUE,3)
  + IFERROR(_xlfn.XLOOKUP(BP154,'Lookup Tables'!$J$21:$J$24,'Lookup Tables'!$K$21:$K$24,0),0)
))</f>
        <v/>
      </c>
      <c r="BT154" s="5" t="n"/>
      <c r="BU154" s="5" t="n"/>
      <c r="BV154" s="5" t="n"/>
      <c r="BW154" s="5" t="n"/>
      <c r="BX154" s="5" t="n"/>
      <c r="BY154" s="5" t="n"/>
      <c r="BZ154" s="5" t="n"/>
      <c r="CA154" s="5" t="n"/>
      <c r="CB154" s="5" t="n"/>
      <c r="CC154" s="5" t="n"/>
      <c r="CD154" s="5" t="n"/>
      <c r="CE154" s="43">
        <f t="array" ref="CE154">MIN(100, MAX(0,
  IF(ISNUMBER(BV154)*AND(BV154&gt;0), 10, 0)
  + _xlfn.IFS(BY154="Independently Verified",25, BY154="Yes",15, TRUE,0)
  + IFERROR(_xlfn.XLOOKUP(BZ154,'Lookup Tables'!$A$21:$A$24,'Lookup Tables'!$B$21:$B$24,0),0)
  + IFERROR(_xlfn.XLOOKUP(CA154,'Lookup Tables'!$D$21:$D$24,'Lookup Tables'!$E$21:$E$24,0),0)
  + _xlfn.IFS(ISNUMBER(CB154)*AND(CB154&gt;=11),15, ISNUMBER(CB154)*AND(CB154&gt;=6),10, ISNUMBER(CB154)*AND(CB154&gt;=1),5, TRUE,0)
  + IFERROR(_xlfn.XLOOKUP(CC154,'Lookup Tables'!$G$21:$G$25,'Lookup Tables'!$H$21:$H$25,0),0)
  - IF(ISNUMBER(BW154)*AND(ISNUMBER(BV154))*AND(BW154&gt;BV154), 20, 0)
  - IF(AND(BY154="Yes", ISNUMBER(BW154), BW154&gt;60), 10, 0)
))</f>
        <v/>
      </c>
      <c r="CF154" s="5" t="n"/>
      <c r="CG154" s="5" t="n"/>
      <c r="CH154" s="5" t="n"/>
      <c r="CI154" s="5" t="n"/>
      <c r="CJ154" s="5" t="n"/>
      <c r="CK154" s="5" t="n"/>
      <c r="CL154" s="5" t="n"/>
      <c r="CM154" s="5" t="n"/>
      <c r="CN154" s="5" t="n"/>
      <c r="CO154" s="5" t="n"/>
      <c r="CP154" s="5" t="n"/>
      <c r="CQ154" s="5" t="n"/>
      <c r="CR154" s="5">
        <f>COUNTIF(CJ154:CQ154,"FAIL")</f>
        <v/>
      </c>
      <c r="CS154" s="5">
        <f>COUNTIF(CJ154:CQ154,"PARTIAL")</f>
        <v/>
      </c>
      <c r="CT154" s="5">
        <f>COUNTIF(CJ154:CQ154,"MISSING")</f>
        <v/>
      </c>
      <c r="CU154" s="5">
        <f>MIN(100,
  CR154*15
  + CS154*6
  + CT154*3
  + IFERROR(_xlfn.XLOOKUP(CW154,'Lookup Tables'!$M$21:$M$25,'Lookup Tables'!$N$21:$N$25,0),0)
)</f>
        <v/>
      </c>
      <c r="CV154" s="5">
        <f>IFERROR(
CHOOSE(
MATCH("FAIL",CJ154:CQ154,0),
"1-Specificity","2-Metric","3-Baseline","4-Target",
"5-Time Horizon","6-Scope","7-Verification","8-Consistency"
),
IFERROR(
CHOOSE(
MATCH("PARTIAL",CJ154:CQ154,0),
"1-Specificity","2-Metric","3-Baseline","4-Target",
"5-Time Horizon","6-Scope","7-Verification","8-Consistency"
),
"No failures"
)
)</f>
        <v/>
      </c>
      <c r="CW154" s="5" t="n"/>
      <c r="CX154" s="5" t="n"/>
      <c r="CY154" s="5" t="n"/>
      <c r="CZ154" s="5" t="n"/>
      <c r="DA154" s="5">
        <f>IF(OR(CU154&gt;=50,CW154="Material",CW154="Severe",AS154="Material",AS154="Severe",BF154="Material",BF154="Severe — Exclusion Trigger",AND(ISNUMBER(BS154),BS154&lt;30)),"Yes","No")</f>
        <v/>
      </c>
      <c r="DB154" s="5">
        <f>IF(OR(CR154&gt;=6,AW154="Confirmed Violation",AX154="Confirmed Breach"),"Yes — Automatic",IF(CW154="Severe","Yes — Requires Captain Confirmation","No"))</f>
        <v/>
      </c>
      <c r="DC154" s="5" t="n"/>
      <c r="DD154" s="5" t="n"/>
      <c r="DE154" s="5" t="n"/>
      <c r="DF154" s="5" t="n"/>
      <c r="DG154" s="5" t="n"/>
      <c r="DH154" s="5" t="n"/>
      <c r="DI154" s="5" t="n"/>
      <c r="DJ154" s="5" t="n"/>
      <c r="DK154" s="5" t="n"/>
      <c r="DL154" s="5">
        <f>IF(OR(IFERROR(VALUE(LEFT(DF154,1)),99)&lt;=2,IFERROR(VALUE(LEFT(DG154,1)),99)&lt;=2),"Flagged","Clear")</f>
        <v/>
      </c>
      <c r="DM154" s="5">
        <f>IF(OR(DA154="Yes",DB154&lt;&gt;"No",DH154="Unverified",DL154="Flagged"),"Yes","No")</f>
        <v/>
      </c>
      <c r="DN154" s="5">
        <f t="array" ref="DN154">MIN(100,
  IF(ISNUMBER(V154), _xlfn.IFS(V154&gt;=3,25, V154=2,15, V154=1,5, TRUE,0), 0)
  + IFERROR(_xlfn.IFS(VALUE(LEFT(DF154,1))=5,25, VALUE(LEFT(DF154,1))=4,20, VALUE(LEFT(DF154,1))=3,15, VALUE(LEFT(DF154,1))=2,8, TRUE,0), 15)
  + IFERROR(_xlfn.IFS(VALUE(LEFT(DG154,1))=5,25, VALUE(LEFT(DG154,1))=4,20, VALUE(LEFT(DG154,1))=3,15, VALUE(LEFT(DG154,1))=2,8, TRUE,0), 15)
  + _xlfn.IFS(DH154="Fully Verified",25, DH154="Partially Verified",12, TRUE,0)
)</f>
        <v/>
      </c>
      <c r="DO154" s="5">
        <f t="array" ref="DO154">_xlfn.IFS(
  ISBLANK(AR154), "Insufficient Evidence",
  AND(AR154&gt;=65, AJ154="Approved"), "Strong",
  AR154&gt;=65, "Adequate",
  AR154&gt;=40, "Adequate",
  AR154&gt;=20, "Weak",
  TRUE, "Insufficient Evidence"
)</f>
        <v/>
      </c>
      <c r="DP154" s="5">
        <f t="array" ref="DP154">_xlfn.IFS(
  ISBLANK(BS154), "Insufficient Evidence",
  BS154&gt;=65, "Strong",
  BS154&gt;=40, "Adequate",
  BS154&gt;=20, "Weak",
  TRUE, "Insufficient Evidence"
)</f>
        <v/>
      </c>
      <c r="DQ154" s="5">
        <f t="array" ref="DQ154">_xlfn.IFS(
  ISBLANK(BE154), "Insufficient Evidence",
  OR(AW154="Confirmed Violation", AX154="Confirmed Breach"), "Severe — Hard Trigger",
  BE154&gt;=65, "Strong",
  BE154&gt;=40, "Adequate",
  BE154&gt;=20, "Weak",
  TRUE, "Insufficient Evidence"
)</f>
        <v/>
      </c>
      <c r="DR154" s="5">
        <f t="array" ref="DR154">_xlfn.IFS(
  ISBLANK(CU154), "Insufficient Evidence",
  CU154&lt;=20, "Low Risk",
  CU154&lt;=50, "Moderate Risk",
  CU154&lt;=75, "High Risk",
  TRUE, "Very High Risk"
)</f>
        <v/>
      </c>
      <c r="DS154" s="5">
        <f t="array" ref="DS154">_xlfn.IFS(
  ISBLANK(CE154), "Insufficient Evidence",
  AND(ISNUMBER(BW154),ISNUMBER(BV154),BW154&gt;BV154), "Overclaiming Risk",
  CE154&gt;=65, "Strong",
  CE154&gt;=40, "Adequate",
  TRUE, "Weak"
)</f>
        <v/>
      </c>
      <c r="DT154" s="5">
        <f>IF(DB154="Yes — Automatic",0,ROUND((IF(ISNUMBER(AR154),AR154,0)*0.3+IF(ISNUMBER(BS154),BS154,0)*0.2+IF(ISNUMBER(BE154),BE154,0)*0.2+IF(ISNUMBER(CE154),CE154,0)*0.15+(100-IF(ISNUMBER(CU154),CU154,50))*0.15)*IF(DN154&gt;=75,1,IF(DN154&gt;=50,0.9,IF(DN154&gt;=25,0.75,0.6))),1))</f>
        <v/>
      </c>
      <c r="DU154" s="5">
        <f t="array" ref="DU154">_xlfn.IFS(
  DV154="Upgraded to Clear", "Clear",
  DV154="Downgraded to Watchlist", "Watchlist",
  DV154="Downgraded to Exclusion", "Exclusion Risk",
  DB154="Yes — Automatic", "Exclusion Risk",
  OR(AW154="Confirmed Violation", AX154="Confirmed Breach"), "Exclusion Risk",
  OR(V154=0, ISBLANK(V154), DN154&lt;20), "Insufficient Evidence",
  AND(DT154&gt;=65, DA154="No", DB154="No"), "Clear",
  OR(DT154&gt;=40, DA154="Yes"), "Watchlist",
  TRUE, "Exclusion Risk"
)</f>
        <v/>
      </c>
      <c r="DV154" s="5" t="n"/>
      <c r="DW154" s="5">
        <f t="array" ref="DW154">_xlfn.IFS(
  DU154="Exclusion Risk", "Exclude — Hard Trigger",
  DU154="Insufficient Evidence", "Watchlist — Further Evidence Needed",
  DU154="Watchlist", "Watchlist — Further Evidence Needed",
  AND(DU154="Clear", DT154&gt;=80), "Include — No Conditions",
  DU154="Clear", "Include — Monitor",
  TRUE, "Watchlist — Further Evidence Needed"
)</f>
        <v/>
      </c>
      <c r="DX154" s="5" t="n"/>
      <c r="DY154" s="5" t="n"/>
      <c r="DZ154" s="5" t="n"/>
      <c r="EA154" s="5" t="n"/>
      <c r="EB154" s="5">
        <f>IF(OR(V154=0, ISBLANK(V154)), "MISSING — No sources reviewed", "")</f>
        <v/>
      </c>
      <c r="EC154" s="5">
        <f>IF(AND(NOT(ISBLANK(DC154)), ISBLANK(DE154)), "PAGE REF MISSING", "")</f>
        <v/>
      </c>
    </row>
    <row r="155" ht="18" customHeight="1" s="60">
      <c r="A155" s="5" t="inlineStr">
        <is>
          <t>Financiere de Tubize SA</t>
        </is>
      </c>
      <c r="B155" s="5" t="inlineStr">
        <is>
          <t>FTD</t>
        </is>
      </c>
      <c r="C155" s="5">
        <f>IF(ISBLANK('Universe Tracker'!D130),"",'Universe Tracker'!D130)</f>
        <v/>
      </c>
      <c r="D155" s="5" t="n"/>
      <c r="E155" s="5" t="n"/>
      <c r="F155" s="5">
        <f>IF(ISBLANK('Universe Tracker'!F130),"",'Universe Tracker'!F130)</f>
        <v/>
      </c>
      <c r="G155" s="5">
        <f>IF(ISBLANK('Universe Tracker'!G130),"",'Universe Tracker'!G130)</f>
        <v/>
      </c>
      <c r="H155" s="5" t="n"/>
      <c r="I155" s="5" t="n"/>
      <c r="J155" s="5">
        <f>IF(ISBLANK(B155),"",B155&amp;"_"&amp;C155)</f>
        <v/>
      </c>
      <c r="K155" s="5" t="n"/>
      <c r="L155" s="5" t="n"/>
      <c r="M155" s="5" t="n"/>
      <c r="N155" s="5" t="n"/>
      <c r="O155" s="5" t="n"/>
      <c r="P155" s="5" t="n"/>
      <c r="Q155" s="5" t="n"/>
      <c r="R155" s="5" t="n"/>
      <c r="S155" s="5" t="n"/>
      <c r="T155" s="5" t="n"/>
      <c r="U155" s="5" t="n"/>
      <c r="V155" s="5" t="n"/>
      <c r="W155" s="5" t="n"/>
      <c r="X155" s="5" t="n"/>
      <c r="Y155" s="5">
        <f>IF(AND(V155&gt;=2,K155="Yes",L155="Yes"),"Sufficient",IF(AND(V155&gt;=1,OR(K155="Yes",L155="Yes")),"Thin","Insufficient"))</f>
        <v/>
      </c>
      <c r="Z155" s="5" t="n"/>
      <c r="AA155" s="5" t="n"/>
      <c r="AB155" s="5" t="n"/>
      <c r="AC155" s="5" t="n"/>
      <c r="AD155" s="5" t="n"/>
      <c r="AE155" s="5" t="n"/>
      <c r="AF155" s="5" t="n"/>
      <c r="AG155" s="5" t="n"/>
      <c r="AH155" s="5" t="n"/>
      <c r="AI155" s="5" t="n"/>
      <c r="AJ155" s="5" t="n"/>
      <c r="AK155" s="5" t="n"/>
      <c r="AL155" s="5" t="n"/>
      <c r="AM155" s="5" t="n"/>
      <c r="AN155" s="5" t="n"/>
      <c r="AO155" s="5" t="n"/>
      <c r="AP155" s="5" t="n"/>
      <c r="AQ155" s="5" t="n"/>
      <c r="AR155" s="40">
        <f t="array" ref="AR155">MIN(100, MAX(0,
  IFERROR(_xlfn.XLOOKUP(AJ155,'Lookup Tables'!$A$2:$A$7,'Lookup Tables'!$B$2:$B$7,0),0)
  + IF(Z155="Yes", IF(IFERROR(_xlfn.XLOOKUP(AJ155,'Lookup Tables'!$A$2:$A$7,'Lookup Tables'!$B$2:$B$7,0),0)&lt;20, 5, 0), 0)
  + _xlfn.IFS(AB155="Yes", IF(ISNUMBER(AC155)*AND(AC155&lt;=2030),15,10), AB155="Long-term Only", 5, AB155="No", 0, TRUE, 0)
  + _xlfn.IFS(AF155="Full",10, AF155="Partial",5, AF155="Scope 2 Only",3, TRUE,0)
  + _xlfn.IFS(AG155="Yes", IF(ISNUMBER(AH155)*AND(AH155&gt;=5),10,6), AG155="Partial",4, TRUE,0)
  + _xlfn.IFS(AI155="Yes",5, AI155="Partial (material categories only)",3, TRUE,0)
  + _xlfn.IFS(AL155="Yes — Detailed",10, AL155="Yes — High Level",5, TRUE,0)
  + _xlfn.IFS(AM155="Yes — Quantified",15, AM155="Yes — Directional Only",7, TRUE,0)
  + _xlfn.IFS(AP155="Formal",5, AP155="Referenced",2, TRUE,0)
  + _xlfn.IFS(AQ155="No Issues Found",5, AQ155="Concern Identified",-5, AQ155="Severe Contradiction",-15, TRUE,0)
  + _xlfn.IFS(BC155="Reasonable Assurance",5, BC155="Limited Assurance",3, TRUE,0)
  - IF(AND(Z155="Yes", AI155="No"), 10, 0)
  - IF(AND(Z155="Yes", AM155="No"), 10, 0)
))</f>
        <v/>
      </c>
      <c r="AS155" s="5" t="n"/>
      <c r="AT155" s="5" t="n"/>
      <c r="AU155" s="5" t="n"/>
      <c r="AV155" s="5" t="n"/>
      <c r="AW155" s="5" t="n"/>
      <c r="AX155" s="5" t="n"/>
      <c r="AY155" s="5" t="n"/>
      <c r="AZ155" s="5" t="n"/>
      <c r="BA155" s="5" t="n"/>
      <c r="BB155" s="5" t="n"/>
      <c r="BC155" s="5" t="n"/>
      <c r="BD155" s="5" t="n"/>
      <c r="BE155" s="39">
        <f t="array" ref="BE155">MIN(100, MAX(0,
  IFERROR(_xlfn.XLOOKUP(AT155,'Lookup Tables'!$D$2:$D$6,'Lookup Tables'!$E$2:$E$6,0),0)
  + IFERROR(_xlfn.XLOOKUP(AV155,'Lookup Tables'!$G$2:$G$5,'Lookup Tables'!$H$2:$H$5,0),0)
  + IFERROR(_xlfn.XLOOKUP(AW155,'Lookup Tables'!$J$2:$J$5,'Lookup Tables'!$K$2:$K$5,0),0)
  + _xlfn.IFS(AX155="No Issues",10, AX155="Complaint Filed",3, AX155="Confirmed Breach",-15, TRUE,0)
  + IFERROR(_xlfn.XLOOKUP(AY155,'Lookup Tables'!$M$2:$M$6,'Lookup Tables'!$N$2:$N$6,0),0)
  + IFERROR(_xlfn.XLOOKUP(AZ155,'Lookup Tables'!$P$2:$P$6,'Lookup Tables'!$Q$2:$Q$6,0),0)
  + _xlfn.IFS(BA155="Formal Board Committee",5, BA155="Board Oversight Mentioned",2, TRUE,0)
  + _xlfn.IFS(BB155="Yes — Quantified Targets",5, BB155="Yes — Discretionary Only",2, TRUE,0)
  + _xlfn.IFS(BC155="Reasonable Assurance",5, BC155="Limited Assurance",3, BC155="Management Review Only",1, TRUE,0)
))</f>
        <v/>
      </c>
      <c r="BF155" s="5" t="n"/>
      <c r="BG155" s="5" t="n"/>
      <c r="BH155" s="5" t="n"/>
      <c r="BI155" s="5" t="n"/>
      <c r="BJ155" s="5" t="n"/>
      <c r="BK155" s="5" t="n"/>
      <c r="BL155" s="5" t="n"/>
      <c r="BM155" s="5" t="n"/>
      <c r="BN155" s="5" t="n"/>
      <c r="BO155" s="5" t="n"/>
      <c r="BP155" s="5" t="n"/>
      <c r="BQ155" s="5" t="n"/>
      <c r="BR155" s="5" t="n"/>
      <c r="BS155" s="41">
        <f t="array" ref="BS155">MIN(100, MAX(0,
  IFERROR(_xlfn.XLOOKUP(BG155,'Lookup Tables'!$A$11:$A$16,'Lookup Tables'!$B$11:$B$16,0),0)
  + IFERROR(_xlfn.XLOOKUP(BR155,'Lookup Tables'!$M$11:$M$14,'Lookup Tables'!$N$11:$N$14,0),0)
  + IFERROR(_xlfn.XLOOKUP(BQ155,'Lookup Tables'!$J$11:$J$15,'Lookup Tables'!$K$11:$K$15,0),0)
  + IFERROR(_xlfn.XLOOKUP(BH155,'Lookup Tables'!$D$11:$D$15,'Lookup Tables'!$E$11:$E$15,0),0)
  + IFERROR(_xlfn.XLOOKUP(BJ155,'Lookup Tables'!$G$11:$G$16,'Lookup Tables'!$H$11:$H$16,0),0)
  + IFERROR(_xlfn.XLOOKUP(BN155,'Lookup Tables'!$P$11:$P$15,'Lookup Tables'!$Q$11:$Q$15,0),0)
  + _xlfn.IFS(BM155="No Evidence",10, BM155="Unknown",3, BM155="Likely",0, BM155="Confirmed",-10, TRUE,3)
  + IFERROR(_xlfn.XLOOKUP(BP155,'Lookup Tables'!$J$21:$J$24,'Lookup Tables'!$K$21:$K$24,0),0)
))</f>
        <v/>
      </c>
      <c r="BT155" s="5" t="n"/>
      <c r="BU155" s="5" t="n"/>
      <c r="BV155" s="5" t="n"/>
      <c r="BW155" s="5" t="n"/>
      <c r="BX155" s="5" t="n"/>
      <c r="BY155" s="5" t="n"/>
      <c r="BZ155" s="5" t="n"/>
      <c r="CA155" s="5" t="n"/>
      <c r="CB155" s="5" t="n"/>
      <c r="CC155" s="5" t="n"/>
      <c r="CD155" s="5" t="n"/>
      <c r="CE155" s="43">
        <f t="array" ref="CE155">MIN(100, MAX(0,
  IF(ISNUMBER(BV155)*AND(BV155&gt;0), 10, 0)
  + _xlfn.IFS(BY155="Independently Verified",25, BY155="Yes",15, TRUE,0)
  + IFERROR(_xlfn.XLOOKUP(BZ155,'Lookup Tables'!$A$21:$A$24,'Lookup Tables'!$B$21:$B$24,0),0)
  + IFERROR(_xlfn.XLOOKUP(CA155,'Lookup Tables'!$D$21:$D$24,'Lookup Tables'!$E$21:$E$24,0),0)
  + _xlfn.IFS(ISNUMBER(CB155)*AND(CB155&gt;=11),15, ISNUMBER(CB155)*AND(CB155&gt;=6),10, ISNUMBER(CB155)*AND(CB155&gt;=1),5, TRUE,0)
  + IFERROR(_xlfn.XLOOKUP(CC155,'Lookup Tables'!$G$21:$G$25,'Lookup Tables'!$H$21:$H$25,0),0)
  - IF(ISNUMBER(BW155)*AND(ISNUMBER(BV155))*AND(BW155&gt;BV155), 20, 0)
  - IF(AND(BY155="Yes", ISNUMBER(BW155), BW155&gt;60), 10, 0)
))</f>
        <v/>
      </c>
      <c r="CF155" s="5" t="n"/>
      <c r="CG155" s="5" t="n"/>
      <c r="CH155" s="5" t="n"/>
      <c r="CI155" s="5" t="n"/>
      <c r="CJ155" s="5" t="n"/>
      <c r="CK155" s="5" t="n"/>
      <c r="CL155" s="5" t="n"/>
      <c r="CM155" s="5" t="n"/>
      <c r="CN155" s="5" t="n"/>
      <c r="CO155" s="5" t="n"/>
      <c r="CP155" s="5" t="n"/>
      <c r="CQ155" s="5" t="n"/>
      <c r="CR155" s="5">
        <f>COUNTIF(CJ155:CQ155,"FAIL")</f>
        <v/>
      </c>
      <c r="CS155" s="5">
        <f>COUNTIF(CJ155:CQ155,"PARTIAL")</f>
        <v/>
      </c>
      <c r="CT155" s="5">
        <f>COUNTIF(CJ155:CQ155,"MISSING")</f>
        <v/>
      </c>
      <c r="CU155" s="5">
        <f>MIN(100,
  CR155*15
  + CS155*6
  + CT155*3
  + IFERROR(_xlfn.XLOOKUP(CW155,'Lookup Tables'!$M$21:$M$25,'Lookup Tables'!$N$21:$N$25,0),0)
)</f>
        <v/>
      </c>
      <c r="CV155" s="5">
        <f>IFERROR(
CHOOSE(
MATCH("FAIL",CJ155:CQ155,0),
"1-Specificity","2-Metric","3-Baseline","4-Target",
"5-Time Horizon","6-Scope","7-Verification","8-Consistency"
),
IFERROR(
CHOOSE(
MATCH("PARTIAL",CJ155:CQ155,0),
"1-Specificity","2-Metric","3-Baseline","4-Target",
"5-Time Horizon","6-Scope","7-Verification","8-Consistency"
),
"No failures"
)
)</f>
        <v/>
      </c>
      <c r="CW155" s="5" t="n"/>
      <c r="CX155" s="5" t="n"/>
      <c r="CY155" s="5" t="n"/>
      <c r="CZ155" s="5" t="n"/>
      <c r="DA155" s="5">
        <f>IF(OR(CU155&gt;=50,CW155="Material",CW155="Severe",AS155="Material",AS155="Severe",BF155="Material",BF155="Severe — Exclusion Trigger",AND(ISNUMBER(BS155),BS155&lt;30)),"Yes","No")</f>
        <v/>
      </c>
      <c r="DB155" s="5">
        <f>IF(OR(CR155&gt;=6,AW155="Confirmed Violation",AX155="Confirmed Breach"),"Yes — Automatic",IF(CW155="Severe","Yes — Requires Captain Confirmation","No"))</f>
        <v/>
      </c>
      <c r="DC155" s="5" t="n"/>
      <c r="DD155" s="5" t="n"/>
      <c r="DE155" s="5" t="n"/>
      <c r="DF155" s="5" t="n"/>
      <c r="DG155" s="5" t="n"/>
      <c r="DH155" s="5" t="n"/>
      <c r="DI155" s="5" t="n"/>
      <c r="DJ155" s="5" t="n"/>
      <c r="DK155" s="5" t="n"/>
      <c r="DL155" s="5">
        <f>IF(OR(IFERROR(VALUE(LEFT(DF155,1)),99)&lt;=2,IFERROR(VALUE(LEFT(DG155,1)),99)&lt;=2),"Flagged","Clear")</f>
        <v/>
      </c>
      <c r="DM155" s="5">
        <f>IF(OR(DA155="Yes",DB155&lt;&gt;"No",DH155="Unverified",DL155="Flagged"),"Yes","No")</f>
        <v/>
      </c>
      <c r="DN155" s="5">
        <f t="array" ref="DN155">MIN(100,
  IF(ISNUMBER(V155), _xlfn.IFS(V155&gt;=3,25, V155=2,15, V155=1,5, TRUE,0), 0)
  + IFERROR(_xlfn.IFS(VALUE(LEFT(DF155,1))=5,25, VALUE(LEFT(DF155,1))=4,20, VALUE(LEFT(DF155,1))=3,15, VALUE(LEFT(DF155,1))=2,8, TRUE,0), 15)
  + IFERROR(_xlfn.IFS(VALUE(LEFT(DG155,1))=5,25, VALUE(LEFT(DG155,1))=4,20, VALUE(LEFT(DG155,1))=3,15, VALUE(LEFT(DG155,1))=2,8, TRUE,0), 15)
  + _xlfn.IFS(DH155="Fully Verified",25, DH155="Partially Verified",12, TRUE,0)
)</f>
        <v/>
      </c>
      <c r="DO155" s="5">
        <f t="array" ref="DO155">_xlfn.IFS(
  ISBLANK(AR155), "Insufficient Evidence",
  AND(AR155&gt;=65, AJ155="Approved"), "Strong",
  AR155&gt;=65, "Adequate",
  AR155&gt;=40, "Adequate",
  AR155&gt;=20, "Weak",
  TRUE, "Insufficient Evidence"
)</f>
        <v/>
      </c>
      <c r="DP155" s="5">
        <f t="array" ref="DP155">_xlfn.IFS(
  ISBLANK(BS155), "Insufficient Evidence",
  BS155&gt;=65, "Strong",
  BS155&gt;=40, "Adequate",
  BS155&gt;=20, "Weak",
  TRUE, "Insufficient Evidence"
)</f>
        <v/>
      </c>
      <c r="DQ155" s="5">
        <f t="array" ref="DQ155">_xlfn.IFS(
  ISBLANK(BE155), "Insufficient Evidence",
  OR(AW155="Confirmed Violation", AX155="Confirmed Breach"), "Severe — Hard Trigger",
  BE155&gt;=65, "Strong",
  BE155&gt;=40, "Adequate",
  BE155&gt;=20, "Weak",
  TRUE, "Insufficient Evidence"
)</f>
        <v/>
      </c>
      <c r="DR155" s="5">
        <f t="array" ref="DR155">_xlfn.IFS(
  ISBLANK(CU155), "Insufficient Evidence",
  CU155&lt;=20, "Low Risk",
  CU155&lt;=50, "Moderate Risk",
  CU155&lt;=75, "High Risk",
  TRUE, "Very High Risk"
)</f>
        <v/>
      </c>
      <c r="DS155" s="5">
        <f t="array" ref="DS155">_xlfn.IFS(
  ISBLANK(CE155), "Insufficient Evidence",
  AND(ISNUMBER(BW155),ISNUMBER(BV155),BW155&gt;BV155), "Overclaiming Risk",
  CE155&gt;=65, "Strong",
  CE155&gt;=40, "Adequate",
  TRUE, "Weak"
)</f>
        <v/>
      </c>
      <c r="DT155" s="5">
        <f>IF(DB155="Yes — Automatic",0,ROUND((IF(ISNUMBER(AR155),AR155,0)*0.3+IF(ISNUMBER(BS155),BS155,0)*0.2+IF(ISNUMBER(BE155),BE155,0)*0.2+IF(ISNUMBER(CE155),CE155,0)*0.15+(100-IF(ISNUMBER(CU155),CU155,50))*0.15)*IF(DN155&gt;=75,1,IF(DN155&gt;=50,0.9,IF(DN155&gt;=25,0.75,0.6))),1))</f>
        <v/>
      </c>
      <c r="DU155" s="5">
        <f t="array" ref="DU155">_xlfn.IFS(
  DV155="Upgraded to Clear", "Clear",
  DV155="Downgraded to Watchlist", "Watchlist",
  DV155="Downgraded to Exclusion", "Exclusion Risk",
  DB155="Yes — Automatic", "Exclusion Risk",
  OR(AW155="Confirmed Violation", AX155="Confirmed Breach"), "Exclusion Risk",
  OR(V155=0, ISBLANK(V155), DN155&lt;20), "Insufficient Evidence",
  AND(DT155&gt;=65, DA155="No", DB155="No"), "Clear",
  OR(DT155&gt;=40, DA155="Yes"), "Watchlist",
  TRUE, "Exclusion Risk"
)</f>
        <v/>
      </c>
      <c r="DV155" s="5" t="n"/>
      <c r="DW155" s="5">
        <f t="array" ref="DW155">_xlfn.IFS(
  DU155="Exclusion Risk", "Exclude — Hard Trigger",
  DU155="Insufficient Evidence", "Watchlist — Further Evidence Needed",
  DU155="Watchlist", "Watchlist — Further Evidence Needed",
  AND(DU155="Clear", DT155&gt;=80), "Include — No Conditions",
  DU155="Clear", "Include — Monitor",
  TRUE, "Watchlist — Further Evidence Needed"
)</f>
        <v/>
      </c>
      <c r="DX155" s="5" t="n"/>
      <c r="DY155" s="5" t="n"/>
      <c r="DZ155" s="5" t="n"/>
      <c r="EA155" s="5" t="n"/>
      <c r="EB155" s="5">
        <f>IF(OR(V155=0, ISBLANK(V155)), "MISSING — No sources reviewed", "")</f>
        <v/>
      </c>
      <c r="EC155" s="5">
        <f>IF(AND(NOT(ISBLANK(DC155)), ISBLANK(DE155)), "PAGE REF MISSING", "")</f>
        <v/>
      </c>
    </row>
    <row r="156" ht="18" customHeight="1" s="60">
      <c r="A156" s="5" t="inlineStr">
        <is>
          <t>Beazley PLC</t>
        </is>
      </c>
      <c r="B156" s="5" t="inlineStr">
        <is>
          <t>2D7</t>
        </is>
      </c>
      <c r="C156" s="5">
        <f>IF(ISBLANK('Universe Tracker'!D131),"",'Universe Tracker'!D131)</f>
        <v/>
      </c>
      <c r="D156" s="5" t="n"/>
      <c r="E156" s="5" t="n"/>
      <c r="F156" s="5">
        <f>IF(ISBLANK('Universe Tracker'!F131),"",'Universe Tracker'!F131)</f>
        <v/>
      </c>
      <c r="G156" s="5">
        <f>IF(ISBLANK('Universe Tracker'!G131),"",'Universe Tracker'!G131)</f>
        <v/>
      </c>
      <c r="H156" s="5" t="n"/>
      <c r="I156" s="5" t="n"/>
      <c r="J156" s="5">
        <f>IF(ISBLANK(B156),"",B156&amp;"_"&amp;C156)</f>
        <v/>
      </c>
      <c r="K156" s="5" t="n"/>
      <c r="L156" s="5" t="n"/>
      <c r="M156" s="5" t="n"/>
      <c r="N156" s="5" t="n"/>
      <c r="O156" s="5" t="n"/>
      <c r="P156" s="5" t="n"/>
      <c r="Q156" s="5" t="n"/>
      <c r="R156" s="5" t="n"/>
      <c r="S156" s="5" t="n"/>
      <c r="T156" s="5" t="n"/>
      <c r="U156" s="5" t="n"/>
      <c r="V156" s="5" t="n"/>
      <c r="W156" s="5" t="n"/>
      <c r="X156" s="5" t="n"/>
      <c r="Y156" s="5">
        <f>IF(AND(V156&gt;=2,K156="Yes",L156="Yes"),"Sufficient",IF(AND(V156&gt;=1,OR(K156="Yes",L156="Yes")),"Thin","Insufficient"))</f>
        <v/>
      </c>
      <c r="Z156" s="5" t="n"/>
      <c r="AA156" s="5" t="n"/>
      <c r="AB156" s="5" t="n"/>
      <c r="AC156" s="5" t="n"/>
      <c r="AD156" s="5" t="n"/>
      <c r="AE156" s="5" t="n"/>
      <c r="AF156" s="5" t="n"/>
      <c r="AG156" s="5" t="n"/>
      <c r="AH156" s="5" t="n"/>
      <c r="AI156" s="5" t="n"/>
      <c r="AJ156" s="5" t="n"/>
      <c r="AK156" s="5" t="n"/>
      <c r="AL156" s="5" t="n"/>
      <c r="AM156" s="5" t="n"/>
      <c r="AN156" s="5" t="n"/>
      <c r="AO156" s="5" t="n"/>
      <c r="AP156" s="5" t="n"/>
      <c r="AQ156" s="5" t="n"/>
      <c r="AR156" s="40">
        <f t="array" ref="AR156">MIN(100, MAX(0,
  IFERROR(_xlfn.XLOOKUP(AJ156,'Lookup Tables'!$A$2:$A$7,'Lookup Tables'!$B$2:$B$7,0),0)
  + IF(Z156="Yes", IF(IFERROR(_xlfn.XLOOKUP(AJ156,'Lookup Tables'!$A$2:$A$7,'Lookup Tables'!$B$2:$B$7,0),0)&lt;20, 5, 0), 0)
  + _xlfn.IFS(AB156="Yes", IF(ISNUMBER(AC156)*AND(AC156&lt;=2030),15,10), AB156="Long-term Only", 5, AB156="No", 0, TRUE, 0)
  + _xlfn.IFS(AF156="Full",10, AF156="Partial",5, AF156="Scope 2 Only",3, TRUE,0)
  + _xlfn.IFS(AG156="Yes", IF(ISNUMBER(AH156)*AND(AH156&gt;=5),10,6), AG156="Partial",4, TRUE,0)
  + _xlfn.IFS(AI156="Yes",5, AI156="Partial (material categories only)",3, TRUE,0)
  + _xlfn.IFS(AL156="Yes — Detailed",10, AL156="Yes — High Level",5, TRUE,0)
  + _xlfn.IFS(AM156="Yes — Quantified",15, AM156="Yes — Directional Only",7, TRUE,0)
  + _xlfn.IFS(AP156="Formal",5, AP156="Referenced",2, TRUE,0)
  + _xlfn.IFS(AQ156="No Issues Found",5, AQ156="Concern Identified",-5, AQ156="Severe Contradiction",-15, TRUE,0)
  + _xlfn.IFS(BC156="Reasonable Assurance",5, BC156="Limited Assurance",3, TRUE,0)
  - IF(AND(Z156="Yes", AI156="No"), 10, 0)
  - IF(AND(Z156="Yes", AM156="No"), 10, 0)
))</f>
        <v/>
      </c>
      <c r="AS156" s="5" t="n"/>
      <c r="AT156" s="5" t="n"/>
      <c r="AU156" s="5" t="n"/>
      <c r="AV156" s="5" t="n"/>
      <c r="AW156" s="5" t="n"/>
      <c r="AX156" s="5" t="n"/>
      <c r="AY156" s="5" t="n"/>
      <c r="AZ156" s="5" t="n"/>
      <c r="BA156" s="5" t="n"/>
      <c r="BB156" s="5" t="n"/>
      <c r="BC156" s="5" t="n"/>
      <c r="BD156" s="5" t="n"/>
      <c r="BE156" s="39">
        <f t="array" ref="BE156">MIN(100, MAX(0,
  IFERROR(_xlfn.XLOOKUP(AT156,'Lookup Tables'!$D$2:$D$6,'Lookup Tables'!$E$2:$E$6,0),0)
  + IFERROR(_xlfn.XLOOKUP(AV156,'Lookup Tables'!$G$2:$G$5,'Lookup Tables'!$H$2:$H$5,0),0)
  + IFERROR(_xlfn.XLOOKUP(AW156,'Lookup Tables'!$J$2:$J$5,'Lookup Tables'!$K$2:$K$5,0),0)
  + _xlfn.IFS(AX156="No Issues",10, AX156="Complaint Filed",3, AX156="Confirmed Breach",-15, TRUE,0)
  + IFERROR(_xlfn.XLOOKUP(AY156,'Lookup Tables'!$M$2:$M$6,'Lookup Tables'!$N$2:$N$6,0),0)
  + IFERROR(_xlfn.XLOOKUP(AZ156,'Lookup Tables'!$P$2:$P$6,'Lookup Tables'!$Q$2:$Q$6,0),0)
  + _xlfn.IFS(BA156="Formal Board Committee",5, BA156="Board Oversight Mentioned",2, TRUE,0)
  + _xlfn.IFS(BB156="Yes — Quantified Targets",5, BB156="Yes — Discretionary Only",2, TRUE,0)
  + _xlfn.IFS(BC156="Reasonable Assurance",5, BC156="Limited Assurance",3, BC156="Management Review Only",1, TRUE,0)
))</f>
        <v/>
      </c>
      <c r="BF156" s="5" t="n"/>
      <c r="BG156" s="5" t="n"/>
      <c r="BH156" s="5" t="n"/>
      <c r="BI156" s="5" t="n"/>
      <c r="BJ156" s="5" t="n"/>
      <c r="BK156" s="5" t="n"/>
      <c r="BL156" s="5" t="n"/>
      <c r="BM156" s="5" t="n"/>
      <c r="BN156" s="5" t="n"/>
      <c r="BO156" s="5" t="n"/>
      <c r="BP156" s="5" t="n"/>
      <c r="BQ156" s="5" t="n"/>
      <c r="BR156" s="5" t="n"/>
      <c r="BS156" s="41">
        <f t="array" ref="BS156">MIN(100, MAX(0,
  IFERROR(_xlfn.XLOOKUP(BG156,'Lookup Tables'!$A$11:$A$16,'Lookup Tables'!$B$11:$B$16,0),0)
  + IFERROR(_xlfn.XLOOKUP(BR156,'Lookup Tables'!$M$11:$M$14,'Lookup Tables'!$N$11:$N$14,0),0)
  + IFERROR(_xlfn.XLOOKUP(BQ156,'Lookup Tables'!$J$11:$J$15,'Lookup Tables'!$K$11:$K$15,0),0)
  + IFERROR(_xlfn.XLOOKUP(BH156,'Lookup Tables'!$D$11:$D$15,'Lookup Tables'!$E$11:$E$15,0),0)
  + IFERROR(_xlfn.XLOOKUP(BJ156,'Lookup Tables'!$G$11:$G$16,'Lookup Tables'!$H$11:$H$16,0),0)
  + IFERROR(_xlfn.XLOOKUP(BN156,'Lookup Tables'!$P$11:$P$15,'Lookup Tables'!$Q$11:$Q$15,0),0)
  + _xlfn.IFS(BM156="No Evidence",10, BM156="Unknown",3, BM156="Likely",0, BM156="Confirmed",-10, TRUE,3)
  + IFERROR(_xlfn.XLOOKUP(BP156,'Lookup Tables'!$J$21:$J$24,'Lookup Tables'!$K$21:$K$24,0),0)
))</f>
        <v/>
      </c>
      <c r="BT156" s="5" t="n"/>
      <c r="BU156" s="5" t="n"/>
      <c r="BV156" s="5" t="n"/>
      <c r="BW156" s="5" t="n"/>
      <c r="BX156" s="5" t="n"/>
      <c r="BY156" s="5" t="n"/>
      <c r="BZ156" s="5" t="n"/>
      <c r="CA156" s="5" t="n"/>
      <c r="CB156" s="5" t="n"/>
      <c r="CC156" s="5" t="n"/>
      <c r="CD156" s="5" t="n"/>
      <c r="CE156" s="43">
        <f t="array" ref="CE156">MIN(100, MAX(0,
  IF(ISNUMBER(BV156)*AND(BV156&gt;0), 10, 0)
  + _xlfn.IFS(BY156="Independently Verified",25, BY156="Yes",15, TRUE,0)
  + IFERROR(_xlfn.XLOOKUP(BZ156,'Lookup Tables'!$A$21:$A$24,'Lookup Tables'!$B$21:$B$24,0),0)
  + IFERROR(_xlfn.XLOOKUP(CA156,'Lookup Tables'!$D$21:$D$24,'Lookup Tables'!$E$21:$E$24,0),0)
  + _xlfn.IFS(ISNUMBER(CB156)*AND(CB156&gt;=11),15, ISNUMBER(CB156)*AND(CB156&gt;=6),10, ISNUMBER(CB156)*AND(CB156&gt;=1),5, TRUE,0)
  + IFERROR(_xlfn.XLOOKUP(CC156,'Lookup Tables'!$G$21:$G$25,'Lookup Tables'!$H$21:$H$25,0),0)
  - IF(ISNUMBER(BW156)*AND(ISNUMBER(BV156))*AND(BW156&gt;BV156), 20, 0)
  - IF(AND(BY156="Yes", ISNUMBER(BW156), BW156&gt;60), 10, 0)
))</f>
        <v/>
      </c>
      <c r="CF156" s="5" t="n"/>
      <c r="CG156" s="5" t="n"/>
      <c r="CH156" s="5" t="n"/>
      <c r="CI156" s="5" t="n"/>
      <c r="CJ156" s="5" t="n"/>
      <c r="CK156" s="5" t="n"/>
      <c r="CL156" s="5" t="n"/>
      <c r="CM156" s="5" t="n"/>
      <c r="CN156" s="5" t="n"/>
      <c r="CO156" s="5" t="n"/>
      <c r="CP156" s="5" t="n"/>
      <c r="CQ156" s="5" t="n"/>
      <c r="CR156" s="5">
        <f>COUNTIF(CJ156:CQ156,"FAIL")</f>
        <v/>
      </c>
      <c r="CS156" s="5">
        <f>COUNTIF(CJ156:CQ156,"PARTIAL")</f>
        <v/>
      </c>
      <c r="CT156" s="5">
        <f>COUNTIF(CJ156:CQ156,"MISSING")</f>
        <v/>
      </c>
      <c r="CU156" s="5">
        <f>MIN(100,
  CR156*15
  + CS156*6
  + CT156*3
  + IFERROR(_xlfn.XLOOKUP(CW156,'Lookup Tables'!$M$21:$M$25,'Lookup Tables'!$N$21:$N$25,0),0)
)</f>
        <v/>
      </c>
      <c r="CV156" s="5">
        <f>IFERROR(
CHOOSE(
MATCH("FAIL",CJ156:CQ156,0),
"1-Specificity","2-Metric","3-Baseline","4-Target",
"5-Time Horizon","6-Scope","7-Verification","8-Consistency"
),
IFERROR(
CHOOSE(
MATCH("PARTIAL",CJ156:CQ156,0),
"1-Specificity","2-Metric","3-Baseline","4-Target",
"5-Time Horizon","6-Scope","7-Verification","8-Consistency"
),
"No failures"
)
)</f>
        <v/>
      </c>
      <c r="CW156" s="5" t="n"/>
      <c r="CX156" s="5" t="n"/>
      <c r="CY156" s="5" t="n"/>
      <c r="CZ156" s="5" t="n"/>
      <c r="DA156" s="5">
        <f>IF(OR(CU156&gt;=50,CW156="Material",CW156="Severe",AS156="Material",AS156="Severe",BF156="Material",BF156="Severe — Exclusion Trigger",AND(ISNUMBER(BS156),BS156&lt;30)),"Yes","No")</f>
        <v/>
      </c>
      <c r="DB156" s="5">
        <f>IF(OR(CR156&gt;=6,AW156="Confirmed Violation",AX156="Confirmed Breach"),"Yes — Automatic",IF(CW156="Severe","Yes — Requires Captain Confirmation","No"))</f>
        <v/>
      </c>
      <c r="DC156" s="5" t="n"/>
      <c r="DD156" s="5" t="n"/>
      <c r="DE156" s="5" t="n"/>
      <c r="DF156" s="5" t="n"/>
      <c r="DG156" s="5" t="n"/>
      <c r="DH156" s="5" t="n"/>
      <c r="DI156" s="5" t="n"/>
      <c r="DJ156" s="5" t="n"/>
      <c r="DK156" s="5" t="n"/>
      <c r="DL156" s="5">
        <f>IF(OR(IFERROR(VALUE(LEFT(DF156,1)),99)&lt;=2,IFERROR(VALUE(LEFT(DG156,1)),99)&lt;=2),"Flagged","Clear")</f>
        <v/>
      </c>
      <c r="DM156" s="5">
        <f>IF(OR(DA156="Yes",DB156&lt;&gt;"No",DH156="Unverified",DL156="Flagged"),"Yes","No")</f>
        <v/>
      </c>
      <c r="DN156" s="5">
        <f t="array" ref="DN156">MIN(100,
  IF(ISNUMBER(V156), _xlfn.IFS(V156&gt;=3,25, V156=2,15, V156=1,5, TRUE,0), 0)
  + IFERROR(_xlfn.IFS(VALUE(LEFT(DF156,1))=5,25, VALUE(LEFT(DF156,1))=4,20, VALUE(LEFT(DF156,1))=3,15, VALUE(LEFT(DF156,1))=2,8, TRUE,0), 15)
  + IFERROR(_xlfn.IFS(VALUE(LEFT(DG156,1))=5,25, VALUE(LEFT(DG156,1))=4,20, VALUE(LEFT(DG156,1))=3,15, VALUE(LEFT(DG156,1))=2,8, TRUE,0), 15)
  + _xlfn.IFS(DH156="Fully Verified",25, DH156="Partially Verified",12, TRUE,0)
)</f>
        <v/>
      </c>
      <c r="DO156" s="5">
        <f t="array" ref="DO156">_xlfn.IFS(
  ISBLANK(AR156), "Insufficient Evidence",
  AND(AR156&gt;=65, AJ156="Approved"), "Strong",
  AR156&gt;=65, "Adequate",
  AR156&gt;=40, "Adequate",
  AR156&gt;=20, "Weak",
  TRUE, "Insufficient Evidence"
)</f>
        <v/>
      </c>
      <c r="DP156" s="5">
        <f t="array" ref="DP156">_xlfn.IFS(
  ISBLANK(BS156), "Insufficient Evidence",
  BS156&gt;=65, "Strong",
  BS156&gt;=40, "Adequate",
  BS156&gt;=20, "Weak",
  TRUE, "Insufficient Evidence"
)</f>
        <v/>
      </c>
      <c r="DQ156" s="5">
        <f t="array" ref="DQ156">_xlfn.IFS(
  ISBLANK(BE156), "Insufficient Evidence",
  OR(AW156="Confirmed Violation", AX156="Confirmed Breach"), "Severe — Hard Trigger",
  BE156&gt;=65, "Strong",
  BE156&gt;=40, "Adequate",
  BE156&gt;=20, "Weak",
  TRUE, "Insufficient Evidence"
)</f>
        <v/>
      </c>
      <c r="DR156" s="5">
        <f t="array" ref="DR156">_xlfn.IFS(
  ISBLANK(CU156), "Insufficient Evidence",
  CU156&lt;=20, "Low Risk",
  CU156&lt;=50, "Moderate Risk",
  CU156&lt;=75, "High Risk",
  TRUE, "Very High Risk"
)</f>
        <v/>
      </c>
      <c r="DS156" s="5">
        <f t="array" ref="DS156">_xlfn.IFS(
  ISBLANK(CE156), "Insufficient Evidence",
  AND(ISNUMBER(BW156),ISNUMBER(BV156),BW156&gt;BV156), "Overclaiming Risk",
  CE156&gt;=65, "Strong",
  CE156&gt;=40, "Adequate",
  TRUE, "Weak"
)</f>
        <v/>
      </c>
      <c r="DT156" s="5">
        <f>IF(DB156="Yes — Automatic",0,ROUND((IF(ISNUMBER(AR156),AR156,0)*0.3+IF(ISNUMBER(BS156),BS156,0)*0.2+IF(ISNUMBER(BE156),BE156,0)*0.2+IF(ISNUMBER(CE156),CE156,0)*0.15+(100-IF(ISNUMBER(CU156),CU156,50))*0.15)*IF(DN156&gt;=75,1,IF(DN156&gt;=50,0.9,IF(DN156&gt;=25,0.75,0.6))),1))</f>
        <v/>
      </c>
      <c r="DU156" s="5">
        <f t="array" ref="DU156">_xlfn.IFS(
  DV156="Upgraded to Clear", "Clear",
  DV156="Downgraded to Watchlist", "Watchlist",
  DV156="Downgraded to Exclusion", "Exclusion Risk",
  DB156="Yes — Automatic", "Exclusion Risk",
  OR(AW156="Confirmed Violation", AX156="Confirmed Breach"), "Exclusion Risk",
  OR(V156=0, ISBLANK(V156), DN156&lt;20), "Insufficient Evidence",
  AND(DT156&gt;=65, DA156="No", DB156="No"), "Clear",
  OR(DT156&gt;=40, DA156="Yes"), "Watchlist",
  TRUE, "Exclusion Risk"
)</f>
        <v/>
      </c>
      <c r="DV156" s="5" t="n"/>
      <c r="DW156" s="5">
        <f t="array" ref="DW156">_xlfn.IFS(
  DU156="Exclusion Risk", "Exclude — Hard Trigger",
  DU156="Insufficient Evidence", "Watchlist — Further Evidence Needed",
  DU156="Watchlist", "Watchlist — Further Evidence Needed",
  AND(DU156="Clear", DT156&gt;=80), "Include — No Conditions",
  DU156="Clear", "Include — Monitor",
  TRUE, "Watchlist — Further Evidence Needed"
)</f>
        <v/>
      </c>
      <c r="DX156" s="5" t="n"/>
      <c r="DY156" s="5" t="n"/>
      <c r="DZ156" s="5" t="n"/>
      <c r="EA156" s="5" t="n"/>
      <c r="EB156" s="5">
        <f>IF(OR(V156=0, ISBLANK(V156)), "MISSING — No sources reviewed", "")</f>
        <v/>
      </c>
      <c r="EC156" s="5">
        <f>IF(AND(NOT(ISBLANK(DC156)), ISBLANK(DE156)), "PAGE REF MISSING", "")</f>
        <v/>
      </c>
    </row>
    <row r="157" ht="18" customHeight="1" s="60">
      <c r="A157" s="5" t="inlineStr">
        <is>
          <t>AddTech AB</t>
        </is>
      </c>
      <c r="B157" s="5" t="inlineStr">
        <is>
          <t>AZZ2</t>
        </is>
      </c>
      <c r="C157" s="5">
        <f>IF(ISBLANK('Universe Tracker'!D132),"",'Universe Tracker'!D132)</f>
        <v/>
      </c>
      <c r="D157" s="5" t="n"/>
      <c r="E157" s="5" t="n"/>
      <c r="F157" s="5">
        <f>IF(ISBLANK('Universe Tracker'!F132),"",'Universe Tracker'!F132)</f>
        <v/>
      </c>
      <c r="G157" s="5">
        <f>IF(ISBLANK('Universe Tracker'!G132),"",'Universe Tracker'!G132)</f>
        <v/>
      </c>
      <c r="H157" s="5" t="n"/>
      <c r="I157" s="5" t="n"/>
      <c r="J157" s="5">
        <f>IF(ISBLANK(B157),"",B157&amp;"_"&amp;C157)</f>
        <v/>
      </c>
      <c r="K157" s="5" t="n"/>
      <c r="L157" s="5" t="n"/>
      <c r="M157" s="5" t="n"/>
      <c r="N157" s="5" t="n"/>
      <c r="O157" s="5" t="n"/>
      <c r="P157" s="5" t="n"/>
      <c r="Q157" s="5" t="n"/>
      <c r="R157" s="5" t="n"/>
      <c r="S157" s="5" t="n"/>
      <c r="T157" s="5" t="n"/>
      <c r="U157" s="5" t="n"/>
      <c r="V157" s="5" t="n"/>
      <c r="W157" s="5" t="n"/>
      <c r="X157" s="5" t="n"/>
      <c r="Y157" s="5">
        <f>IF(AND(V157&gt;=2,K157="Yes",L157="Yes"),"Sufficient",IF(AND(V157&gt;=1,OR(K157="Yes",L157="Yes")),"Thin","Insufficient"))</f>
        <v/>
      </c>
      <c r="Z157" s="5" t="n"/>
      <c r="AA157" s="5" t="n"/>
      <c r="AB157" s="5" t="n"/>
      <c r="AC157" s="5" t="n"/>
      <c r="AD157" s="5" t="n"/>
      <c r="AE157" s="5" t="n"/>
      <c r="AF157" s="5" t="n"/>
      <c r="AG157" s="5" t="n"/>
      <c r="AH157" s="5" t="n"/>
      <c r="AI157" s="5" t="n"/>
      <c r="AJ157" s="5" t="n"/>
      <c r="AK157" s="5" t="n"/>
      <c r="AL157" s="5" t="n"/>
      <c r="AM157" s="5" t="n"/>
      <c r="AN157" s="5" t="n"/>
      <c r="AO157" s="5" t="n"/>
      <c r="AP157" s="5" t="n"/>
      <c r="AQ157" s="5" t="n"/>
      <c r="AR157" s="40">
        <f t="array" ref="AR157">MIN(100, MAX(0,
  IFERROR(_xlfn.XLOOKUP(AJ157,'Lookup Tables'!$A$2:$A$7,'Lookup Tables'!$B$2:$B$7,0),0)
  + IF(Z157="Yes", IF(IFERROR(_xlfn.XLOOKUP(AJ157,'Lookup Tables'!$A$2:$A$7,'Lookup Tables'!$B$2:$B$7,0),0)&lt;20, 5, 0), 0)
  + _xlfn.IFS(AB157="Yes", IF(ISNUMBER(AC157)*AND(AC157&lt;=2030),15,10), AB157="Long-term Only", 5, AB157="No", 0, TRUE, 0)
  + _xlfn.IFS(AF157="Full",10, AF157="Partial",5, AF157="Scope 2 Only",3, TRUE,0)
  + _xlfn.IFS(AG157="Yes", IF(ISNUMBER(AH157)*AND(AH157&gt;=5),10,6), AG157="Partial",4, TRUE,0)
  + _xlfn.IFS(AI157="Yes",5, AI157="Partial (material categories only)",3, TRUE,0)
  + _xlfn.IFS(AL157="Yes — Detailed",10, AL157="Yes — High Level",5, TRUE,0)
  + _xlfn.IFS(AM157="Yes — Quantified",15, AM157="Yes — Directional Only",7, TRUE,0)
  + _xlfn.IFS(AP157="Formal",5, AP157="Referenced",2, TRUE,0)
  + _xlfn.IFS(AQ157="No Issues Found",5, AQ157="Concern Identified",-5, AQ157="Severe Contradiction",-15, TRUE,0)
  + _xlfn.IFS(BC157="Reasonable Assurance",5, BC157="Limited Assurance",3, TRUE,0)
  - IF(AND(Z157="Yes", AI157="No"), 10, 0)
  - IF(AND(Z157="Yes", AM157="No"), 10, 0)
))</f>
        <v/>
      </c>
      <c r="AS157" s="5" t="n"/>
      <c r="AT157" s="5" t="n"/>
      <c r="AU157" s="5" t="n"/>
      <c r="AV157" s="5" t="n"/>
      <c r="AW157" s="5" t="n"/>
      <c r="AX157" s="5" t="n"/>
      <c r="AY157" s="5" t="n"/>
      <c r="AZ157" s="5" t="n"/>
      <c r="BA157" s="5" t="n"/>
      <c r="BB157" s="5" t="n"/>
      <c r="BC157" s="5" t="n"/>
      <c r="BD157" s="5" t="n"/>
      <c r="BE157" s="39">
        <f t="array" ref="BE157">MIN(100, MAX(0,
  IFERROR(_xlfn.XLOOKUP(AT157,'Lookup Tables'!$D$2:$D$6,'Lookup Tables'!$E$2:$E$6,0),0)
  + IFERROR(_xlfn.XLOOKUP(AV157,'Lookup Tables'!$G$2:$G$5,'Lookup Tables'!$H$2:$H$5,0),0)
  + IFERROR(_xlfn.XLOOKUP(AW157,'Lookup Tables'!$J$2:$J$5,'Lookup Tables'!$K$2:$K$5,0),0)
  + _xlfn.IFS(AX157="No Issues",10, AX157="Complaint Filed",3, AX157="Confirmed Breach",-15, TRUE,0)
  + IFERROR(_xlfn.XLOOKUP(AY157,'Lookup Tables'!$M$2:$M$6,'Lookup Tables'!$N$2:$N$6,0),0)
  + IFERROR(_xlfn.XLOOKUP(AZ157,'Lookup Tables'!$P$2:$P$6,'Lookup Tables'!$Q$2:$Q$6,0),0)
  + _xlfn.IFS(BA157="Formal Board Committee",5, BA157="Board Oversight Mentioned",2, TRUE,0)
  + _xlfn.IFS(BB157="Yes — Quantified Targets",5, BB157="Yes — Discretionary Only",2, TRUE,0)
  + _xlfn.IFS(BC157="Reasonable Assurance",5, BC157="Limited Assurance",3, BC157="Management Review Only",1, TRUE,0)
))</f>
        <v/>
      </c>
      <c r="BF157" s="5" t="n"/>
      <c r="BG157" s="5" t="n"/>
      <c r="BH157" s="5" t="n"/>
      <c r="BI157" s="5" t="n"/>
      <c r="BJ157" s="5" t="n"/>
      <c r="BK157" s="5" t="n"/>
      <c r="BL157" s="5" t="n"/>
      <c r="BM157" s="5" t="n"/>
      <c r="BN157" s="5" t="n"/>
      <c r="BO157" s="5" t="n"/>
      <c r="BP157" s="5" t="n"/>
      <c r="BQ157" s="5" t="n"/>
      <c r="BR157" s="5" t="n"/>
      <c r="BS157" s="41">
        <f t="array" ref="BS157">MIN(100, MAX(0,
  IFERROR(_xlfn.XLOOKUP(BG157,'Lookup Tables'!$A$11:$A$16,'Lookup Tables'!$B$11:$B$16,0),0)
  + IFERROR(_xlfn.XLOOKUP(BR157,'Lookup Tables'!$M$11:$M$14,'Lookup Tables'!$N$11:$N$14,0),0)
  + IFERROR(_xlfn.XLOOKUP(BQ157,'Lookup Tables'!$J$11:$J$15,'Lookup Tables'!$K$11:$K$15,0),0)
  + IFERROR(_xlfn.XLOOKUP(BH157,'Lookup Tables'!$D$11:$D$15,'Lookup Tables'!$E$11:$E$15,0),0)
  + IFERROR(_xlfn.XLOOKUP(BJ157,'Lookup Tables'!$G$11:$G$16,'Lookup Tables'!$H$11:$H$16,0),0)
  + IFERROR(_xlfn.XLOOKUP(BN157,'Lookup Tables'!$P$11:$P$15,'Lookup Tables'!$Q$11:$Q$15,0),0)
  + _xlfn.IFS(BM157="No Evidence",10, BM157="Unknown",3, BM157="Likely",0, BM157="Confirmed",-10, TRUE,3)
  + IFERROR(_xlfn.XLOOKUP(BP157,'Lookup Tables'!$J$21:$J$24,'Lookup Tables'!$K$21:$K$24,0),0)
))</f>
        <v/>
      </c>
      <c r="BT157" s="5" t="n"/>
      <c r="BU157" s="5" t="n"/>
      <c r="BV157" s="5" t="n"/>
      <c r="BW157" s="5" t="n"/>
      <c r="BX157" s="5" t="n"/>
      <c r="BY157" s="5" t="n"/>
      <c r="BZ157" s="5" t="n"/>
      <c r="CA157" s="5" t="n"/>
      <c r="CB157" s="5" t="n"/>
      <c r="CC157" s="5" t="n"/>
      <c r="CD157" s="5" t="n"/>
      <c r="CE157" s="43">
        <f t="array" ref="CE157">MIN(100, MAX(0,
  IF(ISNUMBER(BV157)*AND(BV157&gt;0), 10, 0)
  + _xlfn.IFS(BY157="Independently Verified",25, BY157="Yes",15, TRUE,0)
  + IFERROR(_xlfn.XLOOKUP(BZ157,'Lookup Tables'!$A$21:$A$24,'Lookup Tables'!$B$21:$B$24,0),0)
  + IFERROR(_xlfn.XLOOKUP(CA157,'Lookup Tables'!$D$21:$D$24,'Lookup Tables'!$E$21:$E$24,0),0)
  + _xlfn.IFS(ISNUMBER(CB157)*AND(CB157&gt;=11),15, ISNUMBER(CB157)*AND(CB157&gt;=6),10, ISNUMBER(CB157)*AND(CB157&gt;=1),5, TRUE,0)
  + IFERROR(_xlfn.XLOOKUP(CC157,'Lookup Tables'!$G$21:$G$25,'Lookup Tables'!$H$21:$H$25,0),0)
  - IF(ISNUMBER(BW157)*AND(ISNUMBER(BV157))*AND(BW157&gt;BV157), 20, 0)
  - IF(AND(BY157="Yes", ISNUMBER(BW157), BW157&gt;60), 10, 0)
))</f>
        <v/>
      </c>
      <c r="CF157" s="5" t="n"/>
      <c r="CG157" s="5" t="n"/>
      <c r="CH157" s="5" t="n"/>
      <c r="CI157" s="5" t="n"/>
      <c r="CJ157" s="5" t="n"/>
      <c r="CK157" s="5" t="n"/>
      <c r="CL157" s="5" t="n"/>
      <c r="CM157" s="5" t="n"/>
      <c r="CN157" s="5" t="n"/>
      <c r="CO157" s="5" t="n"/>
      <c r="CP157" s="5" t="n"/>
      <c r="CQ157" s="5" t="n"/>
      <c r="CR157" s="5">
        <f>COUNTIF(CJ157:CQ157,"FAIL")</f>
        <v/>
      </c>
      <c r="CS157" s="5">
        <f>COUNTIF(CJ157:CQ157,"PARTIAL")</f>
        <v/>
      </c>
      <c r="CT157" s="5">
        <f>COUNTIF(CJ157:CQ157,"MISSING")</f>
        <v/>
      </c>
      <c r="CU157" s="5">
        <f>MIN(100,
  CR157*15
  + CS157*6
  + CT157*3
  + IFERROR(_xlfn.XLOOKUP(CW157,'Lookup Tables'!$M$21:$M$25,'Lookup Tables'!$N$21:$N$25,0),0)
)</f>
        <v/>
      </c>
      <c r="CV157" s="5">
        <f>IFERROR(
CHOOSE(
MATCH("FAIL",CJ157:CQ157,0),
"1-Specificity","2-Metric","3-Baseline","4-Target",
"5-Time Horizon","6-Scope","7-Verification","8-Consistency"
),
IFERROR(
CHOOSE(
MATCH("PARTIAL",CJ157:CQ157,0),
"1-Specificity","2-Metric","3-Baseline","4-Target",
"5-Time Horizon","6-Scope","7-Verification","8-Consistency"
),
"No failures"
)
)</f>
        <v/>
      </c>
      <c r="CW157" s="5" t="n"/>
      <c r="CX157" s="5" t="n"/>
      <c r="CY157" s="5" t="n"/>
      <c r="CZ157" s="5" t="n"/>
      <c r="DA157" s="5">
        <f>IF(OR(CU157&gt;=50,CW157="Material",CW157="Severe",AS157="Material",AS157="Severe",BF157="Material",BF157="Severe — Exclusion Trigger",AND(ISNUMBER(BS157),BS157&lt;30)),"Yes","No")</f>
        <v/>
      </c>
      <c r="DB157" s="5">
        <f>IF(OR(CR157&gt;=6,AW157="Confirmed Violation",AX157="Confirmed Breach"),"Yes — Automatic",IF(CW157="Severe","Yes — Requires Captain Confirmation","No"))</f>
        <v/>
      </c>
      <c r="DC157" s="5" t="n"/>
      <c r="DD157" s="5" t="n"/>
      <c r="DE157" s="5" t="n"/>
      <c r="DF157" s="5" t="n"/>
      <c r="DG157" s="5" t="n"/>
      <c r="DH157" s="5" t="n"/>
      <c r="DI157" s="5" t="n"/>
      <c r="DJ157" s="5" t="n"/>
      <c r="DK157" s="5" t="n"/>
      <c r="DL157" s="5">
        <f>IF(OR(IFERROR(VALUE(LEFT(DF157,1)),99)&lt;=2,IFERROR(VALUE(LEFT(DG157,1)),99)&lt;=2),"Flagged","Clear")</f>
        <v/>
      </c>
      <c r="DM157" s="5">
        <f>IF(OR(DA157="Yes",DB157&lt;&gt;"No",DH157="Unverified",DL157="Flagged"),"Yes","No")</f>
        <v/>
      </c>
      <c r="DN157" s="5">
        <f t="array" ref="DN157">MIN(100,
  IF(ISNUMBER(V157), _xlfn.IFS(V157&gt;=3,25, V157=2,15, V157=1,5, TRUE,0), 0)
  + IFERROR(_xlfn.IFS(VALUE(LEFT(DF157,1))=5,25, VALUE(LEFT(DF157,1))=4,20, VALUE(LEFT(DF157,1))=3,15, VALUE(LEFT(DF157,1))=2,8, TRUE,0), 15)
  + IFERROR(_xlfn.IFS(VALUE(LEFT(DG157,1))=5,25, VALUE(LEFT(DG157,1))=4,20, VALUE(LEFT(DG157,1))=3,15, VALUE(LEFT(DG157,1))=2,8, TRUE,0), 15)
  + _xlfn.IFS(DH157="Fully Verified",25, DH157="Partially Verified",12, TRUE,0)
)</f>
        <v/>
      </c>
      <c r="DO157" s="5">
        <f t="array" ref="DO157">_xlfn.IFS(
  ISBLANK(AR157), "Insufficient Evidence",
  AND(AR157&gt;=65, AJ157="Approved"), "Strong",
  AR157&gt;=65, "Adequate",
  AR157&gt;=40, "Adequate",
  AR157&gt;=20, "Weak",
  TRUE, "Insufficient Evidence"
)</f>
        <v/>
      </c>
      <c r="DP157" s="5">
        <f t="array" ref="DP157">_xlfn.IFS(
  ISBLANK(BS157), "Insufficient Evidence",
  BS157&gt;=65, "Strong",
  BS157&gt;=40, "Adequate",
  BS157&gt;=20, "Weak",
  TRUE, "Insufficient Evidence"
)</f>
        <v/>
      </c>
      <c r="DQ157" s="5">
        <f t="array" ref="DQ157">_xlfn.IFS(
  ISBLANK(BE157), "Insufficient Evidence",
  OR(AW157="Confirmed Violation", AX157="Confirmed Breach"), "Severe — Hard Trigger",
  BE157&gt;=65, "Strong",
  BE157&gt;=40, "Adequate",
  BE157&gt;=20, "Weak",
  TRUE, "Insufficient Evidence"
)</f>
        <v/>
      </c>
      <c r="DR157" s="5">
        <f t="array" ref="DR157">_xlfn.IFS(
  ISBLANK(CU157), "Insufficient Evidence",
  CU157&lt;=20, "Low Risk",
  CU157&lt;=50, "Moderate Risk",
  CU157&lt;=75, "High Risk",
  TRUE, "Very High Risk"
)</f>
        <v/>
      </c>
      <c r="DS157" s="5">
        <f t="array" ref="DS157">_xlfn.IFS(
  ISBLANK(CE157), "Insufficient Evidence",
  AND(ISNUMBER(BW157),ISNUMBER(BV157),BW157&gt;BV157), "Overclaiming Risk",
  CE157&gt;=65, "Strong",
  CE157&gt;=40, "Adequate",
  TRUE, "Weak"
)</f>
        <v/>
      </c>
      <c r="DT157" s="5">
        <f>IF(DB157="Yes — Automatic",0,ROUND((IF(ISNUMBER(AR157),AR157,0)*0.3+IF(ISNUMBER(BS157),BS157,0)*0.2+IF(ISNUMBER(BE157),BE157,0)*0.2+IF(ISNUMBER(CE157),CE157,0)*0.15+(100-IF(ISNUMBER(CU157),CU157,50))*0.15)*IF(DN157&gt;=75,1,IF(DN157&gt;=50,0.9,IF(DN157&gt;=25,0.75,0.6))),1))</f>
        <v/>
      </c>
      <c r="DU157" s="5">
        <f t="array" ref="DU157">_xlfn.IFS(
  DV157="Upgraded to Clear", "Clear",
  DV157="Downgraded to Watchlist", "Watchlist",
  DV157="Downgraded to Exclusion", "Exclusion Risk",
  DB157="Yes — Automatic", "Exclusion Risk",
  OR(AW157="Confirmed Violation", AX157="Confirmed Breach"), "Exclusion Risk",
  OR(V157=0, ISBLANK(V157), DN157&lt;20), "Insufficient Evidence",
  AND(DT157&gt;=65, DA157="No", DB157="No"), "Clear",
  OR(DT157&gt;=40, DA157="Yes"), "Watchlist",
  TRUE, "Exclusion Risk"
)</f>
        <v/>
      </c>
      <c r="DV157" s="5" t="n"/>
      <c r="DW157" s="5">
        <f t="array" ref="DW157">_xlfn.IFS(
  DU157="Exclusion Risk", "Exclude — Hard Trigger",
  DU157="Insufficient Evidence", "Watchlist — Further Evidence Needed",
  DU157="Watchlist", "Watchlist — Further Evidence Needed",
  AND(DU157="Clear", DT157&gt;=80), "Include — No Conditions",
  DU157="Clear", "Include — Monitor",
  TRUE, "Watchlist — Further Evidence Needed"
)</f>
        <v/>
      </c>
      <c r="DX157" s="5" t="n"/>
      <c r="DY157" s="5" t="n"/>
      <c r="DZ157" s="5" t="n"/>
      <c r="EA157" s="5" t="n"/>
      <c r="EB157" s="5">
        <f>IF(OR(V157=0, ISBLANK(V157)), "MISSING — No sources reviewed", "")</f>
        <v/>
      </c>
      <c r="EC157" s="5">
        <f>IF(AND(NOT(ISBLANK(DC157)), ISBLANK(DE157)), "PAGE REF MISSING", "")</f>
        <v/>
      </c>
    </row>
    <row r="158" ht="18" customHeight="1" s="60">
      <c r="A158" s="5" t="inlineStr">
        <is>
          <t>SPIE SA</t>
        </is>
      </c>
      <c r="B158" s="5" t="inlineStr">
        <is>
          <t>4SP</t>
        </is>
      </c>
      <c r="C158" s="5">
        <f>IF(ISBLANK('Universe Tracker'!D133),"",'Universe Tracker'!D133)</f>
        <v/>
      </c>
      <c r="D158" s="5" t="n"/>
      <c r="E158" s="5" t="n"/>
      <c r="F158" s="5">
        <f>IF(ISBLANK('Universe Tracker'!F133),"",'Universe Tracker'!F133)</f>
        <v/>
      </c>
      <c r="G158" s="5">
        <f>IF(ISBLANK('Universe Tracker'!G133),"",'Universe Tracker'!G133)</f>
        <v/>
      </c>
      <c r="H158" s="5" t="n"/>
      <c r="I158" s="5" t="n"/>
      <c r="J158" s="5">
        <f>IF(ISBLANK(B158),"",B158&amp;"_"&amp;C158)</f>
        <v/>
      </c>
      <c r="K158" s="5" t="n"/>
      <c r="L158" s="5" t="n"/>
      <c r="M158" s="5" t="n"/>
      <c r="N158" s="5" t="n"/>
      <c r="O158" s="5" t="n"/>
      <c r="P158" s="5" t="n"/>
      <c r="Q158" s="5" t="n"/>
      <c r="R158" s="5" t="n"/>
      <c r="S158" s="5" t="n"/>
      <c r="T158" s="5" t="n"/>
      <c r="U158" s="5" t="n"/>
      <c r="V158" s="5" t="n"/>
      <c r="W158" s="5" t="n"/>
      <c r="X158" s="5" t="n"/>
      <c r="Y158" s="5">
        <f>IF(AND(V158&gt;=2,K158="Yes",L158="Yes"),"Sufficient",IF(AND(V158&gt;=1,OR(K158="Yes",L158="Yes")),"Thin","Insufficient"))</f>
        <v/>
      </c>
      <c r="Z158" s="5" t="n"/>
      <c r="AA158" s="5" t="n"/>
      <c r="AB158" s="5" t="n"/>
      <c r="AC158" s="5" t="n"/>
      <c r="AD158" s="5" t="n"/>
      <c r="AE158" s="5" t="n"/>
      <c r="AF158" s="5" t="n"/>
      <c r="AG158" s="5" t="n"/>
      <c r="AH158" s="5" t="n"/>
      <c r="AI158" s="5" t="n"/>
      <c r="AJ158" s="5" t="n"/>
      <c r="AK158" s="5" t="n"/>
      <c r="AL158" s="5" t="n"/>
      <c r="AM158" s="5" t="n"/>
      <c r="AN158" s="5" t="n"/>
      <c r="AO158" s="5" t="n"/>
      <c r="AP158" s="5" t="n"/>
      <c r="AQ158" s="5" t="n"/>
      <c r="AR158" s="40">
        <f t="array" ref="AR158">MIN(100, MAX(0,
  IFERROR(_xlfn.XLOOKUP(AJ158,'Lookup Tables'!$A$2:$A$7,'Lookup Tables'!$B$2:$B$7,0),0)
  + IF(Z158="Yes", IF(IFERROR(_xlfn.XLOOKUP(AJ158,'Lookup Tables'!$A$2:$A$7,'Lookup Tables'!$B$2:$B$7,0),0)&lt;20, 5, 0), 0)
  + _xlfn.IFS(AB158="Yes", IF(ISNUMBER(AC158)*AND(AC158&lt;=2030),15,10), AB158="Long-term Only", 5, AB158="No", 0, TRUE, 0)
  + _xlfn.IFS(AF158="Full",10, AF158="Partial",5, AF158="Scope 2 Only",3, TRUE,0)
  + _xlfn.IFS(AG158="Yes", IF(ISNUMBER(AH158)*AND(AH158&gt;=5),10,6), AG158="Partial",4, TRUE,0)
  + _xlfn.IFS(AI158="Yes",5, AI158="Partial (material categories only)",3, TRUE,0)
  + _xlfn.IFS(AL158="Yes — Detailed",10, AL158="Yes — High Level",5, TRUE,0)
  + _xlfn.IFS(AM158="Yes — Quantified",15, AM158="Yes — Directional Only",7, TRUE,0)
  + _xlfn.IFS(AP158="Formal",5, AP158="Referenced",2, TRUE,0)
  + _xlfn.IFS(AQ158="No Issues Found",5, AQ158="Concern Identified",-5, AQ158="Severe Contradiction",-15, TRUE,0)
  + _xlfn.IFS(BC158="Reasonable Assurance",5, BC158="Limited Assurance",3, TRUE,0)
  - IF(AND(Z158="Yes", AI158="No"), 10, 0)
  - IF(AND(Z158="Yes", AM158="No"), 10, 0)
))</f>
        <v/>
      </c>
      <c r="AS158" s="5" t="n"/>
      <c r="AT158" s="5" t="n"/>
      <c r="AU158" s="5" t="n"/>
      <c r="AV158" s="5" t="n"/>
      <c r="AW158" s="5" t="n"/>
      <c r="AX158" s="5" t="n"/>
      <c r="AY158" s="5" t="n"/>
      <c r="AZ158" s="5" t="n"/>
      <c r="BA158" s="5" t="n"/>
      <c r="BB158" s="5" t="n"/>
      <c r="BC158" s="5" t="n"/>
      <c r="BD158" s="5" t="n"/>
      <c r="BE158" s="39">
        <f t="array" ref="BE158">MIN(100, MAX(0,
  IFERROR(_xlfn.XLOOKUP(AT158,'Lookup Tables'!$D$2:$D$6,'Lookup Tables'!$E$2:$E$6,0),0)
  + IFERROR(_xlfn.XLOOKUP(AV158,'Lookup Tables'!$G$2:$G$5,'Lookup Tables'!$H$2:$H$5,0),0)
  + IFERROR(_xlfn.XLOOKUP(AW158,'Lookup Tables'!$J$2:$J$5,'Lookup Tables'!$K$2:$K$5,0),0)
  + _xlfn.IFS(AX158="No Issues",10, AX158="Complaint Filed",3, AX158="Confirmed Breach",-15, TRUE,0)
  + IFERROR(_xlfn.XLOOKUP(AY158,'Lookup Tables'!$M$2:$M$6,'Lookup Tables'!$N$2:$N$6,0),0)
  + IFERROR(_xlfn.XLOOKUP(AZ158,'Lookup Tables'!$P$2:$P$6,'Lookup Tables'!$Q$2:$Q$6,0),0)
  + _xlfn.IFS(BA158="Formal Board Committee",5, BA158="Board Oversight Mentioned",2, TRUE,0)
  + _xlfn.IFS(BB158="Yes — Quantified Targets",5, BB158="Yes — Discretionary Only",2, TRUE,0)
  + _xlfn.IFS(BC158="Reasonable Assurance",5, BC158="Limited Assurance",3, BC158="Management Review Only",1, TRUE,0)
))</f>
        <v/>
      </c>
      <c r="BF158" s="5" t="n"/>
      <c r="BG158" s="5" t="n"/>
      <c r="BH158" s="5" t="n"/>
      <c r="BI158" s="5" t="n"/>
      <c r="BJ158" s="5" t="n"/>
      <c r="BK158" s="5" t="n"/>
      <c r="BL158" s="5" t="n"/>
      <c r="BM158" s="5" t="n"/>
      <c r="BN158" s="5" t="n"/>
      <c r="BO158" s="5" t="n"/>
      <c r="BP158" s="5" t="n"/>
      <c r="BQ158" s="5" t="n"/>
      <c r="BR158" s="5" t="n"/>
      <c r="BS158" s="41">
        <f t="array" ref="BS158">MIN(100, MAX(0,
  IFERROR(_xlfn.XLOOKUP(BG158,'Lookup Tables'!$A$11:$A$16,'Lookup Tables'!$B$11:$B$16,0),0)
  + IFERROR(_xlfn.XLOOKUP(BR158,'Lookup Tables'!$M$11:$M$14,'Lookup Tables'!$N$11:$N$14,0),0)
  + IFERROR(_xlfn.XLOOKUP(BQ158,'Lookup Tables'!$J$11:$J$15,'Lookup Tables'!$K$11:$K$15,0),0)
  + IFERROR(_xlfn.XLOOKUP(BH158,'Lookup Tables'!$D$11:$D$15,'Lookup Tables'!$E$11:$E$15,0),0)
  + IFERROR(_xlfn.XLOOKUP(BJ158,'Lookup Tables'!$G$11:$G$16,'Lookup Tables'!$H$11:$H$16,0),0)
  + IFERROR(_xlfn.XLOOKUP(BN158,'Lookup Tables'!$P$11:$P$15,'Lookup Tables'!$Q$11:$Q$15,0),0)
  + _xlfn.IFS(BM158="No Evidence",10, BM158="Unknown",3, BM158="Likely",0, BM158="Confirmed",-10, TRUE,3)
  + IFERROR(_xlfn.XLOOKUP(BP158,'Lookup Tables'!$J$21:$J$24,'Lookup Tables'!$K$21:$K$24,0),0)
))</f>
        <v/>
      </c>
      <c r="BT158" s="5" t="n"/>
      <c r="BU158" s="5" t="n"/>
      <c r="BV158" s="5" t="n"/>
      <c r="BW158" s="5" t="n"/>
      <c r="BX158" s="5" t="n"/>
      <c r="BY158" s="5" t="n"/>
      <c r="BZ158" s="5" t="n"/>
      <c r="CA158" s="5" t="n"/>
      <c r="CB158" s="5" t="n"/>
      <c r="CC158" s="5" t="n"/>
      <c r="CD158" s="5" t="n"/>
      <c r="CE158" s="43">
        <f t="array" ref="CE158">MIN(100, MAX(0,
  IF(ISNUMBER(BV158)*AND(BV158&gt;0), 10, 0)
  + _xlfn.IFS(BY158="Independently Verified",25, BY158="Yes",15, TRUE,0)
  + IFERROR(_xlfn.XLOOKUP(BZ158,'Lookup Tables'!$A$21:$A$24,'Lookup Tables'!$B$21:$B$24,0),0)
  + IFERROR(_xlfn.XLOOKUP(CA158,'Lookup Tables'!$D$21:$D$24,'Lookup Tables'!$E$21:$E$24,0),0)
  + _xlfn.IFS(ISNUMBER(CB158)*AND(CB158&gt;=11),15, ISNUMBER(CB158)*AND(CB158&gt;=6),10, ISNUMBER(CB158)*AND(CB158&gt;=1),5, TRUE,0)
  + IFERROR(_xlfn.XLOOKUP(CC158,'Lookup Tables'!$G$21:$G$25,'Lookup Tables'!$H$21:$H$25,0),0)
  - IF(ISNUMBER(BW158)*AND(ISNUMBER(BV158))*AND(BW158&gt;BV158), 20, 0)
  - IF(AND(BY158="Yes", ISNUMBER(BW158), BW158&gt;60), 10, 0)
))</f>
        <v/>
      </c>
      <c r="CF158" s="5" t="n"/>
      <c r="CG158" s="5" t="n"/>
      <c r="CH158" s="5" t="n"/>
      <c r="CI158" s="5" t="n"/>
      <c r="CJ158" s="5" t="n"/>
      <c r="CK158" s="5" t="n"/>
      <c r="CL158" s="5" t="n"/>
      <c r="CM158" s="5" t="n"/>
      <c r="CN158" s="5" t="n"/>
      <c r="CO158" s="5" t="n"/>
      <c r="CP158" s="5" t="n"/>
      <c r="CQ158" s="5" t="n"/>
      <c r="CR158" s="5">
        <f>COUNTIF(CJ158:CQ158,"FAIL")</f>
        <v/>
      </c>
      <c r="CS158" s="5">
        <f>COUNTIF(CJ158:CQ158,"PARTIAL")</f>
        <v/>
      </c>
      <c r="CT158" s="5">
        <f>COUNTIF(CJ158:CQ158,"MISSING")</f>
        <v/>
      </c>
      <c r="CU158" s="5">
        <f>MIN(100,
  CR158*15
  + CS158*6
  + CT158*3
  + IFERROR(_xlfn.XLOOKUP(CW158,'Lookup Tables'!$M$21:$M$25,'Lookup Tables'!$N$21:$N$25,0),0)
)</f>
        <v/>
      </c>
      <c r="CV158" s="5">
        <f>IFERROR(
CHOOSE(
MATCH("FAIL",CJ158:CQ158,0),
"1-Specificity","2-Metric","3-Baseline","4-Target",
"5-Time Horizon","6-Scope","7-Verification","8-Consistency"
),
IFERROR(
CHOOSE(
MATCH("PARTIAL",CJ158:CQ158,0),
"1-Specificity","2-Metric","3-Baseline","4-Target",
"5-Time Horizon","6-Scope","7-Verification","8-Consistency"
),
"No failures"
)
)</f>
        <v/>
      </c>
      <c r="CW158" s="5" t="n"/>
      <c r="CX158" s="5" t="n"/>
      <c r="CY158" s="5" t="n"/>
      <c r="CZ158" s="5" t="n"/>
      <c r="DA158" s="5">
        <f>IF(OR(CU158&gt;=50,CW158="Material",CW158="Severe",AS158="Material",AS158="Severe",BF158="Material",BF158="Severe — Exclusion Trigger",AND(ISNUMBER(BS158),BS158&lt;30)),"Yes","No")</f>
        <v/>
      </c>
      <c r="DB158" s="5">
        <f>IF(OR(CR158&gt;=6,AW158="Confirmed Violation",AX158="Confirmed Breach"),"Yes — Automatic",IF(CW158="Severe","Yes — Requires Captain Confirmation","No"))</f>
        <v/>
      </c>
      <c r="DC158" s="5" t="n"/>
      <c r="DD158" s="5" t="n"/>
      <c r="DE158" s="5" t="n"/>
      <c r="DF158" s="5" t="n"/>
      <c r="DG158" s="5" t="n"/>
      <c r="DH158" s="5" t="n"/>
      <c r="DI158" s="5" t="n"/>
      <c r="DJ158" s="5" t="n"/>
      <c r="DK158" s="5" t="n"/>
      <c r="DL158" s="5">
        <f>IF(OR(IFERROR(VALUE(LEFT(DF158,1)),99)&lt;=2,IFERROR(VALUE(LEFT(DG158,1)),99)&lt;=2),"Flagged","Clear")</f>
        <v/>
      </c>
      <c r="DM158" s="5">
        <f>IF(OR(DA158="Yes",DB158&lt;&gt;"No",DH158="Unverified",DL158="Flagged"),"Yes","No")</f>
        <v/>
      </c>
      <c r="DN158" s="5">
        <f t="array" ref="DN158">MIN(100,
  IF(ISNUMBER(V158), _xlfn.IFS(V158&gt;=3,25, V158=2,15, V158=1,5, TRUE,0), 0)
  + IFERROR(_xlfn.IFS(VALUE(LEFT(DF158,1))=5,25, VALUE(LEFT(DF158,1))=4,20, VALUE(LEFT(DF158,1))=3,15, VALUE(LEFT(DF158,1))=2,8, TRUE,0), 15)
  + IFERROR(_xlfn.IFS(VALUE(LEFT(DG158,1))=5,25, VALUE(LEFT(DG158,1))=4,20, VALUE(LEFT(DG158,1))=3,15, VALUE(LEFT(DG158,1))=2,8, TRUE,0), 15)
  + _xlfn.IFS(DH158="Fully Verified",25, DH158="Partially Verified",12, TRUE,0)
)</f>
        <v/>
      </c>
      <c r="DO158" s="5">
        <f t="array" ref="DO158">_xlfn.IFS(
  ISBLANK(AR158), "Insufficient Evidence",
  AND(AR158&gt;=65, AJ158="Approved"), "Strong",
  AR158&gt;=65, "Adequate",
  AR158&gt;=40, "Adequate",
  AR158&gt;=20, "Weak",
  TRUE, "Insufficient Evidence"
)</f>
        <v/>
      </c>
      <c r="DP158" s="5">
        <f t="array" ref="DP158">_xlfn.IFS(
  ISBLANK(BS158), "Insufficient Evidence",
  BS158&gt;=65, "Strong",
  BS158&gt;=40, "Adequate",
  BS158&gt;=20, "Weak",
  TRUE, "Insufficient Evidence"
)</f>
        <v/>
      </c>
      <c r="DQ158" s="5">
        <f t="array" ref="DQ158">_xlfn.IFS(
  ISBLANK(BE158), "Insufficient Evidence",
  OR(AW158="Confirmed Violation", AX158="Confirmed Breach"), "Severe — Hard Trigger",
  BE158&gt;=65, "Strong",
  BE158&gt;=40, "Adequate",
  BE158&gt;=20, "Weak",
  TRUE, "Insufficient Evidence"
)</f>
        <v/>
      </c>
      <c r="DR158" s="5">
        <f t="array" ref="DR158">_xlfn.IFS(
  ISBLANK(CU158), "Insufficient Evidence",
  CU158&lt;=20, "Low Risk",
  CU158&lt;=50, "Moderate Risk",
  CU158&lt;=75, "High Risk",
  TRUE, "Very High Risk"
)</f>
        <v/>
      </c>
      <c r="DS158" s="5">
        <f t="array" ref="DS158">_xlfn.IFS(
  ISBLANK(CE158), "Insufficient Evidence",
  AND(ISNUMBER(BW158),ISNUMBER(BV158),BW158&gt;BV158), "Overclaiming Risk",
  CE158&gt;=65, "Strong",
  CE158&gt;=40, "Adequate",
  TRUE, "Weak"
)</f>
        <v/>
      </c>
      <c r="DT158" s="5">
        <f>IF(DB158="Yes — Automatic",0,ROUND((IF(ISNUMBER(AR158),AR158,0)*0.3+IF(ISNUMBER(BS158),BS158,0)*0.2+IF(ISNUMBER(BE158),BE158,0)*0.2+IF(ISNUMBER(CE158),CE158,0)*0.15+(100-IF(ISNUMBER(CU158),CU158,50))*0.15)*IF(DN158&gt;=75,1,IF(DN158&gt;=50,0.9,IF(DN158&gt;=25,0.75,0.6))),1))</f>
        <v/>
      </c>
      <c r="DU158" s="5">
        <f t="array" ref="DU158">_xlfn.IFS(
  DV158="Upgraded to Clear", "Clear",
  DV158="Downgraded to Watchlist", "Watchlist",
  DV158="Downgraded to Exclusion", "Exclusion Risk",
  DB158="Yes — Automatic", "Exclusion Risk",
  OR(AW158="Confirmed Violation", AX158="Confirmed Breach"), "Exclusion Risk",
  OR(V158=0, ISBLANK(V158), DN158&lt;20), "Insufficient Evidence",
  AND(DT158&gt;=65, DA158="No", DB158="No"), "Clear",
  OR(DT158&gt;=40, DA158="Yes"), "Watchlist",
  TRUE, "Exclusion Risk"
)</f>
        <v/>
      </c>
      <c r="DV158" s="5" t="n"/>
      <c r="DW158" s="5">
        <f t="array" ref="DW158">_xlfn.IFS(
  DU158="Exclusion Risk", "Exclude — Hard Trigger",
  DU158="Insufficient Evidence", "Watchlist — Further Evidence Needed",
  DU158="Watchlist", "Watchlist — Further Evidence Needed",
  AND(DU158="Clear", DT158&gt;=80), "Include — No Conditions",
  DU158="Clear", "Include — Monitor",
  TRUE, "Watchlist — Further Evidence Needed"
)</f>
        <v/>
      </c>
      <c r="DX158" s="5" t="n"/>
      <c r="DY158" s="5" t="n"/>
      <c r="DZ158" s="5" t="n"/>
      <c r="EA158" s="5" t="n"/>
      <c r="EB158" s="5">
        <f>IF(OR(V158=0, ISBLANK(V158)), "MISSING — No sources reviewed", "")</f>
        <v/>
      </c>
      <c r="EC158" s="5">
        <f>IF(AND(NOT(ISBLANK(DC158)), ISBLANK(DE158)), "PAGE REF MISSING", "")</f>
        <v/>
      </c>
    </row>
    <row r="159" ht="18" customHeight="1" s="60">
      <c r="A159" s="5" t="inlineStr">
        <is>
          <t>Skandinaviska Enskilda Banken AB</t>
        </is>
      </c>
      <c r="B159" s="5" t="inlineStr">
        <is>
          <t>SEBA</t>
        </is>
      </c>
      <c r="C159" s="5">
        <f>IF(ISBLANK('Universe Tracker'!D134),"",'Universe Tracker'!D134)</f>
        <v/>
      </c>
      <c r="D159" s="5" t="n"/>
      <c r="E159" s="5" t="n"/>
      <c r="F159" s="5">
        <f>IF(ISBLANK('Universe Tracker'!F134),"",'Universe Tracker'!F134)</f>
        <v/>
      </c>
      <c r="G159" s="5">
        <f>IF(ISBLANK('Universe Tracker'!G134),"",'Universe Tracker'!G134)</f>
        <v/>
      </c>
      <c r="H159" s="5" t="n"/>
      <c r="I159" s="5" t="n"/>
      <c r="J159" s="5">
        <f>IF(ISBLANK(B159),"",B159&amp;"_"&amp;C159)</f>
        <v/>
      </c>
      <c r="K159" s="5" t="n"/>
      <c r="L159" s="5" t="n"/>
      <c r="M159" s="5" t="n"/>
      <c r="N159" s="5" t="n"/>
      <c r="O159" s="5" t="n"/>
      <c r="P159" s="5" t="n"/>
      <c r="Q159" s="5" t="n"/>
      <c r="R159" s="5" t="n"/>
      <c r="S159" s="5" t="n"/>
      <c r="T159" s="5" t="n"/>
      <c r="U159" s="5" t="n"/>
      <c r="V159" s="5" t="n"/>
      <c r="W159" s="5" t="n"/>
      <c r="X159" s="5" t="n"/>
      <c r="Y159" s="5">
        <f>IF(AND(V159&gt;=2,K159="Yes",L159="Yes"),"Sufficient",IF(AND(V159&gt;=1,OR(K159="Yes",L159="Yes")),"Thin","Insufficient"))</f>
        <v/>
      </c>
      <c r="Z159" s="5" t="n"/>
      <c r="AA159" s="5" t="n"/>
      <c r="AB159" s="5" t="n"/>
      <c r="AC159" s="5" t="n"/>
      <c r="AD159" s="5" t="n"/>
      <c r="AE159" s="5" t="n"/>
      <c r="AF159" s="5" t="n"/>
      <c r="AG159" s="5" t="n"/>
      <c r="AH159" s="5" t="n"/>
      <c r="AI159" s="5" t="n"/>
      <c r="AJ159" s="5" t="n"/>
      <c r="AK159" s="5" t="n"/>
      <c r="AL159" s="5" t="n"/>
      <c r="AM159" s="5" t="n"/>
      <c r="AN159" s="5" t="n"/>
      <c r="AO159" s="5" t="n"/>
      <c r="AP159" s="5" t="n"/>
      <c r="AQ159" s="5" t="n"/>
      <c r="AR159" s="40">
        <f t="array" ref="AR159">MIN(100, MAX(0,
  IFERROR(_xlfn.XLOOKUP(AJ159,'Lookup Tables'!$A$2:$A$7,'Lookup Tables'!$B$2:$B$7,0),0)
  + IF(Z159="Yes", IF(IFERROR(_xlfn.XLOOKUP(AJ159,'Lookup Tables'!$A$2:$A$7,'Lookup Tables'!$B$2:$B$7,0),0)&lt;20, 5, 0), 0)
  + _xlfn.IFS(AB159="Yes", IF(ISNUMBER(AC159)*AND(AC159&lt;=2030),15,10), AB159="Long-term Only", 5, AB159="No", 0, TRUE, 0)
  + _xlfn.IFS(AF159="Full",10, AF159="Partial",5, AF159="Scope 2 Only",3, TRUE,0)
  + _xlfn.IFS(AG159="Yes", IF(ISNUMBER(AH159)*AND(AH159&gt;=5),10,6), AG159="Partial",4, TRUE,0)
  + _xlfn.IFS(AI159="Yes",5, AI159="Partial (material categories only)",3, TRUE,0)
  + _xlfn.IFS(AL159="Yes — Detailed",10, AL159="Yes — High Level",5, TRUE,0)
  + _xlfn.IFS(AM159="Yes — Quantified",15, AM159="Yes — Directional Only",7, TRUE,0)
  + _xlfn.IFS(AP159="Formal",5, AP159="Referenced",2, TRUE,0)
  + _xlfn.IFS(AQ159="No Issues Found",5, AQ159="Concern Identified",-5, AQ159="Severe Contradiction",-15, TRUE,0)
  + _xlfn.IFS(BC159="Reasonable Assurance",5, BC159="Limited Assurance",3, TRUE,0)
  - IF(AND(Z159="Yes", AI159="No"), 10, 0)
  - IF(AND(Z159="Yes", AM159="No"), 10, 0)
))</f>
        <v/>
      </c>
      <c r="AS159" s="5" t="n"/>
      <c r="AT159" s="5" t="n"/>
      <c r="AU159" s="5" t="n"/>
      <c r="AV159" s="5" t="n"/>
      <c r="AW159" s="5" t="n"/>
      <c r="AX159" s="5" t="n"/>
      <c r="AY159" s="5" t="n"/>
      <c r="AZ159" s="5" t="n"/>
      <c r="BA159" s="5" t="n"/>
      <c r="BB159" s="5" t="n"/>
      <c r="BC159" s="5" t="n"/>
      <c r="BD159" s="5" t="n"/>
      <c r="BE159" s="39">
        <f t="array" ref="BE159">MIN(100, MAX(0,
  IFERROR(_xlfn.XLOOKUP(AT159,'Lookup Tables'!$D$2:$D$6,'Lookup Tables'!$E$2:$E$6,0),0)
  + IFERROR(_xlfn.XLOOKUP(AV159,'Lookup Tables'!$G$2:$G$5,'Lookup Tables'!$H$2:$H$5,0),0)
  + IFERROR(_xlfn.XLOOKUP(AW159,'Lookup Tables'!$J$2:$J$5,'Lookup Tables'!$K$2:$K$5,0),0)
  + _xlfn.IFS(AX159="No Issues",10, AX159="Complaint Filed",3, AX159="Confirmed Breach",-15, TRUE,0)
  + IFERROR(_xlfn.XLOOKUP(AY159,'Lookup Tables'!$M$2:$M$6,'Lookup Tables'!$N$2:$N$6,0),0)
  + IFERROR(_xlfn.XLOOKUP(AZ159,'Lookup Tables'!$P$2:$P$6,'Lookup Tables'!$Q$2:$Q$6,0),0)
  + _xlfn.IFS(BA159="Formal Board Committee",5, BA159="Board Oversight Mentioned",2, TRUE,0)
  + _xlfn.IFS(BB159="Yes — Quantified Targets",5, BB159="Yes — Discretionary Only",2, TRUE,0)
  + _xlfn.IFS(BC159="Reasonable Assurance",5, BC159="Limited Assurance",3, BC159="Management Review Only",1, TRUE,0)
))</f>
        <v/>
      </c>
      <c r="BF159" s="5" t="n"/>
      <c r="BG159" s="5" t="n"/>
      <c r="BH159" s="5" t="n"/>
      <c r="BI159" s="5" t="n"/>
      <c r="BJ159" s="5" t="n"/>
      <c r="BK159" s="5" t="n"/>
      <c r="BL159" s="5" t="n"/>
      <c r="BM159" s="5" t="n"/>
      <c r="BN159" s="5" t="n"/>
      <c r="BO159" s="5" t="n"/>
      <c r="BP159" s="5" t="n"/>
      <c r="BQ159" s="5" t="n"/>
      <c r="BR159" s="5" t="n"/>
      <c r="BS159" s="41">
        <f t="array" ref="BS159">MIN(100, MAX(0,
  IFERROR(_xlfn.XLOOKUP(BG159,'Lookup Tables'!$A$11:$A$16,'Lookup Tables'!$B$11:$B$16,0),0)
  + IFERROR(_xlfn.XLOOKUP(BR159,'Lookup Tables'!$M$11:$M$14,'Lookup Tables'!$N$11:$N$14,0),0)
  + IFERROR(_xlfn.XLOOKUP(BQ159,'Lookup Tables'!$J$11:$J$15,'Lookup Tables'!$K$11:$K$15,0),0)
  + IFERROR(_xlfn.XLOOKUP(BH159,'Lookup Tables'!$D$11:$D$15,'Lookup Tables'!$E$11:$E$15,0),0)
  + IFERROR(_xlfn.XLOOKUP(BJ159,'Lookup Tables'!$G$11:$G$16,'Lookup Tables'!$H$11:$H$16,0),0)
  + IFERROR(_xlfn.XLOOKUP(BN159,'Lookup Tables'!$P$11:$P$15,'Lookup Tables'!$Q$11:$Q$15,0),0)
  + _xlfn.IFS(BM159="No Evidence",10, BM159="Unknown",3, BM159="Likely",0, BM159="Confirmed",-10, TRUE,3)
  + IFERROR(_xlfn.XLOOKUP(BP159,'Lookup Tables'!$J$21:$J$24,'Lookup Tables'!$K$21:$K$24,0),0)
))</f>
        <v/>
      </c>
      <c r="BT159" s="5" t="n"/>
      <c r="BU159" s="5" t="n"/>
      <c r="BV159" s="5" t="n"/>
      <c r="BW159" s="5" t="n"/>
      <c r="BX159" s="5" t="n"/>
      <c r="BY159" s="5" t="n"/>
      <c r="BZ159" s="5" t="n"/>
      <c r="CA159" s="5" t="n"/>
      <c r="CB159" s="5" t="n"/>
      <c r="CC159" s="5" t="n"/>
      <c r="CD159" s="5" t="n"/>
      <c r="CE159" s="43">
        <f t="array" ref="CE159">MIN(100, MAX(0,
  IF(ISNUMBER(BV159)*AND(BV159&gt;0), 10, 0)
  + _xlfn.IFS(BY159="Independently Verified",25, BY159="Yes",15, TRUE,0)
  + IFERROR(_xlfn.XLOOKUP(BZ159,'Lookup Tables'!$A$21:$A$24,'Lookup Tables'!$B$21:$B$24,0),0)
  + IFERROR(_xlfn.XLOOKUP(CA159,'Lookup Tables'!$D$21:$D$24,'Lookup Tables'!$E$21:$E$24,0),0)
  + _xlfn.IFS(ISNUMBER(CB159)*AND(CB159&gt;=11),15, ISNUMBER(CB159)*AND(CB159&gt;=6),10, ISNUMBER(CB159)*AND(CB159&gt;=1),5, TRUE,0)
  + IFERROR(_xlfn.XLOOKUP(CC159,'Lookup Tables'!$G$21:$G$25,'Lookup Tables'!$H$21:$H$25,0),0)
  - IF(ISNUMBER(BW159)*AND(ISNUMBER(BV159))*AND(BW159&gt;BV159), 20, 0)
  - IF(AND(BY159="Yes", ISNUMBER(BW159), BW159&gt;60), 10, 0)
))</f>
        <v/>
      </c>
      <c r="CF159" s="5" t="n"/>
      <c r="CG159" s="5" t="n"/>
      <c r="CH159" s="5" t="n"/>
      <c r="CI159" s="5" t="n"/>
      <c r="CJ159" s="5" t="n"/>
      <c r="CK159" s="5" t="n"/>
      <c r="CL159" s="5" t="n"/>
      <c r="CM159" s="5" t="n"/>
      <c r="CN159" s="5" t="n"/>
      <c r="CO159" s="5" t="n"/>
      <c r="CP159" s="5" t="n"/>
      <c r="CQ159" s="5" t="n"/>
      <c r="CR159" s="5">
        <f>COUNTIF(CJ159:CQ159,"FAIL")</f>
        <v/>
      </c>
      <c r="CS159" s="5">
        <f>COUNTIF(CJ159:CQ159,"PARTIAL")</f>
        <v/>
      </c>
      <c r="CT159" s="5">
        <f>COUNTIF(CJ159:CQ159,"MISSING")</f>
        <v/>
      </c>
      <c r="CU159" s="5">
        <f>MIN(100,
  CR159*15
  + CS159*6
  + CT159*3
  + IFERROR(_xlfn.XLOOKUP(CW159,'Lookup Tables'!$M$21:$M$25,'Lookup Tables'!$N$21:$N$25,0),0)
)</f>
        <v/>
      </c>
      <c r="CV159" s="5">
        <f>IFERROR(
CHOOSE(
MATCH("FAIL",CJ159:CQ159,0),
"1-Specificity","2-Metric","3-Baseline","4-Target",
"5-Time Horizon","6-Scope","7-Verification","8-Consistency"
),
IFERROR(
CHOOSE(
MATCH("PARTIAL",CJ159:CQ159,0),
"1-Specificity","2-Metric","3-Baseline","4-Target",
"5-Time Horizon","6-Scope","7-Verification","8-Consistency"
),
"No failures"
)
)</f>
        <v/>
      </c>
      <c r="CW159" s="5" t="n"/>
      <c r="CX159" s="5" t="n"/>
      <c r="CY159" s="5" t="n"/>
      <c r="CZ159" s="5" t="n"/>
      <c r="DA159" s="5">
        <f>IF(OR(CU159&gt;=50,CW159="Material",CW159="Severe",AS159="Material",AS159="Severe",BF159="Material",BF159="Severe — Exclusion Trigger",AND(ISNUMBER(BS159),BS159&lt;30)),"Yes","No")</f>
        <v/>
      </c>
      <c r="DB159" s="5">
        <f>IF(OR(CR159&gt;=6,AW159="Confirmed Violation",AX159="Confirmed Breach"),"Yes — Automatic",IF(CW159="Severe","Yes — Requires Captain Confirmation","No"))</f>
        <v/>
      </c>
      <c r="DC159" s="5" t="n"/>
      <c r="DD159" s="5" t="n"/>
      <c r="DE159" s="5" t="n"/>
      <c r="DF159" s="5" t="n"/>
      <c r="DG159" s="5" t="n"/>
      <c r="DH159" s="5" t="n"/>
      <c r="DI159" s="5" t="n"/>
      <c r="DJ159" s="5" t="n"/>
      <c r="DK159" s="5" t="n"/>
      <c r="DL159" s="5">
        <f>IF(OR(IFERROR(VALUE(LEFT(DF159,1)),99)&lt;=2,IFERROR(VALUE(LEFT(DG159,1)),99)&lt;=2),"Flagged","Clear")</f>
        <v/>
      </c>
      <c r="DM159" s="5">
        <f>IF(OR(DA159="Yes",DB159&lt;&gt;"No",DH159="Unverified",DL159="Flagged"),"Yes","No")</f>
        <v/>
      </c>
      <c r="DN159" s="5">
        <f t="array" ref="DN159">MIN(100,
  IF(ISNUMBER(V159), _xlfn.IFS(V159&gt;=3,25, V159=2,15, V159=1,5, TRUE,0), 0)
  + IFERROR(_xlfn.IFS(VALUE(LEFT(DF159,1))=5,25, VALUE(LEFT(DF159,1))=4,20, VALUE(LEFT(DF159,1))=3,15, VALUE(LEFT(DF159,1))=2,8, TRUE,0), 15)
  + IFERROR(_xlfn.IFS(VALUE(LEFT(DG159,1))=5,25, VALUE(LEFT(DG159,1))=4,20, VALUE(LEFT(DG159,1))=3,15, VALUE(LEFT(DG159,1))=2,8, TRUE,0), 15)
  + _xlfn.IFS(DH159="Fully Verified",25, DH159="Partially Verified",12, TRUE,0)
)</f>
        <v/>
      </c>
      <c r="DO159" s="5">
        <f t="array" ref="DO159">_xlfn.IFS(
  ISBLANK(AR159), "Insufficient Evidence",
  AND(AR159&gt;=65, AJ159="Approved"), "Strong",
  AR159&gt;=65, "Adequate",
  AR159&gt;=40, "Adequate",
  AR159&gt;=20, "Weak",
  TRUE, "Insufficient Evidence"
)</f>
        <v/>
      </c>
      <c r="DP159" s="5">
        <f t="array" ref="DP159">_xlfn.IFS(
  ISBLANK(BS159), "Insufficient Evidence",
  BS159&gt;=65, "Strong",
  BS159&gt;=40, "Adequate",
  BS159&gt;=20, "Weak",
  TRUE, "Insufficient Evidence"
)</f>
        <v/>
      </c>
      <c r="DQ159" s="5">
        <f t="array" ref="DQ159">_xlfn.IFS(
  ISBLANK(BE159), "Insufficient Evidence",
  OR(AW159="Confirmed Violation", AX159="Confirmed Breach"), "Severe — Hard Trigger",
  BE159&gt;=65, "Strong",
  BE159&gt;=40, "Adequate",
  BE159&gt;=20, "Weak",
  TRUE, "Insufficient Evidence"
)</f>
        <v/>
      </c>
      <c r="DR159" s="5">
        <f t="array" ref="DR159">_xlfn.IFS(
  ISBLANK(CU159), "Insufficient Evidence",
  CU159&lt;=20, "Low Risk",
  CU159&lt;=50, "Moderate Risk",
  CU159&lt;=75, "High Risk",
  TRUE, "Very High Risk"
)</f>
        <v/>
      </c>
      <c r="DS159" s="5">
        <f t="array" ref="DS159">_xlfn.IFS(
  ISBLANK(CE159), "Insufficient Evidence",
  AND(ISNUMBER(BW159),ISNUMBER(BV159),BW159&gt;BV159), "Overclaiming Risk",
  CE159&gt;=65, "Strong",
  CE159&gt;=40, "Adequate",
  TRUE, "Weak"
)</f>
        <v/>
      </c>
      <c r="DT159" s="5">
        <f>IF(DB159="Yes — Automatic",0,ROUND((IF(ISNUMBER(AR159),AR159,0)*0.3+IF(ISNUMBER(BS159),BS159,0)*0.2+IF(ISNUMBER(BE159),BE159,0)*0.2+IF(ISNUMBER(CE159),CE159,0)*0.15+(100-IF(ISNUMBER(CU159),CU159,50))*0.15)*IF(DN159&gt;=75,1,IF(DN159&gt;=50,0.9,IF(DN159&gt;=25,0.75,0.6))),1))</f>
        <v/>
      </c>
      <c r="DU159" s="5">
        <f t="array" ref="DU159">_xlfn.IFS(
  DV159="Upgraded to Clear", "Clear",
  DV159="Downgraded to Watchlist", "Watchlist",
  DV159="Downgraded to Exclusion", "Exclusion Risk",
  DB159="Yes — Automatic", "Exclusion Risk",
  OR(AW159="Confirmed Violation", AX159="Confirmed Breach"), "Exclusion Risk",
  OR(V159=0, ISBLANK(V159), DN159&lt;20), "Insufficient Evidence",
  AND(DT159&gt;=65, DA159="No", DB159="No"), "Clear",
  OR(DT159&gt;=40, DA159="Yes"), "Watchlist",
  TRUE, "Exclusion Risk"
)</f>
        <v/>
      </c>
      <c r="DV159" s="5" t="n"/>
      <c r="DW159" s="5">
        <f t="array" ref="DW159">_xlfn.IFS(
  DU159="Exclusion Risk", "Exclude — Hard Trigger",
  DU159="Insufficient Evidence", "Watchlist — Further Evidence Needed",
  DU159="Watchlist", "Watchlist — Further Evidence Needed",
  AND(DU159="Clear", DT159&gt;=80), "Include — No Conditions",
  DU159="Clear", "Include — Monitor",
  TRUE, "Watchlist — Further Evidence Needed"
)</f>
        <v/>
      </c>
      <c r="DX159" s="5" t="n"/>
      <c r="DY159" s="5" t="n"/>
      <c r="DZ159" s="5" t="n"/>
      <c r="EA159" s="5" t="n"/>
      <c r="EB159" s="5">
        <f>IF(OR(V159=0, ISBLANK(V159)), "MISSING — No sources reviewed", "")</f>
        <v/>
      </c>
      <c r="EC159" s="5">
        <f>IF(AND(NOT(ISBLANK(DC159)), ISBLANK(DE159)), "PAGE REF MISSING", "")</f>
        <v/>
      </c>
    </row>
    <row r="160" ht="18" customHeight="1" s="60">
      <c r="A160" s="5" t="inlineStr">
        <is>
          <t>HOCHTIEF AG</t>
        </is>
      </c>
      <c r="B160" s="5" t="inlineStr">
        <is>
          <t>HOT</t>
        </is>
      </c>
      <c r="C160" s="5">
        <f>IF(ISBLANK('Universe Tracker'!D135),"",'Universe Tracker'!D135)</f>
        <v/>
      </c>
      <c r="D160" s="5" t="n"/>
      <c r="E160" s="5" t="n"/>
      <c r="F160" s="5">
        <f>IF(ISBLANK('Universe Tracker'!F135),"",'Universe Tracker'!F135)</f>
        <v/>
      </c>
      <c r="G160" s="5">
        <f>IF(ISBLANK('Universe Tracker'!G135),"",'Universe Tracker'!G135)</f>
        <v/>
      </c>
      <c r="H160" s="5" t="n"/>
      <c r="I160" s="5" t="n"/>
      <c r="J160" s="5">
        <f>IF(ISBLANK(B160),"",B160&amp;"_"&amp;C160)</f>
        <v/>
      </c>
      <c r="K160" s="5" t="n"/>
      <c r="L160" s="5" t="n"/>
      <c r="M160" s="5" t="n"/>
      <c r="N160" s="5" t="n"/>
      <c r="O160" s="5" t="n"/>
      <c r="P160" s="5" t="n"/>
      <c r="Q160" s="5" t="n"/>
      <c r="R160" s="5" t="n"/>
      <c r="S160" s="5" t="n"/>
      <c r="T160" s="5" t="n"/>
      <c r="U160" s="5" t="n"/>
      <c r="V160" s="5" t="n"/>
      <c r="W160" s="5" t="n"/>
      <c r="X160" s="5" t="n"/>
      <c r="Y160" s="5">
        <f>IF(AND(V160&gt;=2,K160="Yes",L160="Yes"),"Sufficient",IF(AND(V160&gt;=1,OR(K160="Yes",L160="Yes")),"Thin","Insufficient"))</f>
        <v/>
      </c>
      <c r="Z160" s="5" t="n"/>
      <c r="AA160" s="5" t="n"/>
      <c r="AB160" s="5" t="n"/>
      <c r="AC160" s="5" t="n"/>
      <c r="AD160" s="5" t="n"/>
      <c r="AE160" s="5" t="n"/>
      <c r="AF160" s="5" t="n"/>
      <c r="AG160" s="5" t="n"/>
      <c r="AH160" s="5" t="n"/>
      <c r="AI160" s="5" t="n"/>
      <c r="AJ160" s="5" t="n"/>
      <c r="AK160" s="5" t="n"/>
      <c r="AL160" s="5" t="n"/>
      <c r="AM160" s="5" t="n"/>
      <c r="AN160" s="5" t="n"/>
      <c r="AO160" s="5" t="n"/>
      <c r="AP160" s="5" t="n"/>
      <c r="AQ160" s="5" t="n"/>
      <c r="AR160" s="40">
        <f t="array" ref="AR160">MIN(100, MAX(0,
  IFERROR(_xlfn.XLOOKUP(AJ160,'Lookup Tables'!$A$2:$A$7,'Lookup Tables'!$B$2:$B$7,0),0)
  + IF(Z160="Yes", IF(IFERROR(_xlfn.XLOOKUP(AJ160,'Lookup Tables'!$A$2:$A$7,'Lookup Tables'!$B$2:$B$7,0),0)&lt;20, 5, 0), 0)
  + _xlfn.IFS(AB160="Yes", IF(ISNUMBER(AC160)*AND(AC160&lt;=2030),15,10), AB160="Long-term Only", 5, AB160="No", 0, TRUE, 0)
  + _xlfn.IFS(AF160="Full",10, AF160="Partial",5, AF160="Scope 2 Only",3, TRUE,0)
  + _xlfn.IFS(AG160="Yes", IF(ISNUMBER(AH160)*AND(AH160&gt;=5),10,6), AG160="Partial",4, TRUE,0)
  + _xlfn.IFS(AI160="Yes",5, AI160="Partial (material categories only)",3, TRUE,0)
  + _xlfn.IFS(AL160="Yes — Detailed",10, AL160="Yes — High Level",5, TRUE,0)
  + _xlfn.IFS(AM160="Yes — Quantified",15, AM160="Yes — Directional Only",7, TRUE,0)
  + _xlfn.IFS(AP160="Formal",5, AP160="Referenced",2, TRUE,0)
  + _xlfn.IFS(AQ160="No Issues Found",5, AQ160="Concern Identified",-5, AQ160="Severe Contradiction",-15, TRUE,0)
  + _xlfn.IFS(BC160="Reasonable Assurance",5, BC160="Limited Assurance",3, TRUE,0)
  - IF(AND(Z160="Yes", AI160="No"), 10, 0)
  - IF(AND(Z160="Yes", AM160="No"), 10, 0)
))</f>
        <v/>
      </c>
      <c r="AS160" s="5" t="n"/>
      <c r="AT160" s="5" t="n"/>
      <c r="AU160" s="5" t="n"/>
      <c r="AV160" s="5" t="n"/>
      <c r="AW160" s="5" t="n"/>
      <c r="AX160" s="5" t="n"/>
      <c r="AY160" s="5" t="n"/>
      <c r="AZ160" s="5" t="n"/>
      <c r="BA160" s="5" t="n"/>
      <c r="BB160" s="5" t="n"/>
      <c r="BC160" s="5" t="n"/>
      <c r="BD160" s="5" t="n"/>
      <c r="BE160" s="39">
        <f t="array" ref="BE160">MIN(100, MAX(0,
  IFERROR(_xlfn.XLOOKUP(AT160,'Lookup Tables'!$D$2:$D$6,'Lookup Tables'!$E$2:$E$6,0),0)
  + IFERROR(_xlfn.XLOOKUP(AV160,'Lookup Tables'!$G$2:$G$5,'Lookup Tables'!$H$2:$H$5,0),0)
  + IFERROR(_xlfn.XLOOKUP(AW160,'Lookup Tables'!$J$2:$J$5,'Lookup Tables'!$K$2:$K$5,0),0)
  + _xlfn.IFS(AX160="No Issues",10, AX160="Complaint Filed",3, AX160="Confirmed Breach",-15, TRUE,0)
  + IFERROR(_xlfn.XLOOKUP(AY160,'Lookup Tables'!$M$2:$M$6,'Lookup Tables'!$N$2:$N$6,0),0)
  + IFERROR(_xlfn.XLOOKUP(AZ160,'Lookup Tables'!$P$2:$P$6,'Lookup Tables'!$Q$2:$Q$6,0),0)
  + _xlfn.IFS(BA160="Formal Board Committee",5, BA160="Board Oversight Mentioned",2, TRUE,0)
  + _xlfn.IFS(BB160="Yes — Quantified Targets",5, BB160="Yes — Discretionary Only",2, TRUE,0)
  + _xlfn.IFS(BC160="Reasonable Assurance",5, BC160="Limited Assurance",3, BC160="Management Review Only",1, TRUE,0)
))</f>
        <v/>
      </c>
      <c r="BF160" s="5" t="n"/>
      <c r="BG160" s="5" t="n"/>
      <c r="BH160" s="5" t="n"/>
      <c r="BI160" s="5" t="n"/>
      <c r="BJ160" s="5" t="n"/>
      <c r="BK160" s="5" t="n"/>
      <c r="BL160" s="5" t="n"/>
      <c r="BM160" s="5" t="n"/>
      <c r="BN160" s="5" t="n"/>
      <c r="BO160" s="5" t="n"/>
      <c r="BP160" s="5" t="n"/>
      <c r="BQ160" s="5" t="n"/>
      <c r="BR160" s="5" t="n"/>
      <c r="BS160" s="41">
        <f t="array" ref="BS160">MIN(100, MAX(0,
  IFERROR(_xlfn.XLOOKUP(BG160,'Lookup Tables'!$A$11:$A$16,'Lookup Tables'!$B$11:$B$16,0),0)
  + IFERROR(_xlfn.XLOOKUP(BR160,'Lookup Tables'!$M$11:$M$14,'Lookup Tables'!$N$11:$N$14,0),0)
  + IFERROR(_xlfn.XLOOKUP(BQ160,'Lookup Tables'!$J$11:$J$15,'Lookup Tables'!$K$11:$K$15,0),0)
  + IFERROR(_xlfn.XLOOKUP(BH160,'Lookup Tables'!$D$11:$D$15,'Lookup Tables'!$E$11:$E$15,0),0)
  + IFERROR(_xlfn.XLOOKUP(BJ160,'Lookup Tables'!$G$11:$G$16,'Lookup Tables'!$H$11:$H$16,0),0)
  + IFERROR(_xlfn.XLOOKUP(BN160,'Lookup Tables'!$P$11:$P$15,'Lookup Tables'!$Q$11:$Q$15,0),0)
  + _xlfn.IFS(BM160="No Evidence",10, BM160="Unknown",3, BM160="Likely",0, BM160="Confirmed",-10, TRUE,3)
  + IFERROR(_xlfn.XLOOKUP(BP160,'Lookup Tables'!$J$21:$J$24,'Lookup Tables'!$K$21:$K$24,0),0)
))</f>
        <v/>
      </c>
      <c r="BT160" s="5" t="n"/>
      <c r="BU160" s="5" t="n"/>
      <c r="BV160" s="5" t="n"/>
      <c r="BW160" s="5" t="n"/>
      <c r="BX160" s="5" t="n"/>
      <c r="BY160" s="5" t="n"/>
      <c r="BZ160" s="5" t="n"/>
      <c r="CA160" s="5" t="n"/>
      <c r="CB160" s="5" t="n"/>
      <c r="CC160" s="5" t="n"/>
      <c r="CD160" s="5" t="n"/>
      <c r="CE160" s="43">
        <f t="array" ref="CE160">MIN(100, MAX(0,
  IF(ISNUMBER(BV160)*AND(BV160&gt;0), 10, 0)
  + _xlfn.IFS(BY160="Independently Verified",25, BY160="Yes",15, TRUE,0)
  + IFERROR(_xlfn.XLOOKUP(BZ160,'Lookup Tables'!$A$21:$A$24,'Lookup Tables'!$B$21:$B$24,0),0)
  + IFERROR(_xlfn.XLOOKUP(CA160,'Lookup Tables'!$D$21:$D$24,'Lookup Tables'!$E$21:$E$24,0),0)
  + _xlfn.IFS(ISNUMBER(CB160)*AND(CB160&gt;=11),15, ISNUMBER(CB160)*AND(CB160&gt;=6),10, ISNUMBER(CB160)*AND(CB160&gt;=1),5, TRUE,0)
  + IFERROR(_xlfn.XLOOKUP(CC160,'Lookup Tables'!$G$21:$G$25,'Lookup Tables'!$H$21:$H$25,0),0)
  - IF(ISNUMBER(BW160)*AND(ISNUMBER(BV160))*AND(BW160&gt;BV160), 20, 0)
  - IF(AND(BY160="Yes", ISNUMBER(BW160), BW160&gt;60), 10, 0)
))</f>
        <v/>
      </c>
      <c r="CF160" s="5" t="n"/>
      <c r="CG160" s="5" t="n"/>
      <c r="CH160" s="5" t="n"/>
      <c r="CI160" s="5" t="n"/>
      <c r="CJ160" s="5" t="n"/>
      <c r="CK160" s="5" t="n"/>
      <c r="CL160" s="5" t="n"/>
      <c r="CM160" s="5" t="n"/>
      <c r="CN160" s="5" t="n"/>
      <c r="CO160" s="5" t="n"/>
      <c r="CP160" s="5" t="n"/>
      <c r="CQ160" s="5" t="n"/>
      <c r="CR160" s="5">
        <f>COUNTIF(CJ160:CQ160,"FAIL")</f>
        <v/>
      </c>
      <c r="CS160" s="5">
        <f>COUNTIF(CJ160:CQ160,"PARTIAL")</f>
        <v/>
      </c>
      <c r="CT160" s="5">
        <f>COUNTIF(CJ160:CQ160,"MISSING")</f>
        <v/>
      </c>
      <c r="CU160" s="5">
        <f>MIN(100,
  CR160*15
  + CS160*6
  + CT160*3
  + IFERROR(_xlfn.XLOOKUP(CW160,'Lookup Tables'!$M$21:$M$25,'Lookup Tables'!$N$21:$N$25,0),0)
)</f>
        <v/>
      </c>
      <c r="CV160" s="5">
        <f>IFERROR(
CHOOSE(
MATCH("FAIL",CJ160:CQ160,0),
"1-Specificity","2-Metric","3-Baseline","4-Target",
"5-Time Horizon","6-Scope","7-Verification","8-Consistency"
),
IFERROR(
CHOOSE(
MATCH("PARTIAL",CJ160:CQ160,0),
"1-Specificity","2-Metric","3-Baseline","4-Target",
"5-Time Horizon","6-Scope","7-Verification","8-Consistency"
),
"No failures"
)
)</f>
        <v/>
      </c>
      <c r="CW160" s="5" t="n"/>
      <c r="CX160" s="5" t="n"/>
      <c r="CY160" s="5" t="n"/>
      <c r="CZ160" s="5" t="n"/>
      <c r="DA160" s="5">
        <f>IF(OR(CU160&gt;=50,CW160="Material",CW160="Severe",AS160="Material",AS160="Severe",BF160="Material",BF160="Severe — Exclusion Trigger",AND(ISNUMBER(BS160),BS160&lt;30)),"Yes","No")</f>
        <v/>
      </c>
      <c r="DB160" s="5">
        <f>IF(OR(CR160&gt;=6,AW160="Confirmed Violation",AX160="Confirmed Breach"),"Yes — Automatic",IF(CW160="Severe","Yes — Requires Captain Confirmation","No"))</f>
        <v/>
      </c>
      <c r="DC160" s="5" t="n"/>
      <c r="DD160" s="5" t="n"/>
      <c r="DE160" s="5" t="n"/>
      <c r="DF160" s="5" t="n"/>
      <c r="DG160" s="5" t="n"/>
      <c r="DH160" s="5" t="n"/>
      <c r="DI160" s="5" t="n"/>
      <c r="DJ160" s="5" t="n"/>
      <c r="DK160" s="5" t="n"/>
      <c r="DL160" s="5">
        <f>IF(OR(IFERROR(VALUE(LEFT(DF160,1)),99)&lt;=2,IFERROR(VALUE(LEFT(DG160,1)),99)&lt;=2),"Flagged","Clear")</f>
        <v/>
      </c>
      <c r="DM160" s="5">
        <f>IF(OR(DA160="Yes",DB160&lt;&gt;"No",DH160="Unverified",DL160="Flagged"),"Yes","No")</f>
        <v/>
      </c>
      <c r="DN160" s="5">
        <f t="array" ref="DN160">MIN(100,
  IF(ISNUMBER(V160), _xlfn.IFS(V160&gt;=3,25, V160=2,15, V160=1,5, TRUE,0), 0)
  + IFERROR(_xlfn.IFS(VALUE(LEFT(DF160,1))=5,25, VALUE(LEFT(DF160,1))=4,20, VALUE(LEFT(DF160,1))=3,15, VALUE(LEFT(DF160,1))=2,8, TRUE,0), 15)
  + IFERROR(_xlfn.IFS(VALUE(LEFT(DG160,1))=5,25, VALUE(LEFT(DG160,1))=4,20, VALUE(LEFT(DG160,1))=3,15, VALUE(LEFT(DG160,1))=2,8, TRUE,0), 15)
  + _xlfn.IFS(DH160="Fully Verified",25, DH160="Partially Verified",12, TRUE,0)
)</f>
        <v/>
      </c>
      <c r="DO160" s="5">
        <f t="array" ref="DO160">_xlfn.IFS(
  ISBLANK(AR160), "Insufficient Evidence",
  AND(AR160&gt;=65, AJ160="Approved"), "Strong",
  AR160&gt;=65, "Adequate",
  AR160&gt;=40, "Adequate",
  AR160&gt;=20, "Weak",
  TRUE, "Insufficient Evidence"
)</f>
        <v/>
      </c>
      <c r="DP160" s="5">
        <f t="array" ref="DP160">_xlfn.IFS(
  ISBLANK(BS160), "Insufficient Evidence",
  BS160&gt;=65, "Strong",
  BS160&gt;=40, "Adequate",
  BS160&gt;=20, "Weak",
  TRUE, "Insufficient Evidence"
)</f>
        <v/>
      </c>
      <c r="DQ160" s="5">
        <f t="array" ref="DQ160">_xlfn.IFS(
  ISBLANK(BE160), "Insufficient Evidence",
  OR(AW160="Confirmed Violation", AX160="Confirmed Breach"), "Severe — Hard Trigger",
  BE160&gt;=65, "Strong",
  BE160&gt;=40, "Adequate",
  BE160&gt;=20, "Weak",
  TRUE, "Insufficient Evidence"
)</f>
        <v/>
      </c>
      <c r="DR160" s="5">
        <f t="array" ref="DR160">_xlfn.IFS(
  ISBLANK(CU160), "Insufficient Evidence",
  CU160&lt;=20, "Low Risk",
  CU160&lt;=50, "Moderate Risk",
  CU160&lt;=75, "High Risk",
  TRUE, "Very High Risk"
)</f>
        <v/>
      </c>
      <c r="DS160" s="5">
        <f t="array" ref="DS160">_xlfn.IFS(
  ISBLANK(CE160), "Insufficient Evidence",
  AND(ISNUMBER(BW160),ISNUMBER(BV160),BW160&gt;BV160), "Overclaiming Risk",
  CE160&gt;=65, "Strong",
  CE160&gt;=40, "Adequate",
  TRUE, "Weak"
)</f>
        <v/>
      </c>
      <c r="DT160" s="5">
        <f>IF(DB160="Yes — Automatic",0,ROUND((IF(ISNUMBER(AR160),AR160,0)*0.3+IF(ISNUMBER(BS160),BS160,0)*0.2+IF(ISNUMBER(BE160),BE160,0)*0.2+IF(ISNUMBER(CE160),CE160,0)*0.15+(100-IF(ISNUMBER(CU160),CU160,50))*0.15)*IF(DN160&gt;=75,1,IF(DN160&gt;=50,0.9,IF(DN160&gt;=25,0.75,0.6))),1))</f>
        <v/>
      </c>
      <c r="DU160" s="5">
        <f t="array" ref="DU160">_xlfn.IFS(
  DV160="Upgraded to Clear", "Clear",
  DV160="Downgraded to Watchlist", "Watchlist",
  DV160="Downgraded to Exclusion", "Exclusion Risk",
  DB160="Yes — Automatic", "Exclusion Risk",
  OR(AW160="Confirmed Violation", AX160="Confirmed Breach"), "Exclusion Risk",
  OR(V160=0, ISBLANK(V160), DN160&lt;20), "Insufficient Evidence",
  AND(DT160&gt;=65, DA160="No", DB160="No"), "Clear",
  OR(DT160&gt;=40, DA160="Yes"), "Watchlist",
  TRUE, "Exclusion Risk"
)</f>
        <v/>
      </c>
      <c r="DV160" s="5" t="n"/>
      <c r="DW160" s="5">
        <f t="array" ref="DW160">_xlfn.IFS(
  DU160="Exclusion Risk", "Exclude — Hard Trigger",
  DU160="Insufficient Evidence", "Watchlist — Further Evidence Needed",
  DU160="Watchlist", "Watchlist — Further Evidence Needed",
  AND(DU160="Clear", DT160&gt;=80), "Include — No Conditions",
  DU160="Clear", "Include — Monitor",
  TRUE, "Watchlist — Further Evidence Needed"
)</f>
        <v/>
      </c>
      <c r="DX160" s="5" t="n"/>
      <c r="DY160" s="5" t="n"/>
      <c r="DZ160" s="5" t="n"/>
      <c r="EA160" s="5" t="n"/>
      <c r="EB160" s="5">
        <f>IF(OR(V160=0, ISBLANK(V160)), "MISSING — No sources reviewed", "")</f>
        <v/>
      </c>
      <c r="EC160" s="5">
        <f>IF(AND(NOT(ISBLANK(DC160)), ISBLANK(DE160)), "PAGE REF MISSING", "")</f>
        <v/>
      </c>
    </row>
    <row r="161" ht="18" customHeight="1" s="60">
      <c r="A161" s="5" t="inlineStr">
        <is>
          <t>Lagercrantz Group AB</t>
        </is>
      </c>
      <c r="B161" s="5" t="inlineStr">
        <is>
          <t>LG72</t>
        </is>
      </c>
      <c r="C161" s="5">
        <f>IF(ISBLANK('Universe Tracker'!D136),"",'Universe Tracker'!D136)</f>
        <v/>
      </c>
      <c r="D161" s="5" t="n"/>
      <c r="E161" s="5" t="n"/>
      <c r="F161" s="5">
        <f>IF(ISBLANK('Universe Tracker'!F136),"",'Universe Tracker'!F136)</f>
        <v/>
      </c>
      <c r="G161" s="5">
        <f>IF(ISBLANK('Universe Tracker'!G136),"",'Universe Tracker'!G136)</f>
        <v/>
      </c>
      <c r="H161" s="5" t="n"/>
      <c r="I161" s="5" t="n"/>
      <c r="J161" s="5">
        <f>IF(ISBLANK(B161),"",B161&amp;"_"&amp;C161)</f>
        <v/>
      </c>
      <c r="K161" s="5" t="n"/>
      <c r="L161" s="5" t="n"/>
      <c r="M161" s="5" t="n"/>
      <c r="N161" s="5" t="n"/>
      <c r="O161" s="5" t="n"/>
      <c r="P161" s="5" t="n"/>
      <c r="Q161" s="5" t="n"/>
      <c r="R161" s="5" t="n"/>
      <c r="S161" s="5" t="n"/>
      <c r="T161" s="5" t="n"/>
      <c r="U161" s="5" t="n"/>
      <c r="V161" s="5" t="n"/>
      <c r="W161" s="5" t="n"/>
      <c r="X161" s="5" t="n"/>
      <c r="Y161" s="5">
        <f>IF(AND(V161&gt;=2,K161="Yes",L161="Yes"),"Sufficient",IF(AND(V161&gt;=1,OR(K161="Yes",L161="Yes")),"Thin","Insufficient"))</f>
        <v/>
      </c>
      <c r="Z161" s="5" t="n"/>
      <c r="AA161" s="5" t="n"/>
      <c r="AB161" s="5" t="n"/>
      <c r="AC161" s="5" t="n"/>
      <c r="AD161" s="5" t="n"/>
      <c r="AE161" s="5" t="n"/>
      <c r="AF161" s="5" t="n"/>
      <c r="AG161" s="5" t="n"/>
      <c r="AH161" s="5" t="n"/>
      <c r="AI161" s="5" t="n"/>
      <c r="AJ161" s="5" t="n"/>
      <c r="AK161" s="5" t="n"/>
      <c r="AL161" s="5" t="n"/>
      <c r="AM161" s="5" t="n"/>
      <c r="AN161" s="5" t="n"/>
      <c r="AO161" s="5" t="n"/>
      <c r="AP161" s="5" t="n"/>
      <c r="AQ161" s="5" t="n"/>
      <c r="AR161" s="40">
        <f t="array" ref="AR161">MIN(100, MAX(0,
  IFERROR(_xlfn.XLOOKUP(AJ161,'Lookup Tables'!$A$2:$A$7,'Lookup Tables'!$B$2:$B$7,0),0)
  + IF(Z161="Yes", IF(IFERROR(_xlfn.XLOOKUP(AJ161,'Lookup Tables'!$A$2:$A$7,'Lookup Tables'!$B$2:$B$7,0),0)&lt;20, 5, 0), 0)
  + _xlfn.IFS(AB161="Yes", IF(ISNUMBER(AC161)*AND(AC161&lt;=2030),15,10), AB161="Long-term Only", 5, AB161="No", 0, TRUE, 0)
  + _xlfn.IFS(AF161="Full",10, AF161="Partial",5, AF161="Scope 2 Only",3, TRUE,0)
  + _xlfn.IFS(AG161="Yes", IF(ISNUMBER(AH161)*AND(AH161&gt;=5),10,6), AG161="Partial",4, TRUE,0)
  + _xlfn.IFS(AI161="Yes",5, AI161="Partial (material categories only)",3, TRUE,0)
  + _xlfn.IFS(AL161="Yes — Detailed",10, AL161="Yes — High Level",5, TRUE,0)
  + _xlfn.IFS(AM161="Yes — Quantified",15, AM161="Yes — Directional Only",7, TRUE,0)
  + _xlfn.IFS(AP161="Formal",5, AP161="Referenced",2, TRUE,0)
  + _xlfn.IFS(AQ161="No Issues Found",5, AQ161="Concern Identified",-5, AQ161="Severe Contradiction",-15, TRUE,0)
  + _xlfn.IFS(BC161="Reasonable Assurance",5, BC161="Limited Assurance",3, TRUE,0)
  - IF(AND(Z161="Yes", AI161="No"), 10, 0)
  - IF(AND(Z161="Yes", AM161="No"), 10, 0)
))</f>
        <v/>
      </c>
      <c r="AS161" s="5" t="n"/>
      <c r="AT161" s="5" t="n"/>
      <c r="AU161" s="5" t="n"/>
      <c r="AV161" s="5" t="n"/>
      <c r="AW161" s="5" t="n"/>
      <c r="AX161" s="5" t="n"/>
      <c r="AY161" s="5" t="n"/>
      <c r="AZ161" s="5" t="n"/>
      <c r="BA161" s="5" t="n"/>
      <c r="BB161" s="5" t="n"/>
      <c r="BC161" s="5" t="n"/>
      <c r="BD161" s="5" t="n"/>
      <c r="BE161" s="39">
        <f t="array" ref="BE161">MIN(100, MAX(0,
  IFERROR(_xlfn.XLOOKUP(AT161,'Lookup Tables'!$D$2:$D$6,'Lookup Tables'!$E$2:$E$6,0),0)
  + IFERROR(_xlfn.XLOOKUP(AV161,'Lookup Tables'!$G$2:$G$5,'Lookup Tables'!$H$2:$H$5,0),0)
  + IFERROR(_xlfn.XLOOKUP(AW161,'Lookup Tables'!$J$2:$J$5,'Lookup Tables'!$K$2:$K$5,0),0)
  + _xlfn.IFS(AX161="No Issues",10, AX161="Complaint Filed",3, AX161="Confirmed Breach",-15, TRUE,0)
  + IFERROR(_xlfn.XLOOKUP(AY161,'Lookup Tables'!$M$2:$M$6,'Lookup Tables'!$N$2:$N$6,0),0)
  + IFERROR(_xlfn.XLOOKUP(AZ161,'Lookup Tables'!$P$2:$P$6,'Lookup Tables'!$Q$2:$Q$6,0),0)
  + _xlfn.IFS(BA161="Formal Board Committee",5, BA161="Board Oversight Mentioned",2, TRUE,0)
  + _xlfn.IFS(BB161="Yes — Quantified Targets",5, BB161="Yes — Discretionary Only",2, TRUE,0)
  + _xlfn.IFS(BC161="Reasonable Assurance",5, BC161="Limited Assurance",3, BC161="Management Review Only",1, TRUE,0)
))</f>
        <v/>
      </c>
      <c r="BF161" s="5" t="n"/>
      <c r="BG161" s="5" t="n"/>
      <c r="BH161" s="5" t="n"/>
      <c r="BI161" s="5" t="n"/>
      <c r="BJ161" s="5" t="n"/>
      <c r="BK161" s="5" t="n"/>
      <c r="BL161" s="5" t="n"/>
      <c r="BM161" s="5" t="n"/>
      <c r="BN161" s="5" t="n"/>
      <c r="BO161" s="5" t="n"/>
      <c r="BP161" s="5" t="n"/>
      <c r="BQ161" s="5" t="n"/>
      <c r="BR161" s="5" t="n"/>
      <c r="BS161" s="41">
        <f t="array" ref="BS161">MIN(100, MAX(0,
  IFERROR(_xlfn.XLOOKUP(BG161,'Lookup Tables'!$A$11:$A$16,'Lookup Tables'!$B$11:$B$16,0),0)
  + IFERROR(_xlfn.XLOOKUP(BR161,'Lookup Tables'!$M$11:$M$14,'Lookup Tables'!$N$11:$N$14,0),0)
  + IFERROR(_xlfn.XLOOKUP(BQ161,'Lookup Tables'!$J$11:$J$15,'Lookup Tables'!$K$11:$K$15,0),0)
  + IFERROR(_xlfn.XLOOKUP(BH161,'Lookup Tables'!$D$11:$D$15,'Lookup Tables'!$E$11:$E$15,0),0)
  + IFERROR(_xlfn.XLOOKUP(BJ161,'Lookup Tables'!$G$11:$G$16,'Lookup Tables'!$H$11:$H$16,0),0)
  + IFERROR(_xlfn.XLOOKUP(BN161,'Lookup Tables'!$P$11:$P$15,'Lookup Tables'!$Q$11:$Q$15,0),0)
  + _xlfn.IFS(BM161="No Evidence",10, BM161="Unknown",3, BM161="Likely",0, BM161="Confirmed",-10, TRUE,3)
  + IFERROR(_xlfn.XLOOKUP(BP161,'Lookup Tables'!$J$21:$J$24,'Lookup Tables'!$K$21:$K$24,0),0)
))</f>
        <v/>
      </c>
      <c r="BT161" s="5" t="n"/>
      <c r="BU161" s="5" t="n"/>
      <c r="BV161" s="5" t="n"/>
      <c r="BW161" s="5" t="n"/>
      <c r="BX161" s="5" t="n"/>
      <c r="BY161" s="5" t="n"/>
      <c r="BZ161" s="5" t="n"/>
      <c r="CA161" s="5" t="n"/>
      <c r="CB161" s="5" t="n"/>
      <c r="CC161" s="5" t="n"/>
      <c r="CD161" s="5" t="n"/>
      <c r="CE161" s="43">
        <f t="array" ref="CE161">MIN(100, MAX(0,
  IF(ISNUMBER(BV161)*AND(BV161&gt;0), 10, 0)
  + _xlfn.IFS(BY161="Independently Verified",25, BY161="Yes",15, TRUE,0)
  + IFERROR(_xlfn.XLOOKUP(BZ161,'Lookup Tables'!$A$21:$A$24,'Lookup Tables'!$B$21:$B$24,0),0)
  + IFERROR(_xlfn.XLOOKUP(CA161,'Lookup Tables'!$D$21:$D$24,'Lookup Tables'!$E$21:$E$24,0),0)
  + _xlfn.IFS(ISNUMBER(CB161)*AND(CB161&gt;=11),15, ISNUMBER(CB161)*AND(CB161&gt;=6),10, ISNUMBER(CB161)*AND(CB161&gt;=1),5, TRUE,0)
  + IFERROR(_xlfn.XLOOKUP(CC161,'Lookup Tables'!$G$21:$G$25,'Lookup Tables'!$H$21:$H$25,0),0)
  - IF(ISNUMBER(BW161)*AND(ISNUMBER(BV161))*AND(BW161&gt;BV161), 20, 0)
  - IF(AND(BY161="Yes", ISNUMBER(BW161), BW161&gt;60), 10, 0)
))</f>
        <v/>
      </c>
      <c r="CF161" s="5" t="n"/>
      <c r="CG161" s="5" t="n"/>
      <c r="CH161" s="5" t="n"/>
      <c r="CI161" s="5" t="n"/>
      <c r="CJ161" s="5" t="n"/>
      <c r="CK161" s="5" t="n"/>
      <c r="CL161" s="5" t="n"/>
      <c r="CM161" s="5" t="n"/>
      <c r="CN161" s="5" t="n"/>
      <c r="CO161" s="5" t="n"/>
      <c r="CP161" s="5" t="n"/>
      <c r="CQ161" s="5" t="n"/>
      <c r="CR161" s="5">
        <f>COUNTIF(CJ161:CQ161,"FAIL")</f>
        <v/>
      </c>
      <c r="CS161" s="5">
        <f>COUNTIF(CJ161:CQ161,"PARTIAL")</f>
        <v/>
      </c>
      <c r="CT161" s="5">
        <f>COUNTIF(CJ161:CQ161,"MISSING")</f>
        <v/>
      </c>
      <c r="CU161" s="5">
        <f>MIN(100,
  CR161*15
  + CS161*6
  + CT161*3
  + IFERROR(_xlfn.XLOOKUP(CW161,'Lookup Tables'!$M$21:$M$25,'Lookup Tables'!$N$21:$N$25,0),0)
)</f>
        <v/>
      </c>
      <c r="CV161" s="5">
        <f>IFERROR(
CHOOSE(
MATCH("FAIL",CJ161:CQ161,0),
"1-Specificity","2-Metric","3-Baseline","4-Target",
"5-Time Horizon","6-Scope","7-Verification","8-Consistency"
),
IFERROR(
CHOOSE(
MATCH("PARTIAL",CJ161:CQ161,0),
"1-Specificity","2-Metric","3-Baseline","4-Target",
"5-Time Horizon","6-Scope","7-Verification","8-Consistency"
),
"No failures"
)
)</f>
        <v/>
      </c>
      <c r="CW161" s="5" t="n"/>
      <c r="CX161" s="5" t="n"/>
      <c r="CY161" s="5" t="n"/>
      <c r="CZ161" s="5" t="n"/>
      <c r="DA161" s="5">
        <f>IF(OR(CU161&gt;=50,CW161="Material",CW161="Severe",AS161="Material",AS161="Severe",BF161="Material",BF161="Severe — Exclusion Trigger",AND(ISNUMBER(BS161),BS161&lt;30)),"Yes","No")</f>
        <v/>
      </c>
      <c r="DB161" s="5">
        <f>IF(OR(CR161&gt;=6,AW161="Confirmed Violation",AX161="Confirmed Breach"),"Yes — Automatic",IF(CW161="Severe","Yes — Requires Captain Confirmation","No"))</f>
        <v/>
      </c>
      <c r="DC161" s="5" t="n"/>
      <c r="DD161" s="5" t="n"/>
      <c r="DE161" s="5" t="n"/>
      <c r="DF161" s="5" t="n"/>
      <c r="DG161" s="5" t="n"/>
      <c r="DH161" s="5" t="n"/>
      <c r="DI161" s="5" t="n"/>
      <c r="DJ161" s="5" t="n"/>
      <c r="DK161" s="5" t="n"/>
      <c r="DL161" s="5">
        <f>IF(OR(IFERROR(VALUE(LEFT(DF161,1)),99)&lt;=2,IFERROR(VALUE(LEFT(DG161,1)),99)&lt;=2),"Flagged","Clear")</f>
        <v/>
      </c>
      <c r="DM161" s="5">
        <f>IF(OR(DA161="Yes",DB161&lt;&gt;"No",DH161="Unverified",DL161="Flagged"),"Yes","No")</f>
        <v/>
      </c>
      <c r="DN161" s="5">
        <f t="array" ref="DN161">MIN(100,
  IF(ISNUMBER(V161), _xlfn.IFS(V161&gt;=3,25, V161=2,15, V161=1,5, TRUE,0), 0)
  + IFERROR(_xlfn.IFS(VALUE(LEFT(DF161,1))=5,25, VALUE(LEFT(DF161,1))=4,20, VALUE(LEFT(DF161,1))=3,15, VALUE(LEFT(DF161,1))=2,8, TRUE,0), 15)
  + IFERROR(_xlfn.IFS(VALUE(LEFT(DG161,1))=5,25, VALUE(LEFT(DG161,1))=4,20, VALUE(LEFT(DG161,1))=3,15, VALUE(LEFT(DG161,1))=2,8, TRUE,0), 15)
  + _xlfn.IFS(DH161="Fully Verified",25, DH161="Partially Verified",12, TRUE,0)
)</f>
        <v/>
      </c>
      <c r="DO161" s="5">
        <f t="array" ref="DO161">_xlfn.IFS(
  ISBLANK(AR161), "Insufficient Evidence",
  AND(AR161&gt;=65, AJ161="Approved"), "Strong",
  AR161&gt;=65, "Adequate",
  AR161&gt;=40, "Adequate",
  AR161&gt;=20, "Weak",
  TRUE, "Insufficient Evidence"
)</f>
        <v/>
      </c>
      <c r="DP161" s="5">
        <f t="array" ref="DP161">_xlfn.IFS(
  ISBLANK(BS161), "Insufficient Evidence",
  BS161&gt;=65, "Strong",
  BS161&gt;=40, "Adequate",
  BS161&gt;=20, "Weak",
  TRUE, "Insufficient Evidence"
)</f>
        <v/>
      </c>
      <c r="DQ161" s="5">
        <f t="array" ref="DQ161">_xlfn.IFS(
  ISBLANK(BE161), "Insufficient Evidence",
  OR(AW161="Confirmed Violation", AX161="Confirmed Breach"), "Severe — Hard Trigger",
  BE161&gt;=65, "Strong",
  BE161&gt;=40, "Adequate",
  BE161&gt;=20, "Weak",
  TRUE, "Insufficient Evidence"
)</f>
        <v/>
      </c>
      <c r="DR161" s="5">
        <f t="array" ref="DR161">_xlfn.IFS(
  ISBLANK(CU161), "Insufficient Evidence",
  CU161&lt;=20, "Low Risk",
  CU161&lt;=50, "Moderate Risk",
  CU161&lt;=75, "High Risk",
  TRUE, "Very High Risk"
)</f>
        <v/>
      </c>
      <c r="DS161" s="5">
        <f t="array" ref="DS161">_xlfn.IFS(
  ISBLANK(CE161), "Insufficient Evidence",
  AND(ISNUMBER(BW161),ISNUMBER(BV161),BW161&gt;BV161), "Overclaiming Risk",
  CE161&gt;=65, "Strong",
  CE161&gt;=40, "Adequate",
  TRUE, "Weak"
)</f>
        <v/>
      </c>
      <c r="DT161" s="5">
        <f>IF(DB161="Yes — Automatic",0,ROUND((IF(ISNUMBER(AR161),AR161,0)*0.3+IF(ISNUMBER(BS161),BS161,0)*0.2+IF(ISNUMBER(BE161),BE161,0)*0.2+IF(ISNUMBER(CE161),CE161,0)*0.15+(100-IF(ISNUMBER(CU161),CU161,50))*0.15)*IF(DN161&gt;=75,1,IF(DN161&gt;=50,0.9,IF(DN161&gt;=25,0.75,0.6))),1))</f>
        <v/>
      </c>
      <c r="DU161" s="5">
        <f t="array" ref="DU161">_xlfn.IFS(
  DV161="Upgraded to Clear", "Clear",
  DV161="Downgraded to Watchlist", "Watchlist",
  DV161="Downgraded to Exclusion", "Exclusion Risk",
  DB161="Yes — Automatic", "Exclusion Risk",
  OR(AW161="Confirmed Violation", AX161="Confirmed Breach"), "Exclusion Risk",
  OR(V161=0, ISBLANK(V161), DN161&lt;20), "Insufficient Evidence",
  AND(DT161&gt;=65, DA161="No", DB161="No"), "Clear",
  OR(DT161&gt;=40, DA161="Yes"), "Watchlist",
  TRUE, "Exclusion Risk"
)</f>
        <v/>
      </c>
      <c r="DV161" s="5" t="n"/>
      <c r="DW161" s="5">
        <f t="array" ref="DW161">_xlfn.IFS(
  DU161="Exclusion Risk", "Exclude — Hard Trigger",
  DU161="Insufficient Evidence", "Watchlist — Further Evidence Needed",
  DU161="Watchlist", "Watchlist — Further Evidence Needed",
  AND(DU161="Clear", DT161&gt;=80), "Include — No Conditions",
  DU161="Clear", "Include — Monitor",
  TRUE, "Watchlist — Further Evidence Needed"
)</f>
        <v/>
      </c>
      <c r="DX161" s="5" t="n"/>
      <c r="DY161" s="5" t="n"/>
      <c r="DZ161" s="5" t="n"/>
      <c r="EA161" s="5" t="n"/>
      <c r="EB161" s="5">
        <f>IF(OR(V161=0, ISBLANK(V161)), "MISSING — No sources reviewed", "")</f>
        <v/>
      </c>
      <c r="EC161" s="5">
        <f>IF(AND(NOT(ISBLANK(DC161)), ISBLANK(DE161)), "PAGE REF MISSING", "")</f>
        <v/>
      </c>
    </row>
    <row r="162" ht="18" customHeight="1" s="60">
      <c r="A162" s="5" t="inlineStr">
        <is>
          <t>RWE AG</t>
        </is>
      </c>
      <c r="B162" s="5" t="inlineStr">
        <is>
          <t>RWE</t>
        </is>
      </c>
      <c r="C162" s="5">
        <f>IF(ISBLANK('Universe Tracker'!D137),"",'Universe Tracker'!D137)</f>
        <v/>
      </c>
      <c r="D162" s="5" t="n"/>
      <c r="E162" s="5" t="n"/>
      <c r="F162" s="5">
        <f>IF(ISBLANK('Universe Tracker'!F137),"",'Universe Tracker'!F137)</f>
        <v/>
      </c>
      <c r="G162" s="5">
        <f>IF(ISBLANK('Universe Tracker'!G137),"",'Universe Tracker'!G137)</f>
        <v/>
      </c>
      <c r="H162" s="5" t="n"/>
      <c r="I162" s="5" t="n"/>
      <c r="J162" s="5">
        <f>IF(ISBLANK(B162),"",B162&amp;"_"&amp;C162)</f>
        <v/>
      </c>
      <c r="K162" s="5" t="n"/>
      <c r="L162" s="5" t="n"/>
      <c r="M162" s="5" t="n"/>
      <c r="N162" s="5" t="n"/>
      <c r="O162" s="5" t="n"/>
      <c r="P162" s="5" t="n"/>
      <c r="Q162" s="5" t="n"/>
      <c r="R162" s="5" t="n"/>
      <c r="S162" s="5" t="n"/>
      <c r="T162" s="5" t="n"/>
      <c r="U162" s="5" t="n"/>
      <c r="V162" s="5" t="n"/>
      <c r="W162" s="5" t="n"/>
      <c r="X162" s="5" t="n"/>
      <c r="Y162" s="5">
        <f>IF(AND(V162&gt;=2,K162="Yes",L162="Yes"),"Sufficient",IF(AND(V162&gt;=1,OR(K162="Yes",L162="Yes")),"Thin","Insufficient"))</f>
        <v/>
      </c>
      <c r="Z162" s="5" t="n"/>
      <c r="AA162" s="5" t="n"/>
      <c r="AB162" s="5" t="n"/>
      <c r="AC162" s="5" t="n"/>
      <c r="AD162" s="5" t="n"/>
      <c r="AE162" s="5" t="n"/>
      <c r="AF162" s="5" t="n"/>
      <c r="AG162" s="5" t="n"/>
      <c r="AH162" s="5" t="n"/>
      <c r="AI162" s="5" t="n"/>
      <c r="AJ162" s="5" t="n"/>
      <c r="AK162" s="5" t="n"/>
      <c r="AL162" s="5" t="n"/>
      <c r="AM162" s="5" t="n"/>
      <c r="AN162" s="5" t="n"/>
      <c r="AO162" s="5" t="n"/>
      <c r="AP162" s="5" t="n"/>
      <c r="AQ162" s="5" t="n"/>
      <c r="AR162" s="40">
        <f t="array" ref="AR162">MIN(100, MAX(0,
  IFERROR(_xlfn.XLOOKUP(AJ162,'Lookup Tables'!$A$2:$A$7,'Lookup Tables'!$B$2:$B$7,0),0)
  + IF(Z162="Yes", IF(IFERROR(_xlfn.XLOOKUP(AJ162,'Lookup Tables'!$A$2:$A$7,'Lookup Tables'!$B$2:$B$7,0),0)&lt;20, 5, 0), 0)
  + _xlfn.IFS(AB162="Yes", IF(ISNUMBER(AC162)*AND(AC162&lt;=2030),15,10), AB162="Long-term Only", 5, AB162="No", 0, TRUE, 0)
  + _xlfn.IFS(AF162="Full",10, AF162="Partial",5, AF162="Scope 2 Only",3, TRUE,0)
  + _xlfn.IFS(AG162="Yes", IF(ISNUMBER(AH162)*AND(AH162&gt;=5),10,6), AG162="Partial",4, TRUE,0)
  + _xlfn.IFS(AI162="Yes",5, AI162="Partial (material categories only)",3, TRUE,0)
  + _xlfn.IFS(AL162="Yes — Detailed",10, AL162="Yes — High Level",5, TRUE,0)
  + _xlfn.IFS(AM162="Yes — Quantified",15, AM162="Yes — Directional Only",7, TRUE,0)
  + _xlfn.IFS(AP162="Formal",5, AP162="Referenced",2, TRUE,0)
  + _xlfn.IFS(AQ162="No Issues Found",5, AQ162="Concern Identified",-5, AQ162="Severe Contradiction",-15, TRUE,0)
  + _xlfn.IFS(BC162="Reasonable Assurance",5, BC162="Limited Assurance",3, TRUE,0)
  - IF(AND(Z162="Yes", AI162="No"), 10, 0)
  - IF(AND(Z162="Yes", AM162="No"), 10, 0)
))</f>
        <v/>
      </c>
      <c r="AS162" s="5" t="n"/>
      <c r="AT162" s="5" t="n"/>
      <c r="AU162" s="5" t="n"/>
      <c r="AV162" s="5" t="n"/>
      <c r="AW162" s="5" t="n"/>
      <c r="AX162" s="5" t="n"/>
      <c r="AY162" s="5" t="n"/>
      <c r="AZ162" s="5" t="n"/>
      <c r="BA162" s="5" t="n"/>
      <c r="BB162" s="5" t="n"/>
      <c r="BC162" s="5" t="n"/>
      <c r="BD162" s="5" t="n"/>
      <c r="BE162" s="39">
        <f t="array" ref="BE162">MIN(100, MAX(0,
  IFERROR(_xlfn.XLOOKUP(AT162,'Lookup Tables'!$D$2:$D$6,'Lookup Tables'!$E$2:$E$6,0),0)
  + IFERROR(_xlfn.XLOOKUP(AV162,'Lookup Tables'!$G$2:$G$5,'Lookup Tables'!$H$2:$H$5,0),0)
  + IFERROR(_xlfn.XLOOKUP(AW162,'Lookup Tables'!$J$2:$J$5,'Lookup Tables'!$K$2:$K$5,0),0)
  + _xlfn.IFS(AX162="No Issues",10, AX162="Complaint Filed",3, AX162="Confirmed Breach",-15, TRUE,0)
  + IFERROR(_xlfn.XLOOKUP(AY162,'Lookup Tables'!$M$2:$M$6,'Lookup Tables'!$N$2:$N$6,0),0)
  + IFERROR(_xlfn.XLOOKUP(AZ162,'Lookup Tables'!$P$2:$P$6,'Lookup Tables'!$Q$2:$Q$6,0),0)
  + _xlfn.IFS(BA162="Formal Board Committee",5, BA162="Board Oversight Mentioned",2, TRUE,0)
  + _xlfn.IFS(BB162="Yes — Quantified Targets",5, BB162="Yes — Discretionary Only",2, TRUE,0)
  + _xlfn.IFS(BC162="Reasonable Assurance",5, BC162="Limited Assurance",3, BC162="Management Review Only",1, TRUE,0)
))</f>
        <v/>
      </c>
      <c r="BF162" s="5" t="n"/>
      <c r="BG162" s="5" t="n"/>
      <c r="BH162" s="5" t="n"/>
      <c r="BI162" s="5" t="n"/>
      <c r="BJ162" s="5" t="n"/>
      <c r="BK162" s="5" t="n"/>
      <c r="BL162" s="5" t="n"/>
      <c r="BM162" s="5" t="n"/>
      <c r="BN162" s="5" t="n"/>
      <c r="BO162" s="5" t="n"/>
      <c r="BP162" s="5" t="n"/>
      <c r="BQ162" s="5" t="n"/>
      <c r="BR162" s="5" t="n"/>
      <c r="BS162" s="41">
        <f t="array" ref="BS162">MIN(100, MAX(0,
  IFERROR(_xlfn.XLOOKUP(BG162,'Lookup Tables'!$A$11:$A$16,'Lookup Tables'!$B$11:$B$16,0),0)
  + IFERROR(_xlfn.XLOOKUP(BR162,'Lookup Tables'!$M$11:$M$14,'Lookup Tables'!$N$11:$N$14,0),0)
  + IFERROR(_xlfn.XLOOKUP(BQ162,'Lookup Tables'!$J$11:$J$15,'Lookup Tables'!$K$11:$K$15,0),0)
  + IFERROR(_xlfn.XLOOKUP(BH162,'Lookup Tables'!$D$11:$D$15,'Lookup Tables'!$E$11:$E$15,0),0)
  + IFERROR(_xlfn.XLOOKUP(BJ162,'Lookup Tables'!$G$11:$G$16,'Lookup Tables'!$H$11:$H$16,0),0)
  + IFERROR(_xlfn.XLOOKUP(BN162,'Lookup Tables'!$P$11:$P$15,'Lookup Tables'!$Q$11:$Q$15,0),0)
  + _xlfn.IFS(BM162="No Evidence",10, BM162="Unknown",3, BM162="Likely",0, BM162="Confirmed",-10, TRUE,3)
  + IFERROR(_xlfn.XLOOKUP(BP162,'Lookup Tables'!$J$21:$J$24,'Lookup Tables'!$K$21:$K$24,0),0)
))</f>
        <v/>
      </c>
      <c r="BT162" s="5" t="n"/>
      <c r="BU162" s="5" t="n"/>
      <c r="BV162" s="5" t="n"/>
      <c r="BW162" s="5" t="n"/>
      <c r="BX162" s="5" t="n"/>
      <c r="BY162" s="5" t="n"/>
      <c r="BZ162" s="5" t="n"/>
      <c r="CA162" s="5" t="n"/>
      <c r="CB162" s="5" t="n"/>
      <c r="CC162" s="5" t="n"/>
      <c r="CD162" s="5" t="n"/>
      <c r="CE162" s="43">
        <f t="array" ref="CE162">MIN(100, MAX(0,
  IF(ISNUMBER(BV162)*AND(BV162&gt;0), 10, 0)
  + _xlfn.IFS(BY162="Independently Verified",25, BY162="Yes",15, TRUE,0)
  + IFERROR(_xlfn.XLOOKUP(BZ162,'Lookup Tables'!$A$21:$A$24,'Lookup Tables'!$B$21:$B$24,0),0)
  + IFERROR(_xlfn.XLOOKUP(CA162,'Lookup Tables'!$D$21:$D$24,'Lookup Tables'!$E$21:$E$24,0),0)
  + _xlfn.IFS(ISNUMBER(CB162)*AND(CB162&gt;=11),15, ISNUMBER(CB162)*AND(CB162&gt;=6),10, ISNUMBER(CB162)*AND(CB162&gt;=1),5, TRUE,0)
  + IFERROR(_xlfn.XLOOKUP(CC162,'Lookup Tables'!$G$21:$G$25,'Lookup Tables'!$H$21:$H$25,0),0)
  - IF(ISNUMBER(BW162)*AND(ISNUMBER(BV162))*AND(BW162&gt;BV162), 20, 0)
  - IF(AND(BY162="Yes", ISNUMBER(BW162), BW162&gt;60), 10, 0)
))</f>
        <v/>
      </c>
      <c r="CF162" s="5" t="n"/>
      <c r="CG162" s="5" t="n"/>
      <c r="CH162" s="5" t="n"/>
      <c r="CI162" s="5" t="n"/>
      <c r="CJ162" s="5" t="n"/>
      <c r="CK162" s="5" t="n"/>
      <c r="CL162" s="5" t="n"/>
      <c r="CM162" s="5" t="n"/>
      <c r="CN162" s="5" t="n"/>
      <c r="CO162" s="5" t="n"/>
      <c r="CP162" s="5" t="n"/>
      <c r="CQ162" s="5" t="n"/>
      <c r="CR162" s="5">
        <f>COUNTIF(CJ162:CQ162,"FAIL")</f>
        <v/>
      </c>
      <c r="CS162" s="5">
        <f>COUNTIF(CJ162:CQ162,"PARTIAL")</f>
        <v/>
      </c>
      <c r="CT162" s="5">
        <f>COUNTIF(CJ162:CQ162,"MISSING")</f>
        <v/>
      </c>
      <c r="CU162" s="5">
        <f>MIN(100,
  CR162*15
  + CS162*6
  + CT162*3
  + IFERROR(_xlfn.XLOOKUP(CW162,'Lookup Tables'!$M$21:$M$25,'Lookup Tables'!$N$21:$N$25,0),0)
)</f>
        <v/>
      </c>
      <c r="CV162" s="5">
        <f>IFERROR(
CHOOSE(
MATCH("FAIL",CJ162:CQ162,0),
"1-Specificity","2-Metric","3-Baseline","4-Target",
"5-Time Horizon","6-Scope","7-Verification","8-Consistency"
),
IFERROR(
CHOOSE(
MATCH("PARTIAL",CJ162:CQ162,0),
"1-Specificity","2-Metric","3-Baseline","4-Target",
"5-Time Horizon","6-Scope","7-Verification","8-Consistency"
),
"No failures"
)
)</f>
        <v/>
      </c>
      <c r="CW162" s="5" t="n"/>
      <c r="CX162" s="5" t="n"/>
      <c r="CY162" s="5" t="n"/>
      <c r="CZ162" s="5" t="n"/>
      <c r="DA162" s="5">
        <f>IF(OR(CU162&gt;=50,CW162="Material",CW162="Severe",AS162="Material",AS162="Severe",BF162="Material",BF162="Severe — Exclusion Trigger",AND(ISNUMBER(BS162),BS162&lt;30)),"Yes","No")</f>
        <v/>
      </c>
      <c r="DB162" s="5">
        <f>IF(OR(CR162&gt;=6,AW162="Confirmed Violation",AX162="Confirmed Breach"),"Yes — Automatic",IF(CW162="Severe","Yes — Requires Captain Confirmation","No"))</f>
        <v/>
      </c>
      <c r="DC162" s="5" t="n"/>
      <c r="DD162" s="5" t="n"/>
      <c r="DE162" s="5" t="n"/>
      <c r="DF162" s="5" t="n"/>
      <c r="DG162" s="5" t="n"/>
      <c r="DH162" s="5" t="n"/>
      <c r="DI162" s="5" t="n"/>
      <c r="DJ162" s="5" t="n"/>
      <c r="DK162" s="5" t="n"/>
      <c r="DL162" s="5">
        <f>IF(OR(IFERROR(VALUE(LEFT(DF162,1)),99)&lt;=2,IFERROR(VALUE(LEFT(DG162,1)),99)&lt;=2),"Flagged","Clear")</f>
        <v/>
      </c>
      <c r="DM162" s="5">
        <f>IF(OR(DA162="Yes",DB162&lt;&gt;"No",DH162="Unverified",DL162="Flagged"),"Yes","No")</f>
        <v/>
      </c>
      <c r="DN162" s="5">
        <f t="array" ref="DN162">MIN(100,
  IF(ISNUMBER(V162), _xlfn.IFS(V162&gt;=3,25, V162=2,15, V162=1,5, TRUE,0), 0)
  + IFERROR(_xlfn.IFS(VALUE(LEFT(DF162,1))=5,25, VALUE(LEFT(DF162,1))=4,20, VALUE(LEFT(DF162,1))=3,15, VALUE(LEFT(DF162,1))=2,8, TRUE,0), 15)
  + IFERROR(_xlfn.IFS(VALUE(LEFT(DG162,1))=5,25, VALUE(LEFT(DG162,1))=4,20, VALUE(LEFT(DG162,1))=3,15, VALUE(LEFT(DG162,1))=2,8, TRUE,0), 15)
  + _xlfn.IFS(DH162="Fully Verified",25, DH162="Partially Verified",12, TRUE,0)
)</f>
        <v/>
      </c>
      <c r="DO162" s="5">
        <f t="array" ref="DO162">_xlfn.IFS(
  ISBLANK(AR162), "Insufficient Evidence",
  AND(AR162&gt;=65, AJ162="Approved"), "Strong",
  AR162&gt;=65, "Adequate",
  AR162&gt;=40, "Adequate",
  AR162&gt;=20, "Weak",
  TRUE, "Insufficient Evidence"
)</f>
        <v/>
      </c>
      <c r="DP162" s="5">
        <f t="array" ref="DP162">_xlfn.IFS(
  ISBLANK(BS162), "Insufficient Evidence",
  BS162&gt;=65, "Strong",
  BS162&gt;=40, "Adequate",
  BS162&gt;=20, "Weak",
  TRUE, "Insufficient Evidence"
)</f>
        <v/>
      </c>
      <c r="DQ162" s="5">
        <f t="array" ref="DQ162">_xlfn.IFS(
  ISBLANK(BE162), "Insufficient Evidence",
  OR(AW162="Confirmed Violation", AX162="Confirmed Breach"), "Severe — Hard Trigger",
  BE162&gt;=65, "Strong",
  BE162&gt;=40, "Adequate",
  BE162&gt;=20, "Weak",
  TRUE, "Insufficient Evidence"
)</f>
        <v/>
      </c>
      <c r="DR162" s="5">
        <f t="array" ref="DR162">_xlfn.IFS(
  ISBLANK(CU162), "Insufficient Evidence",
  CU162&lt;=20, "Low Risk",
  CU162&lt;=50, "Moderate Risk",
  CU162&lt;=75, "High Risk",
  TRUE, "Very High Risk"
)</f>
        <v/>
      </c>
      <c r="DS162" s="5">
        <f t="array" ref="DS162">_xlfn.IFS(
  ISBLANK(CE162), "Insufficient Evidence",
  AND(ISNUMBER(BW162),ISNUMBER(BV162),BW162&gt;BV162), "Overclaiming Risk",
  CE162&gt;=65, "Strong",
  CE162&gt;=40, "Adequate",
  TRUE, "Weak"
)</f>
        <v/>
      </c>
      <c r="DT162" s="5">
        <f>IF(DB162="Yes — Automatic",0,ROUND((IF(ISNUMBER(AR162),AR162,0)*0.3+IF(ISNUMBER(BS162),BS162,0)*0.2+IF(ISNUMBER(BE162),BE162,0)*0.2+IF(ISNUMBER(CE162),CE162,0)*0.15+(100-IF(ISNUMBER(CU162),CU162,50))*0.15)*IF(DN162&gt;=75,1,IF(DN162&gt;=50,0.9,IF(DN162&gt;=25,0.75,0.6))),1))</f>
        <v/>
      </c>
      <c r="DU162" s="5">
        <f t="array" ref="DU162">_xlfn.IFS(
  DV162="Upgraded to Clear", "Clear",
  DV162="Downgraded to Watchlist", "Watchlist",
  DV162="Downgraded to Exclusion", "Exclusion Risk",
  DB162="Yes — Automatic", "Exclusion Risk",
  OR(AW162="Confirmed Violation", AX162="Confirmed Breach"), "Exclusion Risk",
  OR(V162=0, ISBLANK(V162), DN162&lt;20), "Insufficient Evidence",
  AND(DT162&gt;=65, DA162="No", DB162="No"), "Clear",
  OR(DT162&gt;=40, DA162="Yes"), "Watchlist",
  TRUE, "Exclusion Risk"
)</f>
        <v/>
      </c>
      <c r="DV162" s="5" t="n"/>
      <c r="DW162" s="5">
        <f t="array" ref="DW162">_xlfn.IFS(
  DU162="Exclusion Risk", "Exclude — Hard Trigger",
  DU162="Insufficient Evidence", "Watchlist — Further Evidence Needed",
  DU162="Watchlist", "Watchlist — Further Evidence Needed",
  AND(DU162="Clear", DT162&gt;=80), "Include — No Conditions",
  DU162="Clear", "Include — Monitor",
  TRUE, "Watchlist — Further Evidence Needed"
)</f>
        <v/>
      </c>
      <c r="DX162" s="5" t="n"/>
      <c r="DY162" s="5" t="n"/>
      <c r="DZ162" s="5" t="n"/>
      <c r="EA162" s="5" t="n"/>
      <c r="EB162" s="5">
        <f>IF(OR(V162=0, ISBLANK(V162)), "MISSING — No sources reviewed", "")</f>
        <v/>
      </c>
      <c r="EC162" s="5">
        <f>IF(AND(NOT(ISBLANK(DC162)), ISBLANK(DE162)), "PAGE REF MISSING", "")</f>
        <v/>
      </c>
    </row>
    <row r="163" ht="18" customHeight="1" s="60">
      <c r="A163" s="5" t="inlineStr">
        <is>
          <t>Engie SA</t>
        </is>
      </c>
      <c r="B163" s="5" t="inlineStr">
        <is>
          <t>GZF</t>
        </is>
      </c>
      <c r="C163" s="5">
        <f>IF(ISBLANK('Universe Tracker'!D138),"",'Universe Tracker'!D138)</f>
        <v/>
      </c>
      <c r="D163" s="5" t="n"/>
      <c r="E163" s="5" t="n"/>
      <c r="F163" s="5">
        <f>IF(ISBLANK('Universe Tracker'!F138),"",'Universe Tracker'!F138)</f>
        <v/>
      </c>
      <c r="G163" s="5">
        <f>IF(ISBLANK('Universe Tracker'!G138),"",'Universe Tracker'!G138)</f>
        <v/>
      </c>
      <c r="H163" s="5" t="n"/>
      <c r="I163" s="5" t="n"/>
      <c r="J163" s="5">
        <f>IF(ISBLANK(B163),"",B163&amp;"_"&amp;C163)</f>
        <v/>
      </c>
      <c r="K163" s="5" t="n"/>
      <c r="L163" s="5" t="n"/>
      <c r="M163" s="5" t="n"/>
      <c r="N163" s="5" t="n"/>
      <c r="O163" s="5" t="n"/>
      <c r="P163" s="5" t="n"/>
      <c r="Q163" s="5" t="n"/>
      <c r="R163" s="5" t="n"/>
      <c r="S163" s="5" t="n"/>
      <c r="T163" s="5" t="n"/>
      <c r="U163" s="5" t="n"/>
      <c r="V163" s="5" t="n"/>
      <c r="W163" s="5" t="n"/>
      <c r="X163" s="5" t="n"/>
      <c r="Y163" s="5">
        <f>IF(AND(V163&gt;=2,K163="Yes",L163="Yes"),"Sufficient",IF(AND(V163&gt;=1,OR(K163="Yes",L163="Yes")),"Thin","Insufficient"))</f>
        <v/>
      </c>
      <c r="Z163" s="5" t="n"/>
      <c r="AA163" s="5" t="n"/>
      <c r="AB163" s="5" t="n"/>
      <c r="AC163" s="5" t="n"/>
      <c r="AD163" s="5" t="n"/>
      <c r="AE163" s="5" t="n"/>
      <c r="AF163" s="5" t="n"/>
      <c r="AG163" s="5" t="n"/>
      <c r="AH163" s="5" t="n"/>
      <c r="AI163" s="5" t="n"/>
      <c r="AJ163" s="5" t="n"/>
      <c r="AK163" s="5" t="n"/>
      <c r="AL163" s="5" t="n"/>
      <c r="AM163" s="5" t="n"/>
      <c r="AN163" s="5" t="n"/>
      <c r="AO163" s="5" t="n"/>
      <c r="AP163" s="5" t="n"/>
      <c r="AQ163" s="5" t="n"/>
      <c r="AR163" s="40">
        <f t="array" ref="AR163">MIN(100, MAX(0,
  IFERROR(_xlfn.XLOOKUP(AJ163,'Lookup Tables'!$A$2:$A$7,'Lookup Tables'!$B$2:$B$7,0),0)
  + IF(Z163="Yes", IF(IFERROR(_xlfn.XLOOKUP(AJ163,'Lookup Tables'!$A$2:$A$7,'Lookup Tables'!$B$2:$B$7,0),0)&lt;20, 5, 0), 0)
  + _xlfn.IFS(AB163="Yes", IF(ISNUMBER(AC163)*AND(AC163&lt;=2030),15,10), AB163="Long-term Only", 5, AB163="No", 0, TRUE, 0)
  + _xlfn.IFS(AF163="Full",10, AF163="Partial",5, AF163="Scope 2 Only",3, TRUE,0)
  + _xlfn.IFS(AG163="Yes", IF(ISNUMBER(AH163)*AND(AH163&gt;=5),10,6), AG163="Partial",4, TRUE,0)
  + _xlfn.IFS(AI163="Yes",5, AI163="Partial (material categories only)",3, TRUE,0)
  + _xlfn.IFS(AL163="Yes — Detailed",10, AL163="Yes — High Level",5, TRUE,0)
  + _xlfn.IFS(AM163="Yes — Quantified",15, AM163="Yes — Directional Only",7, TRUE,0)
  + _xlfn.IFS(AP163="Formal",5, AP163="Referenced",2, TRUE,0)
  + _xlfn.IFS(AQ163="No Issues Found",5, AQ163="Concern Identified",-5, AQ163="Severe Contradiction",-15, TRUE,0)
  + _xlfn.IFS(BC163="Reasonable Assurance",5, BC163="Limited Assurance",3, TRUE,0)
  - IF(AND(Z163="Yes", AI163="No"), 10, 0)
  - IF(AND(Z163="Yes", AM163="No"), 10, 0)
))</f>
        <v/>
      </c>
      <c r="AS163" s="5" t="n"/>
      <c r="AT163" s="5" t="n"/>
      <c r="AU163" s="5" t="n"/>
      <c r="AV163" s="5" t="n"/>
      <c r="AW163" s="5" t="n"/>
      <c r="AX163" s="5" t="n"/>
      <c r="AY163" s="5" t="n"/>
      <c r="AZ163" s="5" t="n"/>
      <c r="BA163" s="5" t="n"/>
      <c r="BB163" s="5" t="n"/>
      <c r="BC163" s="5" t="n"/>
      <c r="BD163" s="5" t="n"/>
      <c r="BE163" s="39">
        <f t="array" ref="BE163">MIN(100, MAX(0,
  IFERROR(_xlfn.XLOOKUP(AT163,'Lookup Tables'!$D$2:$D$6,'Lookup Tables'!$E$2:$E$6,0),0)
  + IFERROR(_xlfn.XLOOKUP(AV163,'Lookup Tables'!$G$2:$G$5,'Lookup Tables'!$H$2:$H$5,0),0)
  + IFERROR(_xlfn.XLOOKUP(AW163,'Lookup Tables'!$J$2:$J$5,'Lookup Tables'!$K$2:$K$5,0),0)
  + _xlfn.IFS(AX163="No Issues",10, AX163="Complaint Filed",3, AX163="Confirmed Breach",-15, TRUE,0)
  + IFERROR(_xlfn.XLOOKUP(AY163,'Lookup Tables'!$M$2:$M$6,'Lookup Tables'!$N$2:$N$6,0),0)
  + IFERROR(_xlfn.XLOOKUP(AZ163,'Lookup Tables'!$P$2:$P$6,'Lookup Tables'!$Q$2:$Q$6,0),0)
  + _xlfn.IFS(BA163="Formal Board Committee",5, BA163="Board Oversight Mentioned",2, TRUE,0)
  + _xlfn.IFS(BB163="Yes — Quantified Targets",5, BB163="Yes — Discretionary Only",2, TRUE,0)
  + _xlfn.IFS(BC163="Reasonable Assurance",5, BC163="Limited Assurance",3, BC163="Management Review Only",1, TRUE,0)
))</f>
        <v/>
      </c>
      <c r="BF163" s="5" t="n"/>
      <c r="BG163" s="5" t="n"/>
      <c r="BH163" s="5" t="n"/>
      <c r="BI163" s="5" t="n"/>
      <c r="BJ163" s="5" t="n"/>
      <c r="BK163" s="5" t="n"/>
      <c r="BL163" s="5" t="n"/>
      <c r="BM163" s="5" t="n"/>
      <c r="BN163" s="5" t="n"/>
      <c r="BO163" s="5" t="n"/>
      <c r="BP163" s="5" t="n"/>
      <c r="BQ163" s="5" t="n"/>
      <c r="BR163" s="5" t="n"/>
      <c r="BS163" s="41">
        <f t="array" ref="BS163">MIN(100, MAX(0,
  IFERROR(_xlfn.XLOOKUP(BG163,'Lookup Tables'!$A$11:$A$16,'Lookup Tables'!$B$11:$B$16,0),0)
  + IFERROR(_xlfn.XLOOKUP(BR163,'Lookup Tables'!$M$11:$M$14,'Lookup Tables'!$N$11:$N$14,0),0)
  + IFERROR(_xlfn.XLOOKUP(BQ163,'Lookup Tables'!$J$11:$J$15,'Lookup Tables'!$K$11:$K$15,0),0)
  + IFERROR(_xlfn.XLOOKUP(BH163,'Lookup Tables'!$D$11:$D$15,'Lookup Tables'!$E$11:$E$15,0),0)
  + IFERROR(_xlfn.XLOOKUP(BJ163,'Lookup Tables'!$G$11:$G$16,'Lookup Tables'!$H$11:$H$16,0),0)
  + IFERROR(_xlfn.XLOOKUP(BN163,'Lookup Tables'!$P$11:$P$15,'Lookup Tables'!$Q$11:$Q$15,0),0)
  + _xlfn.IFS(BM163="No Evidence",10, BM163="Unknown",3, BM163="Likely",0, BM163="Confirmed",-10, TRUE,3)
  + IFERROR(_xlfn.XLOOKUP(BP163,'Lookup Tables'!$J$21:$J$24,'Lookup Tables'!$K$21:$K$24,0),0)
))</f>
        <v/>
      </c>
      <c r="BT163" s="5" t="n"/>
      <c r="BU163" s="5" t="n"/>
      <c r="BV163" s="5" t="n"/>
      <c r="BW163" s="5" t="n"/>
      <c r="BX163" s="5" t="n"/>
      <c r="BY163" s="5" t="n"/>
      <c r="BZ163" s="5" t="n"/>
      <c r="CA163" s="5" t="n"/>
      <c r="CB163" s="5" t="n"/>
      <c r="CC163" s="5" t="n"/>
      <c r="CD163" s="5" t="n"/>
      <c r="CE163" s="43">
        <f t="array" ref="CE163">MIN(100, MAX(0,
  IF(ISNUMBER(BV163)*AND(BV163&gt;0), 10, 0)
  + _xlfn.IFS(BY163="Independently Verified",25, BY163="Yes",15, TRUE,0)
  + IFERROR(_xlfn.XLOOKUP(BZ163,'Lookup Tables'!$A$21:$A$24,'Lookup Tables'!$B$21:$B$24,0),0)
  + IFERROR(_xlfn.XLOOKUP(CA163,'Lookup Tables'!$D$21:$D$24,'Lookup Tables'!$E$21:$E$24,0),0)
  + _xlfn.IFS(ISNUMBER(CB163)*AND(CB163&gt;=11),15, ISNUMBER(CB163)*AND(CB163&gt;=6),10, ISNUMBER(CB163)*AND(CB163&gt;=1),5, TRUE,0)
  + IFERROR(_xlfn.XLOOKUP(CC163,'Lookup Tables'!$G$21:$G$25,'Lookup Tables'!$H$21:$H$25,0),0)
  - IF(ISNUMBER(BW163)*AND(ISNUMBER(BV163))*AND(BW163&gt;BV163), 20, 0)
  - IF(AND(BY163="Yes", ISNUMBER(BW163), BW163&gt;60), 10, 0)
))</f>
        <v/>
      </c>
      <c r="CF163" s="5" t="n"/>
      <c r="CG163" s="5" t="n"/>
      <c r="CH163" s="5" t="n"/>
      <c r="CI163" s="5" t="n"/>
      <c r="CJ163" s="5" t="n"/>
      <c r="CK163" s="5" t="n"/>
      <c r="CL163" s="5" t="n"/>
      <c r="CM163" s="5" t="n"/>
      <c r="CN163" s="5" t="n"/>
      <c r="CO163" s="5" t="n"/>
      <c r="CP163" s="5" t="n"/>
      <c r="CQ163" s="5" t="n"/>
      <c r="CR163" s="5">
        <f>COUNTIF(CJ163:CQ163,"FAIL")</f>
        <v/>
      </c>
      <c r="CS163" s="5">
        <f>COUNTIF(CJ163:CQ163,"PARTIAL")</f>
        <v/>
      </c>
      <c r="CT163" s="5">
        <f>COUNTIF(CJ163:CQ163,"MISSING")</f>
        <v/>
      </c>
      <c r="CU163" s="5">
        <f>MIN(100,
  CR163*15
  + CS163*6
  + CT163*3
  + IFERROR(_xlfn.XLOOKUP(CW163,'Lookup Tables'!$M$21:$M$25,'Lookup Tables'!$N$21:$N$25,0),0)
)</f>
        <v/>
      </c>
      <c r="CV163" s="5">
        <f>IFERROR(
CHOOSE(
MATCH("FAIL",CJ163:CQ163,0),
"1-Specificity","2-Metric","3-Baseline","4-Target",
"5-Time Horizon","6-Scope","7-Verification","8-Consistency"
),
IFERROR(
CHOOSE(
MATCH("PARTIAL",CJ163:CQ163,0),
"1-Specificity","2-Metric","3-Baseline","4-Target",
"5-Time Horizon","6-Scope","7-Verification","8-Consistency"
),
"No failures"
)
)</f>
        <v/>
      </c>
      <c r="CW163" s="5" t="n"/>
      <c r="CX163" s="5" t="n"/>
      <c r="CY163" s="5" t="n"/>
      <c r="CZ163" s="5" t="n"/>
      <c r="DA163" s="5">
        <f>IF(OR(CU163&gt;=50,CW163="Material",CW163="Severe",AS163="Material",AS163="Severe",BF163="Material",BF163="Severe — Exclusion Trigger",AND(ISNUMBER(BS163),BS163&lt;30)),"Yes","No")</f>
        <v/>
      </c>
      <c r="DB163" s="5">
        <f>IF(OR(CR163&gt;=6,AW163="Confirmed Violation",AX163="Confirmed Breach"),"Yes — Automatic",IF(CW163="Severe","Yes — Requires Captain Confirmation","No"))</f>
        <v/>
      </c>
      <c r="DC163" s="5" t="n"/>
      <c r="DD163" s="5" t="n"/>
      <c r="DE163" s="5" t="n"/>
      <c r="DF163" s="5" t="n"/>
      <c r="DG163" s="5" t="n"/>
      <c r="DH163" s="5" t="n"/>
      <c r="DI163" s="5" t="n"/>
      <c r="DJ163" s="5" t="n"/>
      <c r="DK163" s="5" t="n"/>
      <c r="DL163" s="5">
        <f>IF(OR(IFERROR(VALUE(LEFT(DF163,1)),99)&lt;=2,IFERROR(VALUE(LEFT(DG163,1)),99)&lt;=2),"Flagged","Clear")</f>
        <v/>
      </c>
      <c r="DM163" s="5">
        <f>IF(OR(DA163="Yes",DB163&lt;&gt;"No",DH163="Unverified",DL163="Flagged"),"Yes","No")</f>
        <v/>
      </c>
      <c r="DN163" s="5">
        <f t="array" ref="DN163">MIN(100,
  IF(ISNUMBER(V163), _xlfn.IFS(V163&gt;=3,25, V163=2,15, V163=1,5, TRUE,0), 0)
  + IFERROR(_xlfn.IFS(VALUE(LEFT(DF163,1))=5,25, VALUE(LEFT(DF163,1))=4,20, VALUE(LEFT(DF163,1))=3,15, VALUE(LEFT(DF163,1))=2,8, TRUE,0), 15)
  + IFERROR(_xlfn.IFS(VALUE(LEFT(DG163,1))=5,25, VALUE(LEFT(DG163,1))=4,20, VALUE(LEFT(DG163,1))=3,15, VALUE(LEFT(DG163,1))=2,8, TRUE,0), 15)
  + _xlfn.IFS(DH163="Fully Verified",25, DH163="Partially Verified",12, TRUE,0)
)</f>
        <v/>
      </c>
      <c r="DO163" s="5">
        <f t="array" ref="DO163">_xlfn.IFS(
  ISBLANK(AR163), "Insufficient Evidence",
  AND(AR163&gt;=65, AJ163="Approved"), "Strong",
  AR163&gt;=65, "Adequate",
  AR163&gt;=40, "Adequate",
  AR163&gt;=20, "Weak",
  TRUE, "Insufficient Evidence"
)</f>
        <v/>
      </c>
      <c r="DP163" s="5">
        <f t="array" ref="DP163">_xlfn.IFS(
  ISBLANK(BS163), "Insufficient Evidence",
  BS163&gt;=65, "Strong",
  BS163&gt;=40, "Adequate",
  BS163&gt;=20, "Weak",
  TRUE, "Insufficient Evidence"
)</f>
        <v/>
      </c>
      <c r="DQ163" s="5">
        <f t="array" ref="DQ163">_xlfn.IFS(
  ISBLANK(BE163), "Insufficient Evidence",
  OR(AW163="Confirmed Violation", AX163="Confirmed Breach"), "Severe — Hard Trigger",
  BE163&gt;=65, "Strong",
  BE163&gt;=40, "Adequate",
  BE163&gt;=20, "Weak",
  TRUE, "Insufficient Evidence"
)</f>
        <v/>
      </c>
      <c r="DR163" s="5">
        <f t="array" ref="DR163">_xlfn.IFS(
  ISBLANK(CU163), "Insufficient Evidence",
  CU163&lt;=20, "Low Risk",
  CU163&lt;=50, "Moderate Risk",
  CU163&lt;=75, "High Risk",
  TRUE, "Very High Risk"
)</f>
        <v/>
      </c>
      <c r="DS163" s="5">
        <f t="array" ref="DS163">_xlfn.IFS(
  ISBLANK(CE163), "Insufficient Evidence",
  AND(ISNUMBER(BW163),ISNUMBER(BV163),BW163&gt;BV163), "Overclaiming Risk",
  CE163&gt;=65, "Strong",
  CE163&gt;=40, "Adequate",
  TRUE, "Weak"
)</f>
        <v/>
      </c>
      <c r="DT163" s="5">
        <f>IF(DB163="Yes — Automatic",0,ROUND((IF(ISNUMBER(AR163),AR163,0)*0.3+IF(ISNUMBER(BS163),BS163,0)*0.2+IF(ISNUMBER(BE163),BE163,0)*0.2+IF(ISNUMBER(CE163),CE163,0)*0.15+(100-IF(ISNUMBER(CU163),CU163,50))*0.15)*IF(DN163&gt;=75,1,IF(DN163&gt;=50,0.9,IF(DN163&gt;=25,0.75,0.6))),1))</f>
        <v/>
      </c>
      <c r="DU163" s="5">
        <f t="array" ref="DU163">_xlfn.IFS(
  DV163="Upgraded to Clear", "Clear",
  DV163="Downgraded to Watchlist", "Watchlist",
  DV163="Downgraded to Exclusion", "Exclusion Risk",
  DB163="Yes — Automatic", "Exclusion Risk",
  OR(AW163="Confirmed Violation", AX163="Confirmed Breach"), "Exclusion Risk",
  OR(V163=0, ISBLANK(V163), DN163&lt;20), "Insufficient Evidence",
  AND(DT163&gt;=65, DA163="No", DB163="No"), "Clear",
  OR(DT163&gt;=40, DA163="Yes"), "Watchlist",
  TRUE, "Exclusion Risk"
)</f>
        <v/>
      </c>
      <c r="DV163" s="5" t="n"/>
      <c r="DW163" s="5">
        <f t="array" ref="DW163">_xlfn.IFS(
  DU163="Exclusion Risk", "Exclude — Hard Trigger",
  DU163="Insufficient Evidence", "Watchlist — Further Evidence Needed",
  DU163="Watchlist", "Watchlist — Further Evidence Needed",
  AND(DU163="Clear", DT163&gt;=80), "Include — No Conditions",
  DU163="Clear", "Include — Monitor",
  TRUE, "Watchlist — Further Evidence Needed"
)</f>
        <v/>
      </c>
      <c r="DX163" s="5" t="n"/>
      <c r="DY163" s="5" t="n"/>
      <c r="DZ163" s="5" t="n"/>
      <c r="EA163" s="5" t="n"/>
      <c r="EB163" s="5">
        <f>IF(OR(V163=0, ISBLANK(V163)), "MISSING — No sources reviewed", "")</f>
        <v/>
      </c>
      <c r="EC163" s="5">
        <f>IF(AND(NOT(ISBLANK(DC163)), ISBLANK(DE163)), "PAGE REF MISSING", "")</f>
        <v/>
      </c>
    </row>
    <row r="164" ht="18" customHeight="1" s="60">
      <c r="A164" s="5" t="inlineStr">
        <is>
          <t>D'ieteren Group</t>
        </is>
      </c>
      <c r="B164" s="5" t="inlineStr">
        <is>
          <t>DJDA</t>
        </is>
      </c>
      <c r="C164" s="5">
        <f>IF(ISBLANK('Universe Tracker'!D139),"",'Universe Tracker'!D139)</f>
        <v/>
      </c>
      <c r="D164" s="5" t="n"/>
      <c r="E164" s="5" t="n"/>
      <c r="F164" s="5">
        <f>IF(ISBLANK('Universe Tracker'!F139),"",'Universe Tracker'!F139)</f>
        <v/>
      </c>
      <c r="G164" s="5">
        <f>IF(ISBLANK('Universe Tracker'!G139),"",'Universe Tracker'!G139)</f>
        <v/>
      </c>
      <c r="H164" s="5" t="n"/>
      <c r="I164" s="5" t="n"/>
      <c r="J164" s="5">
        <f>IF(ISBLANK(B164),"",B164&amp;"_"&amp;C164)</f>
        <v/>
      </c>
      <c r="K164" s="5" t="n"/>
      <c r="L164" s="5" t="n"/>
      <c r="M164" s="5" t="n"/>
      <c r="N164" s="5" t="n"/>
      <c r="O164" s="5" t="n"/>
      <c r="P164" s="5" t="n"/>
      <c r="Q164" s="5" t="n"/>
      <c r="R164" s="5" t="n"/>
      <c r="S164" s="5" t="n"/>
      <c r="T164" s="5" t="n"/>
      <c r="U164" s="5" t="n"/>
      <c r="V164" s="5" t="n"/>
      <c r="W164" s="5" t="n"/>
      <c r="X164" s="5" t="n"/>
      <c r="Y164" s="5">
        <f>IF(AND(V164&gt;=2,K164="Yes",L164="Yes"),"Sufficient",IF(AND(V164&gt;=1,OR(K164="Yes",L164="Yes")),"Thin","Insufficient"))</f>
        <v/>
      </c>
      <c r="Z164" s="5" t="n"/>
      <c r="AA164" s="5" t="n"/>
      <c r="AB164" s="5" t="n"/>
      <c r="AC164" s="5" t="n"/>
      <c r="AD164" s="5" t="n"/>
      <c r="AE164" s="5" t="n"/>
      <c r="AF164" s="5" t="n"/>
      <c r="AG164" s="5" t="n"/>
      <c r="AH164" s="5" t="n"/>
      <c r="AI164" s="5" t="n"/>
      <c r="AJ164" s="5" t="n"/>
      <c r="AK164" s="5" t="n"/>
      <c r="AL164" s="5" t="n"/>
      <c r="AM164" s="5" t="n"/>
      <c r="AN164" s="5" t="n"/>
      <c r="AO164" s="5" t="n"/>
      <c r="AP164" s="5" t="n"/>
      <c r="AQ164" s="5" t="n"/>
      <c r="AR164" s="40">
        <f t="array" ref="AR164">MIN(100, MAX(0,
  IFERROR(_xlfn.XLOOKUP(AJ164,'Lookup Tables'!$A$2:$A$7,'Lookup Tables'!$B$2:$B$7,0),0)
  + IF(Z164="Yes", IF(IFERROR(_xlfn.XLOOKUP(AJ164,'Lookup Tables'!$A$2:$A$7,'Lookup Tables'!$B$2:$B$7,0),0)&lt;20, 5, 0), 0)
  + _xlfn.IFS(AB164="Yes", IF(ISNUMBER(AC164)*AND(AC164&lt;=2030),15,10), AB164="Long-term Only", 5, AB164="No", 0, TRUE, 0)
  + _xlfn.IFS(AF164="Full",10, AF164="Partial",5, AF164="Scope 2 Only",3, TRUE,0)
  + _xlfn.IFS(AG164="Yes", IF(ISNUMBER(AH164)*AND(AH164&gt;=5),10,6), AG164="Partial",4, TRUE,0)
  + _xlfn.IFS(AI164="Yes",5, AI164="Partial (material categories only)",3, TRUE,0)
  + _xlfn.IFS(AL164="Yes — Detailed",10, AL164="Yes — High Level",5, TRUE,0)
  + _xlfn.IFS(AM164="Yes — Quantified",15, AM164="Yes — Directional Only",7, TRUE,0)
  + _xlfn.IFS(AP164="Formal",5, AP164="Referenced",2, TRUE,0)
  + _xlfn.IFS(AQ164="No Issues Found",5, AQ164="Concern Identified",-5, AQ164="Severe Contradiction",-15, TRUE,0)
  + _xlfn.IFS(BC164="Reasonable Assurance",5, BC164="Limited Assurance",3, TRUE,0)
  - IF(AND(Z164="Yes", AI164="No"), 10, 0)
  - IF(AND(Z164="Yes", AM164="No"), 10, 0)
))</f>
        <v/>
      </c>
      <c r="AS164" s="5" t="n"/>
      <c r="AT164" s="5" t="n"/>
      <c r="AU164" s="5" t="n"/>
      <c r="AV164" s="5" t="n"/>
      <c r="AW164" s="5" t="n"/>
      <c r="AX164" s="5" t="n"/>
      <c r="AY164" s="5" t="n"/>
      <c r="AZ164" s="5" t="n"/>
      <c r="BA164" s="5" t="n"/>
      <c r="BB164" s="5" t="n"/>
      <c r="BC164" s="5" t="n"/>
      <c r="BD164" s="5" t="n"/>
      <c r="BE164" s="39">
        <f t="array" ref="BE164">MIN(100, MAX(0,
  IFERROR(_xlfn.XLOOKUP(AT164,'Lookup Tables'!$D$2:$D$6,'Lookup Tables'!$E$2:$E$6,0),0)
  + IFERROR(_xlfn.XLOOKUP(AV164,'Lookup Tables'!$G$2:$G$5,'Lookup Tables'!$H$2:$H$5,0),0)
  + IFERROR(_xlfn.XLOOKUP(AW164,'Lookup Tables'!$J$2:$J$5,'Lookup Tables'!$K$2:$K$5,0),0)
  + _xlfn.IFS(AX164="No Issues",10, AX164="Complaint Filed",3, AX164="Confirmed Breach",-15, TRUE,0)
  + IFERROR(_xlfn.XLOOKUP(AY164,'Lookup Tables'!$M$2:$M$6,'Lookup Tables'!$N$2:$N$6,0),0)
  + IFERROR(_xlfn.XLOOKUP(AZ164,'Lookup Tables'!$P$2:$P$6,'Lookup Tables'!$Q$2:$Q$6,0),0)
  + _xlfn.IFS(BA164="Formal Board Committee",5, BA164="Board Oversight Mentioned",2, TRUE,0)
  + _xlfn.IFS(BB164="Yes — Quantified Targets",5, BB164="Yes — Discretionary Only",2, TRUE,0)
  + _xlfn.IFS(BC164="Reasonable Assurance",5, BC164="Limited Assurance",3, BC164="Management Review Only",1, TRUE,0)
))</f>
        <v/>
      </c>
      <c r="BF164" s="5" t="n"/>
      <c r="BG164" s="5" t="n"/>
      <c r="BH164" s="5" t="n"/>
      <c r="BI164" s="5" t="n"/>
      <c r="BJ164" s="5" t="n"/>
      <c r="BK164" s="5" t="n"/>
      <c r="BL164" s="5" t="n"/>
      <c r="BM164" s="5" t="n"/>
      <c r="BN164" s="5" t="n"/>
      <c r="BO164" s="5" t="n"/>
      <c r="BP164" s="5" t="n"/>
      <c r="BQ164" s="5" t="n"/>
      <c r="BR164" s="5" t="n"/>
      <c r="BS164" s="41">
        <f t="array" ref="BS164">MIN(100, MAX(0,
  IFERROR(_xlfn.XLOOKUP(BG164,'Lookup Tables'!$A$11:$A$16,'Lookup Tables'!$B$11:$B$16,0),0)
  + IFERROR(_xlfn.XLOOKUP(BR164,'Lookup Tables'!$M$11:$M$14,'Lookup Tables'!$N$11:$N$14,0),0)
  + IFERROR(_xlfn.XLOOKUP(BQ164,'Lookup Tables'!$J$11:$J$15,'Lookup Tables'!$K$11:$K$15,0),0)
  + IFERROR(_xlfn.XLOOKUP(BH164,'Lookup Tables'!$D$11:$D$15,'Lookup Tables'!$E$11:$E$15,0),0)
  + IFERROR(_xlfn.XLOOKUP(BJ164,'Lookup Tables'!$G$11:$G$16,'Lookup Tables'!$H$11:$H$16,0),0)
  + IFERROR(_xlfn.XLOOKUP(BN164,'Lookup Tables'!$P$11:$P$15,'Lookup Tables'!$Q$11:$Q$15,0),0)
  + _xlfn.IFS(BM164="No Evidence",10, BM164="Unknown",3, BM164="Likely",0, BM164="Confirmed",-10, TRUE,3)
  + IFERROR(_xlfn.XLOOKUP(BP164,'Lookup Tables'!$J$21:$J$24,'Lookup Tables'!$K$21:$K$24,0),0)
))</f>
        <v/>
      </c>
      <c r="BT164" s="5" t="n"/>
      <c r="BU164" s="5" t="n"/>
      <c r="BV164" s="5" t="n"/>
      <c r="BW164" s="5" t="n"/>
      <c r="BX164" s="5" t="n"/>
      <c r="BY164" s="5" t="n"/>
      <c r="BZ164" s="5" t="n"/>
      <c r="CA164" s="5" t="n"/>
      <c r="CB164" s="5" t="n"/>
      <c r="CC164" s="5" t="n"/>
      <c r="CD164" s="5" t="n"/>
      <c r="CE164" s="43">
        <f t="array" ref="CE164">MIN(100, MAX(0,
  IF(ISNUMBER(BV164)*AND(BV164&gt;0), 10, 0)
  + _xlfn.IFS(BY164="Independently Verified",25, BY164="Yes",15, TRUE,0)
  + IFERROR(_xlfn.XLOOKUP(BZ164,'Lookup Tables'!$A$21:$A$24,'Lookup Tables'!$B$21:$B$24,0),0)
  + IFERROR(_xlfn.XLOOKUP(CA164,'Lookup Tables'!$D$21:$D$24,'Lookup Tables'!$E$21:$E$24,0),0)
  + _xlfn.IFS(ISNUMBER(CB164)*AND(CB164&gt;=11),15, ISNUMBER(CB164)*AND(CB164&gt;=6),10, ISNUMBER(CB164)*AND(CB164&gt;=1),5, TRUE,0)
  + IFERROR(_xlfn.XLOOKUP(CC164,'Lookup Tables'!$G$21:$G$25,'Lookup Tables'!$H$21:$H$25,0),0)
  - IF(ISNUMBER(BW164)*AND(ISNUMBER(BV164))*AND(BW164&gt;BV164), 20, 0)
  - IF(AND(BY164="Yes", ISNUMBER(BW164), BW164&gt;60), 10, 0)
))</f>
        <v/>
      </c>
      <c r="CF164" s="5" t="n"/>
      <c r="CG164" s="5" t="n"/>
      <c r="CH164" s="5" t="n"/>
      <c r="CI164" s="5" t="n"/>
      <c r="CJ164" s="5" t="n"/>
      <c r="CK164" s="5" t="n"/>
      <c r="CL164" s="5" t="n"/>
      <c r="CM164" s="5" t="n"/>
      <c r="CN164" s="5" t="n"/>
      <c r="CO164" s="5" t="n"/>
      <c r="CP164" s="5" t="n"/>
      <c r="CQ164" s="5" t="n"/>
      <c r="CR164" s="5">
        <f>COUNTIF(CJ164:CQ164,"FAIL")</f>
        <v/>
      </c>
      <c r="CS164" s="5">
        <f>COUNTIF(CJ164:CQ164,"PARTIAL")</f>
        <v/>
      </c>
      <c r="CT164" s="5">
        <f>COUNTIF(CJ164:CQ164,"MISSING")</f>
        <v/>
      </c>
      <c r="CU164" s="5">
        <f>MIN(100,
  CR164*15
  + CS164*6
  + CT164*3
  + IFERROR(_xlfn.XLOOKUP(CW164,'Lookup Tables'!$M$21:$M$25,'Lookup Tables'!$N$21:$N$25,0),0)
)</f>
        <v/>
      </c>
      <c r="CV164" s="5">
        <f>IFERROR(
CHOOSE(
MATCH("FAIL",CJ164:CQ164,0),
"1-Specificity","2-Metric","3-Baseline","4-Target",
"5-Time Horizon","6-Scope","7-Verification","8-Consistency"
),
IFERROR(
CHOOSE(
MATCH("PARTIAL",CJ164:CQ164,0),
"1-Specificity","2-Metric","3-Baseline","4-Target",
"5-Time Horizon","6-Scope","7-Verification","8-Consistency"
),
"No failures"
)
)</f>
        <v/>
      </c>
      <c r="CW164" s="5" t="n"/>
      <c r="CX164" s="5" t="n"/>
      <c r="CY164" s="5" t="n"/>
      <c r="CZ164" s="5" t="n"/>
      <c r="DA164" s="5">
        <f>IF(OR(CU164&gt;=50,CW164="Material",CW164="Severe",AS164="Material",AS164="Severe",BF164="Material",BF164="Severe — Exclusion Trigger",AND(ISNUMBER(BS164),BS164&lt;30)),"Yes","No")</f>
        <v/>
      </c>
      <c r="DB164" s="5">
        <f>IF(OR(CR164&gt;=6,AW164="Confirmed Violation",AX164="Confirmed Breach"),"Yes — Automatic",IF(CW164="Severe","Yes — Requires Captain Confirmation","No"))</f>
        <v/>
      </c>
      <c r="DC164" s="5" t="n"/>
      <c r="DD164" s="5" t="n"/>
      <c r="DE164" s="5" t="n"/>
      <c r="DF164" s="5" t="n"/>
      <c r="DG164" s="5" t="n"/>
      <c r="DH164" s="5" t="n"/>
      <c r="DI164" s="5" t="n"/>
      <c r="DJ164" s="5" t="n"/>
      <c r="DK164" s="5" t="n"/>
      <c r="DL164" s="5">
        <f>IF(OR(IFERROR(VALUE(LEFT(DF164,1)),99)&lt;=2,IFERROR(VALUE(LEFT(DG164,1)),99)&lt;=2),"Flagged","Clear")</f>
        <v/>
      </c>
      <c r="DM164" s="5">
        <f>IF(OR(DA164="Yes",DB164&lt;&gt;"No",DH164="Unverified",DL164="Flagged"),"Yes","No")</f>
        <v/>
      </c>
      <c r="DN164" s="5">
        <f t="array" ref="DN164">MIN(100,
  IF(ISNUMBER(V164), _xlfn.IFS(V164&gt;=3,25, V164=2,15, V164=1,5, TRUE,0), 0)
  + IFERROR(_xlfn.IFS(VALUE(LEFT(DF164,1))=5,25, VALUE(LEFT(DF164,1))=4,20, VALUE(LEFT(DF164,1))=3,15, VALUE(LEFT(DF164,1))=2,8, TRUE,0), 15)
  + IFERROR(_xlfn.IFS(VALUE(LEFT(DG164,1))=5,25, VALUE(LEFT(DG164,1))=4,20, VALUE(LEFT(DG164,1))=3,15, VALUE(LEFT(DG164,1))=2,8, TRUE,0), 15)
  + _xlfn.IFS(DH164="Fully Verified",25, DH164="Partially Verified",12, TRUE,0)
)</f>
        <v/>
      </c>
      <c r="DO164" s="5">
        <f t="array" ref="DO164">_xlfn.IFS(
  ISBLANK(AR164), "Insufficient Evidence",
  AND(AR164&gt;=65, AJ164="Approved"), "Strong",
  AR164&gt;=65, "Adequate",
  AR164&gt;=40, "Adequate",
  AR164&gt;=20, "Weak",
  TRUE, "Insufficient Evidence"
)</f>
        <v/>
      </c>
      <c r="DP164" s="5">
        <f t="array" ref="DP164">_xlfn.IFS(
  ISBLANK(BS164), "Insufficient Evidence",
  BS164&gt;=65, "Strong",
  BS164&gt;=40, "Adequate",
  BS164&gt;=20, "Weak",
  TRUE, "Insufficient Evidence"
)</f>
        <v/>
      </c>
      <c r="DQ164" s="5">
        <f t="array" ref="DQ164">_xlfn.IFS(
  ISBLANK(BE164), "Insufficient Evidence",
  OR(AW164="Confirmed Violation", AX164="Confirmed Breach"), "Severe — Hard Trigger",
  BE164&gt;=65, "Strong",
  BE164&gt;=40, "Adequate",
  BE164&gt;=20, "Weak",
  TRUE, "Insufficient Evidence"
)</f>
        <v/>
      </c>
      <c r="DR164" s="5">
        <f t="array" ref="DR164">_xlfn.IFS(
  ISBLANK(CU164), "Insufficient Evidence",
  CU164&lt;=20, "Low Risk",
  CU164&lt;=50, "Moderate Risk",
  CU164&lt;=75, "High Risk",
  TRUE, "Very High Risk"
)</f>
        <v/>
      </c>
      <c r="DS164" s="5">
        <f t="array" ref="DS164">_xlfn.IFS(
  ISBLANK(CE164), "Insufficient Evidence",
  AND(ISNUMBER(BW164),ISNUMBER(BV164),BW164&gt;BV164), "Overclaiming Risk",
  CE164&gt;=65, "Strong",
  CE164&gt;=40, "Adequate",
  TRUE, "Weak"
)</f>
        <v/>
      </c>
      <c r="DT164" s="5">
        <f>IF(DB164="Yes — Automatic",0,ROUND((IF(ISNUMBER(AR164),AR164,0)*0.3+IF(ISNUMBER(BS164),BS164,0)*0.2+IF(ISNUMBER(BE164),BE164,0)*0.2+IF(ISNUMBER(CE164),CE164,0)*0.15+(100-IF(ISNUMBER(CU164),CU164,50))*0.15)*IF(DN164&gt;=75,1,IF(DN164&gt;=50,0.9,IF(DN164&gt;=25,0.75,0.6))),1))</f>
        <v/>
      </c>
      <c r="DU164" s="5">
        <f t="array" ref="DU164">_xlfn.IFS(
  DV164="Upgraded to Clear", "Clear",
  DV164="Downgraded to Watchlist", "Watchlist",
  DV164="Downgraded to Exclusion", "Exclusion Risk",
  DB164="Yes — Automatic", "Exclusion Risk",
  OR(AW164="Confirmed Violation", AX164="Confirmed Breach"), "Exclusion Risk",
  OR(V164=0, ISBLANK(V164), DN164&lt;20), "Insufficient Evidence",
  AND(DT164&gt;=65, DA164="No", DB164="No"), "Clear",
  OR(DT164&gt;=40, DA164="Yes"), "Watchlist",
  TRUE, "Exclusion Risk"
)</f>
        <v/>
      </c>
      <c r="DV164" s="5" t="n"/>
      <c r="DW164" s="5">
        <f t="array" ref="DW164">_xlfn.IFS(
  DU164="Exclusion Risk", "Exclude — Hard Trigger",
  DU164="Insufficient Evidence", "Watchlist — Further Evidence Needed",
  DU164="Watchlist", "Watchlist — Further Evidence Needed",
  AND(DU164="Clear", DT164&gt;=80), "Include — No Conditions",
  DU164="Clear", "Include — Monitor",
  TRUE, "Watchlist — Further Evidence Needed"
)</f>
        <v/>
      </c>
      <c r="DX164" s="5" t="n"/>
      <c r="DY164" s="5" t="n"/>
      <c r="DZ164" s="5" t="n"/>
      <c r="EA164" s="5" t="n"/>
      <c r="EB164" s="5">
        <f>IF(OR(V164=0, ISBLANK(V164)), "MISSING — No sources reviewed", "")</f>
        <v/>
      </c>
      <c r="EC164" s="5">
        <f>IF(AND(NOT(ISBLANK(DC164)), ISBLANK(DE164)), "PAGE REF MISSING", "")</f>
        <v/>
      </c>
    </row>
    <row r="165" ht="18" customHeight="1" s="60">
      <c r="A165" s="5" t="inlineStr">
        <is>
          <t>Nexans SA</t>
        </is>
      </c>
      <c r="B165" s="5" t="inlineStr">
        <is>
          <t>NXS</t>
        </is>
      </c>
      <c r="C165" s="5">
        <f>IF(ISBLANK('Universe Tracker'!D140),"",'Universe Tracker'!D140)</f>
        <v/>
      </c>
      <c r="D165" s="5" t="n"/>
      <c r="E165" s="5" t="n"/>
      <c r="F165" s="5">
        <f>IF(ISBLANK('Universe Tracker'!F140),"",'Universe Tracker'!F140)</f>
        <v/>
      </c>
      <c r="G165" s="5">
        <f>IF(ISBLANK('Universe Tracker'!G140),"",'Universe Tracker'!G140)</f>
        <v/>
      </c>
      <c r="H165" s="5" t="n"/>
      <c r="I165" s="5" t="n"/>
      <c r="J165" s="5">
        <f>IF(ISBLANK(B165),"",B165&amp;"_"&amp;C165)</f>
        <v/>
      </c>
      <c r="K165" s="5" t="n"/>
      <c r="L165" s="5" t="n"/>
      <c r="M165" s="5" t="n"/>
      <c r="N165" s="5" t="n"/>
      <c r="O165" s="5" t="n"/>
      <c r="P165" s="5" t="n"/>
      <c r="Q165" s="5" t="n"/>
      <c r="R165" s="5" t="n"/>
      <c r="S165" s="5" t="n"/>
      <c r="T165" s="5" t="n"/>
      <c r="U165" s="5" t="n"/>
      <c r="V165" s="5" t="n"/>
      <c r="W165" s="5" t="n"/>
      <c r="X165" s="5" t="n"/>
      <c r="Y165" s="5">
        <f>IF(AND(V165&gt;=2,K165="Yes",L165="Yes"),"Sufficient",IF(AND(V165&gt;=1,OR(K165="Yes",L165="Yes")),"Thin","Insufficient"))</f>
        <v/>
      </c>
      <c r="Z165" s="5" t="n"/>
      <c r="AA165" s="5" t="n"/>
      <c r="AB165" s="5" t="n"/>
      <c r="AC165" s="5" t="n"/>
      <c r="AD165" s="5" t="n"/>
      <c r="AE165" s="5" t="n"/>
      <c r="AF165" s="5" t="n"/>
      <c r="AG165" s="5" t="n"/>
      <c r="AH165" s="5" t="n"/>
      <c r="AI165" s="5" t="n"/>
      <c r="AJ165" s="5" t="n"/>
      <c r="AK165" s="5" t="n"/>
      <c r="AL165" s="5" t="n"/>
      <c r="AM165" s="5" t="n"/>
      <c r="AN165" s="5" t="n"/>
      <c r="AO165" s="5" t="n"/>
      <c r="AP165" s="5" t="n"/>
      <c r="AQ165" s="5" t="n"/>
      <c r="AR165" s="40">
        <f t="array" ref="AR165">MIN(100, MAX(0,
  IFERROR(_xlfn.XLOOKUP(AJ165,'Lookup Tables'!$A$2:$A$7,'Lookup Tables'!$B$2:$B$7,0),0)
  + IF(Z165="Yes", IF(IFERROR(_xlfn.XLOOKUP(AJ165,'Lookup Tables'!$A$2:$A$7,'Lookup Tables'!$B$2:$B$7,0),0)&lt;20, 5, 0), 0)
  + _xlfn.IFS(AB165="Yes", IF(ISNUMBER(AC165)*AND(AC165&lt;=2030),15,10), AB165="Long-term Only", 5, AB165="No", 0, TRUE, 0)
  + _xlfn.IFS(AF165="Full",10, AF165="Partial",5, AF165="Scope 2 Only",3, TRUE,0)
  + _xlfn.IFS(AG165="Yes", IF(ISNUMBER(AH165)*AND(AH165&gt;=5),10,6), AG165="Partial",4, TRUE,0)
  + _xlfn.IFS(AI165="Yes",5, AI165="Partial (material categories only)",3, TRUE,0)
  + _xlfn.IFS(AL165="Yes — Detailed",10, AL165="Yes — High Level",5, TRUE,0)
  + _xlfn.IFS(AM165="Yes — Quantified",15, AM165="Yes — Directional Only",7, TRUE,0)
  + _xlfn.IFS(AP165="Formal",5, AP165="Referenced",2, TRUE,0)
  + _xlfn.IFS(AQ165="No Issues Found",5, AQ165="Concern Identified",-5, AQ165="Severe Contradiction",-15, TRUE,0)
  + _xlfn.IFS(BC165="Reasonable Assurance",5, BC165="Limited Assurance",3, TRUE,0)
  - IF(AND(Z165="Yes", AI165="No"), 10, 0)
  - IF(AND(Z165="Yes", AM165="No"), 10, 0)
))</f>
        <v/>
      </c>
      <c r="AS165" s="5" t="n"/>
      <c r="AT165" s="5" t="n"/>
      <c r="AU165" s="5" t="n"/>
      <c r="AV165" s="5" t="n"/>
      <c r="AW165" s="5" t="n"/>
      <c r="AX165" s="5" t="n"/>
      <c r="AY165" s="5" t="n"/>
      <c r="AZ165" s="5" t="n"/>
      <c r="BA165" s="5" t="n"/>
      <c r="BB165" s="5" t="n"/>
      <c r="BC165" s="5" t="n"/>
      <c r="BD165" s="5" t="n"/>
      <c r="BE165" s="39">
        <f t="array" ref="BE165">MIN(100, MAX(0,
  IFERROR(_xlfn.XLOOKUP(AT165,'Lookup Tables'!$D$2:$D$6,'Lookup Tables'!$E$2:$E$6,0),0)
  + IFERROR(_xlfn.XLOOKUP(AV165,'Lookup Tables'!$G$2:$G$5,'Lookup Tables'!$H$2:$H$5,0),0)
  + IFERROR(_xlfn.XLOOKUP(AW165,'Lookup Tables'!$J$2:$J$5,'Lookup Tables'!$K$2:$K$5,0),0)
  + _xlfn.IFS(AX165="No Issues",10, AX165="Complaint Filed",3, AX165="Confirmed Breach",-15, TRUE,0)
  + IFERROR(_xlfn.XLOOKUP(AY165,'Lookup Tables'!$M$2:$M$6,'Lookup Tables'!$N$2:$N$6,0),0)
  + IFERROR(_xlfn.XLOOKUP(AZ165,'Lookup Tables'!$P$2:$P$6,'Lookup Tables'!$Q$2:$Q$6,0),0)
  + _xlfn.IFS(BA165="Formal Board Committee",5, BA165="Board Oversight Mentioned",2, TRUE,0)
  + _xlfn.IFS(BB165="Yes — Quantified Targets",5, BB165="Yes — Discretionary Only",2, TRUE,0)
  + _xlfn.IFS(BC165="Reasonable Assurance",5, BC165="Limited Assurance",3, BC165="Management Review Only",1, TRUE,0)
))</f>
        <v/>
      </c>
      <c r="BF165" s="5" t="n"/>
      <c r="BG165" s="5" t="n"/>
      <c r="BH165" s="5" t="n"/>
      <c r="BI165" s="5" t="n"/>
      <c r="BJ165" s="5" t="n"/>
      <c r="BK165" s="5" t="n"/>
      <c r="BL165" s="5" t="n"/>
      <c r="BM165" s="5" t="n"/>
      <c r="BN165" s="5" t="n"/>
      <c r="BO165" s="5" t="n"/>
      <c r="BP165" s="5" t="n"/>
      <c r="BQ165" s="5" t="n"/>
      <c r="BR165" s="5" t="n"/>
      <c r="BS165" s="41">
        <f t="array" ref="BS165">MIN(100, MAX(0,
  IFERROR(_xlfn.XLOOKUP(BG165,'Lookup Tables'!$A$11:$A$16,'Lookup Tables'!$B$11:$B$16,0),0)
  + IFERROR(_xlfn.XLOOKUP(BR165,'Lookup Tables'!$M$11:$M$14,'Lookup Tables'!$N$11:$N$14,0),0)
  + IFERROR(_xlfn.XLOOKUP(BQ165,'Lookup Tables'!$J$11:$J$15,'Lookup Tables'!$K$11:$K$15,0),0)
  + IFERROR(_xlfn.XLOOKUP(BH165,'Lookup Tables'!$D$11:$D$15,'Lookup Tables'!$E$11:$E$15,0),0)
  + IFERROR(_xlfn.XLOOKUP(BJ165,'Lookup Tables'!$G$11:$G$16,'Lookup Tables'!$H$11:$H$16,0),0)
  + IFERROR(_xlfn.XLOOKUP(BN165,'Lookup Tables'!$P$11:$P$15,'Lookup Tables'!$Q$11:$Q$15,0),0)
  + _xlfn.IFS(BM165="No Evidence",10, BM165="Unknown",3, BM165="Likely",0, BM165="Confirmed",-10, TRUE,3)
  + IFERROR(_xlfn.XLOOKUP(BP165,'Lookup Tables'!$J$21:$J$24,'Lookup Tables'!$K$21:$K$24,0),0)
))</f>
        <v/>
      </c>
      <c r="BT165" s="5" t="n"/>
      <c r="BU165" s="5" t="n"/>
      <c r="BV165" s="5" t="n"/>
      <c r="BW165" s="5" t="n"/>
      <c r="BX165" s="5" t="n"/>
      <c r="BY165" s="5" t="n"/>
      <c r="BZ165" s="5" t="n"/>
      <c r="CA165" s="5" t="n"/>
      <c r="CB165" s="5" t="n"/>
      <c r="CC165" s="5" t="n"/>
      <c r="CD165" s="5" t="n"/>
      <c r="CE165" s="43">
        <f t="array" ref="CE165">MIN(100, MAX(0,
  IF(ISNUMBER(BV165)*AND(BV165&gt;0), 10, 0)
  + _xlfn.IFS(BY165="Independently Verified",25, BY165="Yes",15, TRUE,0)
  + IFERROR(_xlfn.XLOOKUP(BZ165,'Lookup Tables'!$A$21:$A$24,'Lookup Tables'!$B$21:$B$24,0),0)
  + IFERROR(_xlfn.XLOOKUP(CA165,'Lookup Tables'!$D$21:$D$24,'Lookup Tables'!$E$21:$E$24,0),0)
  + _xlfn.IFS(ISNUMBER(CB165)*AND(CB165&gt;=11),15, ISNUMBER(CB165)*AND(CB165&gt;=6),10, ISNUMBER(CB165)*AND(CB165&gt;=1),5, TRUE,0)
  + IFERROR(_xlfn.XLOOKUP(CC165,'Lookup Tables'!$G$21:$G$25,'Lookup Tables'!$H$21:$H$25,0),0)
  - IF(ISNUMBER(BW165)*AND(ISNUMBER(BV165))*AND(BW165&gt;BV165), 20, 0)
  - IF(AND(BY165="Yes", ISNUMBER(BW165), BW165&gt;60), 10, 0)
))</f>
        <v/>
      </c>
      <c r="CF165" s="5" t="n"/>
      <c r="CG165" s="5" t="n"/>
      <c r="CH165" s="5" t="n"/>
      <c r="CI165" s="5" t="n"/>
      <c r="CJ165" s="5" t="n"/>
      <c r="CK165" s="5" t="n"/>
      <c r="CL165" s="5" t="n"/>
      <c r="CM165" s="5" t="n"/>
      <c r="CN165" s="5" t="n"/>
      <c r="CO165" s="5" t="n"/>
      <c r="CP165" s="5" t="n"/>
      <c r="CQ165" s="5" t="n"/>
      <c r="CR165" s="5">
        <f>COUNTIF(CJ165:CQ165,"FAIL")</f>
        <v/>
      </c>
      <c r="CS165" s="5">
        <f>COUNTIF(CJ165:CQ165,"PARTIAL")</f>
        <v/>
      </c>
      <c r="CT165" s="5">
        <f>COUNTIF(CJ165:CQ165,"MISSING")</f>
        <v/>
      </c>
      <c r="CU165" s="5">
        <f>MIN(100,
  CR165*15
  + CS165*6
  + CT165*3
  + IFERROR(_xlfn.XLOOKUP(CW165,'Lookup Tables'!$M$21:$M$25,'Lookup Tables'!$N$21:$N$25,0),0)
)</f>
        <v/>
      </c>
      <c r="CV165" s="5">
        <f>IFERROR(
CHOOSE(
MATCH("FAIL",CJ165:CQ165,0),
"1-Specificity","2-Metric","3-Baseline","4-Target",
"5-Time Horizon","6-Scope","7-Verification","8-Consistency"
),
IFERROR(
CHOOSE(
MATCH("PARTIAL",CJ165:CQ165,0),
"1-Specificity","2-Metric","3-Baseline","4-Target",
"5-Time Horizon","6-Scope","7-Verification","8-Consistency"
),
"No failures"
)
)</f>
        <v/>
      </c>
      <c r="CW165" s="5" t="n"/>
      <c r="CX165" s="5" t="n"/>
      <c r="CY165" s="5" t="n"/>
      <c r="CZ165" s="5" t="n"/>
      <c r="DA165" s="5">
        <f>IF(OR(CU165&gt;=50,CW165="Material",CW165="Severe",AS165="Material",AS165="Severe",BF165="Material",BF165="Severe — Exclusion Trigger",AND(ISNUMBER(BS165),BS165&lt;30)),"Yes","No")</f>
        <v/>
      </c>
      <c r="DB165" s="5">
        <f>IF(OR(CR165&gt;=6,AW165="Confirmed Violation",AX165="Confirmed Breach"),"Yes — Automatic",IF(CW165="Severe","Yes — Requires Captain Confirmation","No"))</f>
        <v/>
      </c>
      <c r="DC165" s="5" t="n"/>
      <c r="DD165" s="5" t="n"/>
      <c r="DE165" s="5" t="n"/>
      <c r="DF165" s="5" t="n"/>
      <c r="DG165" s="5" t="n"/>
      <c r="DH165" s="5" t="n"/>
      <c r="DI165" s="5" t="n"/>
      <c r="DJ165" s="5" t="n"/>
      <c r="DK165" s="5" t="n"/>
      <c r="DL165" s="5">
        <f>IF(OR(IFERROR(VALUE(LEFT(DF165,1)),99)&lt;=2,IFERROR(VALUE(LEFT(DG165,1)),99)&lt;=2),"Flagged","Clear")</f>
        <v/>
      </c>
      <c r="DM165" s="5">
        <f>IF(OR(DA165="Yes",DB165&lt;&gt;"No",DH165="Unverified",DL165="Flagged"),"Yes","No")</f>
        <v/>
      </c>
      <c r="DN165" s="5">
        <f t="array" ref="DN165">MIN(100,
  IF(ISNUMBER(V165), _xlfn.IFS(V165&gt;=3,25, V165=2,15, V165=1,5, TRUE,0), 0)
  + IFERROR(_xlfn.IFS(VALUE(LEFT(DF165,1))=5,25, VALUE(LEFT(DF165,1))=4,20, VALUE(LEFT(DF165,1))=3,15, VALUE(LEFT(DF165,1))=2,8, TRUE,0), 15)
  + IFERROR(_xlfn.IFS(VALUE(LEFT(DG165,1))=5,25, VALUE(LEFT(DG165,1))=4,20, VALUE(LEFT(DG165,1))=3,15, VALUE(LEFT(DG165,1))=2,8, TRUE,0), 15)
  + _xlfn.IFS(DH165="Fully Verified",25, DH165="Partially Verified",12, TRUE,0)
)</f>
        <v/>
      </c>
      <c r="DO165" s="5">
        <f t="array" ref="DO165">_xlfn.IFS(
  ISBLANK(AR165), "Insufficient Evidence",
  AND(AR165&gt;=65, AJ165="Approved"), "Strong",
  AR165&gt;=65, "Adequate",
  AR165&gt;=40, "Adequate",
  AR165&gt;=20, "Weak",
  TRUE, "Insufficient Evidence"
)</f>
        <v/>
      </c>
      <c r="DP165" s="5">
        <f t="array" ref="DP165">_xlfn.IFS(
  ISBLANK(BS165), "Insufficient Evidence",
  BS165&gt;=65, "Strong",
  BS165&gt;=40, "Adequate",
  BS165&gt;=20, "Weak",
  TRUE, "Insufficient Evidence"
)</f>
        <v/>
      </c>
      <c r="DQ165" s="5">
        <f t="array" ref="DQ165">_xlfn.IFS(
  ISBLANK(BE165), "Insufficient Evidence",
  OR(AW165="Confirmed Violation", AX165="Confirmed Breach"), "Severe — Hard Trigger",
  BE165&gt;=65, "Strong",
  BE165&gt;=40, "Adequate",
  BE165&gt;=20, "Weak",
  TRUE, "Insufficient Evidence"
)</f>
        <v/>
      </c>
      <c r="DR165" s="5">
        <f t="array" ref="DR165">_xlfn.IFS(
  ISBLANK(CU165), "Insufficient Evidence",
  CU165&lt;=20, "Low Risk",
  CU165&lt;=50, "Moderate Risk",
  CU165&lt;=75, "High Risk",
  TRUE, "Very High Risk"
)</f>
        <v/>
      </c>
      <c r="DS165" s="5">
        <f t="array" ref="DS165">_xlfn.IFS(
  ISBLANK(CE165), "Insufficient Evidence",
  AND(ISNUMBER(BW165),ISNUMBER(BV165),BW165&gt;BV165), "Overclaiming Risk",
  CE165&gt;=65, "Strong",
  CE165&gt;=40, "Adequate",
  TRUE, "Weak"
)</f>
        <v/>
      </c>
      <c r="DT165" s="5">
        <f>IF(DB165="Yes — Automatic",0,ROUND((IF(ISNUMBER(AR165),AR165,0)*0.3+IF(ISNUMBER(BS165),BS165,0)*0.2+IF(ISNUMBER(BE165),BE165,0)*0.2+IF(ISNUMBER(CE165),CE165,0)*0.15+(100-IF(ISNUMBER(CU165),CU165,50))*0.15)*IF(DN165&gt;=75,1,IF(DN165&gt;=50,0.9,IF(DN165&gt;=25,0.75,0.6))),1))</f>
        <v/>
      </c>
      <c r="DU165" s="5">
        <f t="array" ref="DU165">_xlfn.IFS(
  DV165="Upgraded to Clear", "Clear",
  DV165="Downgraded to Watchlist", "Watchlist",
  DV165="Downgraded to Exclusion", "Exclusion Risk",
  DB165="Yes — Automatic", "Exclusion Risk",
  OR(AW165="Confirmed Violation", AX165="Confirmed Breach"), "Exclusion Risk",
  OR(V165=0, ISBLANK(V165), DN165&lt;20), "Insufficient Evidence",
  AND(DT165&gt;=65, DA165="No", DB165="No"), "Clear",
  OR(DT165&gt;=40, DA165="Yes"), "Watchlist",
  TRUE, "Exclusion Risk"
)</f>
        <v/>
      </c>
      <c r="DV165" s="5" t="n"/>
      <c r="DW165" s="5">
        <f t="array" ref="DW165">_xlfn.IFS(
  DU165="Exclusion Risk", "Exclude — Hard Trigger",
  DU165="Insufficient Evidence", "Watchlist — Further Evidence Needed",
  DU165="Watchlist", "Watchlist — Further Evidence Needed",
  AND(DU165="Clear", DT165&gt;=80), "Include — No Conditions",
  DU165="Clear", "Include — Monitor",
  TRUE, "Watchlist — Further Evidence Needed"
)</f>
        <v/>
      </c>
      <c r="DX165" s="5" t="n"/>
      <c r="DY165" s="5" t="n"/>
      <c r="DZ165" s="5" t="n"/>
      <c r="EA165" s="5" t="n"/>
      <c r="EB165" s="5">
        <f>IF(OR(V165=0, ISBLANK(V165)), "MISSING — No sources reviewed", "")</f>
        <v/>
      </c>
      <c r="EC165" s="5">
        <f>IF(AND(NOT(ISBLANK(DC165)), ISBLANK(DE165)), "PAGE REF MISSING", "")</f>
        <v/>
      </c>
    </row>
    <row r="166" ht="18" customHeight="1" s="60">
      <c r="A166" s="5" t="inlineStr">
        <is>
          <t>Trelleborg AB</t>
        </is>
      </c>
      <c r="B166" s="5" t="inlineStr">
        <is>
          <t>TLLB</t>
        </is>
      </c>
      <c r="C166" s="5">
        <f>IF(ISBLANK('Universe Tracker'!D141),"",'Universe Tracker'!D141)</f>
        <v/>
      </c>
      <c r="D166" s="5" t="n"/>
      <c r="E166" s="5" t="n"/>
      <c r="F166" s="5">
        <f>IF(ISBLANK('Universe Tracker'!F141),"",'Universe Tracker'!F141)</f>
        <v/>
      </c>
      <c r="G166" s="5">
        <f>IF(ISBLANK('Universe Tracker'!G141),"",'Universe Tracker'!G141)</f>
        <v/>
      </c>
      <c r="H166" s="5" t="n"/>
      <c r="I166" s="5" t="n"/>
      <c r="J166" s="5">
        <f>IF(ISBLANK(B166),"",B166&amp;"_"&amp;C166)</f>
        <v/>
      </c>
      <c r="K166" s="5" t="n"/>
      <c r="L166" s="5" t="n"/>
      <c r="M166" s="5" t="n"/>
      <c r="N166" s="5" t="n"/>
      <c r="O166" s="5" t="n"/>
      <c r="P166" s="5" t="n"/>
      <c r="Q166" s="5" t="n"/>
      <c r="R166" s="5" t="n"/>
      <c r="S166" s="5" t="n"/>
      <c r="T166" s="5" t="n"/>
      <c r="U166" s="5" t="n"/>
      <c r="V166" s="5" t="n"/>
      <c r="W166" s="5" t="n"/>
      <c r="X166" s="5" t="n"/>
      <c r="Y166" s="5">
        <f>IF(AND(V166&gt;=2,K166="Yes",L166="Yes"),"Sufficient",IF(AND(V166&gt;=1,OR(K166="Yes",L166="Yes")),"Thin","Insufficient"))</f>
        <v/>
      </c>
      <c r="Z166" s="5" t="n"/>
      <c r="AA166" s="5" t="n"/>
      <c r="AB166" s="5" t="n"/>
      <c r="AC166" s="5" t="n"/>
      <c r="AD166" s="5" t="n"/>
      <c r="AE166" s="5" t="n"/>
      <c r="AF166" s="5" t="n"/>
      <c r="AG166" s="5" t="n"/>
      <c r="AH166" s="5" t="n"/>
      <c r="AI166" s="5" t="n"/>
      <c r="AJ166" s="5" t="n"/>
      <c r="AK166" s="5" t="n"/>
      <c r="AL166" s="5" t="n"/>
      <c r="AM166" s="5" t="n"/>
      <c r="AN166" s="5" t="n"/>
      <c r="AO166" s="5" t="n"/>
      <c r="AP166" s="5" t="n"/>
      <c r="AQ166" s="5" t="n"/>
      <c r="AR166" s="40">
        <f t="array" ref="AR166">MIN(100, MAX(0,
  IFERROR(_xlfn.XLOOKUP(AJ166,'Lookup Tables'!$A$2:$A$7,'Lookup Tables'!$B$2:$B$7,0),0)
  + IF(Z166="Yes", IF(IFERROR(_xlfn.XLOOKUP(AJ166,'Lookup Tables'!$A$2:$A$7,'Lookup Tables'!$B$2:$B$7,0),0)&lt;20, 5, 0), 0)
  + _xlfn.IFS(AB166="Yes", IF(ISNUMBER(AC166)*AND(AC166&lt;=2030),15,10), AB166="Long-term Only", 5, AB166="No", 0, TRUE, 0)
  + _xlfn.IFS(AF166="Full",10, AF166="Partial",5, AF166="Scope 2 Only",3, TRUE,0)
  + _xlfn.IFS(AG166="Yes", IF(ISNUMBER(AH166)*AND(AH166&gt;=5),10,6), AG166="Partial",4, TRUE,0)
  + _xlfn.IFS(AI166="Yes",5, AI166="Partial (material categories only)",3, TRUE,0)
  + _xlfn.IFS(AL166="Yes — Detailed",10, AL166="Yes — High Level",5, TRUE,0)
  + _xlfn.IFS(AM166="Yes — Quantified",15, AM166="Yes — Directional Only",7, TRUE,0)
  + _xlfn.IFS(AP166="Formal",5, AP166="Referenced",2, TRUE,0)
  + _xlfn.IFS(AQ166="No Issues Found",5, AQ166="Concern Identified",-5, AQ166="Severe Contradiction",-15, TRUE,0)
  + _xlfn.IFS(BC166="Reasonable Assurance",5, BC166="Limited Assurance",3, TRUE,0)
  - IF(AND(Z166="Yes", AI166="No"), 10, 0)
  - IF(AND(Z166="Yes", AM166="No"), 10, 0)
))</f>
        <v/>
      </c>
      <c r="AS166" s="5" t="n"/>
      <c r="AT166" s="5" t="n"/>
      <c r="AU166" s="5" t="n"/>
      <c r="AV166" s="5" t="n"/>
      <c r="AW166" s="5" t="n"/>
      <c r="AX166" s="5" t="n"/>
      <c r="AY166" s="5" t="n"/>
      <c r="AZ166" s="5" t="n"/>
      <c r="BA166" s="5" t="n"/>
      <c r="BB166" s="5" t="n"/>
      <c r="BC166" s="5" t="n"/>
      <c r="BD166" s="5" t="n"/>
      <c r="BE166" s="39">
        <f t="array" ref="BE166">MIN(100, MAX(0,
  IFERROR(_xlfn.XLOOKUP(AT166,'Lookup Tables'!$D$2:$D$6,'Lookup Tables'!$E$2:$E$6,0),0)
  + IFERROR(_xlfn.XLOOKUP(AV166,'Lookup Tables'!$G$2:$G$5,'Lookup Tables'!$H$2:$H$5,0),0)
  + IFERROR(_xlfn.XLOOKUP(AW166,'Lookup Tables'!$J$2:$J$5,'Lookup Tables'!$K$2:$K$5,0),0)
  + _xlfn.IFS(AX166="No Issues",10, AX166="Complaint Filed",3, AX166="Confirmed Breach",-15, TRUE,0)
  + IFERROR(_xlfn.XLOOKUP(AY166,'Lookup Tables'!$M$2:$M$6,'Lookup Tables'!$N$2:$N$6,0),0)
  + IFERROR(_xlfn.XLOOKUP(AZ166,'Lookup Tables'!$P$2:$P$6,'Lookup Tables'!$Q$2:$Q$6,0),0)
  + _xlfn.IFS(BA166="Formal Board Committee",5, BA166="Board Oversight Mentioned",2, TRUE,0)
  + _xlfn.IFS(BB166="Yes — Quantified Targets",5, BB166="Yes — Discretionary Only",2, TRUE,0)
  + _xlfn.IFS(BC166="Reasonable Assurance",5, BC166="Limited Assurance",3, BC166="Management Review Only",1, TRUE,0)
))</f>
        <v/>
      </c>
      <c r="BF166" s="5" t="n"/>
      <c r="BG166" s="5" t="n"/>
      <c r="BH166" s="5" t="n"/>
      <c r="BI166" s="5" t="n"/>
      <c r="BJ166" s="5" t="n"/>
      <c r="BK166" s="5" t="n"/>
      <c r="BL166" s="5" t="n"/>
      <c r="BM166" s="5" t="n"/>
      <c r="BN166" s="5" t="n"/>
      <c r="BO166" s="5" t="n"/>
      <c r="BP166" s="5" t="n"/>
      <c r="BQ166" s="5" t="n"/>
      <c r="BR166" s="5" t="n"/>
      <c r="BS166" s="41">
        <f t="array" ref="BS166">MIN(100, MAX(0,
  IFERROR(_xlfn.XLOOKUP(BG166,'Lookup Tables'!$A$11:$A$16,'Lookup Tables'!$B$11:$B$16,0),0)
  + IFERROR(_xlfn.XLOOKUP(BR166,'Lookup Tables'!$M$11:$M$14,'Lookup Tables'!$N$11:$N$14,0),0)
  + IFERROR(_xlfn.XLOOKUP(BQ166,'Lookup Tables'!$J$11:$J$15,'Lookup Tables'!$K$11:$K$15,0),0)
  + IFERROR(_xlfn.XLOOKUP(BH166,'Lookup Tables'!$D$11:$D$15,'Lookup Tables'!$E$11:$E$15,0),0)
  + IFERROR(_xlfn.XLOOKUP(BJ166,'Lookup Tables'!$G$11:$G$16,'Lookup Tables'!$H$11:$H$16,0),0)
  + IFERROR(_xlfn.XLOOKUP(BN166,'Lookup Tables'!$P$11:$P$15,'Lookup Tables'!$Q$11:$Q$15,0),0)
  + _xlfn.IFS(BM166="No Evidence",10, BM166="Unknown",3, BM166="Likely",0, BM166="Confirmed",-10, TRUE,3)
  + IFERROR(_xlfn.XLOOKUP(BP166,'Lookup Tables'!$J$21:$J$24,'Lookup Tables'!$K$21:$K$24,0),0)
))</f>
        <v/>
      </c>
      <c r="BT166" s="5" t="n"/>
      <c r="BU166" s="5" t="n"/>
      <c r="BV166" s="5" t="n"/>
      <c r="BW166" s="5" t="n"/>
      <c r="BX166" s="5" t="n"/>
      <c r="BY166" s="5" t="n"/>
      <c r="BZ166" s="5" t="n"/>
      <c r="CA166" s="5" t="n"/>
      <c r="CB166" s="5" t="n"/>
      <c r="CC166" s="5" t="n"/>
      <c r="CD166" s="5" t="n"/>
      <c r="CE166" s="43">
        <f t="array" ref="CE166">MIN(100, MAX(0,
  IF(ISNUMBER(BV166)*AND(BV166&gt;0), 10, 0)
  + _xlfn.IFS(BY166="Independently Verified",25, BY166="Yes",15, TRUE,0)
  + IFERROR(_xlfn.XLOOKUP(BZ166,'Lookup Tables'!$A$21:$A$24,'Lookup Tables'!$B$21:$B$24,0),0)
  + IFERROR(_xlfn.XLOOKUP(CA166,'Lookup Tables'!$D$21:$D$24,'Lookup Tables'!$E$21:$E$24,0),0)
  + _xlfn.IFS(ISNUMBER(CB166)*AND(CB166&gt;=11),15, ISNUMBER(CB166)*AND(CB166&gt;=6),10, ISNUMBER(CB166)*AND(CB166&gt;=1),5, TRUE,0)
  + IFERROR(_xlfn.XLOOKUP(CC166,'Lookup Tables'!$G$21:$G$25,'Lookup Tables'!$H$21:$H$25,0),0)
  - IF(ISNUMBER(BW166)*AND(ISNUMBER(BV166))*AND(BW166&gt;BV166), 20, 0)
  - IF(AND(BY166="Yes", ISNUMBER(BW166), BW166&gt;60), 10, 0)
))</f>
        <v/>
      </c>
      <c r="CF166" s="5" t="n"/>
      <c r="CG166" s="5" t="n"/>
      <c r="CH166" s="5" t="n"/>
      <c r="CI166" s="5" t="n"/>
      <c r="CJ166" s="5" t="n"/>
      <c r="CK166" s="5" t="n"/>
      <c r="CL166" s="5" t="n"/>
      <c r="CM166" s="5" t="n"/>
      <c r="CN166" s="5" t="n"/>
      <c r="CO166" s="5" t="n"/>
      <c r="CP166" s="5" t="n"/>
      <c r="CQ166" s="5" t="n"/>
      <c r="CR166" s="5">
        <f>COUNTIF(CJ166:CQ166,"FAIL")</f>
        <v/>
      </c>
      <c r="CS166" s="5">
        <f>COUNTIF(CJ166:CQ166,"PARTIAL")</f>
        <v/>
      </c>
      <c r="CT166" s="5">
        <f>COUNTIF(CJ166:CQ166,"MISSING")</f>
        <v/>
      </c>
      <c r="CU166" s="5">
        <f>MIN(100,
  CR166*15
  + CS166*6
  + CT166*3
  + IFERROR(_xlfn.XLOOKUP(CW166,'Lookup Tables'!$M$21:$M$25,'Lookup Tables'!$N$21:$N$25,0),0)
)</f>
        <v/>
      </c>
      <c r="CV166" s="5">
        <f>IFERROR(
CHOOSE(
MATCH("FAIL",CJ166:CQ166,0),
"1-Specificity","2-Metric","3-Baseline","4-Target",
"5-Time Horizon","6-Scope","7-Verification","8-Consistency"
),
IFERROR(
CHOOSE(
MATCH("PARTIAL",CJ166:CQ166,0),
"1-Specificity","2-Metric","3-Baseline","4-Target",
"5-Time Horizon","6-Scope","7-Verification","8-Consistency"
),
"No failures"
)
)</f>
        <v/>
      </c>
      <c r="CW166" s="5" t="n"/>
      <c r="CX166" s="5" t="n"/>
      <c r="CY166" s="5" t="n"/>
      <c r="CZ166" s="5" t="n"/>
      <c r="DA166" s="5">
        <f>IF(OR(CU166&gt;=50,CW166="Material",CW166="Severe",AS166="Material",AS166="Severe",BF166="Material",BF166="Severe — Exclusion Trigger",AND(ISNUMBER(BS166),BS166&lt;30)),"Yes","No")</f>
        <v/>
      </c>
      <c r="DB166" s="5">
        <f>IF(OR(CR166&gt;=6,AW166="Confirmed Violation",AX166="Confirmed Breach"),"Yes — Automatic",IF(CW166="Severe","Yes — Requires Captain Confirmation","No"))</f>
        <v/>
      </c>
      <c r="DC166" s="5" t="n"/>
      <c r="DD166" s="5" t="n"/>
      <c r="DE166" s="5" t="n"/>
      <c r="DF166" s="5" t="n"/>
      <c r="DG166" s="5" t="n"/>
      <c r="DH166" s="5" t="n"/>
      <c r="DI166" s="5" t="n"/>
      <c r="DJ166" s="5" t="n"/>
      <c r="DK166" s="5" t="n"/>
      <c r="DL166" s="5">
        <f>IF(OR(IFERROR(VALUE(LEFT(DF166,1)),99)&lt;=2,IFERROR(VALUE(LEFT(DG166,1)),99)&lt;=2),"Flagged","Clear")</f>
        <v/>
      </c>
      <c r="DM166" s="5">
        <f>IF(OR(DA166="Yes",DB166&lt;&gt;"No",DH166="Unverified",DL166="Flagged"),"Yes","No")</f>
        <v/>
      </c>
      <c r="DN166" s="5">
        <f t="array" ref="DN166">MIN(100,
  IF(ISNUMBER(V166), _xlfn.IFS(V166&gt;=3,25, V166=2,15, V166=1,5, TRUE,0), 0)
  + IFERROR(_xlfn.IFS(VALUE(LEFT(DF166,1))=5,25, VALUE(LEFT(DF166,1))=4,20, VALUE(LEFT(DF166,1))=3,15, VALUE(LEFT(DF166,1))=2,8, TRUE,0), 15)
  + IFERROR(_xlfn.IFS(VALUE(LEFT(DG166,1))=5,25, VALUE(LEFT(DG166,1))=4,20, VALUE(LEFT(DG166,1))=3,15, VALUE(LEFT(DG166,1))=2,8, TRUE,0), 15)
  + _xlfn.IFS(DH166="Fully Verified",25, DH166="Partially Verified",12, TRUE,0)
)</f>
        <v/>
      </c>
      <c r="DO166" s="5">
        <f t="array" ref="DO166">_xlfn.IFS(
  ISBLANK(AR166), "Insufficient Evidence",
  AND(AR166&gt;=65, AJ166="Approved"), "Strong",
  AR166&gt;=65, "Adequate",
  AR166&gt;=40, "Adequate",
  AR166&gt;=20, "Weak",
  TRUE, "Insufficient Evidence"
)</f>
        <v/>
      </c>
      <c r="DP166" s="5">
        <f t="array" ref="DP166">_xlfn.IFS(
  ISBLANK(BS166), "Insufficient Evidence",
  BS166&gt;=65, "Strong",
  BS166&gt;=40, "Adequate",
  BS166&gt;=20, "Weak",
  TRUE, "Insufficient Evidence"
)</f>
        <v/>
      </c>
      <c r="DQ166" s="5">
        <f t="array" ref="DQ166">_xlfn.IFS(
  ISBLANK(BE166), "Insufficient Evidence",
  OR(AW166="Confirmed Violation", AX166="Confirmed Breach"), "Severe — Hard Trigger",
  BE166&gt;=65, "Strong",
  BE166&gt;=40, "Adequate",
  BE166&gt;=20, "Weak",
  TRUE, "Insufficient Evidence"
)</f>
        <v/>
      </c>
      <c r="DR166" s="5">
        <f t="array" ref="DR166">_xlfn.IFS(
  ISBLANK(CU166), "Insufficient Evidence",
  CU166&lt;=20, "Low Risk",
  CU166&lt;=50, "Moderate Risk",
  CU166&lt;=75, "High Risk",
  TRUE, "Very High Risk"
)</f>
        <v/>
      </c>
      <c r="DS166" s="5">
        <f t="array" ref="DS166">_xlfn.IFS(
  ISBLANK(CE166), "Insufficient Evidence",
  AND(ISNUMBER(BW166),ISNUMBER(BV166),BW166&gt;BV166), "Overclaiming Risk",
  CE166&gt;=65, "Strong",
  CE166&gt;=40, "Adequate",
  TRUE, "Weak"
)</f>
        <v/>
      </c>
      <c r="DT166" s="5">
        <f>IF(DB166="Yes — Automatic",0,ROUND((IF(ISNUMBER(AR166),AR166,0)*0.3+IF(ISNUMBER(BS166),BS166,0)*0.2+IF(ISNUMBER(BE166),BE166,0)*0.2+IF(ISNUMBER(CE166),CE166,0)*0.15+(100-IF(ISNUMBER(CU166),CU166,50))*0.15)*IF(DN166&gt;=75,1,IF(DN166&gt;=50,0.9,IF(DN166&gt;=25,0.75,0.6))),1))</f>
        <v/>
      </c>
      <c r="DU166" s="5">
        <f t="array" ref="DU166">_xlfn.IFS(
  DV166="Upgraded to Clear", "Clear",
  DV166="Downgraded to Watchlist", "Watchlist",
  DV166="Downgraded to Exclusion", "Exclusion Risk",
  DB166="Yes — Automatic", "Exclusion Risk",
  OR(AW166="Confirmed Violation", AX166="Confirmed Breach"), "Exclusion Risk",
  OR(V166=0, ISBLANK(V166), DN166&lt;20), "Insufficient Evidence",
  AND(DT166&gt;=65, DA166="No", DB166="No"), "Clear",
  OR(DT166&gt;=40, DA166="Yes"), "Watchlist",
  TRUE, "Exclusion Risk"
)</f>
        <v/>
      </c>
      <c r="DV166" s="5" t="n"/>
      <c r="DW166" s="5">
        <f t="array" ref="DW166">_xlfn.IFS(
  DU166="Exclusion Risk", "Exclude — Hard Trigger",
  DU166="Insufficient Evidence", "Watchlist — Further Evidence Needed",
  DU166="Watchlist", "Watchlist — Further Evidence Needed",
  AND(DU166="Clear", DT166&gt;=80), "Include — No Conditions",
  DU166="Clear", "Include — Monitor",
  TRUE, "Watchlist — Further Evidence Needed"
)</f>
        <v/>
      </c>
      <c r="DX166" s="5" t="n"/>
      <c r="DY166" s="5" t="n"/>
      <c r="DZ166" s="5" t="n"/>
      <c r="EA166" s="5" t="n"/>
      <c r="EB166" s="5">
        <f>IF(OR(V166=0, ISBLANK(V166)), "MISSING — No sources reviewed", "")</f>
        <v/>
      </c>
      <c r="EC166" s="5">
        <f>IF(AND(NOT(ISBLANK(DC166)), ISBLANK(DE166)), "PAGE REF MISSING", "")</f>
        <v/>
      </c>
    </row>
    <row r="167" ht="18" customHeight="1" s="60">
      <c r="A167" s="5" t="inlineStr">
        <is>
          <t>KBC Group NV</t>
        </is>
      </c>
      <c r="B167" s="5" t="inlineStr">
        <is>
          <t>KDB</t>
        </is>
      </c>
      <c r="C167" s="5">
        <f>IF(ISBLANK('Universe Tracker'!D142),"",'Universe Tracker'!D142)</f>
        <v/>
      </c>
      <c r="D167" s="5" t="n"/>
      <c r="E167" s="5" t="n"/>
      <c r="F167" s="5">
        <f>IF(ISBLANK('Universe Tracker'!F142),"",'Universe Tracker'!F142)</f>
        <v/>
      </c>
      <c r="G167" s="5">
        <f>IF(ISBLANK('Universe Tracker'!G142),"",'Universe Tracker'!G142)</f>
        <v/>
      </c>
      <c r="H167" s="5" t="n"/>
      <c r="I167" s="5" t="n"/>
      <c r="J167" s="5">
        <f>IF(ISBLANK(B167),"",B167&amp;"_"&amp;C167)</f>
        <v/>
      </c>
      <c r="K167" s="5" t="n"/>
      <c r="L167" s="5" t="n"/>
      <c r="M167" s="5" t="n"/>
      <c r="N167" s="5" t="n"/>
      <c r="O167" s="5" t="n"/>
      <c r="P167" s="5" t="n"/>
      <c r="Q167" s="5" t="n"/>
      <c r="R167" s="5" t="n"/>
      <c r="S167" s="5" t="n"/>
      <c r="T167" s="5" t="n"/>
      <c r="U167" s="5" t="n"/>
      <c r="V167" s="5" t="n"/>
      <c r="W167" s="5" t="n"/>
      <c r="X167" s="5" t="n"/>
      <c r="Y167" s="5">
        <f>IF(AND(V167&gt;=2,K167="Yes",L167="Yes"),"Sufficient",IF(AND(V167&gt;=1,OR(K167="Yes",L167="Yes")),"Thin","Insufficient"))</f>
        <v/>
      </c>
      <c r="Z167" s="5" t="n"/>
      <c r="AA167" s="5" t="n"/>
      <c r="AB167" s="5" t="n"/>
      <c r="AC167" s="5" t="n"/>
      <c r="AD167" s="5" t="n"/>
      <c r="AE167" s="5" t="n"/>
      <c r="AF167" s="5" t="n"/>
      <c r="AG167" s="5" t="n"/>
      <c r="AH167" s="5" t="n"/>
      <c r="AI167" s="5" t="n"/>
      <c r="AJ167" s="5" t="n"/>
      <c r="AK167" s="5" t="n"/>
      <c r="AL167" s="5" t="n"/>
      <c r="AM167" s="5" t="n"/>
      <c r="AN167" s="5" t="n"/>
      <c r="AO167" s="5" t="n"/>
      <c r="AP167" s="5" t="n"/>
      <c r="AQ167" s="5" t="n"/>
      <c r="AR167" s="40">
        <f t="array" ref="AR167">MIN(100, MAX(0,
  IFERROR(_xlfn.XLOOKUP(AJ167,'Lookup Tables'!$A$2:$A$7,'Lookup Tables'!$B$2:$B$7,0),0)
  + IF(Z167="Yes", IF(IFERROR(_xlfn.XLOOKUP(AJ167,'Lookup Tables'!$A$2:$A$7,'Lookup Tables'!$B$2:$B$7,0),0)&lt;20, 5, 0), 0)
  + _xlfn.IFS(AB167="Yes", IF(ISNUMBER(AC167)*AND(AC167&lt;=2030),15,10), AB167="Long-term Only", 5, AB167="No", 0, TRUE, 0)
  + _xlfn.IFS(AF167="Full",10, AF167="Partial",5, AF167="Scope 2 Only",3, TRUE,0)
  + _xlfn.IFS(AG167="Yes", IF(ISNUMBER(AH167)*AND(AH167&gt;=5),10,6), AG167="Partial",4, TRUE,0)
  + _xlfn.IFS(AI167="Yes",5, AI167="Partial (material categories only)",3, TRUE,0)
  + _xlfn.IFS(AL167="Yes — Detailed",10, AL167="Yes — High Level",5, TRUE,0)
  + _xlfn.IFS(AM167="Yes — Quantified",15, AM167="Yes — Directional Only",7, TRUE,0)
  + _xlfn.IFS(AP167="Formal",5, AP167="Referenced",2, TRUE,0)
  + _xlfn.IFS(AQ167="No Issues Found",5, AQ167="Concern Identified",-5, AQ167="Severe Contradiction",-15, TRUE,0)
  + _xlfn.IFS(BC167="Reasonable Assurance",5, BC167="Limited Assurance",3, TRUE,0)
  - IF(AND(Z167="Yes", AI167="No"), 10, 0)
  - IF(AND(Z167="Yes", AM167="No"), 10, 0)
))</f>
        <v/>
      </c>
      <c r="AS167" s="5" t="n"/>
      <c r="AT167" s="5" t="n"/>
      <c r="AU167" s="5" t="n"/>
      <c r="AV167" s="5" t="n"/>
      <c r="AW167" s="5" t="n"/>
      <c r="AX167" s="5" t="n"/>
      <c r="AY167" s="5" t="n"/>
      <c r="AZ167" s="5" t="n"/>
      <c r="BA167" s="5" t="n"/>
      <c r="BB167" s="5" t="n"/>
      <c r="BC167" s="5" t="n"/>
      <c r="BD167" s="5" t="n"/>
      <c r="BE167" s="39">
        <f t="array" ref="BE167">MIN(100, MAX(0,
  IFERROR(_xlfn.XLOOKUP(AT167,'Lookup Tables'!$D$2:$D$6,'Lookup Tables'!$E$2:$E$6,0),0)
  + IFERROR(_xlfn.XLOOKUP(AV167,'Lookup Tables'!$G$2:$G$5,'Lookup Tables'!$H$2:$H$5,0),0)
  + IFERROR(_xlfn.XLOOKUP(AW167,'Lookup Tables'!$J$2:$J$5,'Lookup Tables'!$K$2:$K$5,0),0)
  + _xlfn.IFS(AX167="No Issues",10, AX167="Complaint Filed",3, AX167="Confirmed Breach",-15, TRUE,0)
  + IFERROR(_xlfn.XLOOKUP(AY167,'Lookup Tables'!$M$2:$M$6,'Lookup Tables'!$N$2:$N$6,0),0)
  + IFERROR(_xlfn.XLOOKUP(AZ167,'Lookup Tables'!$P$2:$P$6,'Lookup Tables'!$Q$2:$Q$6,0),0)
  + _xlfn.IFS(BA167="Formal Board Committee",5, BA167="Board Oversight Mentioned",2, TRUE,0)
  + _xlfn.IFS(BB167="Yes — Quantified Targets",5, BB167="Yes — Discretionary Only",2, TRUE,0)
  + _xlfn.IFS(BC167="Reasonable Assurance",5, BC167="Limited Assurance",3, BC167="Management Review Only",1, TRUE,0)
))</f>
        <v/>
      </c>
      <c r="BF167" s="5" t="n"/>
      <c r="BG167" s="5" t="n"/>
      <c r="BH167" s="5" t="n"/>
      <c r="BI167" s="5" t="n"/>
      <c r="BJ167" s="5" t="n"/>
      <c r="BK167" s="5" t="n"/>
      <c r="BL167" s="5" t="n"/>
      <c r="BM167" s="5" t="n"/>
      <c r="BN167" s="5" t="n"/>
      <c r="BO167" s="5" t="n"/>
      <c r="BP167" s="5" t="n"/>
      <c r="BQ167" s="5" t="n"/>
      <c r="BR167" s="5" t="n"/>
      <c r="BS167" s="41">
        <f t="array" ref="BS167">MIN(100, MAX(0,
  IFERROR(_xlfn.XLOOKUP(BG167,'Lookup Tables'!$A$11:$A$16,'Lookup Tables'!$B$11:$B$16,0),0)
  + IFERROR(_xlfn.XLOOKUP(BR167,'Lookup Tables'!$M$11:$M$14,'Lookup Tables'!$N$11:$N$14,0),0)
  + IFERROR(_xlfn.XLOOKUP(BQ167,'Lookup Tables'!$J$11:$J$15,'Lookup Tables'!$K$11:$K$15,0),0)
  + IFERROR(_xlfn.XLOOKUP(BH167,'Lookup Tables'!$D$11:$D$15,'Lookup Tables'!$E$11:$E$15,0),0)
  + IFERROR(_xlfn.XLOOKUP(BJ167,'Lookup Tables'!$G$11:$G$16,'Lookup Tables'!$H$11:$H$16,0),0)
  + IFERROR(_xlfn.XLOOKUP(BN167,'Lookup Tables'!$P$11:$P$15,'Lookup Tables'!$Q$11:$Q$15,0),0)
  + _xlfn.IFS(BM167="No Evidence",10, BM167="Unknown",3, BM167="Likely",0, BM167="Confirmed",-10, TRUE,3)
  + IFERROR(_xlfn.XLOOKUP(BP167,'Lookup Tables'!$J$21:$J$24,'Lookup Tables'!$K$21:$K$24,0),0)
))</f>
        <v/>
      </c>
      <c r="BT167" s="5" t="n"/>
      <c r="BU167" s="5" t="n"/>
      <c r="BV167" s="5" t="n"/>
      <c r="BW167" s="5" t="n"/>
      <c r="BX167" s="5" t="n"/>
      <c r="BY167" s="5" t="n"/>
      <c r="BZ167" s="5" t="n"/>
      <c r="CA167" s="5" t="n"/>
      <c r="CB167" s="5" t="n"/>
      <c r="CC167" s="5" t="n"/>
      <c r="CD167" s="5" t="n"/>
      <c r="CE167" s="43">
        <f t="array" ref="CE167">MIN(100, MAX(0,
  IF(ISNUMBER(BV167)*AND(BV167&gt;0), 10, 0)
  + _xlfn.IFS(BY167="Independently Verified",25, BY167="Yes",15, TRUE,0)
  + IFERROR(_xlfn.XLOOKUP(BZ167,'Lookup Tables'!$A$21:$A$24,'Lookup Tables'!$B$21:$B$24,0),0)
  + IFERROR(_xlfn.XLOOKUP(CA167,'Lookup Tables'!$D$21:$D$24,'Lookup Tables'!$E$21:$E$24,0),0)
  + _xlfn.IFS(ISNUMBER(CB167)*AND(CB167&gt;=11),15, ISNUMBER(CB167)*AND(CB167&gt;=6),10, ISNUMBER(CB167)*AND(CB167&gt;=1),5, TRUE,0)
  + IFERROR(_xlfn.XLOOKUP(CC167,'Lookup Tables'!$G$21:$G$25,'Lookup Tables'!$H$21:$H$25,0),0)
  - IF(ISNUMBER(BW167)*AND(ISNUMBER(BV167))*AND(BW167&gt;BV167), 20, 0)
  - IF(AND(BY167="Yes", ISNUMBER(BW167), BW167&gt;60), 10, 0)
))</f>
        <v/>
      </c>
      <c r="CF167" s="5" t="n"/>
      <c r="CG167" s="5" t="n"/>
      <c r="CH167" s="5" t="n"/>
      <c r="CI167" s="5" t="n"/>
      <c r="CJ167" s="5" t="n"/>
      <c r="CK167" s="5" t="n"/>
      <c r="CL167" s="5" t="n"/>
      <c r="CM167" s="5" t="n"/>
      <c r="CN167" s="5" t="n"/>
      <c r="CO167" s="5" t="n"/>
      <c r="CP167" s="5" t="n"/>
      <c r="CQ167" s="5" t="n"/>
      <c r="CR167" s="5">
        <f>COUNTIF(CJ167:CQ167,"FAIL")</f>
        <v/>
      </c>
      <c r="CS167" s="5">
        <f>COUNTIF(CJ167:CQ167,"PARTIAL")</f>
        <v/>
      </c>
      <c r="CT167" s="5">
        <f>COUNTIF(CJ167:CQ167,"MISSING")</f>
        <v/>
      </c>
      <c r="CU167" s="5">
        <f>MIN(100,
  CR167*15
  + CS167*6
  + CT167*3
  + IFERROR(_xlfn.XLOOKUP(CW167,'Lookup Tables'!$M$21:$M$25,'Lookup Tables'!$N$21:$N$25,0),0)
)</f>
        <v/>
      </c>
      <c r="CV167" s="5">
        <f>IFERROR(
CHOOSE(
MATCH("FAIL",CJ167:CQ167,0),
"1-Specificity","2-Metric","3-Baseline","4-Target",
"5-Time Horizon","6-Scope","7-Verification","8-Consistency"
),
IFERROR(
CHOOSE(
MATCH("PARTIAL",CJ167:CQ167,0),
"1-Specificity","2-Metric","3-Baseline","4-Target",
"5-Time Horizon","6-Scope","7-Verification","8-Consistency"
),
"No failures"
)
)</f>
        <v/>
      </c>
      <c r="CW167" s="5" t="n"/>
      <c r="CX167" s="5" t="n"/>
      <c r="CY167" s="5" t="n"/>
      <c r="CZ167" s="5" t="n"/>
      <c r="DA167" s="5">
        <f>IF(OR(CU167&gt;=50,CW167="Material",CW167="Severe",AS167="Material",AS167="Severe",BF167="Material",BF167="Severe — Exclusion Trigger",AND(ISNUMBER(BS167),BS167&lt;30)),"Yes","No")</f>
        <v/>
      </c>
      <c r="DB167" s="5">
        <f>IF(OR(CR167&gt;=6,AW167="Confirmed Violation",AX167="Confirmed Breach"),"Yes — Automatic",IF(CW167="Severe","Yes — Requires Captain Confirmation","No"))</f>
        <v/>
      </c>
      <c r="DC167" s="5" t="n"/>
      <c r="DD167" s="5" t="n"/>
      <c r="DE167" s="5" t="n"/>
      <c r="DF167" s="5" t="n"/>
      <c r="DG167" s="5" t="n"/>
      <c r="DH167" s="5" t="n"/>
      <c r="DI167" s="5" t="n"/>
      <c r="DJ167" s="5" t="n"/>
      <c r="DK167" s="5" t="n"/>
      <c r="DL167" s="5">
        <f>IF(OR(IFERROR(VALUE(LEFT(DF167,1)),99)&lt;=2,IFERROR(VALUE(LEFT(DG167,1)),99)&lt;=2),"Flagged","Clear")</f>
        <v/>
      </c>
      <c r="DM167" s="5">
        <f>IF(OR(DA167="Yes",DB167&lt;&gt;"No",DH167="Unverified",DL167="Flagged"),"Yes","No")</f>
        <v/>
      </c>
      <c r="DN167" s="5">
        <f t="array" ref="DN167">MIN(100,
  IF(ISNUMBER(V167), _xlfn.IFS(V167&gt;=3,25, V167=2,15, V167=1,5, TRUE,0), 0)
  + IFERROR(_xlfn.IFS(VALUE(LEFT(DF167,1))=5,25, VALUE(LEFT(DF167,1))=4,20, VALUE(LEFT(DF167,1))=3,15, VALUE(LEFT(DF167,1))=2,8, TRUE,0), 15)
  + IFERROR(_xlfn.IFS(VALUE(LEFT(DG167,1))=5,25, VALUE(LEFT(DG167,1))=4,20, VALUE(LEFT(DG167,1))=3,15, VALUE(LEFT(DG167,1))=2,8, TRUE,0), 15)
  + _xlfn.IFS(DH167="Fully Verified",25, DH167="Partially Verified",12, TRUE,0)
)</f>
        <v/>
      </c>
      <c r="DO167" s="5">
        <f t="array" ref="DO167">_xlfn.IFS(
  ISBLANK(AR167), "Insufficient Evidence",
  AND(AR167&gt;=65, AJ167="Approved"), "Strong",
  AR167&gt;=65, "Adequate",
  AR167&gt;=40, "Adequate",
  AR167&gt;=20, "Weak",
  TRUE, "Insufficient Evidence"
)</f>
        <v/>
      </c>
      <c r="DP167" s="5">
        <f t="array" ref="DP167">_xlfn.IFS(
  ISBLANK(BS167), "Insufficient Evidence",
  BS167&gt;=65, "Strong",
  BS167&gt;=40, "Adequate",
  BS167&gt;=20, "Weak",
  TRUE, "Insufficient Evidence"
)</f>
        <v/>
      </c>
      <c r="DQ167" s="5">
        <f t="array" ref="DQ167">_xlfn.IFS(
  ISBLANK(BE167), "Insufficient Evidence",
  OR(AW167="Confirmed Violation", AX167="Confirmed Breach"), "Severe — Hard Trigger",
  BE167&gt;=65, "Strong",
  BE167&gt;=40, "Adequate",
  BE167&gt;=20, "Weak",
  TRUE, "Insufficient Evidence"
)</f>
        <v/>
      </c>
      <c r="DR167" s="5">
        <f t="array" ref="DR167">_xlfn.IFS(
  ISBLANK(CU167), "Insufficient Evidence",
  CU167&lt;=20, "Low Risk",
  CU167&lt;=50, "Moderate Risk",
  CU167&lt;=75, "High Risk",
  TRUE, "Very High Risk"
)</f>
        <v/>
      </c>
      <c r="DS167" s="5">
        <f t="array" ref="DS167">_xlfn.IFS(
  ISBLANK(CE167), "Insufficient Evidence",
  AND(ISNUMBER(BW167),ISNUMBER(BV167),BW167&gt;BV167), "Overclaiming Risk",
  CE167&gt;=65, "Strong",
  CE167&gt;=40, "Adequate",
  TRUE, "Weak"
)</f>
        <v/>
      </c>
      <c r="DT167" s="5">
        <f>IF(DB167="Yes — Automatic",0,ROUND((IF(ISNUMBER(AR167),AR167,0)*0.3+IF(ISNUMBER(BS167),BS167,0)*0.2+IF(ISNUMBER(BE167),BE167,0)*0.2+IF(ISNUMBER(CE167),CE167,0)*0.15+(100-IF(ISNUMBER(CU167),CU167,50))*0.15)*IF(DN167&gt;=75,1,IF(DN167&gt;=50,0.9,IF(DN167&gt;=25,0.75,0.6))),1))</f>
        <v/>
      </c>
      <c r="DU167" s="5">
        <f t="array" ref="DU167">_xlfn.IFS(
  DV167="Upgraded to Clear", "Clear",
  DV167="Downgraded to Watchlist", "Watchlist",
  DV167="Downgraded to Exclusion", "Exclusion Risk",
  DB167="Yes — Automatic", "Exclusion Risk",
  OR(AW167="Confirmed Violation", AX167="Confirmed Breach"), "Exclusion Risk",
  OR(V167=0, ISBLANK(V167), DN167&lt;20), "Insufficient Evidence",
  AND(DT167&gt;=65, DA167="No", DB167="No"), "Clear",
  OR(DT167&gt;=40, DA167="Yes"), "Watchlist",
  TRUE, "Exclusion Risk"
)</f>
        <v/>
      </c>
      <c r="DV167" s="5" t="n"/>
      <c r="DW167" s="5">
        <f t="array" ref="DW167">_xlfn.IFS(
  DU167="Exclusion Risk", "Exclude — Hard Trigger",
  DU167="Insufficient Evidence", "Watchlist — Further Evidence Needed",
  DU167="Watchlist", "Watchlist — Further Evidence Needed",
  AND(DU167="Clear", DT167&gt;=80), "Include — No Conditions",
  DU167="Clear", "Include — Monitor",
  TRUE, "Watchlist — Further Evidence Needed"
)</f>
        <v/>
      </c>
      <c r="DX167" s="5" t="n"/>
      <c r="DY167" s="5" t="n"/>
      <c r="DZ167" s="5" t="n"/>
      <c r="EA167" s="5" t="n"/>
      <c r="EB167" s="5">
        <f>IF(OR(V167=0, ISBLANK(V167)), "MISSING — No sources reviewed", "")</f>
        <v/>
      </c>
      <c r="EC167" s="5">
        <f>IF(AND(NOT(ISBLANK(DC167)), ISBLANK(DE167)), "PAGE REF MISSING", "")</f>
        <v/>
      </c>
    </row>
    <row r="168" ht="18" customHeight="1" s="60">
      <c r="A168" s="5" t="inlineStr">
        <is>
          <t>KBC Ancora</t>
        </is>
      </c>
      <c r="B168" s="5" t="inlineStr">
        <is>
          <t>KB9</t>
        </is>
      </c>
      <c r="C168" s="5">
        <f>IF(ISBLANK('Universe Tracker'!D143),"",'Universe Tracker'!D143)</f>
        <v/>
      </c>
      <c r="D168" s="5" t="n"/>
      <c r="E168" s="5" t="n"/>
      <c r="F168" s="5">
        <f>IF(ISBLANK('Universe Tracker'!F143),"",'Universe Tracker'!F143)</f>
        <v/>
      </c>
      <c r="G168" s="5">
        <f>IF(ISBLANK('Universe Tracker'!G143),"",'Universe Tracker'!G143)</f>
        <v/>
      </c>
      <c r="H168" s="5" t="n"/>
      <c r="I168" s="5" t="n"/>
      <c r="J168" s="5">
        <f>IF(ISBLANK(B168),"",B168&amp;"_"&amp;C168)</f>
        <v/>
      </c>
      <c r="K168" s="5" t="n"/>
      <c r="L168" s="5" t="n"/>
      <c r="M168" s="5" t="n"/>
      <c r="N168" s="5" t="n"/>
      <c r="O168" s="5" t="n"/>
      <c r="P168" s="5" t="n"/>
      <c r="Q168" s="5" t="n"/>
      <c r="R168" s="5" t="n"/>
      <c r="S168" s="5" t="n"/>
      <c r="T168" s="5" t="n"/>
      <c r="U168" s="5" t="n"/>
      <c r="V168" s="5" t="n"/>
      <c r="W168" s="5" t="n"/>
      <c r="X168" s="5" t="n"/>
      <c r="Y168" s="5">
        <f>IF(AND(V168&gt;=2,K168="Yes",L168="Yes"),"Sufficient",IF(AND(V168&gt;=1,OR(K168="Yes",L168="Yes")),"Thin","Insufficient"))</f>
        <v/>
      </c>
      <c r="Z168" s="5" t="n"/>
      <c r="AA168" s="5" t="n"/>
      <c r="AB168" s="5" t="n"/>
      <c r="AC168" s="5" t="n"/>
      <c r="AD168" s="5" t="n"/>
      <c r="AE168" s="5" t="n"/>
      <c r="AF168" s="5" t="n"/>
      <c r="AG168" s="5" t="n"/>
      <c r="AH168" s="5" t="n"/>
      <c r="AI168" s="5" t="n"/>
      <c r="AJ168" s="5" t="n"/>
      <c r="AK168" s="5" t="n"/>
      <c r="AL168" s="5" t="n"/>
      <c r="AM168" s="5" t="n"/>
      <c r="AN168" s="5" t="n"/>
      <c r="AO168" s="5" t="n"/>
      <c r="AP168" s="5" t="n"/>
      <c r="AQ168" s="5" t="n"/>
      <c r="AR168" s="40">
        <f t="array" ref="AR168">MIN(100, MAX(0,
  IFERROR(_xlfn.XLOOKUP(AJ168,'Lookup Tables'!$A$2:$A$7,'Lookup Tables'!$B$2:$B$7,0),0)
  + IF(Z168="Yes", IF(IFERROR(_xlfn.XLOOKUP(AJ168,'Lookup Tables'!$A$2:$A$7,'Lookup Tables'!$B$2:$B$7,0),0)&lt;20, 5, 0), 0)
  + _xlfn.IFS(AB168="Yes", IF(ISNUMBER(AC168)*AND(AC168&lt;=2030),15,10), AB168="Long-term Only", 5, AB168="No", 0, TRUE, 0)
  + _xlfn.IFS(AF168="Full",10, AF168="Partial",5, AF168="Scope 2 Only",3, TRUE,0)
  + _xlfn.IFS(AG168="Yes", IF(ISNUMBER(AH168)*AND(AH168&gt;=5),10,6), AG168="Partial",4, TRUE,0)
  + _xlfn.IFS(AI168="Yes",5, AI168="Partial (material categories only)",3, TRUE,0)
  + _xlfn.IFS(AL168="Yes — Detailed",10, AL168="Yes — High Level",5, TRUE,0)
  + _xlfn.IFS(AM168="Yes — Quantified",15, AM168="Yes — Directional Only",7, TRUE,0)
  + _xlfn.IFS(AP168="Formal",5, AP168="Referenced",2, TRUE,0)
  + _xlfn.IFS(AQ168="No Issues Found",5, AQ168="Concern Identified",-5, AQ168="Severe Contradiction",-15, TRUE,0)
  + _xlfn.IFS(BC168="Reasonable Assurance",5, BC168="Limited Assurance",3, TRUE,0)
  - IF(AND(Z168="Yes", AI168="No"), 10, 0)
  - IF(AND(Z168="Yes", AM168="No"), 10, 0)
))</f>
        <v/>
      </c>
      <c r="AS168" s="5" t="n"/>
      <c r="AT168" s="5" t="n"/>
      <c r="AU168" s="5" t="n"/>
      <c r="AV168" s="5" t="n"/>
      <c r="AW168" s="5" t="n"/>
      <c r="AX168" s="5" t="n"/>
      <c r="AY168" s="5" t="n"/>
      <c r="AZ168" s="5" t="n"/>
      <c r="BA168" s="5" t="n"/>
      <c r="BB168" s="5" t="n"/>
      <c r="BC168" s="5" t="n"/>
      <c r="BD168" s="5" t="n"/>
      <c r="BE168" s="39">
        <f t="array" ref="BE168">MIN(100, MAX(0,
  IFERROR(_xlfn.XLOOKUP(AT168,'Lookup Tables'!$D$2:$D$6,'Lookup Tables'!$E$2:$E$6,0),0)
  + IFERROR(_xlfn.XLOOKUP(AV168,'Lookup Tables'!$G$2:$G$5,'Lookup Tables'!$H$2:$H$5,0),0)
  + IFERROR(_xlfn.XLOOKUP(AW168,'Lookup Tables'!$J$2:$J$5,'Lookup Tables'!$K$2:$K$5,0),0)
  + _xlfn.IFS(AX168="No Issues",10, AX168="Complaint Filed",3, AX168="Confirmed Breach",-15, TRUE,0)
  + IFERROR(_xlfn.XLOOKUP(AY168,'Lookup Tables'!$M$2:$M$6,'Lookup Tables'!$N$2:$N$6,0),0)
  + IFERROR(_xlfn.XLOOKUP(AZ168,'Lookup Tables'!$P$2:$P$6,'Lookup Tables'!$Q$2:$Q$6,0),0)
  + _xlfn.IFS(BA168="Formal Board Committee",5, BA168="Board Oversight Mentioned",2, TRUE,0)
  + _xlfn.IFS(BB168="Yes — Quantified Targets",5, BB168="Yes — Discretionary Only",2, TRUE,0)
  + _xlfn.IFS(BC168="Reasonable Assurance",5, BC168="Limited Assurance",3, BC168="Management Review Only",1, TRUE,0)
))</f>
        <v/>
      </c>
      <c r="BF168" s="5" t="n"/>
      <c r="BG168" s="5" t="n"/>
      <c r="BH168" s="5" t="n"/>
      <c r="BI168" s="5" t="n"/>
      <c r="BJ168" s="5" t="n"/>
      <c r="BK168" s="5" t="n"/>
      <c r="BL168" s="5" t="n"/>
      <c r="BM168" s="5" t="n"/>
      <c r="BN168" s="5" t="n"/>
      <c r="BO168" s="5" t="n"/>
      <c r="BP168" s="5" t="n"/>
      <c r="BQ168" s="5" t="n"/>
      <c r="BR168" s="5" t="n"/>
      <c r="BS168" s="41">
        <f t="array" ref="BS168">MIN(100, MAX(0,
  IFERROR(_xlfn.XLOOKUP(BG168,'Lookup Tables'!$A$11:$A$16,'Lookup Tables'!$B$11:$B$16,0),0)
  + IFERROR(_xlfn.XLOOKUP(BR168,'Lookup Tables'!$M$11:$M$14,'Lookup Tables'!$N$11:$N$14,0),0)
  + IFERROR(_xlfn.XLOOKUP(BQ168,'Lookup Tables'!$J$11:$J$15,'Lookup Tables'!$K$11:$K$15,0),0)
  + IFERROR(_xlfn.XLOOKUP(BH168,'Lookup Tables'!$D$11:$D$15,'Lookup Tables'!$E$11:$E$15,0),0)
  + IFERROR(_xlfn.XLOOKUP(BJ168,'Lookup Tables'!$G$11:$G$16,'Lookup Tables'!$H$11:$H$16,0),0)
  + IFERROR(_xlfn.XLOOKUP(BN168,'Lookup Tables'!$P$11:$P$15,'Lookup Tables'!$Q$11:$Q$15,0),0)
  + _xlfn.IFS(BM168="No Evidence",10, BM168="Unknown",3, BM168="Likely",0, BM168="Confirmed",-10, TRUE,3)
  + IFERROR(_xlfn.XLOOKUP(BP168,'Lookup Tables'!$J$21:$J$24,'Lookup Tables'!$K$21:$K$24,0),0)
))</f>
        <v/>
      </c>
      <c r="BT168" s="5" t="n"/>
      <c r="BU168" s="5" t="n"/>
      <c r="BV168" s="5" t="n"/>
      <c r="BW168" s="5" t="n"/>
      <c r="BX168" s="5" t="n"/>
      <c r="BY168" s="5" t="n"/>
      <c r="BZ168" s="5" t="n"/>
      <c r="CA168" s="5" t="n"/>
      <c r="CB168" s="5" t="n"/>
      <c r="CC168" s="5" t="n"/>
      <c r="CD168" s="5" t="n"/>
      <c r="CE168" s="43">
        <f t="array" ref="CE168">MIN(100, MAX(0,
  IF(ISNUMBER(BV168)*AND(BV168&gt;0), 10, 0)
  + _xlfn.IFS(BY168="Independently Verified",25, BY168="Yes",15, TRUE,0)
  + IFERROR(_xlfn.XLOOKUP(BZ168,'Lookup Tables'!$A$21:$A$24,'Lookup Tables'!$B$21:$B$24,0),0)
  + IFERROR(_xlfn.XLOOKUP(CA168,'Lookup Tables'!$D$21:$D$24,'Lookup Tables'!$E$21:$E$24,0),0)
  + _xlfn.IFS(ISNUMBER(CB168)*AND(CB168&gt;=11),15, ISNUMBER(CB168)*AND(CB168&gt;=6),10, ISNUMBER(CB168)*AND(CB168&gt;=1),5, TRUE,0)
  + IFERROR(_xlfn.XLOOKUP(CC168,'Lookup Tables'!$G$21:$G$25,'Lookup Tables'!$H$21:$H$25,0),0)
  - IF(ISNUMBER(BW168)*AND(ISNUMBER(BV168))*AND(BW168&gt;BV168), 20, 0)
  - IF(AND(BY168="Yes", ISNUMBER(BW168), BW168&gt;60), 10, 0)
))</f>
        <v/>
      </c>
      <c r="CF168" s="5" t="n"/>
      <c r="CG168" s="5" t="n"/>
      <c r="CH168" s="5" t="n"/>
      <c r="CI168" s="5" t="n"/>
      <c r="CJ168" s="5" t="n"/>
      <c r="CK168" s="5" t="n"/>
      <c r="CL168" s="5" t="n"/>
      <c r="CM168" s="5" t="n"/>
      <c r="CN168" s="5" t="n"/>
      <c r="CO168" s="5" t="n"/>
      <c r="CP168" s="5" t="n"/>
      <c r="CQ168" s="5" t="n"/>
      <c r="CR168" s="5">
        <f>COUNTIF(CJ168:CQ168,"FAIL")</f>
        <v/>
      </c>
      <c r="CS168" s="5">
        <f>COUNTIF(CJ168:CQ168,"PARTIAL")</f>
        <v/>
      </c>
      <c r="CT168" s="5">
        <f>COUNTIF(CJ168:CQ168,"MISSING")</f>
        <v/>
      </c>
      <c r="CU168" s="5">
        <f>MIN(100,
  CR168*15
  + CS168*6
  + CT168*3
  + IFERROR(_xlfn.XLOOKUP(CW168,'Lookup Tables'!$M$21:$M$25,'Lookup Tables'!$N$21:$N$25,0),0)
)</f>
        <v/>
      </c>
      <c r="CV168" s="5">
        <f>IFERROR(
CHOOSE(
MATCH("FAIL",CJ168:CQ168,0),
"1-Specificity","2-Metric","3-Baseline","4-Target",
"5-Time Horizon","6-Scope","7-Verification","8-Consistency"
),
IFERROR(
CHOOSE(
MATCH("PARTIAL",CJ168:CQ168,0),
"1-Specificity","2-Metric","3-Baseline","4-Target",
"5-Time Horizon","6-Scope","7-Verification","8-Consistency"
),
"No failures"
)
)</f>
        <v/>
      </c>
      <c r="CW168" s="5" t="n"/>
      <c r="CX168" s="5" t="n"/>
      <c r="CY168" s="5" t="n"/>
      <c r="CZ168" s="5" t="n"/>
      <c r="DA168" s="5">
        <f>IF(OR(CU168&gt;=50,CW168="Material",CW168="Severe",AS168="Material",AS168="Severe",BF168="Material",BF168="Severe — Exclusion Trigger",AND(ISNUMBER(BS168),BS168&lt;30)),"Yes","No")</f>
        <v/>
      </c>
      <c r="DB168" s="5">
        <f>IF(OR(CR168&gt;=6,AW168="Confirmed Violation",AX168="Confirmed Breach"),"Yes — Automatic",IF(CW168="Severe","Yes — Requires Captain Confirmation","No"))</f>
        <v/>
      </c>
      <c r="DC168" s="5" t="n"/>
      <c r="DD168" s="5" t="n"/>
      <c r="DE168" s="5" t="n"/>
      <c r="DF168" s="5" t="n"/>
      <c r="DG168" s="5" t="n"/>
      <c r="DH168" s="5" t="n"/>
      <c r="DI168" s="5" t="n"/>
      <c r="DJ168" s="5" t="n"/>
      <c r="DK168" s="5" t="n"/>
      <c r="DL168" s="5">
        <f>IF(OR(IFERROR(VALUE(LEFT(DF168,1)),99)&lt;=2,IFERROR(VALUE(LEFT(DG168,1)),99)&lt;=2),"Flagged","Clear")</f>
        <v/>
      </c>
      <c r="DM168" s="5">
        <f>IF(OR(DA168="Yes",DB168&lt;&gt;"No",DH168="Unverified",DL168="Flagged"),"Yes","No")</f>
        <v/>
      </c>
      <c r="DN168" s="5">
        <f t="array" ref="DN168">MIN(100,
  IF(ISNUMBER(V168), _xlfn.IFS(V168&gt;=3,25, V168=2,15, V168=1,5, TRUE,0), 0)
  + IFERROR(_xlfn.IFS(VALUE(LEFT(DF168,1))=5,25, VALUE(LEFT(DF168,1))=4,20, VALUE(LEFT(DF168,1))=3,15, VALUE(LEFT(DF168,1))=2,8, TRUE,0), 15)
  + IFERROR(_xlfn.IFS(VALUE(LEFT(DG168,1))=5,25, VALUE(LEFT(DG168,1))=4,20, VALUE(LEFT(DG168,1))=3,15, VALUE(LEFT(DG168,1))=2,8, TRUE,0), 15)
  + _xlfn.IFS(DH168="Fully Verified",25, DH168="Partially Verified",12, TRUE,0)
)</f>
        <v/>
      </c>
      <c r="DO168" s="5">
        <f t="array" ref="DO168">_xlfn.IFS(
  ISBLANK(AR168), "Insufficient Evidence",
  AND(AR168&gt;=65, AJ168="Approved"), "Strong",
  AR168&gt;=65, "Adequate",
  AR168&gt;=40, "Adequate",
  AR168&gt;=20, "Weak",
  TRUE, "Insufficient Evidence"
)</f>
        <v/>
      </c>
      <c r="DP168" s="5">
        <f t="array" ref="DP168">_xlfn.IFS(
  ISBLANK(BS168), "Insufficient Evidence",
  BS168&gt;=65, "Strong",
  BS168&gt;=40, "Adequate",
  BS168&gt;=20, "Weak",
  TRUE, "Insufficient Evidence"
)</f>
        <v/>
      </c>
      <c r="DQ168" s="5">
        <f t="array" ref="DQ168">_xlfn.IFS(
  ISBLANK(BE168), "Insufficient Evidence",
  OR(AW168="Confirmed Violation", AX168="Confirmed Breach"), "Severe — Hard Trigger",
  BE168&gt;=65, "Strong",
  BE168&gt;=40, "Adequate",
  BE168&gt;=20, "Weak",
  TRUE, "Insufficient Evidence"
)</f>
        <v/>
      </c>
      <c r="DR168" s="5">
        <f t="array" ref="DR168">_xlfn.IFS(
  ISBLANK(CU168), "Insufficient Evidence",
  CU168&lt;=20, "Low Risk",
  CU168&lt;=50, "Moderate Risk",
  CU168&lt;=75, "High Risk",
  TRUE, "Very High Risk"
)</f>
        <v/>
      </c>
      <c r="DS168" s="5">
        <f t="array" ref="DS168">_xlfn.IFS(
  ISBLANK(CE168), "Insufficient Evidence",
  AND(ISNUMBER(BW168),ISNUMBER(BV168),BW168&gt;BV168), "Overclaiming Risk",
  CE168&gt;=65, "Strong",
  CE168&gt;=40, "Adequate",
  TRUE, "Weak"
)</f>
        <v/>
      </c>
      <c r="DT168" s="5">
        <f>IF(DB168="Yes — Automatic",0,ROUND((IF(ISNUMBER(AR168),AR168,0)*0.3+IF(ISNUMBER(BS168),BS168,0)*0.2+IF(ISNUMBER(BE168),BE168,0)*0.2+IF(ISNUMBER(CE168),CE168,0)*0.15+(100-IF(ISNUMBER(CU168),CU168,50))*0.15)*IF(DN168&gt;=75,1,IF(DN168&gt;=50,0.9,IF(DN168&gt;=25,0.75,0.6))),1))</f>
        <v/>
      </c>
      <c r="DU168" s="5">
        <f t="array" ref="DU168">_xlfn.IFS(
  DV168="Upgraded to Clear", "Clear",
  DV168="Downgraded to Watchlist", "Watchlist",
  DV168="Downgraded to Exclusion", "Exclusion Risk",
  DB168="Yes — Automatic", "Exclusion Risk",
  OR(AW168="Confirmed Violation", AX168="Confirmed Breach"), "Exclusion Risk",
  OR(V168=0, ISBLANK(V168), DN168&lt;20), "Insufficient Evidence",
  AND(DT168&gt;=65, DA168="No", DB168="No"), "Clear",
  OR(DT168&gt;=40, DA168="Yes"), "Watchlist",
  TRUE, "Exclusion Risk"
)</f>
        <v/>
      </c>
      <c r="DV168" s="5" t="n"/>
      <c r="DW168" s="5">
        <f t="array" ref="DW168">_xlfn.IFS(
  DU168="Exclusion Risk", "Exclude — Hard Trigger",
  DU168="Insufficient Evidence", "Watchlist — Further Evidence Needed",
  DU168="Watchlist", "Watchlist — Further Evidence Needed",
  AND(DU168="Clear", DT168&gt;=80), "Include — No Conditions",
  DU168="Clear", "Include — Monitor",
  TRUE, "Watchlist — Further Evidence Needed"
)</f>
        <v/>
      </c>
      <c r="DX168" s="5" t="n"/>
      <c r="DY168" s="5" t="n"/>
      <c r="DZ168" s="5" t="n"/>
      <c r="EA168" s="5" t="n"/>
      <c r="EB168" s="5">
        <f>IF(OR(V168=0, ISBLANK(V168)), "MISSING — No sources reviewed", "")</f>
        <v/>
      </c>
      <c r="EC168" s="5">
        <f>IF(AND(NOT(ISBLANK(DC168)), ISBLANK(DE168)), "PAGE REF MISSING", "")</f>
        <v/>
      </c>
    </row>
    <row r="169" ht="18" customHeight="1" s="60">
      <c r="A169" s="5" t="inlineStr">
        <is>
          <t>Belimo Holding AG</t>
        </is>
      </c>
      <c r="B169" s="5" t="inlineStr">
        <is>
          <t>8RJ</t>
        </is>
      </c>
      <c r="C169" s="5">
        <f>IF(ISBLANK('Universe Tracker'!D144),"",'Universe Tracker'!D144)</f>
        <v/>
      </c>
      <c r="D169" s="5" t="n"/>
      <c r="E169" s="5" t="n"/>
      <c r="F169" s="5">
        <f>IF(ISBLANK('Universe Tracker'!F144),"",'Universe Tracker'!F144)</f>
        <v/>
      </c>
      <c r="G169" s="5">
        <f>IF(ISBLANK('Universe Tracker'!G144),"",'Universe Tracker'!G144)</f>
        <v/>
      </c>
      <c r="H169" s="5" t="n"/>
      <c r="I169" s="5" t="n"/>
      <c r="J169" s="5">
        <f>IF(ISBLANK(B169),"",B169&amp;"_"&amp;C169)</f>
        <v/>
      </c>
      <c r="K169" s="5" t="n"/>
      <c r="L169" s="5" t="n"/>
      <c r="M169" s="5" t="n"/>
      <c r="N169" s="5" t="n"/>
      <c r="O169" s="5" t="n"/>
      <c r="P169" s="5" t="n"/>
      <c r="Q169" s="5" t="n"/>
      <c r="R169" s="5" t="n"/>
      <c r="S169" s="5" t="n"/>
      <c r="T169" s="5" t="n"/>
      <c r="U169" s="5" t="n"/>
      <c r="V169" s="5" t="n"/>
      <c r="W169" s="5" t="n"/>
      <c r="X169" s="5" t="n"/>
      <c r="Y169" s="5">
        <f>IF(AND(V169&gt;=2,K169="Yes",L169="Yes"),"Sufficient",IF(AND(V169&gt;=1,OR(K169="Yes",L169="Yes")),"Thin","Insufficient"))</f>
        <v/>
      </c>
      <c r="Z169" s="5" t="n"/>
      <c r="AA169" s="5" t="n"/>
      <c r="AB169" s="5" t="n"/>
      <c r="AC169" s="5" t="n"/>
      <c r="AD169" s="5" t="n"/>
      <c r="AE169" s="5" t="n"/>
      <c r="AF169" s="5" t="n"/>
      <c r="AG169" s="5" t="n"/>
      <c r="AH169" s="5" t="n"/>
      <c r="AI169" s="5" t="n"/>
      <c r="AJ169" s="5" t="n"/>
      <c r="AK169" s="5" t="n"/>
      <c r="AL169" s="5" t="n"/>
      <c r="AM169" s="5" t="n"/>
      <c r="AN169" s="5" t="n"/>
      <c r="AO169" s="5" t="n"/>
      <c r="AP169" s="5" t="n"/>
      <c r="AQ169" s="5" t="n"/>
      <c r="AR169" s="40">
        <f t="array" ref="AR169">MIN(100, MAX(0,
  IFERROR(_xlfn.XLOOKUP(AJ169,'Lookup Tables'!$A$2:$A$7,'Lookup Tables'!$B$2:$B$7,0),0)
  + IF(Z169="Yes", IF(IFERROR(_xlfn.XLOOKUP(AJ169,'Lookup Tables'!$A$2:$A$7,'Lookup Tables'!$B$2:$B$7,0),0)&lt;20, 5, 0), 0)
  + _xlfn.IFS(AB169="Yes", IF(ISNUMBER(AC169)*AND(AC169&lt;=2030),15,10), AB169="Long-term Only", 5, AB169="No", 0, TRUE, 0)
  + _xlfn.IFS(AF169="Full",10, AF169="Partial",5, AF169="Scope 2 Only",3, TRUE,0)
  + _xlfn.IFS(AG169="Yes", IF(ISNUMBER(AH169)*AND(AH169&gt;=5),10,6), AG169="Partial",4, TRUE,0)
  + _xlfn.IFS(AI169="Yes",5, AI169="Partial (material categories only)",3, TRUE,0)
  + _xlfn.IFS(AL169="Yes — Detailed",10, AL169="Yes — High Level",5, TRUE,0)
  + _xlfn.IFS(AM169="Yes — Quantified",15, AM169="Yes — Directional Only",7, TRUE,0)
  + _xlfn.IFS(AP169="Formal",5, AP169="Referenced",2, TRUE,0)
  + _xlfn.IFS(AQ169="No Issues Found",5, AQ169="Concern Identified",-5, AQ169="Severe Contradiction",-15, TRUE,0)
  + _xlfn.IFS(BC169="Reasonable Assurance",5, BC169="Limited Assurance",3, TRUE,0)
  - IF(AND(Z169="Yes", AI169="No"), 10, 0)
  - IF(AND(Z169="Yes", AM169="No"), 10, 0)
))</f>
        <v/>
      </c>
      <c r="AS169" s="5" t="n"/>
      <c r="AT169" s="5" t="n"/>
      <c r="AU169" s="5" t="n"/>
      <c r="AV169" s="5" t="n"/>
      <c r="AW169" s="5" t="n"/>
      <c r="AX169" s="5" t="n"/>
      <c r="AY169" s="5" t="n"/>
      <c r="AZ169" s="5" t="n"/>
      <c r="BA169" s="5" t="n"/>
      <c r="BB169" s="5" t="n"/>
      <c r="BC169" s="5" t="n"/>
      <c r="BD169" s="5" t="n"/>
      <c r="BE169" s="39">
        <f t="array" ref="BE169">MIN(100, MAX(0,
  IFERROR(_xlfn.XLOOKUP(AT169,'Lookup Tables'!$D$2:$D$6,'Lookup Tables'!$E$2:$E$6,0),0)
  + IFERROR(_xlfn.XLOOKUP(AV169,'Lookup Tables'!$G$2:$G$5,'Lookup Tables'!$H$2:$H$5,0),0)
  + IFERROR(_xlfn.XLOOKUP(AW169,'Lookup Tables'!$J$2:$J$5,'Lookup Tables'!$K$2:$K$5,0),0)
  + _xlfn.IFS(AX169="No Issues",10, AX169="Complaint Filed",3, AX169="Confirmed Breach",-15, TRUE,0)
  + IFERROR(_xlfn.XLOOKUP(AY169,'Lookup Tables'!$M$2:$M$6,'Lookup Tables'!$N$2:$N$6,0),0)
  + IFERROR(_xlfn.XLOOKUP(AZ169,'Lookup Tables'!$P$2:$P$6,'Lookup Tables'!$Q$2:$Q$6,0),0)
  + _xlfn.IFS(BA169="Formal Board Committee",5, BA169="Board Oversight Mentioned",2, TRUE,0)
  + _xlfn.IFS(BB169="Yes — Quantified Targets",5, BB169="Yes — Discretionary Only",2, TRUE,0)
  + _xlfn.IFS(BC169="Reasonable Assurance",5, BC169="Limited Assurance",3, BC169="Management Review Only",1, TRUE,0)
))</f>
        <v/>
      </c>
      <c r="BF169" s="5" t="n"/>
      <c r="BG169" s="5" t="n"/>
      <c r="BH169" s="5" t="n"/>
      <c r="BI169" s="5" t="n"/>
      <c r="BJ169" s="5" t="n"/>
      <c r="BK169" s="5" t="n"/>
      <c r="BL169" s="5" t="n"/>
      <c r="BM169" s="5" t="n"/>
      <c r="BN169" s="5" t="n"/>
      <c r="BO169" s="5" t="n"/>
      <c r="BP169" s="5" t="n"/>
      <c r="BQ169" s="5" t="n"/>
      <c r="BR169" s="5" t="n"/>
      <c r="BS169" s="41">
        <f t="array" ref="BS169">MIN(100, MAX(0,
  IFERROR(_xlfn.XLOOKUP(BG169,'Lookup Tables'!$A$11:$A$16,'Lookup Tables'!$B$11:$B$16,0),0)
  + IFERROR(_xlfn.XLOOKUP(BR169,'Lookup Tables'!$M$11:$M$14,'Lookup Tables'!$N$11:$N$14,0),0)
  + IFERROR(_xlfn.XLOOKUP(BQ169,'Lookup Tables'!$J$11:$J$15,'Lookup Tables'!$K$11:$K$15,0),0)
  + IFERROR(_xlfn.XLOOKUP(BH169,'Lookup Tables'!$D$11:$D$15,'Lookup Tables'!$E$11:$E$15,0),0)
  + IFERROR(_xlfn.XLOOKUP(BJ169,'Lookup Tables'!$G$11:$G$16,'Lookup Tables'!$H$11:$H$16,0),0)
  + IFERROR(_xlfn.XLOOKUP(BN169,'Lookup Tables'!$P$11:$P$15,'Lookup Tables'!$Q$11:$Q$15,0),0)
  + _xlfn.IFS(BM169="No Evidence",10, BM169="Unknown",3, BM169="Likely",0, BM169="Confirmed",-10, TRUE,3)
  + IFERROR(_xlfn.XLOOKUP(BP169,'Lookup Tables'!$J$21:$J$24,'Lookup Tables'!$K$21:$K$24,0),0)
))</f>
        <v/>
      </c>
      <c r="BT169" s="5" t="n"/>
      <c r="BU169" s="5" t="n"/>
      <c r="BV169" s="5" t="n"/>
      <c r="BW169" s="5" t="n"/>
      <c r="BX169" s="5" t="n"/>
      <c r="BY169" s="5" t="n"/>
      <c r="BZ169" s="5" t="n"/>
      <c r="CA169" s="5" t="n"/>
      <c r="CB169" s="5" t="n"/>
      <c r="CC169" s="5" t="n"/>
      <c r="CD169" s="5" t="n"/>
      <c r="CE169" s="43">
        <f t="array" ref="CE169">MIN(100, MAX(0,
  IF(ISNUMBER(BV169)*AND(BV169&gt;0), 10, 0)
  + _xlfn.IFS(BY169="Independently Verified",25, BY169="Yes",15, TRUE,0)
  + IFERROR(_xlfn.XLOOKUP(BZ169,'Lookup Tables'!$A$21:$A$24,'Lookup Tables'!$B$21:$B$24,0),0)
  + IFERROR(_xlfn.XLOOKUP(CA169,'Lookup Tables'!$D$21:$D$24,'Lookup Tables'!$E$21:$E$24,0),0)
  + _xlfn.IFS(ISNUMBER(CB169)*AND(CB169&gt;=11),15, ISNUMBER(CB169)*AND(CB169&gt;=6),10, ISNUMBER(CB169)*AND(CB169&gt;=1),5, TRUE,0)
  + IFERROR(_xlfn.XLOOKUP(CC169,'Lookup Tables'!$G$21:$G$25,'Lookup Tables'!$H$21:$H$25,0),0)
  - IF(ISNUMBER(BW169)*AND(ISNUMBER(BV169))*AND(BW169&gt;BV169), 20, 0)
  - IF(AND(BY169="Yes", ISNUMBER(BW169), BW169&gt;60), 10, 0)
))</f>
        <v/>
      </c>
      <c r="CF169" s="5" t="n"/>
      <c r="CG169" s="5" t="n"/>
      <c r="CH169" s="5" t="n"/>
      <c r="CI169" s="5" t="n"/>
      <c r="CJ169" s="5" t="n"/>
      <c r="CK169" s="5" t="n"/>
      <c r="CL169" s="5" t="n"/>
      <c r="CM169" s="5" t="n"/>
      <c r="CN169" s="5" t="n"/>
      <c r="CO169" s="5" t="n"/>
      <c r="CP169" s="5" t="n"/>
      <c r="CQ169" s="5" t="n"/>
      <c r="CR169" s="5">
        <f>COUNTIF(CJ169:CQ169,"FAIL")</f>
        <v/>
      </c>
      <c r="CS169" s="5">
        <f>COUNTIF(CJ169:CQ169,"PARTIAL")</f>
        <v/>
      </c>
      <c r="CT169" s="5">
        <f>COUNTIF(CJ169:CQ169,"MISSING")</f>
        <v/>
      </c>
      <c r="CU169" s="5">
        <f>MIN(100,
  CR169*15
  + CS169*6
  + CT169*3
  + IFERROR(_xlfn.XLOOKUP(CW169,'Lookup Tables'!$M$21:$M$25,'Lookup Tables'!$N$21:$N$25,0),0)
)</f>
        <v/>
      </c>
      <c r="CV169" s="5">
        <f>IFERROR(
CHOOSE(
MATCH("FAIL",CJ169:CQ169,0),
"1-Specificity","2-Metric","3-Baseline","4-Target",
"5-Time Horizon","6-Scope","7-Verification","8-Consistency"
),
IFERROR(
CHOOSE(
MATCH("PARTIAL",CJ169:CQ169,0),
"1-Specificity","2-Metric","3-Baseline","4-Target",
"5-Time Horizon","6-Scope","7-Verification","8-Consistency"
),
"No failures"
)
)</f>
        <v/>
      </c>
      <c r="CW169" s="5" t="n"/>
      <c r="CX169" s="5" t="n"/>
      <c r="CY169" s="5" t="n"/>
      <c r="CZ169" s="5" t="n"/>
      <c r="DA169" s="5">
        <f>IF(OR(CU169&gt;=50,CW169="Material",CW169="Severe",AS169="Material",AS169="Severe",BF169="Material",BF169="Severe — Exclusion Trigger",AND(ISNUMBER(BS169),BS169&lt;30)),"Yes","No")</f>
        <v/>
      </c>
      <c r="DB169" s="5">
        <f>IF(OR(CR169&gt;=6,AW169="Confirmed Violation",AX169="Confirmed Breach"),"Yes — Automatic",IF(CW169="Severe","Yes — Requires Captain Confirmation","No"))</f>
        <v/>
      </c>
      <c r="DC169" s="5" t="n"/>
      <c r="DD169" s="5" t="n"/>
      <c r="DE169" s="5" t="n"/>
      <c r="DF169" s="5" t="n"/>
      <c r="DG169" s="5" t="n"/>
      <c r="DH169" s="5" t="n"/>
      <c r="DI169" s="5" t="n"/>
      <c r="DJ169" s="5" t="n"/>
      <c r="DK169" s="5" t="n"/>
      <c r="DL169" s="5">
        <f>IF(OR(IFERROR(VALUE(LEFT(DF169,1)),99)&lt;=2,IFERROR(VALUE(LEFT(DG169,1)),99)&lt;=2),"Flagged","Clear")</f>
        <v/>
      </c>
      <c r="DM169" s="5">
        <f>IF(OR(DA169="Yes",DB169&lt;&gt;"No",DH169="Unverified",DL169="Flagged"),"Yes","No")</f>
        <v/>
      </c>
      <c r="DN169" s="5">
        <f t="array" ref="DN169">MIN(100,
  IF(ISNUMBER(V169), _xlfn.IFS(V169&gt;=3,25, V169=2,15, V169=1,5, TRUE,0), 0)
  + IFERROR(_xlfn.IFS(VALUE(LEFT(DF169,1))=5,25, VALUE(LEFT(DF169,1))=4,20, VALUE(LEFT(DF169,1))=3,15, VALUE(LEFT(DF169,1))=2,8, TRUE,0), 15)
  + IFERROR(_xlfn.IFS(VALUE(LEFT(DG169,1))=5,25, VALUE(LEFT(DG169,1))=4,20, VALUE(LEFT(DG169,1))=3,15, VALUE(LEFT(DG169,1))=2,8, TRUE,0), 15)
  + _xlfn.IFS(DH169="Fully Verified",25, DH169="Partially Verified",12, TRUE,0)
)</f>
        <v/>
      </c>
      <c r="DO169" s="5">
        <f t="array" ref="DO169">_xlfn.IFS(
  ISBLANK(AR169), "Insufficient Evidence",
  AND(AR169&gt;=65, AJ169="Approved"), "Strong",
  AR169&gt;=65, "Adequate",
  AR169&gt;=40, "Adequate",
  AR169&gt;=20, "Weak",
  TRUE, "Insufficient Evidence"
)</f>
        <v/>
      </c>
      <c r="DP169" s="5">
        <f t="array" ref="DP169">_xlfn.IFS(
  ISBLANK(BS169), "Insufficient Evidence",
  BS169&gt;=65, "Strong",
  BS169&gt;=40, "Adequate",
  BS169&gt;=20, "Weak",
  TRUE, "Insufficient Evidence"
)</f>
        <v/>
      </c>
      <c r="DQ169" s="5">
        <f t="array" ref="DQ169">_xlfn.IFS(
  ISBLANK(BE169), "Insufficient Evidence",
  OR(AW169="Confirmed Violation", AX169="Confirmed Breach"), "Severe — Hard Trigger",
  BE169&gt;=65, "Strong",
  BE169&gt;=40, "Adequate",
  BE169&gt;=20, "Weak",
  TRUE, "Insufficient Evidence"
)</f>
        <v/>
      </c>
      <c r="DR169" s="5">
        <f t="array" ref="DR169">_xlfn.IFS(
  ISBLANK(CU169), "Insufficient Evidence",
  CU169&lt;=20, "Low Risk",
  CU169&lt;=50, "Moderate Risk",
  CU169&lt;=75, "High Risk",
  TRUE, "Very High Risk"
)</f>
        <v/>
      </c>
      <c r="DS169" s="5">
        <f t="array" ref="DS169">_xlfn.IFS(
  ISBLANK(CE169), "Insufficient Evidence",
  AND(ISNUMBER(BW169),ISNUMBER(BV169),BW169&gt;BV169), "Overclaiming Risk",
  CE169&gt;=65, "Strong",
  CE169&gt;=40, "Adequate",
  TRUE, "Weak"
)</f>
        <v/>
      </c>
      <c r="DT169" s="5">
        <f>IF(DB169="Yes — Automatic",0,ROUND((IF(ISNUMBER(AR169),AR169,0)*0.3+IF(ISNUMBER(BS169),BS169,0)*0.2+IF(ISNUMBER(BE169),BE169,0)*0.2+IF(ISNUMBER(CE169),CE169,0)*0.15+(100-IF(ISNUMBER(CU169),CU169,50))*0.15)*IF(DN169&gt;=75,1,IF(DN169&gt;=50,0.9,IF(DN169&gt;=25,0.75,0.6))),1))</f>
        <v/>
      </c>
      <c r="DU169" s="5">
        <f t="array" ref="DU169">_xlfn.IFS(
  DV169="Upgraded to Clear", "Clear",
  DV169="Downgraded to Watchlist", "Watchlist",
  DV169="Downgraded to Exclusion", "Exclusion Risk",
  DB169="Yes — Automatic", "Exclusion Risk",
  OR(AW169="Confirmed Violation", AX169="Confirmed Breach"), "Exclusion Risk",
  OR(V169=0, ISBLANK(V169), DN169&lt;20), "Insufficient Evidence",
  AND(DT169&gt;=65, DA169="No", DB169="No"), "Clear",
  OR(DT169&gt;=40, DA169="Yes"), "Watchlist",
  TRUE, "Exclusion Risk"
)</f>
        <v/>
      </c>
      <c r="DV169" s="5" t="n"/>
      <c r="DW169" s="5">
        <f t="array" ref="DW169">_xlfn.IFS(
  DU169="Exclusion Risk", "Exclude — Hard Trigger",
  DU169="Insufficient Evidence", "Watchlist — Further Evidence Needed",
  DU169="Watchlist", "Watchlist — Further Evidence Needed",
  AND(DU169="Clear", DT169&gt;=80), "Include — No Conditions",
  DU169="Clear", "Include — Monitor",
  TRUE, "Watchlist — Further Evidence Needed"
)</f>
        <v/>
      </c>
      <c r="DX169" s="5" t="n"/>
      <c r="DY169" s="5" t="n"/>
      <c r="DZ169" s="5" t="n"/>
      <c r="EA169" s="5" t="n"/>
      <c r="EB169" s="5">
        <f>IF(OR(V169=0, ISBLANK(V169)), "MISSING — No sources reviewed", "")</f>
        <v/>
      </c>
      <c r="EC169" s="5">
        <f>IF(AND(NOT(ISBLANK(DC169)), ISBLANK(DE169)), "PAGE REF MISSING", "")</f>
        <v/>
      </c>
    </row>
    <row r="170" ht="18" customHeight="1" s="60">
      <c r="A170" s="5" t="inlineStr">
        <is>
          <t>Buzzi Unicem SpA</t>
        </is>
      </c>
      <c r="B170" s="5" t="inlineStr">
        <is>
          <t>UCM</t>
        </is>
      </c>
      <c r="C170" s="5">
        <f>IF(ISBLANK('Universe Tracker'!D145),"",'Universe Tracker'!D145)</f>
        <v/>
      </c>
      <c r="D170" s="5" t="n"/>
      <c r="E170" s="5" t="n"/>
      <c r="F170" s="5">
        <f>IF(ISBLANK('Universe Tracker'!F145),"",'Universe Tracker'!F145)</f>
        <v/>
      </c>
      <c r="G170" s="5">
        <f>IF(ISBLANK('Universe Tracker'!G145),"",'Universe Tracker'!G145)</f>
        <v/>
      </c>
      <c r="H170" s="5" t="n"/>
      <c r="I170" s="5" t="n"/>
      <c r="J170" s="5">
        <f>IF(ISBLANK(B170),"",B170&amp;"_"&amp;C170)</f>
        <v/>
      </c>
      <c r="K170" s="5" t="n"/>
      <c r="L170" s="5" t="n"/>
      <c r="M170" s="5" t="n"/>
      <c r="N170" s="5" t="n"/>
      <c r="O170" s="5" t="n"/>
      <c r="P170" s="5" t="n"/>
      <c r="Q170" s="5" t="n"/>
      <c r="R170" s="5" t="n"/>
      <c r="S170" s="5" t="n"/>
      <c r="T170" s="5" t="n"/>
      <c r="U170" s="5" t="n"/>
      <c r="V170" s="5" t="n"/>
      <c r="W170" s="5" t="n"/>
      <c r="X170" s="5" t="n"/>
      <c r="Y170" s="5">
        <f>IF(AND(V170&gt;=2,K170="Yes",L170="Yes"),"Sufficient",IF(AND(V170&gt;=1,OR(K170="Yes",L170="Yes")),"Thin","Insufficient"))</f>
        <v/>
      </c>
      <c r="Z170" s="5" t="n"/>
      <c r="AA170" s="5" t="n"/>
      <c r="AB170" s="5" t="n"/>
      <c r="AC170" s="5" t="n"/>
      <c r="AD170" s="5" t="n"/>
      <c r="AE170" s="5" t="n"/>
      <c r="AF170" s="5" t="n"/>
      <c r="AG170" s="5" t="n"/>
      <c r="AH170" s="5" t="n"/>
      <c r="AI170" s="5" t="n"/>
      <c r="AJ170" s="5" t="n"/>
      <c r="AK170" s="5" t="n"/>
      <c r="AL170" s="5" t="n"/>
      <c r="AM170" s="5" t="n"/>
      <c r="AN170" s="5" t="n"/>
      <c r="AO170" s="5" t="n"/>
      <c r="AP170" s="5" t="n"/>
      <c r="AQ170" s="5" t="n"/>
      <c r="AR170" s="40">
        <f t="array" ref="AR170">MIN(100, MAX(0,
  IFERROR(_xlfn.XLOOKUP(AJ170,'Lookup Tables'!$A$2:$A$7,'Lookup Tables'!$B$2:$B$7,0),0)
  + IF(Z170="Yes", IF(IFERROR(_xlfn.XLOOKUP(AJ170,'Lookup Tables'!$A$2:$A$7,'Lookup Tables'!$B$2:$B$7,0),0)&lt;20, 5, 0), 0)
  + _xlfn.IFS(AB170="Yes", IF(ISNUMBER(AC170)*AND(AC170&lt;=2030),15,10), AB170="Long-term Only", 5, AB170="No", 0, TRUE, 0)
  + _xlfn.IFS(AF170="Full",10, AF170="Partial",5, AF170="Scope 2 Only",3, TRUE,0)
  + _xlfn.IFS(AG170="Yes", IF(ISNUMBER(AH170)*AND(AH170&gt;=5),10,6), AG170="Partial",4, TRUE,0)
  + _xlfn.IFS(AI170="Yes",5, AI170="Partial (material categories only)",3, TRUE,0)
  + _xlfn.IFS(AL170="Yes — Detailed",10, AL170="Yes — High Level",5, TRUE,0)
  + _xlfn.IFS(AM170="Yes — Quantified",15, AM170="Yes — Directional Only",7, TRUE,0)
  + _xlfn.IFS(AP170="Formal",5, AP170="Referenced",2, TRUE,0)
  + _xlfn.IFS(AQ170="No Issues Found",5, AQ170="Concern Identified",-5, AQ170="Severe Contradiction",-15, TRUE,0)
  + _xlfn.IFS(BC170="Reasonable Assurance",5, BC170="Limited Assurance",3, TRUE,0)
  - IF(AND(Z170="Yes", AI170="No"), 10, 0)
  - IF(AND(Z170="Yes", AM170="No"), 10, 0)
))</f>
        <v/>
      </c>
      <c r="AS170" s="5" t="n"/>
      <c r="AT170" s="5" t="n"/>
      <c r="AU170" s="5" t="n"/>
      <c r="AV170" s="5" t="n"/>
      <c r="AW170" s="5" t="n"/>
      <c r="AX170" s="5" t="n"/>
      <c r="AY170" s="5" t="n"/>
      <c r="AZ170" s="5" t="n"/>
      <c r="BA170" s="5" t="n"/>
      <c r="BB170" s="5" t="n"/>
      <c r="BC170" s="5" t="n"/>
      <c r="BD170" s="5" t="n"/>
      <c r="BE170" s="39">
        <f t="array" ref="BE170">MIN(100, MAX(0,
  IFERROR(_xlfn.XLOOKUP(AT170,'Lookup Tables'!$D$2:$D$6,'Lookup Tables'!$E$2:$E$6,0),0)
  + IFERROR(_xlfn.XLOOKUP(AV170,'Lookup Tables'!$G$2:$G$5,'Lookup Tables'!$H$2:$H$5,0),0)
  + IFERROR(_xlfn.XLOOKUP(AW170,'Lookup Tables'!$J$2:$J$5,'Lookup Tables'!$K$2:$K$5,0),0)
  + _xlfn.IFS(AX170="No Issues",10, AX170="Complaint Filed",3, AX170="Confirmed Breach",-15, TRUE,0)
  + IFERROR(_xlfn.XLOOKUP(AY170,'Lookup Tables'!$M$2:$M$6,'Lookup Tables'!$N$2:$N$6,0),0)
  + IFERROR(_xlfn.XLOOKUP(AZ170,'Lookup Tables'!$P$2:$P$6,'Lookup Tables'!$Q$2:$Q$6,0),0)
  + _xlfn.IFS(BA170="Formal Board Committee",5, BA170="Board Oversight Mentioned",2, TRUE,0)
  + _xlfn.IFS(BB170="Yes — Quantified Targets",5, BB170="Yes — Discretionary Only",2, TRUE,0)
  + _xlfn.IFS(BC170="Reasonable Assurance",5, BC170="Limited Assurance",3, BC170="Management Review Only",1, TRUE,0)
))</f>
        <v/>
      </c>
      <c r="BF170" s="5" t="n"/>
      <c r="BG170" s="5" t="n"/>
      <c r="BH170" s="5" t="n"/>
      <c r="BI170" s="5" t="n"/>
      <c r="BJ170" s="5" t="n"/>
      <c r="BK170" s="5" t="n"/>
      <c r="BL170" s="5" t="n"/>
      <c r="BM170" s="5" t="n"/>
      <c r="BN170" s="5" t="n"/>
      <c r="BO170" s="5" t="n"/>
      <c r="BP170" s="5" t="n"/>
      <c r="BQ170" s="5" t="n"/>
      <c r="BR170" s="5" t="n"/>
      <c r="BS170" s="41">
        <f t="array" ref="BS170">MIN(100, MAX(0,
  IFERROR(_xlfn.XLOOKUP(BG170,'Lookup Tables'!$A$11:$A$16,'Lookup Tables'!$B$11:$B$16,0),0)
  + IFERROR(_xlfn.XLOOKUP(BR170,'Lookup Tables'!$M$11:$M$14,'Lookup Tables'!$N$11:$N$14,0),0)
  + IFERROR(_xlfn.XLOOKUP(BQ170,'Lookup Tables'!$J$11:$J$15,'Lookup Tables'!$K$11:$K$15,0),0)
  + IFERROR(_xlfn.XLOOKUP(BH170,'Lookup Tables'!$D$11:$D$15,'Lookup Tables'!$E$11:$E$15,0),0)
  + IFERROR(_xlfn.XLOOKUP(BJ170,'Lookup Tables'!$G$11:$G$16,'Lookup Tables'!$H$11:$H$16,0),0)
  + IFERROR(_xlfn.XLOOKUP(BN170,'Lookup Tables'!$P$11:$P$15,'Lookup Tables'!$Q$11:$Q$15,0),0)
  + _xlfn.IFS(BM170="No Evidence",10, BM170="Unknown",3, BM170="Likely",0, BM170="Confirmed",-10, TRUE,3)
  + IFERROR(_xlfn.XLOOKUP(BP170,'Lookup Tables'!$J$21:$J$24,'Lookup Tables'!$K$21:$K$24,0),0)
))</f>
        <v/>
      </c>
      <c r="BT170" s="5" t="n"/>
      <c r="BU170" s="5" t="n"/>
      <c r="BV170" s="5" t="n"/>
      <c r="BW170" s="5" t="n"/>
      <c r="BX170" s="5" t="n"/>
      <c r="BY170" s="5" t="n"/>
      <c r="BZ170" s="5" t="n"/>
      <c r="CA170" s="5" t="n"/>
      <c r="CB170" s="5" t="n"/>
      <c r="CC170" s="5" t="n"/>
      <c r="CD170" s="5" t="n"/>
      <c r="CE170" s="43">
        <f t="array" ref="CE170">MIN(100, MAX(0,
  IF(ISNUMBER(BV170)*AND(BV170&gt;0), 10, 0)
  + _xlfn.IFS(BY170="Independently Verified",25, BY170="Yes",15, TRUE,0)
  + IFERROR(_xlfn.XLOOKUP(BZ170,'Lookup Tables'!$A$21:$A$24,'Lookup Tables'!$B$21:$B$24,0),0)
  + IFERROR(_xlfn.XLOOKUP(CA170,'Lookup Tables'!$D$21:$D$24,'Lookup Tables'!$E$21:$E$24,0),0)
  + _xlfn.IFS(ISNUMBER(CB170)*AND(CB170&gt;=11),15, ISNUMBER(CB170)*AND(CB170&gt;=6),10, ISNUMBER(CB170)*AND(CB170&gt;=1),5, TRUE,0)
  + IFERROR(_xlfn.XLOOKUP(CC170,'Lookup Tables'!$G$21:$G$25,'Lookup Tables'!$H$21:$H$25,0),0)
  - IF(ISNUMBER(BW170)*AND(ISNUMBER(BV170))*AND(BW170&gt;BV170), 20, 0)
  - IF(AND(BY170="Yes", ISNUMBER(BW170), BW170&gt;60), 10, 0)
))</f>
        <v/>
      </c>
      <c r="CF170" s="5" t="n"/>
      <c r="CG170" s="5" t="n"/>
      <c r="CH170" s="5" t="n"/>
      <c r="CI170" s="5" t="n"/>
      <c r="CJ170" s="5" t="n"/>
      <c r="CK170" s="5" t="n"/>
      <c r="CL170" s="5" t="n"/>
      <c r="CM170" s="5" t="n"/>
      <c r="CN170" s="5" t="n"/>
      <c r="CO170" s="5" t="n"/>
      <c r="CP170" s="5" t="n"/>
      <c r="CQ170" s="5" t="n"/>
      <c r="CR170" s="5">
        <f>COUNTIF(CJ170:CQ170,"FAIL")</f>
        <v/>
      </c>
      <c r="CS170" s="5">
        <f>COUNTIF(CJ170:CQ170,"PARTIAL")</f>
        <v/>
      </c>
      <c r="CT170" s="5">
        <f>COUNTIF(CJ170:CQ170,"MISSING")</f>
        <v/>
      </c>
      <c r="CU170" s="5">
        <f>MIN(100,
  CR170*15
  + CS170*6
  + CT170*3
  + IFERROR(_xlfn.XLOOKUP(CW170,'Lookup Tables'!$M$21:$M$25,'Lookup Tables'!$N$21:$N$25,0),0)
)</f>
        <v/>
      </c>
      <c r="CV170" s="5">
        <f>IFERROR(
CHOOSE(
MATCH("FAIL",CJ170:CQ170,0),
"1-Specificity","2-Metric","3-Baseline","4-Target",
"5-Time Horizon","6-Scope","7-Verification","8-Consistency"
),
IFERROR(
CHOOSE(
MATCH("PARTIAL",CJ170:CQ170,0),
"1-Specificity","2-Metric","3-Baseline","4-Target",
"5-Time Horizon","6-Scope","7-Verification","8-Consistency"
),
"No failures"
)
)</f>
        <v/>
      </c>
      <c r="CW170" s="5" t="n"/>
      <c r="CX170" s="5" t="n"/>
      <c r="CY170" s="5" t="n"/>
      <c r="CZ170" s="5" t="n"/>
      <c r="DA170" s="5">
        <f>IF(OR(CU170&gt;=50,CW170="Material",CW170="Severe",AS170="Material",AS170="Severe",BF170="Material",BF170="Severe — Exclusion Trigger",AND(ISNUMBER(BS170),BS170&lt;30)),"Yes","No")</f>
        <v/>
      </c>
      <c r="DB170" s="5">
        <f>IF(OR(CR170&gt;=6,AW170="Confirmed Violation",AX170="Confirmed Breach"),"Yes — Automatic",IF(CW170="Severe","Yes — Requires Captain Confirmation","No"))</f>
        <v/>
      </c>
      <c r="DC170" s="5" t="n"/>
      <c r="DD170" s="5" t="n"/>
      <c r="DE170" s="5" t="n"/>
      <c r="DF170" s="5" t="n"/>
      <c r="DG170" s="5" t="n"/>
      <c r="DH170" s="5" t="n"/>
      <c r="DI170" s="5" t="n"/>
      <c r="DJ170" s="5" t="n"/>
      <c r="DK170" s="5" t="n"/>
      <c r="DL170" s="5">
        <f>IF(OR(IFERROR(VALUE(LEFT(DF170,1)),99)&lt;=2,IFERROR(VALUE(LEFT(DG170,1)),99)&lt;=2),"Flagged","Clear")</f>
        <v/>
      </c>
      <c r="DM170" s="5">
        <f>IF(OR(DA170="Yes",DB170&lt;&gt;"No",DH170="Unverified",DL170="Flagged"),"Yes","No")</f>
        <v/>
      </c>
      <c r="DN170" s="5">
        <f t="array" ref="DN170">MIN(100,
  IF(ISNUMBER(V170), _xlfn.IFS(V170&gt;=3,25, V170=2,15, V170=1,5, TRUE,0), 0)
  + IFERROR(_xlfn.IFS(VALUE(LEFT(DF170,1))=5,25, VALUE(LEFT(DF170,1))=4,20, VALUE(LEFT(DF170,1))=3,15, VALUE(LEFT(DF170,1))=2,8, TRUE,0), 15)
  + IFERROR(_xlfn.IFS(VALUE(LEFT(DG170,1))=5,25, VALUE(LEFT(DG170,1))=4,20, VALUE(LEFT(DG170,1))=3,15, VALUE(LEFT(DG170,1))=2,8, TRUE,0), 15)
  + _xlfn.IFS(DH170="Fully Verified",25, DH170="Partially Verified",12, TRUE,0)
)</f>
        <v/>
      </c>
      <c r="DO170" s="5">
        <f t="array" ref="DO170">_xlfn.IFS(
  ISBLANK(AR170), "Insufficient Evidence",
  AND(AR170&gt;=65, AJ170="Approved"), "Strong",
  AR170&gt;=65, "Adequate",
  AR170&gt;=40, "Adequate",
  AR170&gt;=20, "Weak",
  TRUE, "Insufficient Evidence"
)</f>
        <v/>
      </c>
      <c r="DP170" s="5">
        <f t="array" ref="DP170">_xlfn.IFS(
  ISBLANK(BS170), "Insufficient Evidence",
  BS170&gt;=65, "Strong",
  BS170&gt;=40, "Adequate",
  BS170&gt;=20, "Weak",
  TRUE, "Insufficient Evidence"
)</f>
        <v/>
      </c>
      <c r="DQ170" s="5">
        <f t="array" ref="DQ170">_xlfn.IFS(
  ISBLANK(BE170), "Insufficient Evidence",
  OR(AW170="Confirmed Violation", AX170="Confirmed Breach"), "Severe — Hard Trigger",
  BE170&gt;=65, "Strong",
  BE170&gt;=40, "Adequate",
  BE170&gt;=20, "Weak",
  TRUE, "Insufficient Evidence"
)</f>
        <v/>
      </c>
      <c r="DR170" s="5">
        <f t="array" ref="DR170">_xlfn.IFS(
  ISBLANK(CU170), "Insufficient Evidence",
  CU170&lt;=20, "Low Risk",
  CU170&lt;=50, "Moderate Risk",
  CU170&lt;=75, "High Risk",
  TRUE, "Very High Risk"
)</f>
        <v/>
      </c>
      <c r="DS170" s="5">
        <f t="array" ref="DS170">_xlfn.IFS(
  ISBLANK(CE170), "Insufficient Evidence",
  AND(ISNUMBER(BW170),ISNUMBER(BV170),BW170&gt;BV170), "Overclaiming Risk",
  CE170&gt;=65, "Strong",
  CE170&gt;=40, "Adequate",
  TRUE, "Weak"
)</f>
        <v/>
      </c>
      <c r="DT170" s="5">
        <f>IF(DB170="Yes — Automatic",0,ROUND((IF(ISNUMBER(AR170),AR170,0)*0.3+IF(ISNUMBER(BS170),BS170,0)*0.2+IF(ISNUMBER(BE170),BE170,0)*0.2+IF(ISNUMBER(CE170),CE170,0)*0.15+(100-IF(ISNUMBER(CU170),CU170,50))*0.15)*IF(DN170&gt;=75,1,IF(DN170&gt;=50,0.9,IF(DN170&gt;=25,0.75,0.6))),1))</f>
        <v/>
      </c>
      <c r="DU170" s="5">
        <f t="array" ref="DU170">_xlfn.IFS(
  DV170="Upgraded to Clear", "Clear",
  DV170="Downgraded to Watchlist", "Watchlist",
  DV170="Downgraded to Exclusion", "Exclusion Risk",
  DB170="Yes — Automatic", "Exclusion Risk",
  OR(AW170="Confirmed Violation", AX170="Confirmed Breach"), "Exclusion Risk",
  OR(V170=0, ISBLANK(V170), DN170&lt;20), "Insufficient Evidence",
  AND(DT170&gt;=65, DA170="No", DB170="No"), "Clear",
  OR(DT170&gt;=40, DA170="Yes"), "Watchlist",
  TRUE, "Exclusion Risk"
)</f>
        <v/>
      </c>
      <c r="DV170" s="5" t="n"/>
      <c r="DW170" s="5">
        <f t="array" ref="DW170">_xlfn.IFS(
  DU170="Exclusion Risk", "Exclude — Hard Trigger",
  DU170="Insufficient Evidence", "Watchlist — Further Evidence Needed",
  DU170="Watchlist", "Watchlist — Further Evidence Needed",
  AND(DU170="Clear", DT170&gt;=80), "Include — No Conditions",
  DU170="Clear", "Include — Monitor",
  TRUE, "Watchlist — Further Evidence Needed"
)</f>
        <v/>
      </c>
      <c r="DX170" s="5" t="n"/>
      <c r="DY170" s="5" t="n"/>
      <c r="DZ170" s="5" t="n"/>
      <c r="EA170" s="5" t="n"/>
      <c r="EB170" s="5">
        <f>IF(OR(V170=0, ISBLANK(V170)), "MISSING — No sources reviewed", "")</f>
        <v/>
      </c>
      <c r="EC170" s="5">
        <f>IF(AND(NOT(ISBLANK(DC170)), ISBLANK(DE170)), "PAGE REF MISSING", "")</f>
        <v/>
      </c>
    </row>
    <row r="171" ht="18" customHeight="1" s="60">
      <c r="A171" s="5" t="inlineStr">
        <is>
          <t>Azimut Holding SpA</t>
        </is>
      </c>
      <c r="B171" s="5" t="inlineStr">
        <is>
          <t>HDB</t>
        </is>
      </c>
      <c r="C171" s="5">
        <f>IF(ISBLANK('Universe Tracker'!D146),"",'Universe Tracker'!D146)</f>
        <v/>
      </c>
      <c r="D171" s="5" t="n"/>
      <c r="E171" s="5" t="n"/>
      <c r="F171" s="5">
        <f>IF(ISBLANK('Universe Tracker'!F146),"",'Universe Tracker'!F146)</f>
        <v/>
      </c>
      <c r="G171" s="5">
        <f>IF(ISBLANK('Universe Tracker'!G146),"",'Universe Tracker'!G146)</f>
        <v/>
      </c>
      <c r="H171" s="5" t="n"/>
      <c r="I171" s="5" t="n"/>
      <c r="J171" s="5">
        <f>IF(ISBLANK(B171),"",B171&amp;"_"&amp;C171)</f>
        <v/>
      </c>
      <c r="K171" s="5" t="n"/>
      <c r="L171" s="5" t="n"/>
      <c r="M171" s="5" t="n"/>
      <c r="N171" s="5" t="n"/>
      <c r="O171" s="5" t="n"/>
      <c r="P171" s="5" t="n"/>
      <c r="Q171" s="5" t="n"/>
      <c r="R171" s="5" t="n"/>
      <c r="S171" s="5" t="n"/>
      <c r="T171" s="5" t="n"/>
      <c r="U171" s="5" t="n"/>
      <c r="V171" s="5" t="n"/>
      <c r="W171" s="5" t="n"/>
      <c r="X171" s="5" t="n"/>
      <c r="Y171" s="5">
        <f>IF(AND(V171&gt;=2,K171="Yes",L171="Yes"),"Sufficient",IF(AND(V171&gt;=1,OR(K171="Yes",L171="Yes")),"Thin","Insufficient"))</f>
        <v/>
      </c>
      <c r="Z171" s="5" t="n"/>
      <c r="AA171" s="5" t="n"/>
      <c r="AB171" s="5" t="n"/>
      <c r="AC171" s="5" t="n"/>
      <c r="AD171" s="5" t="n"/>
      <c r="AE171" s="5" t="n"/>
      <c r="AF171" s="5" t="n"/>
      <c r="AG171" s="5" t="n"/>
      <c r="AH171" s="5" t="n"/>
      <c r="AI171" s="5" t="n"/>
      <c r="AJ171" s="5" t="n"/>
      <c r="AK171" s="5" t="n"/>
      <c r="AL171" s="5" t="n"/>
      <c r="AM171" s="5" t="n"/>
      <c r="AN171" s="5" t="n"/>
      <c r="AO171" s="5" t="n"/>
      <c r="AP171" s="5" t="n"/>
      <c r="AQ171" s="5" t="n"/>
      <c r="AR171" s="40">
        <f t="array" ref="AR171">MIN(100, MAX(0,
  IFERROR(_xlfn.XLOOKUP(AJ171,'Lookup Tables'!$A$2:$A$7,'Lookup Tables'!$B$2:$B$7,0),0)
  + IF(Z171="Yes", IF(IFERROR(_xlfn.XLOOKUP(AJ171,'Lookup Tables'!$A$2:$A$7,'Lookup Tables'!$B$2:$B$7,0),0)&lt;20, 5, 0), 0)
  + _xlfn.IFS(AB171="Yes", IF(ISNUMBER(AC171)*AND(AC171&lt;=2030),15,10), AB171="Long-term Only", 5, AB171="No", 0, TRUE, 0)
  + _xlfn.IFS(AF171="Full",10, AF171="Partial",5, AF171="Scope 2 Only",3, TRUE,0)
  + _xlfn.IFS(AG171="Yes", IF(ISNUMBER(AH171)*AND(AH171&gt;=5),10,6), AG171="Partial",4, TRUE,0)
  + _xlfn.IFS(AI171="Yes",5, AI171="Partial (material categories only)",3, TRUE,0)
  + _xlfn.IFS(AL171="Yes — Detailed",10, AL171="Yes — High Level",5, TRUE,0)
  + _xlfn.IFS(AM171="Yes — Quantified",15, AM171="Yes — Directional Only",7, TRUE,0)
  + _xlfn.IFS(AP171="Formal",5, AP171="Referenced",2, TRUE,0)
  + _xlfn.IFS(AQ171="No Issues Found",5, AQ171="Concern Identified",-5, AQ171="Severe Contradiction",-15, TRUE,0)
  + _xlfn.IFS(BC171="Reasonable Assurance",5, BC171="Limited Assurance",3, TRUE,0)
  - IF(AND(Z171="Yes", AI171="No"), 10, 0)
  - IF(AND(Z171="Yes", AM171="No"), 10, 0)
))</f>
        <v/>
      </c>
      <c r="AS171" s="5" t="n"/>
      <c r="AT171" s="5" t="n"/>
      <c r="AU171" s="5" t="n"/>
      <c r="AV171" s="5" t="n"/>
      <c r="AW171" s="5" t="n"/>
      <c r="AX171" s="5" t="n"/>
      <c r="AY171" s="5" t="n"/>
      <c r="AZ171" s="5" t="n"/>
      <c r="BA171" s="5" t="n"/>
      <c r="BB171" s="5" t="n"/>
      <c r="BC171" s="5" t="n"/>
      <c r="BD171" s="5" t="n"/>
      <c r="BE171" s="39">
        <f t="array" ref="BE171">MIN(100, MAX(0,
  IFERROR(_xlfn.XLOOKUP(AT171,'Lookup Tables'!$D$2:$D$6,'Lookup Tables'!$E$2:$E$6,0),0)
  + IFERROR(_xlfn.XLOOKUP(AV171,'Lookup Tables'!$G$2:$G$5,'Lookup Tables'!$H$2:$H$5,0),0)
  + IFERROR(_xlfn.XLOOKUP(AW171,'Lookup Tables'!$J$2:$J$5,'Lookup Tables'!$K$2:$K$5,0),0)
  + _xlfn.IFS(AX171="No Issues",10, AX171="Complaint Filed",3, AX171="Confirmed Breach",-15, TRUE,0)
  + IFERROR(_xlfn.XLOOKUP(AY171,'Lookup Tables'!$M$2:$M$6,'Lookup Tables'!$N$2:$N$6,0),0)
  + IFERROR(_xlfn.XLOOKUP(AZ171,'Lookup Tables'!$P$2:$P$6,'Lookup Tables'!$Q$2:$Q$6,0),0)
  + _xlfn.IFS(BA171="Formal Board Committee",5, BA171="Board Oversight Mentioned",2, TRUE,0)
  + _xlfn.IFS(BB171="Yes — Quantified Targets",5, BB171="Yes — Discretionary Only",2, TRUE,0)
  + _xlfn.IFS(BC171="Reasonable Assurance",5, BC171="Limited Assurance",3, BC171="Management Review Only",1, TRUE,0)
))</f>
        <v/>
      </c>
      <c r="BF171" s="5" t="n"/>
      <c r="BG171" s="5" t="n"/>
      <c r="BH171" s="5" t="n"/>
      <c r="BI171" s="5" t="n"/>
      <c r="BJ171" s="5" t="n"/>
      <c r="BK171" s="5" t="n"/>
      <c r="BL171" s="5" t="n"/>
      <c r="BM171" s="5" t="n"/>
      <c r="BN171" s="5" t="n"/>
      <c r="BO171" s="5" t="n"/>
      <c r="BP171" s="5" t="n"/>
      <c r="BQ171" s="5" t="n"/>
      <c r="BR171" s="5" t="n"/>
      <c r="BS171" s="41">
        <f t="array" ref="BS171">MIN(100, MAX(0,
  IFERROR(_xlfn.XLOOKUP(BG171,'Lookup Tables'!$A$11:$A$16,'Lookup Tables'!$B$11:$B$16,0),0)
  + IFERROR(_xlfn.XLOOKUP(BR171,'Lookup Tables'!$M$11:$M$14,'Lookup Tables'!$N$11:$N$14,0),0)
  + IFERROR(_xlfn.XLOOKUP(BQ171,'Lookup Tables'!$J$11:$J$15,'Lookup Tables'!$K$11:$K$15,0),0)
  + IFERROR(_xlfn.XLOOKUP(BH171,'Lookup Tables'!$D$11:$D$15,'Lookup Tables'!$E$11:$E$15,0),0)
  + IFERROR(_xlfn.XLOOKUP(BJ171,'Lookup Tables'!$G$11:$G$16,'Lookup Tables'!$H$11:$H$16,0),0)
  + IFERROR(_xlfn.XLOOKUP(BN171,'Lookup Tables'!$P$11:$P$15,'Lookup Tables'!$Q$11:$Q$15,0),0)
  + _xlfn.IFS(BM171="No Evidence",10, BM171="Unknown",3, BM171="Likely",0, BM171="Confirmed",-10, TRUE,3)
  + IFERROR(_xlfn.XLOOKUP(BP171,'Lookup Tables'!$J$21:$J$24,'Lookup Tables'!$K$21:$K$24,0),0)
))</f>
        <v/>
      </c>
      <c r="BT171" s="5" t="n"/>
      <c r="BU171" s="5" t="n"/>
      <c r="BV171" s="5" t="n"/>
      <c r="BW171" s="5" t="n"/>
      <c r="BX171" s="5" t="n"/>
      <c r="BY171" s="5" t="n"/>
      <c r="BZ171" s="5" t="n"/>
      <c r="CA171" s="5" t="n"/>
      <c r="CB171" s="5" t="n"/>
      <c r="CC171" s="5" t="n"/>
      <c r="CD171" s="5" t="n"/>
      <c r="CE171" s="43">
        <f t="array" ref="CE171">MIN(100, MAX(0,
  IF(ISNUMBER(BV171)*AND(BV171&gt;0), 10, 0)
  + _xlfn.IFS(BY171="Independently Verified",25, BY171="Yes",15, TRUE,0)
  + IFERROR(_xlfn.XLOOKUP(BZ171,'Lookup Tables'!$A$21:$A$24,'Lookup Tables'!$B$21:$B$24,0),0)
  + IFERROR(_xlfn.XLOOKUP(CA171,'Lookup Tables'!$D$21:$D$24,'Lookup Tables'!$E$21:$E$24,0),0)
  + _xlfn.IFS(ISNUMBER(CB171)*AND(CB171&gt;=11),15, ISNUMBER(CB171)*AND(CB171&gt;=6),10, ISNUMBER(CB171)*AND(CB171&gt;=1),5, TRUE,0)
  + IFERROR(_xlfn.XLOOKUP(CC171,'Lookup Tables'!$G$21:$G$25,'Lookup Tables'!$H$21:$H$25,0),0)
  - IF(ISNUMBER(BW171)*AND(ISNUMBER(BV171))*AND(BW171&gt;BV171), 20, 0)
  - IF(AND(BY171="Yes", ISNUMBER(BW171), BW171&gt;60), 10, 0)
))</f>
        <v/>
      </c>
      <c r="CF171" s="5" t="n"/>
      <c r="CG171" s="5" t="n"/>
      <c r="CH171" s="5" t="n"/>
      <c r="CI171" s="5" t="n"/>
      <c r="CJ171" s="5" t="n"/>
      <c r="CK171" s="5" t="n"/>
      <c r="CL171" s="5" t="n"/>
      <c r="CM171" s="5" t="n"/>
      <c r="CN171" s="5" t="n"/>
      <c r="CO171" s="5" t="n"/>
      <c r="CP171" s="5" t="n"/>
      <c r="CQ171" s="5" t="n"/>
      <c r="CR171" s="5">
        <f>COUNTIF(CJ171:CQ171,"FAIL")</f>
        <v/>
      </c>
      <c r="CS171" s="5">
        <f>COUNTIF(CJ171:CQ171,"PARTIAL")</f>
        <v/>
      </c>
      <c r="CT171" s="5">
        <f>COUNTIF(CJ171:CQ171,"MISSING")</f>
        <v/>
      </c>
      <c r="CU171" s="5">
        <f>MIN(100,
  CR171*15
  + CS171*6
  + CT171*3
  + IFERROR(_xlfn.XLOOKUP(CW171,'Lookup Tables'!$M$21:$M$25,'Lookup Tables'!$N$21:$N$25,0),0)
)</f>
        <v/>
      </c>
      <c r="CV171" s="5">
        <f>IFERROR(
CHOOSE(
MATCH("FAIL",CJ171:CQ171,0),
"1-Specificity","2-Metric","3-Baseline","4-Target",
"5-Time Horizon","6-Scope","7-Verification","8-Consistency"
),
IFERROR(
CHOOSE(
MATCH("PARTIAL",CJ171:CQ171,0),
"1-Specificity","2-Metric","3-Baseline","4-Target",
"5-Time Horizon","6-Scope","7-Verification","8-Consistency"
),
"No failures"
)
)</f>
        <v/>
      </c>
      <c r="CW171" s="5" t="n"/>
      <c r="CX171" s="5" t="n"/>
      <c r="CY171" s="5" t="n"/>
      <c r="CZ171" s="5" t="n"/>
      <c r="DA171" s="5">
        <f>IF(OR(CU171&gt;=50,CW171="Material",CW171="Severe",AS171="Material",AS171="Severe",BF171="Material",BF171="Severe — Exclusion Trigger",AND(ISNUMBER(BS171),BS171&lt;30)),"Yes","No")</f>
        <v/>
      </c>
      <c r="DB171" s="5">
        <f>IF(OR(CR171&gt;=6,AW171="Confirmed Violation",AX171="Confirmed Breach"),"Yes — Automatic",IF(CW171="Severe","Yes — Requires Captain Confirmation","No"))</f>
        <v/>
      </c>
      <c r="DC171" s="5" t="n"/>
      <c r="DD171" s="5" t="n"/>
      <c r="DE171" s="5" t="n"/>
      <c r="DF171" s="5" t="n"/>
      <c r="DG171" s="5" t="n"/>
      <c r="DH171" s="5" t="n"/>
      <c r="DI171" s="5" t="n"/>
      <c r="DJ171" s="5" t="n"/>
      <c r="DK171" s="5" t="n"/>
      <c r="DL171" s="5">
        <f>IF(OR(IFERROR(VALUE(LEFT(DF171,1)),99)&lt;=2,IFERROR(VALUE(LEFT(DG171,1)),99)&lt;=2),"Flagged","Clear")</f>
        <v/>
      </c>
      <c r="DM171" s="5">
        <f>IF(OR(DA171="Yes",DB171&lt;&gt;"No",DH171="Unverified",DL171="Flagged"),"Yes","No")</f>
        <v/>
      </c>
      <c r="DN171" s="5">
        <f t="array" ref="DN171">MIN(100,
  IF(ISNUMBER(V171), _xlfn.IFS(V171&gt;=3,25, V171=2,15, V171=1,5, TRUE,0), 0)
  + IFERROR(_xlfn.IFS(VALUE(LEFT(DF171,1))=5,25, VALUE(LEFT(DF171,1))=4,20, VALUE(LEFT(DF171,1))=3,15, VALUE(LEFT(DF171,1))=2,8, TRUE,0), 15)
  + IFERROR(_xlfn.IFS(VALUE(LEFT(DG171,1))=5,25, VALUE(LEFT(DG171,1))=4,20, VALUE(LEFT(DG171,1))=3,15, VALUE(LEFT(DG171,1))=2,8, TRUE,0), 15)
  + _xlfn.IFS(DH171="Fully Verified",25, DH171="Partially Verified",12, TRUE,0)
)</f>
        <v/>
      </c>
      <c r="DO171" s="5">
        <f t="array" ref="DO171">_xlfn.IFS(
  ISBLANK(AR171), "Insufficient Evidence",
  AND(AR171&gt;=65, AJ171="Approved"), "Strong",
  AR171&gt;=65, "Adequate",
  AR171&gt;=40, "Adequate",
  AR171&gt;=20, "Weak",
  TRUE, "Insufficient Evidence"
)</f>
        <v/>
      </c>
      <c r="DP171" s="5">
        <f t="array" ref="DP171">_xlfn.IFS(
  ISBLANK(BS171), "Insufficient Evidence",
  BS171&gt;=65, "Strong",
  BS171&gt;=40, "Adequate",
  BS171&gt;=20, "Weak",
  TRUE, "Insufficient Evidence"
)</f>
        <v/>
      </c>
      <c r="DQ171" s="5">
        <f t="array" ref="DQ171">_xlfn.IFS(
  ISBLANK(BE171), "Insufficient Evidence",
  OR(AW171="Confirmed Violation", AX171="Confirmed Breach"), "Severe — Hard Trigger",
  BE171&gt;=65, "Strong",
  BE171&gt;=40, "Adequate",
  BE171&gt;=20, "Weak",
  TRUE, "Insufficient Evidence"
)</f>
        <v/>
      </c>
      <c r="DR171" s="5">
        <f t="array" ref="DR171">_xlfn.IFS(
  ISBLANK(CU171), "Insufficient Evidence",
  CU171&lt;=20, "Low Risk",
  CU171&lt;=50, "Moderate Risk",
  CU171&lt;=75, "High Risk",
  TRUE, "Very High Risk"
)</f>
        <v/>
      </c>
      <c r="DS171" s="5">
        <f t="array" ref="DS171">_xlfn.IFS(
  ISBLANK(CE171), "Insufficient Evidence",
  AND(ISNUMBER(BW171),ISNUMBER(BV171),BW171&gt;BV171), "Overclaiming Risk",
  CE171&gt;=65, "Strong",
  CE171&gt;=40, "Adequate",
  TRUE, "Weak"
)</f>
        <v/>
      </c>
      <c r="DT171" s="5">
        <f>IF(DB171="Yes — Automatic",0,ROUND((IF(ISNUMBER(AR171),AR171,0)*0.3+IF(ISNUMBER(BS171),BS171,0)*0.2+IF(ISNUMBER(BE171),BE171,0)*0.2+IF(ISNUMBER(CE171),CE171,0)*0.15+(100-IF(ISNUMBER(CU171),CU171,50))*0.15)*IF(DN171&gt;=75,1,IF(DN171&gt;=50,0.9,IF(DN171&gt;=25,0.75,0.6))),1))</f>
        <v/>
      </c>
      <c r="DU171" s="5">
        <f t="array" ref="DU171">_xlfn.IFS(
  DV171="Upgraded to Clear", "Clear",
  DV171="Downgraded to Watchlist", "Watchlist",
  DV171="Downgraded to Exclusion", "Exclusion Risk",
  DB171="Yes — Automatic", "Exclusion Risk",
  OR(AW171="Confirmed Violation", AX171="Confirmed Breach"), "Exclusion Risk",
  OR(V171=0, ISBLANK(V171), DN171&lt;20), "Insufficient Evidence",
  AND(DT171&gt;=65, DA171="No", DB171="No"), "Clear",
  OR(DT171&gt;=40, DA171="Yes"), "Watchlist",
  TRUE, "Exclusion Risk"
)</f>
        <v/>
      </c>
      <c r="DV171" s="5" t="n"/>
      <c r="DW171" s="5">
        <f t="array" ref="DW171">_xlfn.IFS(
  DU171="Exclusion Risk", "Exclude — Hard Trigger",
  DU171="Insufficient Evidence", "Watchlist — Further Evidence Needed",
  DU171="Watchlist", "Watchlist — Further Evidence Needed",
  AND(DU171="Clear", DT171&gt;=80), "Include — No Conditions",
  DU171="Clear", "Include — Monitor",
  TRUE, "Watchlist — Further Evidence Needed"
)</f>
        <v/>
      </c>
      <c r="DX171" s="5" t="n"/>
      <c r="DY171" s="5" t="n"/>
      <c r="DZ171" s="5" t="n"/>
      <c r="EA171" s="5" t="n"/>
      <c r="EB171" s="5">
        <f>IF(OR(V171=0, ISBLANK(V171)), "MISSING — No sources reviewed", "")</f>
        <v/>
      </c>
      <c r="EC171" s="5">
        <f>IF(AND(NOT(ISBLANK(DC171)), ISBLANK(DE171)), "PAGE REF MISSING", "")</f>
        <v/>
      </c>
    </row>
    <row r="172" ht="18" customHeight="1" s="60">
      <c r="A172" s="5" t="inlineStr">
        <is>
          <t>Commerzbank AG</t>
        </is>
      </c>
      <c r="B172" s="5" t="inlineStr">
        <is>
          <t>CBK</t>
        </is>
      </c>
      <c r="C172" s="5">
        <f>IF(ISBLANK('Universe Tracker'!D147),"",'Universe Tracker'!D147)</f>
        <v/>
      </c>
      <c r="D172" s="5" t="n"/>
      <c r="E172" s="5" t="n"/>
      <c r="F172" s="5">
        <f>IF(ISBLANK('Universe Tracker'!F147),"",'Universe Tracker'!F147)</f>
        <v/>
      </c>
      <c r="G172" s="5">
        <f>IF(ISBLANK('Universe Tracker'!G147),"",'Universe Tracker'!G147)</f>
        <v/>
      </c>
      <c r="H172" s="5" t="n"/>
      <c r="I172" s="5" t="n"/>
      <c r="J172" s="5">
        <f>IF(ISBLANK(B172),"",B172&amp;"_"&amp;C172)</f>
        <v/>
      </c>
      <c r="K172" s="5" t="n"/>
      <c r="L172" s="5" t="n"/>
      <c r="M172" s="5" t="n"/>
      <c r="N172" s="5" t="n"/>
      <c r="O172" s="5" t="n"/>
      <c r="P172" s="5" t="n"/>
      <c r="Q172" s="5" t="n"/>
      <c r="R172" s="5" t="n"/>
      <c r="S172" s="5" t="n"/>
      <c r="T172" s="5" t="n"/>
      <c r="U172" s="5" t="n"/>
      <c r="V172" s="5" t="n"/>
      <c r="W172" s="5" t="n"/>
      <c r="X172" s="5" t="n"/>
      <c r="Y172" s="5">
        <f>IF(AND(V172&gt;=2,K172="Yes",L172="Yes"),"Sufficient",IF(AND(V172&gt;=1,OR(K172="Yes",L172="Yes")),"Thin","Insufficient"))</f>
        <v/>
      </c>
      <c r="Z172" s="5" t="n"/>
      <c r="AA172" s="5" t="n"/>
      <c r="AB172" s="5" t="n"/>
      <c r="AC172" s="5" t="n"/>
      <c r="AD172" s="5" t="n"/>
      <c r="AE172" s="5" t="n"/>
      <c r="AF172" s="5" t="n"/>
      <c r="AG172" s="5" t="n"/>
      <c r="AH172" s="5" t="n"/>
      <c r="AI172" s="5" t="n"/>
      <c r="AJ172" s="5" t="n"/>
      <c r="AK172" s="5" t="n"/>
      <c r="AL172" s="5" t="n"/>
      <c r="AM172" s="5" t="n"/>
      <c r="AN172" s="5" t="n"/>
      <c r="AO172" s="5" t="n"/>
      <c r="AP172" s="5" t="n"/>
      <c r="AQ172" s="5" t="n"/>
      <c r="AR172" s="40">
        <f t="array" ref="AR172">MIN(100, MAX(0,
  IFERROR(_xlfn.XLOOKUP(AJ172,'Lookup Tables'!$A$2:$A$7,'Lookup Tables'!$B$2:$B$7,0),0)
  + IF(Z172="Yes", IF(IFERROR(_xlfn.XLOOKUP(AJ172,'Lookup Tables'!$A$2:$A$7,'Lookup Tables'!$B$2:$B$7,0),0)&lt;20, 5, 0), 0)
  + _xlfn.IFS(AB172="Yes", IF(ISNUMBER(AC172)*AND(AC172&lt;=2030),15,10), AB172="Long-term Only", 5, AB172="No", 0, TRUE, 0)
  + _xlfn.IFS(AF172="Full",10, AF172="Partial",5, AF172="Scope 2 Only",3, TRUE,0)
  + _xlfn.IFS(AG172="Yes", IF(ISNUMBER(AH172)*AND(AH172&gt;=5),10,6), AG172="Partial",4, TRUE,0)
  + _xlfn.IFS(AI172="Yes",5, AI172="Partial (material categories only)",3, TRUE,0)
  + _xlfn.IFS(AL172="Yes — Detailed",10, AL172="Yes — High Level",5, TRUE,0)
  + _xlfn.IFS(AM172="Yes — Quantified",15, AM172="Yes — Directional Only",7, TRUE,0)
  + _xlfn.IFS(AP172="Formal",5, AP172="Referenced",2, TRUE,0)
  + _xlfn.IFS(AQ172="No Issues Found",5, AQ172="Concern Identified",-5, AQ172="Severe Contradiction",-15, TRUE,0)
  + _xlfn.IFS(BC172="Reasonable Assurance",5, BC172="Limited Assurance",3, TRUE,0)
  - IF(AND(Z172="Yes", AI172="No"), 10, 0)
  - IF(AND(Z172="Yes", AM172="No"), 10, 0)
))</f>
        <v/>
      </c>
      <c r="AS172" s="5" t="n"/>
      <c r="AT172" s="5" t="n"/>
      <c r="AU172" s="5" t="n"/>
      <c r="AV172" s="5" t="n"/>
      <c r="AW172" s="5" t="n"/>
      <c r="AX172" s="5" t="n"/>
      <c r="AY172" s="5" t="n"/>
      <c r="AZ172" s="5" t="n"/>
      <c r="BA172" s="5" t="n"/>
      <c r="BB172" s="5" t="n"/>
      <c r="BC172" s="5" t="n"/>
      <c r="BD172" s="5" t="n"/>
      <c r="BE172" s="39">
        <f t="array" ref="BE172">MIN(100, MAX(0,
  IFERROR(_xlfn.XLOOKUP(AT172,'Lookup Tables'!$D$2:$D$6,'Lookup Tables'!$E$2:$E$6,0),0)
  + IFERROR(_xlfn.XLOOKUP(AV172,'Lookup Tables'!$G$2:$G$5,'Lookup Tables'!$H$2:$H$5,0),0)
  + IFERROR(_xlfn.XLOOKUP(AW172,'Lookup Tables'!$J$2:$J$5,'Lookup Tables'!$K$2:$K$5,0),0)
  + _xlfn.IFS(AX172="No Issues",10, AX172="Complaint Filed",3, AX172="Confirmed Breach",-15, TRUE,0)
  + IFERROR(_xlfn.XLOOKUP(AY172,'Lookup Tables'!$M$2:$M$6,'Lookup Tables'!$N$2:$N$6,0),0)
  + IFERROR(_xlfn.XLOOKUP(AZ172,'Lookup Tables'!$P$2:$P$6,'Lookup Tables'!$Q$2:$Q$6,0),0)
  + _xlfn.IFS(BA172="Formal Board Committee",5, BA172="Board Oversight Mentioned",2, TRUE,0)
  + _xlfn.IFS(BB172="Yes — Quantified Targets",5, BB172="Yes — Discretionary Only",2, TRUE,0)
  + _xlfn.IFS(BC172="Reasonable Assurance",5, BC172="Limited Assurance",3, BC172="Management Review Only",1, TRUE,0)
))</f>
        <v/>
      </c>
      <c r="BF172" s="5" t="n"/>
      <c r="BG172" s="5" t="n"/>
      <c r="BH172" s="5" t="n"/>
      <c r="BI172" s="5" t="n"/>
      <c r="BJ172" s="5" t="n"/>
      <c r="BK172" s="5" t="n"/>
      <c r="BL172" s="5" t="n"/>
      <c r="BM172" s="5" t="n"/>
      <c r="BN172" s="5" t="n"/>
      <c r="BO172" s="5" t="n"/>
      <c r="BP172" s="5" t="n"/>
      <c r="BQ172" s="5" t="n"/>
      <c r="BR172" s="5" t="n"/>
      <c r="BS172" s="41">
        <f t="array" ref="BS172">MIN(100, MAX(0,
  IFERROR(_xlfn.XLOOKUP(BG172,'Lookup Tables'!$A$11:$A$16,'Lookup Tables'!$B$11:$B$16,0),0)
  + IFERROR(_xlfn.XLOOKUP(BR172,'Lookup Tables'!$M$11:$M$14,'Lookup Tables'!$N$11:$N$14,0),0)
  + IFERROR(_xlfn.XLOOKUP(BQ172,'Lookup Tables'!$J$11:$J$15,'Lookup Tables'!$K$11:$K$15,0),0)
  + IFERROR(_xlfn.XLOOKUP(BH172,'Lookup Tables'!$D$11:$D$15,'Lookup Tables'!$E$11:$E$15,0),0)
  + IFERROR(_xlfn.XLOOKUP(BJ172,'Lookup Tables'!$G$11:$G$16,'Lookup Tables'!$H$11:$H$16,0),0)
  + IFERROR(_xlfn.XLOOKUP(BN172,'Lookup Tables'!$P$11:$P$15,'Lookup Tables'!$Q$11:$Q$15,0),0)
  + _xlfn.IFS(BM172="No Evidence",10, BM172="Unknown",3, BM172="Likely",0, BM172="Confirmed",-10, TRUE,3)
  + IFERROR(_xlfn.XLOOKUP(BP172,'Lookup Tables'!$J$21:$J$24,'Lookup Tables'!$K$21:$K$24,0),0)
))</f>
        <v/>
      </c>
      <c r="BT172" s="5" t="n"/>
      <c r="BU172" s="5" t="n"/>
      <c r="BV172" s="5" t="n"/>
      <c r="BW172" s="5" t="n"/>
      <c r="BX172" s="5" t="n"/>
      <c r="BY172" s="5" t="n"/>
      <c r="BZ172" s="5" t="n"/>
      <c r="CA172" s="5" t="n"/>
      <c r="CB172" s="5" t="n"/>
      <c r="CC172" s="5" t="n"/>
      <c r="CD172" s="5" t="n"/>
      <c r="CE172" s="43">
        <f t="array" ref="CE172">MIN(100, MAX(0,
  IF(ISNUMBER(BV172)*AND(BV172&gt;0), 10, 0)
  + _xlfn.IFS(BY172="Independently Verified",25, BY172="Yes",15, TRUE,0)
  + IFERROR(_xlfn.XLOOKUP(BZ172,'Lookup Tables'!$A$21:$A$24,'Lookup Tables'!$B$21:$B$24,0),0)
  + IFERROR(_xlfn.XLOOKUP(CA172,'Lookup Tables'!$D$21:$D$24,'Lookup Tables'!$E$21:$E$24,0),0)
  + _xlfn.IFS(ISNUMBER(CB172)*AND(CB172&gt;=11),15, ISNUMBER(CB172)*AND(CB172&gt;=6),10, ISNUMBER(CB172)*AND(CB172&gt;=1),5, TRUE,0)
  + IFERROR(_xlfn.XLOOKUP(CC172,'Lookup Tables'!$G$21:$G$25,'Lookup Tables'!$H$21:$H$25,0),0)
  - IF(ISNUMBER(BW172)*AND(ISNUMBER(BV172))*AND(BW172&gt;BV172), 20, 0)
  - IF(AND(BY172="Yes", ISNUMBER(BW172), BW172&gt;60), 10, 0)
))</f>
        <v/>
      </c>
      <c r="CF172" s="5" t="n"/>
      <c r="CG172" s="5" t="n"/>
      <c r="CH172" s="5" t="n"/>
      <c r="CI172" s="5" t="n"/>
      <c r="CJ172" s="5" t="n"/>
      <c r="CK172" s="5" t="n"/>
      <c r="CL172" s="5" t="n"/>
      <c r="CM172" s="5" t="n"/>
      <c r="CN172" s="5" t="n"/>
      <c r="CO172" s="5" t="n"/>
      <c r="CP172" s="5" t="n"/>
      <c r="CQ172" s="5" t="n"/>
      <c r="CR172" s="5">
        <f>COUNTIF(CJ172:CQ172,"FAIL")</f>
        <v/>
      </c>
      <c r="CS172" s="5">
        <f>COUNTIF(CJ172:CQ172,"PARTIAL")</f>
        <v/>
      </c>
      <c r="CT172" s="5">
        <f>COUNTIF(CJ172:CQ172,"MISSING")</f>
        <v/>
      </c>
      <c r="CU172" s="5">
        <f>MIN(100,
  CR172*15
  + CS172*6
  + CT172*3
  + IFERROR(_xlfn.XLOOKUP(CW172,'Lookup Tables'!$M$21:$M$25,'Lookup Tables'!$N$21:$N$25,0),0)
)</f>
        <v/>
      </c>
      <c r="CV172" s="5">
        <f>IFERROR(
CHOOSE(
MATCH("FAIL",CJ172:CQ172,0),
"1-Specificity","2-Metric","3-Baseline","4-Target",
"5-Time Horizon","6-Scope","7-Verification","8-Consistency"
),
IFERROR(
CHOOSE(
MATCH("PARTIAL",CJ172:CQ172,0),
"1-Specificity","2-Metric","3-Baseline","4-Target",
"5-Time Horizon","6-Scope","7-Verification","8-Consistency"
),
"No failures"
)
)</f>
        <v/>
      </c>
      <c r="CW172" s="5" t="n"/>
      <c r="CX172" s="5" t="n"/>
      <c r="CY172" s="5" t="n"/>
      <c r="CZ172" s="5" t="n"/>
      <c r="DA172" s="5">
        <f>IF(OR(CU172&gt;=50,CW172="Material",CW172="Severe",AS172="Material",AS172="Severe",BF172="Material",BF172="Severe — Exclusion Trigger",AND(ISNUMBER(BS172),BS172&lt;30)),"Yes","No")</f>
        <v/>
      </c>
      <c r="DB172" s="5">
        <f>IF(OR(CR172&gt;=6,AW172="Confirmed Violation",AX172="Confirmed Breach"),"Yes — Automatic",IF(CW172="Severe","Yes — Requires Captain Confirmation","No"))</f>
        <v/>
      </c>
      <c r="DC172" s="5" t="n"/>
      <c r="DD172" s="5" t="n"/>
      <c r="DE172" s="5" t="n"/>
      <c r="DF172" s="5" t="n"/>
      <c r="DG172" s="5" t="n"/>
      <c r="DH172" s="5" t="n"/>
      <c r="DI172" s="5" t="n"/>
      <c r="DJ172" s="5" t="n"/>
      <c r="DK172" s="5" t="n"/>
      <c r="DL172" s="5">
        <f>IF(OR(IFERROR(VALUE(LEFT(DF172,1)),99)&lt;=2,IFERROR(VALUE(LEFT(DG172,1)),99)&lt;=2),"Flagged","Clear")</f>
        <v/>
      </c>
      <c r="DM172" s="5">
        <f>IF(OR(DA172="Yes",DB172&lt;&gt;"No",DH172="Unverified",DL172="Flagged"),"Yes","No")</f>
        <v/>
      </c>
      <c r="DN172" s="5">
        <f t="array" ref="DN172">MIN(100,
  IF(ISNUMBER(V172), _xlfn.IFS(V172&gt;=3,25, V172=2,15, V172=1,5, TRUE,0), 0)
  + IFERROR(_xlfn.IFS(VALUE(LEFT(DF172,1))=5,25, VALUE(LEFT(DF172,1))=4,20, VALUE(LEFT(DF172,1))=3,15, VALUE(LEFT(DF172,1))=2,8, TRUE,0), 15)
  + IFERROR(_xlfn.IFS(VALUE(LEFT(DG172,1))=5,25, VALUE(LEFT(DG172,1))=4,20, VALUE(LEFT(DG172,1))=3,15, VALUE(LEFT(DG172,1))=2,8, TRUE,0), 15)
  + _xlfn.IFS(DH172="Fully Verified",25, DH172="Partially Verified",12, TRUE,0)
)</f>
        <v/>
      </c>
      <c r="DO172" s="5">
        <f t="array" ref="DO172">_xlfn.IFS(
  ISBLANK(AR172), "Insufficient Evidence",
  AND(AR172&gt;=65, AJ172="Approved"), "Strong",
  AR172&gt;=65, "Adequate",
  AR172&gt;=40, "Adequate",
  AR172&gt;=20, "Weak",
  TRUE, "Insufficient Evidence"
)</f>
        <v/>
      </c>
      <c r="DP172" s="5">
        <f t="array" ref="DP172">_xlfn.IFS(
  ISBLANK(BS172), "Insufficient Evidence",
  BS172&gt;=65, "Strong",
  BS172&gt;=40, "Adequate",
  BS172&gt;=20, "Weak",
  TRUE, "Insufficient Evidence"
)</f>
        <v/>
      </c>
      <c r="DQ172" s="5">
        <f t="array" ref="DQ172">_xlfn.IFS(
  ISBLANK(BE172), "Insufficient Evidence",
  OR(AW172="Confirmed Violation", AX172="Confirmed Breach"), "Severe — Hard Trigger",
  BE172&gt;=65, "Strong",
  BE172&gt;=40, "Adequate",
  BE172&gt;=20, "Weak",
  TRUE, "Insufficient Evidence"
)</f>
        <v/>
      </c>
      <c r="DR172" s="5">
        <f t="array" ref="DR172">_xlfn.IFS(
  ISBLANK(CU172), "Insufficient Evidence",
  CU172&lt;=20, "Low Risk",
  CU172&lt;=50, "Moderate Risk",
  CU172&lt;=75, "High Risk",
  TRUE, "Very High Risk"
)</f>
        <v/>
      </c>
      <c r="DS172" s="5">
        <f t="array" ref="DS172">_xlfn.IFS(
  ISBLANK(CE172), "Insufficient Evidence",
  AND(ISNUMBER(BW172),ISNUMBER(BV172),BW172&gt;BV172), "Overclaiming Risk",
  CE172&gt;=65, "Strong",
  CE172&gt;=40, "Adequate",
  TRUE, "Weak"
)</f>
        <v/>
      </c>
      <c r="DT172" s="5">
        <f>IF(DB172="Yes — Automatic",0,ROUND((IF(ISNUMBER(AR172),AR172,0)*0.3+IF(ISNUMBER(BS172),BS172,0)*0.2+IF(ISNUMBER(BE172),BE172,0)*0.2+IF(ISNUMBER(CE172),CE172,0)*0.15+(100-IF(ISNUMBER(CU172),CU172,50))*0.15)*IF(DN172&gt;=75,1,IF(DN172&gt;=50,0.9,IF(DN172&gt;=25,0.75,0.6))),1))</f>
        <v/>
      </c>
      <c r="DU172" s="5">
        <f t="array" ref="DU172">_xlfn.IFS(
  DV172="Upgraded to Clear", "Clear",
  DV172="Downgraded to Watchlist", "Watchlist",
  DV172="Downgraded to Exclusion", "Exclusion Risk",
  DB172="Yes — Automatic", "Exclusion Risk",
  OR(AW172="Confirmed Violation", AX172="Confirmed Breach"), "Exclusion Risk",
  OR(V172=0, ISBLANK(V172), DN172&lt;20), "Insufficient Evidence",
  AND(DT172&gt;=65, DA172="No", DB172="No"), "Clear",
  OR(DT172&gt;=40, DA172="Yes"), "Watchlist",
  TRUE, "Exclusion Risk"
)</f>
        <v/>
      </c>
      <c r="DV172" s="5" t="n"/>
      <c r="DW172" s="5">
        <f t="array" ref="DW172">_xlfn.IFS(
  DU172="Exclusion Risk", "Exclude — Hard Trigger",
  DU172="Insufficient Evidence", "Watchlist — Further Evidence Needed",
  DU172="Watchlist", "Watchlist — Further Evidence Needed",
  AND(DU172="Clear", DT172&gt;=80), "Include — No Conditions",
  DU172="Clear", "Include — Monitor",
  TRUE, "Watchlist — Further Evidence Needed"
)</f>
        <v/>
      </c>
      <c r="DX172" s="5" t="n"/>
      <c r="DY172" s="5" t="n"/>
      <c r="DZ172" s="5" t="n"/>
      <c r="EA172" s="5" t="n"/>
      <c r="EB172" s="5">
        <f>IF(OR(V172=0, ISBLANK(V172)), "MISSING — No sources reviewed", "")</f>
        <v/>
      </c>
      <c r="EC172" s="5">
        <f>IF(AND(NOT(ISBLANK(DC172)), ISBLANK(DE172)), "PAGE REF MISSING", "")</f>
        <v/>
      </c>
    </row>
    <row r="173" ht="18" customHeight="1" s="60">
      <c r="A173" s="5" t="inlineStr">
        <is>
          <t>AIXTRON SE</t>
        </is>
      </c>
      <c r="B173" s="5" t="inlineStr">
        <is>
          <t>AIXA</t>
        </is>
      </c>
      <c r="C173" s="5">
        <f>IF(ISBLANK('Universe Tracker'!D148),"",'Universe Tracker'!D148)</f>
        <v/>
      </c>
      <c r="D173" s="5" t="n"/>
      <c r="E173" s="5" t="n"/>
      <c r="F173" s="5">
        <f>IF(ISBLANK('Universe Tracker'!F148),"",'Universe Tracker'!F148)</f>
        <v/>
      </c>
      <c r="G173" s="5">
        <f>IF(ISBLANK('Universe Tracker'!G148),"",'Universe Tracker'!G148)</f>
        <v/>
      </c>
      <c r="H173" s="5" t="n"/>
      <c r="I173" s="5" t="n"/>
      <c r="J173" s="5">
        <f>IF(ISBLANK(B173),"",B173&amp;"_"&amp;C173)</f>
        <v/>
      </c>
      <c r="K173" s="5" t="n"/>
      <c r="L173" s="5" t="n"/>
      <c r="M173" s="5" t="n"/>
      <c r="N173" s="5" t="n"/>
      <c r="O173" s="5" t="n"/>
      <c r="P173" s="5" t="n"/>
      <c r="Q173" s="5" t="n"/>
      <c r="R173" s="5" t="n"/>
      <c r="S173" s="5" t="n"/>
      <c r="T173" s="5" t="n"/>
      <c r="U173" s="5" t="n"/>
      <c r="V173" s="5" t="n"/>
      <c r="W173" s="5" t="n"/>
      <c r="X173" s="5" t="n"/>
      <c r="Y173" s="5">
        <f>IF(AND(V173&gt;=2,K173="Yes",L173="Yes"),"Sufficient",IF(AND(V173&gt;=1,OR(K173="Yes",L173="Yes")),"Thin","Insufficient"))</f>
        <v/>
      </c>
      <c r="Z173" s="5" t="n"/>
      <c r="AA173" s="5" t="n"/>
      <c r="AB173" s="5" t="n"/>
      <c r="AC173" s="5" t="n"/>
      <c r="AD173" s="5" t="n"/>
      <c r="AE173" s="5" t="n"/>
      <c r="AF173" s="5" t="n"/>
      <c r="AG173" s="5" t="n"/>
      <c r="AH173" s="5" t="n"/>
      <c r="AI173" s="5" t="n"/>
      <c r="AJ173" s="5" t="n"/>
      <c r="AK173" s="5" t="n"/>
      <c r="AL173" s="5" t="n"/>
      <c r="AM173" s="5" t="n"/>
      <c r="AN173" s="5" t="n"/>
      <c r="AO173" s="5" t="n"/>
      <c r="AP173" s="5" t="n"/>
      <c r="AQ173" s="5" t="n"/>
      <c r="AR173" s="40">
        <f t="array" ref="AR173">MIN(100, MAX(0,
  IFERROR(_xlfn.XLOOKUP(AJ173,'Lookup Tables'!$A$2:$A$7,'Lookup Tables'!$B$2:$B$7,0),0)
  + IF(Z173="Yes", IF(IFERROR(_xlfn.XLOOKUP(AJ173,'Lookup Tables'!$A$2:$A$7,'Lookup Tables'!$B$2:$B$7,0),0)&lt;20, 5, 0), 0)
  + _xlfn.IFS(AB173="Yes", IF(ISNUMBER(AC173)*AND(AC173&lt;=2030),15,10), AB173="Long-term Only", 5, AB173="No", 0, TRUE, 0)
  + _xlfn.IFS(AF173="Full",10, AF173="Partial",5, AF173="Scope 2 Only",3, TRUE,0)
  + _xlfn.IFS(AG173="Yes", IF(ISNUMBER(AH173)*AND(AH173&gt;=5),10,6), AG173="Partial",4, TRUE,0)
  + _xlfn.IFS(AI173="Yes",5, AI173="Partial (material categories only)",3, TRUE,0)
  + _xlfn.IFS(AL173="Yes — Detailed",10, AL173="Yes — High Level",5, TRUE,0)
  + _xlfn.IFS(AM173="Yes — Quantified",15, AM173="Yes — Directional Only",7, TRUE,0)
  + _xlfn.IFS(AP173="Formal",5, AP173="Referenced",2, TRUE,0)
  + _xlfn.IFS(AQ173="No Issues Found",5, AQ173="Concern Identified",-5, AQ173="Severe Contradiction",-15, TRUE,0)
  + _xlfn.IFS(BC173="Reasonable Assurance",5, BC173="Limited Assurance",3, TRUE,0)
  - IF(AND(Z173="Yes", AI173="No"), 10, 0)
  - IF(AND(Z173="Yes", AM173="No"), 10, 0)
))</f>
        <v/>
      </c>
      <c r="AS173" s="5" t="n"/>
      <c r="AT173" s="5" t="n"/>
      <c r="AU173" s="5" t="n"/>
      <c r="AV173" s="5" t="n"/>
      <c r="AW173" s="5" t="n"/>
      <c r="AX173" s="5" t="n"/>
      <c r="AY173" s="5" t="n"/>
      <c r="AZ173" s="5" t="n"/>
      <c r="BA173" s="5" t="n"/>
      <c r="BB173" s="5" t="n"/>
      <c r="BC173" s="5" t="n"/>
      <c r="BD173" s="5" t="n"/>
      <c r="BE173" s="39">
        <f t="array" ref="BE173">MIN(100, MAX(0,
  IFERROR(_xlfn.XLOOKUP(AT173,'Lookup Tables'!$D$2:$D$6,'Lookup Tables'!$E$2:$E$6,0),0)
  + IFERROR(_xlfn.XLOOKUP(AV173,'Lookup Tables'!$G$2:$G$5,'Lookup Tables'!$H$2:$H$5,0),0)
  + IFERROR(_xlfn.XLOOKUP(AW173,'Lookup Tables'!$J$2:$J$5,'Lookup Tables'!$K$2:$K$5,0),0)
  + _xlfn.IFS(AX173="No Issues",10, AX173="Complaint Filed",3, AX173="Confirmed Breach",-15, TRUE,0)
  + IFERROR(_xlfn.XLOOKUP(AY173,'Lookup Tables'!$M$2:$M$6,'Lookup Tables'!$N$2:$N$6,0),0)
  + IFERROR(_xlfn.XLOOKUP(AZ173,'Lookup Tables'!$P$2:$P$6,'Lookup Tables'!$Q$2:$Q$6,0),0)
  + _xlfn.IFS(BA173="Formal Board Committee",5, BA173="Board Oversight Mentioned",2, TRUE,0)
  + _xlfn.IFS(BB173="Yes — Quantified Targets",5, BB173="Yes — Discretionary Only",2, TRUE,0)
  + _xlfn.IFS(BC173="Reasonable Assurance",5, BC173="Limited Assurance",3, BC173="Management Review Only",1, TRUE,0)
))</f>
        <v/>
      </c>
      <c r="BF173" s="5" t="n"/>
      <c r="BG173" s="5" t="n"/>
      <c r="BH173" s="5" t="n"/>
      <c r="BI173" s="5" t="n"/>
      <c r="BJ173" s="5" t="n"/>
      <c r="BK173" s="5" t="n"/>
      <c r="BL173" s="5" t="n"/>
      <c r="BM173" s="5" t="n"/>
      <c r="BN173" s="5" t="n"/>
      <c r="BO173" s="5" t="n"/>
      <c r="BP173" s="5" t="n"/>
      <c r="BQ173" s="5" t="n"/>
      <c r="BR173" s="5" t="n"/>
      <c r="BS173" s="41">
        <f t="array" ref="BS173">MIN(100, MAX(0,
  IFERROR(_xlfn.XLOOKUP(BG173,'Lookup Tables'!$A$11:$A$16,'Lookup Tables'!$B$11:$B$16,0),0)
  + IFERROR(_xlfn.XLOOKUP(BR173,'Lookup Tables'!$M$11:$M$14,'Lookup Tables'!$N$11:$N$14,0),0)
  + IFERROR(_xlfn.XLOOKUP(BQ173,'Lookup Tables'!$J$11:$J$15,'Lookup Tables'!$K$11:$K$15,0),0)
  + IFERROR(_xlfn.XLOOKUP(BH173,'Lookup Tables'!$D$11:$D$15,'Lookup Tables'!$E$11:$E$15,0),0)
  + IFERROR(_xlfn.XLOOKUP(BJ173,'Lookup Tables'!$G$11:$G$16,'Lookup Tables'!$H$11:$H$16,0),0)
  + IFERROR(_xlfn.XLOOKUP(BN173,'Lookup Tables'!$P$11:$P$15,'Lookup Tables'!$Q$11:$Q$15,0),0)
  + _xlfn.IFS(BM173="No Evidence",10, BM173="Unknown",3, BM173="Likely",0, BM173="Confirmed",-10, TRUE,3)
  + IFERROR(_xlfn.XLOOKUP(BP173,'Lookup Tables'!$J$21:$J$24,'Lookup Tables'!$K$21:$K$24,0),0)
))</f>
        <v/>
      </c>
      <c r="BT173" s="5" t="n"/>
      <c r="BU173" s="5" t="n"/>
      <c r="BV173" s="5" t="n"/>
      <c r="BW173" s="5" t="n"/>
      <c r="BX173" s="5" t="n"/>
      <c r="BY173" s="5" t="n"/>
      <c r="BZ173" s="5" t="n"/>
      <c r="CA173" s="5" t="n"/>
      <c r="CB173" s="5" t="n"/>
      <c r="CC173" s="5" t="n"/>
      <c r="CD173" s="5" t="n"/>
      <c r="CE173" s="43">
        <f t="array" ref="CE173">MIN(100, MAX(0,
  IF(ISNUMBER(BV173)*AND(BV173&gt;0), 10, 0)
  + _xlfn.IFS(BY173="Independently Verified",25, BY173="Yes",15, TRUE,0)
  + IFERROR(_xlfn.XLOOKUP(BZ173,'Lookup Tables'!$A$21:$A$24,'Lookup Tables'!$B$21:$B$24,0),0)
  + IFERROR(_xlfn.XLOOKUP(CA173,'Lookup Tables'!$D$21:$D$24,'Lookup Tables'!$E$21:$E$24,0),0)
  + _xlfn.IFS(ISNUMBER(CB173)*AND(CB173&gt;=11),15, ISNUMBER(CB173)*AND(CB173&gt;=6),10, ISNUMBER(CB173)*AND(CB173&gt;=1),5, TRUE,0)
  + IFERROR(_xlfn.XLOOKUP(CC173,'Lookup Tables'!$G$21:$G$25,'Lookup Tables'!$H$21:$H$25,0),0)
  - IF(ISNUMBER(BW173)*AND(ISNUMBER(BV173))*AND(BW173&gt;BV173), 20, 0)
  - IF(AND(BY173="Yes", ISNUMBER(BW173), BW173&gt;60), 10, 0)
))</f>
        <v/>
      </c>
      <c r="CF173" s="5" t="n"/>
      <c r="CG173" s="5" t="n"/>
      <c r="CH173" s="5" t="n"/>
      <c r="CI173" s="5" t="n"/>
      <c r="CJ173" s="5" t="n"/>
      <c r="CK173" s="5" t="n"/>
      <c r="CL173" s="5" t="n"/>
      <c r="CM173" s="5" t="n"/>
      <c r="CN173" s="5" t="n"/>
      <c r="CO173" s="5" t="n"/>
      <c r="CP173" s="5" t="n"/>
      <c r="CQ173" s="5" t="n"/>
      <c r="CR173" s="5">
        <f>COUNTIF(CJ173:CQ173,"FAIL")</f>
        <v/>
      </c>
      <c r="CS173" s="5">
        <f>COUNTIF(CJ173:CQ173,"PARTIAL")</f>
        <v/>
      </c>
      <c r="CT173" s="5">
        <f>COUNTIF(CJ173:CQ173,"MISSING")</f>
        <v/>
      </c>
      <c r="CU173" s="5">
        <f>MIN(100,
  CR173*15
  + CS173*6
  + CT173*3
  + IFERROR(_xlfn.XLOOKUP(CW173,'Lookup Tables'!$M$21:$M$25,'Lookup Tables'!$N$21:$N$25,0),0)
)</f>
        <v/>
      </c>
      <c r="CV173" s="5">
        <f>IFERROR(
CHOOSE(
MATCH("FAIL",CJ173:CQ173,0),
"1-Specificity","2-Metric","3-Baseline","4-Target",
"5-Time Horizon","6-Scope","7-Verification","8-Consistency"
),
IFERROR(
CHOOSE(
MATCH("PARTIAL",CJ173:CQ173,0),
"1-Specificity","2-Metric","3-Baseline","4-Target",
"5-Time Horizon","6-Scope","7-Verification","8-Consistency"
),
"No failures"
)
)</f>
        <v/>
      </c>
      <c r="CW173" s="5" t="n"/>
      <c r="CX173" s="5" t="n"/>
      <c r="CY173" s="5" t="n"/>
      <c r="CZ173" s="5" t="n"/>
      <c r="DA173" s="5">
        <f>IF(OR(CU173&gt;=50,CW173="Material",CW173="Severe",AS173="Material",AS173="Severe",BF173="Material",BF173="Severe — Exclusion Trigger",AND(ISNUMBER(BS173),BS173&lt;30)),"Yes","No")</f>
        <v/>
      </c>
      <c r="DB173" s="5">
        <f>IF(OR(CR173&gt;=6,AW173="Confirmed Violation",AX173="Confirmed Breach"),"Yes — Automatic",IF(CW173="Severe","Yes — Requires Captain Confirmation","No"))</f>
        <v/>
      </c>
      <c r="DC173" s="5" t="n"/>
      <c r="DD173" s="5" t="n"/>
      <c r="DE173" s="5" t="n"/>
      <c r="DF173" s="5" t="n"/>
      <c r="DG173" s="5" t="n"/>
      <c r="DH173" s="5" t="n"/>
      <c r="DI173" s="5" t="n"/>
      <c r="DJ173" s="5" t="n"/>
      <c r="DK173" s="5" t="n"/>
      <c r="DL173" s="5">
        <f>IF(OR(IFERROR(VALUE(LEFT(DF173,1)),99)&lt;=2,IFERROR(VALUE(LEFT(DG173,1)),99)&lt;=2),"Flagged","Clear")</f>
        <v/>
      </c>
      <c r="DM173" s="5">
        <f>IF(OR(DA173="Yes",DB173&lt;&gt;"No",DH173="Unverified",DL173="Flagged"),"Yes","No")</f>
        <v/>
      </c>
      <c r="DN173" s="5">
        <f t="array" ref="DN173">MIN(100,
  IF(ISNUMBER(V173), _xlfn.IFS(V173&gt;=3,25, V173=2,15, V173=1,5, TRUE,0), 0)
  + IFERROR(_xlfn.IFS(VALUE(LEFT(DF173,1))=5,25, VALUE(LEFT(DF173,1))=4,20, VALUE(LEFT(DF173,1))=3,15, VALUE(LEFT(DF173,1))=2,8, TRUE,0), 15)
  + IFERROR(_xlfn.IFS(VALUE(LEFT(DG173,1))=5,25, VALUE(LEFT(DG173,1))=4,20, VALUE(LEFT(DG173,1))=3,15, VALUE(LEFT(DG173,1))=2,8, TRUE,0), 15)
  + _xlfn.IFS(DH173="Fully Verified",25, DH173="Partially Verified",12, TRUE,0)
)</f>
        <v/>
      </c>
      <c r="DO173" s="5">
        <f t="array" ref="DO173">_xlfn.IFS(
  ISBLANK(AR173), "Insufficient Evidence",
  AND(AR173&gt;=65, AJ173="Approved"), "Strong",
  AR173&gt;=65, "Adequate",
  AR173&gt;=40, "Adequate",
  AR173&gt;=20, "Weak",
  TRUE, "Insufficient Evidence"
)</f>
        <v/>
      </c>
      <c r="DP173" s="5">
        <f t="array" ref="DP173">_xlfn.IFS(
  ISBLANK(BS173), "Insufficient Evidence",
  BS173&gt;=65, "Strong",
  BS173&gt;=40, "Adequate",
  BS173&gt;=20, "Weak",
  TRUE, "Insufficient Evidence"
)</f>
        <v/>
      </c>
      <c r="DQ173" s="5">
        <f t="array" ref="DQ173">_xlfn.IFS(
  ISBLANK(BE173), "Insufficient Evidence",
  OR(AW173="Confirmed Violation", AX173="Confirmed Breach"), "Severe — Hard Trigger",
  BE173&gt;=65, "Strong",
  BE173&gt;=40, "Adequate",
  BE173&gt;=20, "Weak",
  TRUE, "Insufficient Evidence"
)</f>
        <v/>
      </c>
      <c r="DR173" s="5">
        <f t="array" ref="DR173">_xlfn.IFS(
  ISBLANK(CU173), "Insufficient Evidence",
  CU173&lt;=20, "Low Risk",
  CU173&lt;=50, "Moderate Risk",
  CU173&lt;=75, "High Risk",
  TRUE, "Very High Risk"
)</f>
        <v/>
      </c>
      <c r="DS173" s="5">
        <f t="array" ref="DS173">_xlfn.IFS(
  ISBLANK(CE173), "Insufficient Evidence",
  AND(ISNUMBER(BW173),ISNUMBER(BV173),BW173&gt;BV173), "Overclaiming Risk",
  CE173&gt;=65, "Strong",
  CE173&gt;=40, "Adequate",
  TRUE, "Weak"
)</f>
        <v/>
      </c>
      <c r="DT173" s="5">
        <f>IF(DB173="Yes — Automatic",0,ROUND((IF(ISNUMBER(AR173),AR173,0)*0.3+IF(ISNUMBER(BS173),BS173,0)*0.2+IF(ISNUMBER(BE173),BE173,0)*0.2+IF(ISNUMBER(CE173),CE173,0)*0.15+(100-IF(ISNUMBER(CU173),CU173,50))*0.15)*IF(DN173&gt;=75,1,IF(DN173&gt;=50,0.9,IF(DN173&gt;=25,0.75,0.6))),1))</f>
        <v/>
      </c>
      <c r="DU173" s="5">
        <f t="array" ref="DU173">_xlfn.IFS(
  DV173="Upgraded to Clear", "Clear",
  DV173="Downgraded to Watchlist", "Watchlist",
  DV173="Downgraded to Exclusion", "Exclusion Risk",
  DB173="Yes — Automatic", "Exclusion Risk",
  OR(AW173="Confirmed Violation", AX173="Confirmed Breach"), "Exclusion Risk",
  OR(V173=0, ISBLANK(V173), DN173&lt;20), "Insufficient Evidence",
  AND(DT173&gt;=65, DA173="No", DB173="No"), "Clear",
  OR(DT173&gt;=40, DA173="Yes"), "Watchlist",
  TRUE, "Exclusion Risk"
)</f>
        <v/>
      </c>
      <c r="DV173" s="5" t="n"/>
      <c r="DW173" s="5">
        <f t="array" ref="DW173">_xlfn.IFS(
  DU173="Exclusion Risk", "Exclude — Hard Trigger",
  DU173="Insufficient Evidence", "Watchlist — Further Evidence Needed",
  DU173="Watchlist", "Watchlist — Further Evidence Needed",
  AND(DU173="Clear", DT173&gt;=80), "Include — No Conditions",
  DU173="Clear", "Include — Monitor",
  TRUE, "Watchlist — Further Evidence Needed"
)</f>
        <v/>
      </c>
      <c r="DX173" s="5" t="n"/>
      <c r="DY173" s="5" t="n"/>
      <c r="DZ173" s="5" t="n"/>
      <c r="EA173" s="5" t="n"/>
      <c r="EB173" s="5">
        <f>IF(OR(V173=0, ISBLANK(V173)), "MISSING — No sources reviewed", "")</f>
        <v/>
      </c>
      <c r="EC173" s="5">
        <f>IF(AND(NOT(ISBLANK(DC173)), ISBLANK(DE173)), "PAGE REF MISSING", "")</f>
        <v/>
      </c>
    </row>
    <row r="174" ht="18" customHeight="1" s="60">
      <c r="A174" s="5" t="inlineStr">
        <is>
          <t>BE Semiconductor Industries NV</t>
        </is>
      </c>
      <c r="B174" s="5" t="inlineStr">
        <is>
          <t>BSI</t>
        </is>
      </c>
      <c r="C174" s="5">
        <f>IF(ISBLANK('Universe Tracker'!D149),"",'Universe Tracker'!D149)</f>
        <v/>
      </c>
      <c r="D174" s="5" t="n"/>
      <c r="E174" s="5" t="n"/>
      <c r="F174" s="5">
        <f>IF(ISBLANK('Universe Tracker'!F149),"",'Universe Tracker'!F149)</f>
        <v/>
      </c>
      <c r="G174" s="5">
        <f>IF(ISBLANK('Universe Tracker'!G149),"",'Universe Tracker'!G149)</f>
        <v/>
      </c>
      <c r="H174" s="5" t="n"/>
      <c r="I174" s="5" t="n"/>
      <c r="J174" s="5">
        <f>IF(ISBLANK(B174),"",B174&amp;"_"&amp;C174)</f>
        <v/>
      </c>
      <c r="K174" s="5" t="n"/>
      <c r="L174" s="5" t="n"/>
      <c r="M174" s="5" t="n"/>
      <c r="N174" s="5" t="n"/>
      <c r="O174" s="5" t="n"/>
      <c r="P174" s="5" t="n"/>
      <c r="Q174" s="5" t="n"/>
      <c r="R174" s="5" t="n"/>
      <c r="S174" s="5" t="n"/>
      <c r="T174" s="5" t="n"/>
      <c r="U174" s="5" t="n"/>
      <c r="V174" s="5" t="n"/>
      <c r="W174" s="5" t="n"/>
      <c r="X174" s="5" t="n"/>
      <c r="Y174" s="5">
        <f>IF(AND(V174&gt;=2,K174="Yes",L174="Yes"),"Sufficient",IF(AND(V174&gt;=1,OR(K174="Yes",L174="Yes")),"Thin","Insufficient"))</f>
        <v/>
      </c>
      <c r="Z174" s="5" t="n"/>
      <c r="AA174" s="5" t="n"/>
      <c r="AB174" s="5" t="n"/>
      <c r="AC174" s="5" t="n"/>
      <c r="AD174" s="5" t="n"/>
      <c r="AE174" s="5" t="n"/>
      <c r="AF174" s="5" t="n"/>
      <c r="AG174" s="5" t="n"/>
      <c r="AH174" s="5" t="n"/>
      <c r="AI174" s="5" t="n"/>
      <c r="AJ174" s="5" t="n"/>
      <c r="AK174" s="5" t="n"/>
      <c r="AL174" s="5" t="n"/>
      <c r="AM174" s="5" t="n"/>
      <c r="AN174" s="5" t="n"/>
      <c r="AO174" s="5" t="n"/>
      <c r="AP174" s="5" t="n"/>
      <c r="AQ174" s="5" t="n"/>
      <c r="AR174" s="40">
        <f t="array" ref="AR174">MIN(100, MAX(0,
  IFERROR(_xlfn.XLOOKUP(AJ174,'Lookup Tables'!$A$2:$A$7,'Lookup Tables'!$B$2:$B$7,0),0)
  + IF(Z174="Yes", IF(IFERROR(_xlfn.XLOOKUP(AJ174,'Lookup Tables'!$A$2:$A$7,'Lookup Tables'!$B$2:$B$7,0),0)&lt;20, 5, 0), 0)
  + _xlfn.IFS(AB174="Yes", IF(ISNUMBER(AC174)*AND(AC174&lt;=2030),15,10), AB174="Long-term Only", 5, AB174="No", 0, TRUE, 0)
  + _xlfn.IFS(AF174="Full",10, AF174="Partial",5, AF174="Scope 2 Only",3, TRUE,0)
  + _xlfn.IFS(AG174="Yes", IF(ISNUMBER(AH174)*AND(AH174&gt;=5),10,6), AG174="Partial",4, TRUE,0)
  + _xlfn.IFS(AI174="Yes",5, AI174="Partial (material categories only)",3, TRUE,0)
  + _xlfn.IFS(AL174="Yes — Detailed",10, AL174="Yes — High Level",5, TRUE,0)
  + _xlfn.IFS(AM174="Yes — Quantified",15, AM174="Yes — Directional Only",7, TRUE,0)
  + _xlfn.IFS(AP174="Formal",5, AP174="Referenced",2, TRUE,0)
  + _xlfn.IFS(AQ174="No Issues Found",5, AQ174="Concern Identified",-5, AQ174="Severe Contradiction",-15, TRUE,0)
  + _xlfn.IFS(BC174="Reasonable Assurance",5, BC174="Limited Assurance",3, TRUE,0)
  - IF(AND(Z174="Yes", AI174="No"), 10, 0)
  - IF(AND(Z174="Yes", AM174="No"), 10, 0)
))</f>
        <v/>
      </c>
      <c r="AS174" s="5" t="n"/>
      <c r="AT174" s="5" t="n"/>
      <c r="AU174" s="5" t="n"/>
      <c r="AV174" s="5" t="n"/>
      <c r="AW174" s="5" t="n"/>
      <c r="AX174" s="5" t="n"/>
      <c r="AY174" s="5" t="n"/>
      <c r="AZ174" s="5" t="n"/>
      <c r="BA174" s="5" t="n"/>
      <c r="BB174" s="5" t="n"/>
      <c r="BC174" s="5" t="n"/>
      <c r="BD174" s="5" t="n"/>
      <c r="BE174" s="39">
        <f t="array" ref="BE174">MIN(100, MAX(0,
  IFERROR(_xlfn.XLOOKUP(AT174,'Lookup Tables'!$D$2:$D$6,'Lookup Tables'!$E$2:$E$6,0),0)
  + IFERROR(_xlfn.XLOOKUP(AV174,'Lookup Tables'!$G$2:$G$5,'Lookup Tables'!$H$2:$H$5,0),0)
  + IFERROR(_xlfn.XLOOKUP(AW174,'Lookup Tables'!$J$2:$J$5,'Lookup Tables'!$K$2:$K$5,0),0)
  + _xlfn.IFS(AX174="No Issues",10, AX174="Complaint Filed",3, AX174="Confirmed Breach",-15, TRUE,0)
  + IFERROR(_xlfn.XLOOKUP(AY174,'Lookup Tables'!$M$2:$M$6,'Lookup Tables'!$N$2:$N$6,0),0)
  + IFERROR(_xlfn.XLOOKUP(AZ174,'Lookup Tables'!$P$2:$P$6,'Lookup Tables'!$Q$2:$Q$6,0),0)
  + _xlfn.IFS(BA174="Formal Board Committee",5, BA174="Board Oversight Mentioned",2, TRUE,0)
  + _xlfn.IFS(BB174="Yes — Quantified Targets",5, BB174="Yes — Discretionary Only",2, TRUE,0)
  + _xlfn.IFS(BC174="Reasonable Assurance",5, BC174="Limited Assurance",3, BC174="Management Review Only",1, TRUE,0)
))</f>
        <v/>
      </c>
      <c r="BF174" s="5" t="n"/>
      <c r="BG174" s="5" t="n"/>
      <c r="BH174" s="5" t="n"/>
      <c r="BI174" s="5" t="n"/>
      <c r="BJ174" s="5" t="n"/>
      <c r="BK174" s="5" t="n"/>
      <c r="BL174" s="5" t="n"/>
      <c r="BM174" s="5" t="n"/>
      <c r="BN174" s="5" t="n"/>
      <c r="BO174" s="5" t="n"/>
      <c r="BP174" s="5" t="n"/>
      <c r="BQ174" s="5" t="n"/>
      <c r="BR174" s="5" t="n"/>
      <c r="BS174" s="41">
        <f t="array" ref="BS174">MIN(100, MAX(0,
  IFERROR(_xlfn.XLOOKUP(BG174,'Lookup Tables'!$A$11:$A$16,'Lookup Tables'!$B$11:$B$16,0),0)
  + IFERROR(_xlfn.XLOOKUP(BR174,'Lookup Tables'!$M$11:$M$14,'Lookup Tables'!$N$11:$N$14,0),0)
  + IFERROR(_xlfn.XLOOKUP(BQ174,'Lookup Tables'!$J$11:$J$15,'Lookup Tables'!$K$11:$K$15,0),0)
  + IFERROR(_xlfn.XLOOKUP(BH174,'Lookup Tables'!$D$11:$D$15,'Lookup Tables'!$E$11:$E$15,0),0)
  + IFERROR(_xlfn.XLOOKUP(BJ174,'Lookup Tables'!$G$11:$G$16,'Lookup Tables'!$H$11:$H$16,0),0)
  + IFERROR(_xlfn.XLOOKUP(BN174,'Lookup Tables'!$P$11:$P$15,'Lookup Tables'!$Q$11:$Q$15,0),0)
  + _xlfn.IFS(BM174="No Evidence",10, BM174="Unknown",3, BM174="Likely",0, BM174="Confirmed",-10, TRUE,3)
  + IFERROR(_xlfn.XLOOKUP(BP174,'Lookup Tables'!$J$21:$J$24,'Lookup Tables'!$K$21:$K$24,0),0)
))</f>
        <v/>
      </c>
      <c r="BT174" s="5" t="n"/>
      <c r="BU174" s="5" t="n"/>
      <c r="BV174" s="5" t="n"/>
      <c r="BW174" s="5" t="n"/>
      <c r="BX174" s="5" t="n"/>
      <c r="BY174" s="5" t="n"/>
      <c r="BZ174" s="5" t="n"/>
      <c r="CA174" s="5" t="n"/>
      <c r="CB174" s="5" t="n"/>
      <c r="CC174" s="5" t="n"/>
      <c r="CD174" s="5" t="n"/>
      <c r="CE174" s="43">
        <f t="array" ref="CE174">MIN(100, MAX(0,
  IF(ISNUMBER(BV174)*AND(BV174&gt;0), 10, 0)
  + _xlfn.IFS(BY174="Independently Verified",25, BY174="Yes",15, TRUE,0)
  + IFERROR(_xlfn.XLOOKUP(BZ174,'Lookup Tables'!$A$21:$A$24,'Lookup Tables'!$B$21:$B$24,0),0)
  + IFERROR(_xlfn.XLOOKUP(CA174,'Lookup Tables'!$D$21:$D$24,'Lookup Tables'!$E$21:$E$24,0),0)
  + _xlfn.IFS(ISNUMBER(CB174)*AND(CB174&gt;=11),15, ISNUMBER(CB174)*AND(CB174&gt;=6),10, ISNUMBER(CB174)*AND(CB174&gt;=1),5, TRUE,0)
  + IFERROR(_xlfn.XLOOKUP(CC174,'Lookup Tables'!$G$21:$G$25,'Lookup Tables'!$H$21:$H$25,0),0)
  - IF(ISNUMBER(BW174)*AND(ISNUMBER(BV174))*AND(BW174&gt;BV174), 20, 0)
  - IF(AND(BY174="Yes", ISNUMBER(BW174), BW174&gt;60), 10, 0)
))</f>
        <v/>
      </c>
      <c r="CF174" s="5" t="n"/>
      <c r="CG174" s="5" t="n"/>
      <c r="CH174" s="5" t="n"/>
      <c r="CI174" s="5" t="n"/>
      <c r="CJ174" s="5" t="n"/>
      <c r="CK174" s="5" t="n"/>
      <c r="CL174" s="5" t="n"/>
      <c r="CM174" s="5" t="n"/>
      <c r="CN174" s="5" t="n"/>
      <c r="CO174" s="5" t="n"/>
      <c r="CP174" s="5" t="n"/>
      <c r="CQ174" s="5" t="n"/>
      <c r="CR174" s="5">
        <f>COUNTIF(CJ174:CQ174,"FAIL")</f>
        <v/>
      </c>
      <c r="CS174" s="5">
        <f>COUNTIF(CJ174:CQ174,"PARTIAL")</f>
        <v/>
      </c>
      <c r="CT174" s="5">
        <f>COUNTIF(CJ174:CQ174,"MISSING")</f>
        <v/>
      </c>
      <c r="CU174" s="5">
        <f>MIN(100,
  CR174*15
  + CS174*6
  + CT174*3
  + IFERROR(_xlfn.XLOOKUP(CW174,'Lookup Tables'!$M$21:$M$25,'Lookup Tables'!$N$21:$N$25,0),0)
)</f>
        <v/>
      </c>
      <c r="CV174" s="5">
        <f>IFERROR(
CHOOSE(
MATCH("FAIL",CJ174:CQ174,0),
"1-Specificity","2-Metric","3-Baseline","4-Target",
"5-Time Horizon","6-Scope","7-Verification","8-Consistency"
),
IFERROR(
CHOOSE(
MATCH("PARTIAL",CJ174:CQ174,0),
"1-Specificity","2-Metric","3-Baseline","4-Target",
"5-Time Horizon","6-Scope","7-Verification","8-Consistency"
),
"No failures"
)
)</f>
        <v/>
      </c>
      <c r="CW174" s="5" t="n"/>
      <c r="CX174" s="5" t="n"/>
      <c r="CY174" s="5" t="n"/>
      <c r="CZ174" s="5" t="n"/>
      <c r="DA174" s="5">
        <f>IF(OR(CU174&gt;=50,CW174="Material",CW174="Severe",AS174="Material",AS174="Severe",BF174="Material",BF174="Severe — Exclusion Trigger",AND(ISNUMBER(BS174),BS174&lt;30)),"Yes","No")</f>
        <v/>
      </c>
      <c r="DB174" s="5">
        <f>IF(OR(CR174&gt;=6,AW174="Confirmed Violation",AX174="Confirmed Breach"),"Yes — Automatic",IF(CW174="Severe","Yes — Requires Captain Confirmation","No"))</f>
        <v/>
      </c>
      <c r="DC174" s="5" t="n"/>
      <c r="DD174" s="5" t="n"/>
      <c r="DE174" s="5" t="n"/>
      <c r="DF174" s="5" t="n"/>
      <c r="DG174" s="5" t="n"/>
      <c r="DH174" s="5" t="n"/>
      <c r="DI174" s="5" t="n"/>
      <c r="DJ174" s="5" t="n"/>
      <c r="DK174" s="5" t="n"/>
      <c r="DL174" s="5">
        <f>IF(OR(IFERROR(VALUE(LEFT(DF174,1)),99)&lt;=2,IFERROR(VALUE(LEFT(DG174,1)),99)&lt;=2),"Flagged","Clear")</f>
        <v/>
      </c>
      <c r="DM174" s="5">
        <f>IF(OR(DA174="Yes",DB174&lt;&gt;"No",DH174="Unverified",DL174="Flagged"),"Yes","No")</f>
        <v/>
      </c>
      <c r="DN174" s="5">
        <f t="array" ref="DN174">MIN(100,
  IF(ISNUMBER(V174), _xlfn.IFS(V174&gt;=3,25, V174=2,15, V174=1,5, TRUE,0), 0)
  + IFERROR(_xlfn.IFS(VALUE(LEFT(DF174,1))=5,25, VALUE(LEFT(DF174,1))=4,20, VALUE(LEFT(DF174,1))=3,15, VALUE(LEFT(DF174,1))=2,8, TRUE,0), 15)
  + IFERROR(_xlfn.IFS(VALUE(LEFT(DG174,1))=5,25, VALUE(LEFT(DG174,1))=4,20, VALUE(LEFT(DG174,1))=3,15, VALUE(LEFT(DG174,1))=2,8, TRUE,0), 15)
  + _xlfn.IFS(DH174="Fully Verified",25, DH174="Partially Verified",12, TRUE,0)
)</f>
        <v/>
      </c>
      <c r="DO174" s="5">
        <f t="array" ref="DO174">_xlfn.IFS(
  ISBLANK(AR174), "Insufficient Evidence",
  AND(AR174&gt;=65, AJ174="Approved"), "Strong",
  AR174&gt;=65, "Adequate",
  AR174&gt;=40, "Adequate",
  AR174&gt;=20, "Weak",
  TRUE, "Insufficient Evidence"
)</f>
        <v/>
      </c>
      <c r="DP174" s="5">
        <f t="array" ref="DP174">_xlfn.IFS(
  ISBLANK(BS174), "Insufficient Evidence",
  BS174&gt;=65, "Strong",
  BS174&gt;=40, "Adequate",
  BS174&gt;=20, "Weak",
  TRUE, "Insufficient Evidence"
)</f>
        <v/>
      </c>
      <c r="DQ174" s="5">
        <f t="array" ref="DQ174">_xlfn.IFS(
  ISBLANK(BE174), "Insufficient Evidence",
  OR(AW174="Confirmed Violation", AX174="Confirmed Breach"), "Severe — Hard Trigger",
  BE174&gt;=65, "Strong",
  BE174&gt;=40, "Adequate",
  BE174&gt;=20, "Weak",
  TRUE, "Insufficient Evidence"
)</f>
        <v/>
      </c>
      <c r="DR174" s="5">
        <f t="array" ref="DR174">_xlfn.IFS(
  ISBLANK(CU174), "Insufficient Evidence",
  CU174&lt;=20, "Low Risk",
  CU174&lt;=50, "Moderate Risk",
  CU174&lt;=75, "High Risk",
  TRUE, "Very High Risk"
)</f>
        <v/>
      </c>
      <c r="DS174" s="5">
        <f t="array" ref="DS174">_xlfn.IFS(
  ISBLANK(CE174), "Insufficient Evidence",
  AND(ISNUMBER(BW174),ISNUMBER(BV174),BW174&gt;BV174), "Overclaiming Risk",
  CE174&gt;=65, "Strong",
  CE174&gt;=40, "Adequate",
  TRUE, "Weak"
)</f>
        <v/>
      </c>
      <c r="DT174" s="5">
        <f>IF(DB174="Yes — Automatic",0,ROUND((IF(ISNUMBER(AR174),AR174,0)*0.3+IF(ISNUMBER(BS174),BS174,0)*0.2+IF(ISNUMBER(BE174),BE174,0)*0.2+IF(ISNUMBER(CE174),CE174,0)*0.15+(100-IF(ISNUMBER(CU174),CU174,50))*0.15)*IF(DN174&gt;=75,1,IF(DN174&gt;=50,0.9,IF(DN174&gt;=25,0.75,0.6))),1))</f>
        <v/>
      </c>
      <c r="DU174" s="5">
        <f t="array" ref="DU174">_xlfn.IFS(
  DV174="Upgraded to Clear", "Clear",
  DV174="Downgraded to Watchlist", "Watchlist",
  DV174="Downgraded to Exclusion", "Exclusion Risk",
  DB174="Yes — Automatic", "Exclusion Risk",
  OR(AW174="Confirmed Violation", AX174="Confirmed Breach"), "Exclusion Risk",
  OR(V174=0, ISBLANK(V174), DN174&lt;20), "Insufficient Evidence",
  AND(DT174&gt;=65, DA174="No", DB174="No"), "Clear",
  OR(DT174&gt;=40, DA174="Yes"), "Watchlist",
  TRUE, "Exclusion Risk"
)</f>
        <v/>
      </c>
      <c r="DV174" s="5" t="n"/>
      <c r="DW174" s="5">
        <f t="array" ref="DW174">_xlfn.IFS(
  DU174="Exclusion Risk", "Exclude — Hard Trigger",
  DU174="Insufficient Evidence", "Watchlist — Further Evidence Needed",
  DU174="Watchlist", "Watchlist — Further Evidence Needed",
  AND(DU174="Clear", DT174&gt;=80), "Include — No Conditions",
  DU174="Clear", "Include — Monitor",
  TRUE, "Watchlist — Further Evidence Needed"
)</f>
        <v/>
      </c>
      <c r="DX174" s="5" t="n"/>
      <c r="DY174" s="5" t="n"/>
      <c r="DZ174" s="5" t="n"/>
      <c r="EA174" s="5" t="n"/>
      <c r="EB174" s="5">
        <f>IF(OR(V174=0, ISBLANK(V174)), "MISSING — No sources reviewed", "")</f>
        <v/>
      </c>
      <c r="EC174" s="5">
        <f>IF(AND(NOT(ISBLANK(DC174)), ISBLANK(DE174)), "PAGE REF MISSING", "")</f>
        <v/>
      </c>
    </row>
    <row r="175" ht="18" customHeight="1" s="60">
      <c r="A175" s="5" t="inlineStr">
        <is>
          <t>STMicroelectronics NV</t>
        </is>
      </c>
      <c r="B175" s="5" t="inlineStr">
        <is>
          <t>SGM</t>
        </is>
      </c>
      <c r="C175" s="5">
        <f>IF(ISBLANK('Universe Tracker'!D150),"",'Universe Tracker'!D150)</f>
        <v/>
      </c>
      <c r="D175" s="5" t="n"/>
      <c r="E175" s="5" t="n"/>
      <c r="F175" s="5">
        <f>IF(ISBLANK('Universe Tracker'!F150),"",'Universe Tracker'!F150)</f>
        <v/>
      </c>
      <c r="G175" s="5">
        <f>IF(ISBLANK('Universe Tracker'!G150),"",'Universe Tracker'!G150)</f>
        <v/>
      </c>
      <c r="H175" s="5" t="n"/>
      <c r="I175" s="5" t="n"/>
      <c r="J175" s="5">
        <f>IF(ISBLANK(B175),"",B175&amp;"_"&amp;C175)</f>
        <v/>
      </c>
      <c r="K175" s="5" t="n"/>
      <c r="L175" s="5" t="n"/>
      <c r="M175" s="5" t="n"/>
      <c r="N175" s="5" t="n"/>
      <c r="O175" s="5" t="n"/>
      <c r="P175" s="5" t="n"/>
      <c r="Q175" s="5" t="n"/>
      <c r="R175" s="5" t="n"/>
      <c r="S175" s="5" t="n"/>
      <c r="T175" s="5" t="n"/>
      <c r="U175" s="5" t="n"/>
      <c r="V175" s="5" t="n"/>
      <c r="W175" s="5" t="n"/>
      <c r="X175" s="5" t="n"/>
      <c r="Y175" s="5">
        <f>IF(AND(V175&gt;=2,K175="Yes",L175="Yes"),"Sufficient",IF(AND(V175&gt;=1,OR(K175="Yes",L175="Yes")),"Thin","Insufficient"))</f>
        <v/>
      </c>
      <c r="Z175" s="5" t="n"/>
      <c r="AA175" s="5" t="n"/>
      <c r="AB175" s="5" t="n"/>
      <c r="AC175" s="5" t="n"/>
      <c r="AD175" s="5" t="n"/>
      <c r="AE175" s="5" t="n"/>
      <c r="AF175" s="5" t="n"/>
      <c r="AG175" s="5" t="n"/>
      <c r="AH175" s="5" t="n"/>
      <c r="AI175" s="5" t="n"/>
      <c r="AJ175" s="5" t="n"/>
      <c r="AK175" s="5" t="n"/>
      <c r="AL175" s="5" t="n"/>
      <c r="AM175" s="5" t="n"/>
      <c r="AN175" s="5" t="n"/>
      <c r="AO175" s="5" t="n"/>
      <c r="AP175" s="5" t="n"/>
      <c r="AQ175" s="5" t="n"/>
      <c r="AR175" s="40">
        <f t="array" ref="AR175">MIN(100, MAX(0,
  IFERROR(_xlfn.XLOOKUP(AJ175,'Lookup Tables'!$A$2:$A$7,'Lookup Tables'!$B$2:$B$7,0),0)
  + IF(Z175="Yes", IF(IFERROR(_xlfn.XLOOKUP(AJ175,'Lookup Tables'!$A$2:$A$7,'Lookup Tables'!$B$2:$B$7,0),0)&lt;20, 5, 0), 0)
  + _xlfn.IFS(AB175="Yes", IF(ISNUMBER(AC175)*AND(AC175&lt;=2030),15,10), AB175="Long-term Only", 5, AB175="No", 0, TRUE, 0)
  + _xlfn.IFS(AF175="Full",10, AF175="Partial",5, AF175="Scope 2 Only",3, TRUE,0)
  + _xlfn.IFS(AG175="Yes", IF(ISNUMBER(AH175)*AND(AH175&gt;=5),10,6), AG175="Partial",4, TRUE,0)
  + _xlfn.IFS(AI175="Yes",5, AI175="Partial (material categories only)",3, TRUE,0)
  + _xlfn.IFS(AL175="Yes — Detailed",10, AL175="Yes — High Level",5, TRUE,0)
  + _xlfn.IFS(AM175="Yes — Quantified",15, AM175="Yes — Directional Only",7, TRUE,0)
  + _xlfn.IFS(AP175="Formal",5, AP175="Referenced",2, TRUE,0)
  + _xlfn.IFS(AQ175="No Issues Found",5, AQ175="Concern Identified",-5, AQ175="Severe Contradiction",-15, TRUE,0)
  + _xlfn.IFS(BC175="Reasonable Assurance",5, BC175="Limited Assurance",3, TRUE,0)
  - IF(AND(Z175="Yes", AI175="No"), 10, 0)
  - IF(AND(Z175="Yes", AM175="No"), 10, 0)
))</f>
        <v/>
      </c>
      <c r="AS175" s="5" t="n"/>
      <c r="AT175" s="5" t="n"/>
      <c r="AU175" s="5" t="n"/>
      <c r="AV175" s="5" t="n"/>
      <c r="AW175" s="5" t="n"/>
      <c r="AX175" s="5" t="n"/>
      <c r="AY175" s="5" t="n"/>
      <c r="AZ175" s="5" t="n"/>
      <c r="BA175" s="5" t="n"/>
      <c r="BB175" s="5" t="n"/>
      <c r="BC175" s="5" t="n"/>
      <c r="BD175" s="5" t="n"/>
      <c r="BE175" s="39">
        <f t="array" ref="BE175">MIN(100, MAX(0,
  IFERROR(_xlfn.XLOOKUP(AT175,'Lookup Tables'!$D$2:$D$6,'Lookup Tables'!$E$2:$E$6,0),0)
  + IFERROR(_xlfn.XLOOKUP(AV175,'Lookup Tables'!$G$2:$G$5,'Lookup Tables'!$H$2:$H$5,0),0)
  + IFERROR(_xlfn.XLOOKUP(AW175,'Lookup Tables'!$J$2:$J$5,'Lookup Tables'!$K$2:$K$5,0),0)
  + _xlfn.IFS(AX175="No Issues",10, AX175="Complaint Filed",3, AX175="Confirmed Breach",-15, TRUE,0)
  + IFERROR(_xlfn.XLOOKUP(AY175,'Lookup Tables'!$M$2:$M$6,'Lookup Tables'!$N$2:$N$6,0),0)
  + IFERROR(_xlfn.XLOOKUP(AZ175,'Lookup Tables'!$P$2:$P$6,'Lookup Tables'!$Q$2:$Q$6,0),0)
  + _xlfn.IFS(BA175="Formal Board Committee",5, BA175="Board Oversight Mentioned",2, TRUE,0)
  + _xlfn.IFS(BB175="Yes — Quantified Targets",5, BB175="Yes — Discretionary Only",2, TRUE,0)
  + _xlfn.IFS(BC175="Reasonable Assurance",5, BC175="Limited Assurance",3, BC175="Management Review Only",1, TRUE,0)
))</f>
        <v/>
      </c>
      <c r="BF175" s="5" t="n"/>
      <c r="BG175" s="5" t="n"/>
      <c r="BH175" s="5" t="n"/>
      <c r="BI175" s="5" t="n"/>
      <c r="BJ175" s="5" t="n"/>
      <c r="BK175" s="5" t="n"/>
      <c r="BL175" s="5" t="n"/>
      <c r="BM175" s="5" t="n"/>
      <c r="BN175" s="5" t="n"/>
      <c r="BO175" s="5" t="n"/>
      <c r="BP175" s="5" t="n"/>
      <c r="BQ175" s="5" t="n"/>
      <c r="BR175" s="5" t="n"/>
      <c r="BS175" s="41">
        <f t="array" ref="BS175">MIN(100, MAX(0,
  IFERROR(_xlfn.XLOOKUP(BG175,'Lookup Tables'!$A$11:$A$16,'Lookup Tables'!$B$11:$B$16,0),0)
  + IFERROR(_xlfn.XLOOKUP(BR175,'Lookup Tables'!$M$11:$M$14,'Lookup Tables'!$N$11:$N$14,0),0)
  + IFERROR(_xlfn.XLOOKUP(BQ175,'Lookup Tables'!$J$11:$J$15,'Lookup Tables'!$K$11:$K$15,0),0)
  + IFERROR(_xlfn.XLOOKUP(BH175,'Lookup Tables'!$D$11:$D$15,'Lookup Tables'!$E$11:$E$15,0),0)
  + IFERROR(_xlfn.XLOOKUP(BJ175,'Lookup Tables'!$G$11:$G$16,'Lookup Tables'!$H$11:$H$16,0),0)
  + IFERROR(_xlfn.XLOOKUP(BN175,'Lookup Tables'!$P$11:$P$15,'Lookup Tables'!$Q$11:$Q$15,0),0)
  + _xlfn.IFS(BM175="No Evidence",10, BM175="Unknown",3, BM175="Likely",0, BM175="Confirmed",-10, TRUE,3)
  + IFERROR(_xlfn.XLOOKUP(BP175,'Lookup Tables'!$J$21:$J$24,'Lookup Tables'!$K$21:$K$24,0),0)
))</f>
        <v/>
      </c>
      <c r="BT175" s="5" t="n"/>
      <c r="BU175" s="5" t="n"/>
      <c r="BV175" s="5" t="n"/>
      <c r="BW175" s="5" t="n"/>
      <c r="BX175" s="5" t="n"/>
      <c r="BY175" s="5" t="n"/>
      <c r="BZ175" s="5" t="n"/>
      <c r="CA175" s="5" t="n"/>
      <c r="CB175" s="5" t="n"/>
      <c r="CC175" s="5" t="n"/>
      <c r="CD175" s="5" t="n"/>
      <c r="CE175" s="43">
        <f t="array" ref="CE175">MIN(100, MAX(0,
  IF(ISNUMBER(BV175)*AND(BV175&gt;0), 10, 0)
  + _xlfn.IFS(BY175="Independently Verified",25, BY175="Yes",15, TRUE,0)
  + IFERROR(_xlfn.XLOOKUP(BZ175,'Lookup Tables'!$A$21:$A$24,'Lookup Tables'!$B$21:$B$24,0),0)
  + IFERROR(_xlfn.XLOOKUP(CA175,'Lookup Tables'!$D$21:$D$24,'Lookup Tables'!$E$21:$E$24,0),0)
  + _xlfn.IFS(ISNUMBER(CB175)*AND(CB175&gt;=11),15, ISNUMBER(CB175)*AND(CB175&gt;=6),10, ISNUMBER(CB175)*AND(CB175&gt;=1),5, TRUE,0)
  + IFERROR(_xlfn.XLOOKUP(CC175,'Lookup Tables'!$G$21:$G$25,'Lookup Tables'!$H$21:$H$25,0),0)
  - IF(ISNUMBER(BW175)*AND(ISNUMBER(BV175))*AND(BW175&gt;BV175), 20, 0)
  - IF(AND(BY175="Yes", ISNUMBER(BW175), BW175&gt;60), 10, 0)
))</f>
        <v/>
      </c>
      <c r="CF175" s="5" t="n"/>
      <c r="CG175" s="5" t="n"/>
      <c r="CH175" s="5" t="n"/>
      <c r="CI175" s="5" t="n"/>
      <c r="CJ175" s="5" t="n"/>
      <c r="CK175" s="5" t="n"/>
      <c r="CL175" s="5" t="n"/>
      <c r="CM175" s="5" t="n"/>
      <c r="CN175" s="5" t="n"/>
      <c r="CO175" s="5" t="n"/>
      <c r="CP175" s="5" t="n"/>
      <c r="CQ175" s="5" t="n"/>
      <c r="CR175" s="5">
        <f>COUNTIF(CJ175:CQ175,"FAIL")</f>
        <v/>
      </c>
      <c r="CS175" s="5">
        <f>COUNTIF(CJ175:CQ175,"PARTIAL")</f>
        <v/>
      </c>
      <c r="CT175" s="5">
        <f>COUNTIF(CJ175:CQ175,"MISSING")</f>
        <v/>
      </c>
      <c r="CU175" s="5">
        <f>MIN(100,
  CR175*15
  + CS175*6
  + CT175*3
  + IFERROR(_xlfn.XLOOKUP(CW175,'Lookup Tables'!$M$21:$M$25,'Lookup Tables'!$N$21:$N$25,0),0)
)</f>
        <v/>
      </c>
      <c r="CV175" s="5">
        <f>IFERROR(
CHOOSE(
MATCH("FAIL",CJ175:CQ175,0),
"1-Specificity","2-Metric","3-Baseline","4-Target",
"5-Time Horizon","6-Scope","7-Verification","8-Consistency"
),
IFERROR(
CHOOSE(
MATCH("PARTIAL",CJ175:CQ175,0),
"1-Specificity","2-Metric","3-Baseline","4-Target",
"5-Time Horizon","6-Scope","7-Verification","8-Consistency"
),
"No failures"
)
)</f>
        <v/>
      </c>
      <c r="CW175" s="5" t="n"/>
      <c r="CX175" s="5" t="n"/>
      <c r="CY175" s="5" t="n"/>
      <c r="CZ175" s="5" t="n"/>
      <c r="DA175" s="5">
        <f>IF(OR(CU175&gt;=50,CW175="Material",CW175="Severe",AS175="Material",AS175="Severe",BF175="Material",BF175="Severe — Exclusion Trigger",AND(ISNUMBER(BS175),BS175&lt;30)),"Yes","No")</f>
        <v/>
      </c>
      <c r="DB175" s="5">
        <f>IF(OR(CR175&gt;=6,AW175="Confirmed Violation",AX175="Confirmed Breach"),"Yes — Automatic",IF(CW175="Severe","Yes — Requires Captain Confirmation","No"))</f>
        <v/>
      </c>
      <c r="DC175" s="5" t="n"/>
      <c r="DD175" s="5" t="n"/>
      <c r="DE175" s="5" t="n"/>
      <c r="DF175" s="5" t="n"/>
      <c r="DG175" s="5" t="n"/>
      <c r="DH175" s="5" t="n"/>
      <c r="DI175" s="5" t="n"/>
      <c r="DJ175" s="5" t="n"/>
      <c r="DK175" s="5" t="n"/>
      <c r="DL175" s="5">
        <f>IF(OR(IFERROR(VALUE(LEFT(DF175,1)),99)&lt;=2,IFERROR(VALUE(LEFT(DG175,1)),99)&lt;=2),"Flagged","Clear")</f>
        <v/>
      </c>
      <c r="DM175" s="5">
        <f>IF(OR(DA175="Yes",DB175&lt;&gt;"No",DH175="Unverified",DL175="Flagged"),"Yes","No")</f>
        <v/>
      </c>
      <c r="DN175" s="5">
        <f t="array" ref="DN175">MIN(100,
  IF(ISNUMBER(V175), _xlfn.IFS(V175&gt;=3,25, V175=2,15, V175=1,5, TRUE,0), 0)
  + IFERROR(_xlfn.IFS(VALUE(LEFT(DF175,1))=5,25, VALUE(LEFT(DF175,1))=4,20, VALUE(LEFT(DF175,1))=3,15, VALUE(LEFT(DF175,1))=2,8, TRUE,0), 15)
  + IFERROR(_xlfn.IFS(VALUE(LEFT(DG175,1))=5,25, VALUE(LEFT(DG175,1))=4,20, VALUE(LEFT(DG175,1))=3,15, VALUE(LEFT(DG175,1))=2,8, TRUE,0), 15)
  + _xlfn.IFS(DH175="Fully Verified",25, DH175="Partially Verified",12, TRUE,0)
)</f>
        <v/>
      </c>
      <c r="DO175" s="5">
        <f t="array" ref="DO175">_xlfn.IFS(
  ISBLANK(AR175), "Insufficient Evidence",
  AND(AR175&gt;=65, AJ175="Approved"), "Strong",
  AR175&gt;=65, "Adequate",
  AR175&gt;=40, "Adequate",
  AR175&gt;=20, "Weak",
  TRUE, "Insufficient Evidence"
)</f>
        <v/>
      </c>
      <c r="DP175" s="5">
        <f t="array" ref="DP175">_xlfn.IFS(
  ISBLANK(BS175), "Insufficient Evidence",
  BS175&gt;=65, "Strong",
  BS175&gt;=40, "Adequate",
  BS175&gt;=20, "Weak",
  TRUE, "Insufficient Evidence"
)</f>
        <v/>
      </c>
      <c r="DQ175" s="5">
        <f t="array" ref="DQ175">_xlfn.IFS(
  ISBLANK(BE175), "Insufficient Evidence",
  OR(AW175="Confirmed Violation", AX175="Confirmed Breach"), "Severe — Hard Trigger",
  BE175&gt;=65, "Strong",
  BE175&gt;=40, "Adequate",
  BE175&gt;=20, "Weak",
  TRUE, "Insufficient Evidence"
)</f>
        <v/>
      </c>
      <c r="DR175" s="5">
        <f t="array" ref="DR175">_xlfn.IFS(
  ISBLANK(CU175), "Insufficient Evidence",
  CU175&lt;=20, "Low Risk",
  CU175&lt;=50, "Moderate Risk",
  CU175&lt;=75, "High Risk",
  TRUE, "Very High Risk"
)</f>
        <v/>
      </c>
      <c r="DS175" s="5">
        <f t="array" ref="DS175">_xlfn.IFS(
  ISBLANK(CE175), "Insufficient Evidence",
  AND(ISNUMBER(BW175),ISNUMBER(BV175),BW175&gt;BV175), "Overclaiming Risk",
  CE175&gt;=65, "Strong",
  CE175&gt;=40, "Adequate",
  TRUE, "Weak"
)</f>
        <v/>
      </c>
      <c r="DT175" s="5">
        <f>IF(DB175="Yes — Automatic",0,ROUND((IF(ISNUMBER(AR175),AR175,0)*0.3+IF(ISNUMBER(BS175),BS175,0)*0.2+IF(ISNUMBER(BE175),BE175,0)*0.2+IF(ISNUMBER(CE175),CE175,0)*0.15+(100-IF(ISNUMBER(CU175),CU175,50))*0.15)*IF(DN175&gt;=75,1,IF(DN175&gt;=50,0.9,IF(DN175&gt;=25,0.75,0.6))),1))</f>
        <v/>
      </c>
      <c r="DU175" s="5">
        <f t="array" ref="DU175">_xlfn.IFS(
  DV175="Upgraded to Clear", "Clear",
  DV175="Downgraded to Watchlist", "Watchlist",
  DV175="Downgraded to Exclusion", "Exclusion Risk",
  DB175="Yes — Automatic", "Exclusion Risk",
  OR(AW175="Confirmed Violation", AX175="Confirmed Breach"), "Exclusion Risk",
  OR(V175=0, ISBLANK(V175), DN175&lt;20), "Insufficient Evidence",
  AND(DT175&gt;=65, DA175="No", DB175="No"), "Clear",
  OR(DT175&gt;=40, DA175="Yes"), "Watchlist",
  TRUE, "Exclusion Risk"
)</f>
        <v/>
      </c>
      <c r="DV175" s="5" t="n"/>
      <c r="DW175" s="5">
        <f t="array" ref="DW175">_xlfn.IFS(
  DU175="Exclusion Risk", "Exclude — Hard Trigger",
  DU175="Insufficient Evidence", "Watchlist — Further Evidence Needed",
  DU175="Watchlist", "Watchlist — Further Evidence Needed",
  AND(DU175="Clear", DT175&gt;=80), "Include — No Conditions",
  DU175="Clear", "Include — Monitor",
  TRUE, "Watchlist — Further Evidence Needed"
)</f>
        <v/>
      </c>
      <c r="DX175" s="5" t="n"/>
      <c r="DY175" s="5" t="n"/>
      <c r="DZ175" s="5" t="n"/>
      <c r="EA175" s="5" t="n"/>
      <c r="EB175" s="5">
        <f>IF(OR(V175=0, ISBLANK(V175)), "MISSING — No sources reviewed", "")</f>
        <v/>
      </c>
      <c r="EC175" s="5">
        <f>IF(AND(NOT(ISBLANK(DC175)), ISBLANK(DE175)), "PAGE REF MISSING", "")</f>
        <v/>
      </c>
    </row>
    <row r="176" ht="18" customHeight="1" s="60">
      <c r="A176" s="5" t="inlineStr">
        <is>
          <t>ASM International NV</t>
        </is>
      </c>
      <c r="B176" s="5" t="inlineStr">
        <is>
          <t>AVS</t>
        </is>
      </c>
      <c r="C176" s="5">
        <f>IF(ISBLANK('Universe Tracker'!D151),"",'Universe Tracker'!D151)</f>
        <v/>
      </c>
      <c r="D176" s="5" t="n"/>
      <c r="E176" s="5" t="n"/>
      <c r="F176" s="5">
        <f>IF(ISBLANK('Universe Tracker'!F151),"",'Universe Tracker'!F151)</f>
        <v/>
      </c>
      <c r="G176" s="5">
        <f>IF(ISBLANK('Universe Tracker'!G151),"",'Universe Tracker'!G151)</f>
        <v/>
      </c>
      <c r="H176" s="5" t="n"/>
      <c r="I176" s="5" t="n"/>
      <c r="J176" s="5">
        <f>IF(ISBLANK(B176),"",B176&amp;"_"&amp;C176)</f>
        <v/>
      </c>
      <c r="K176" s="5" t="n"/>
      <c r="L176" s="5" t="n"/>
      <c r="M176" s="5" t="n"/>
      <c r="N176" s="5" t="n"/>
      <c r="O176" s="5" t="n"/>
      <c r="P176" s="5" t="n"/>
      <c r="Q176" s="5" t="n"/>
      <c r="R176" s="5" t="n"/>
      <c r="S176" s="5" t="n"/>
      <c r="T176" s="5" t="n"/>
      <c r="U176" s="5" t="n"/>
      <c r="V176" s="5" t="n"/>
      <c r="W176" s="5" t="n"/>
      <c r="X176" s="5" t="n"/>
      <c r="Y176" s="5">
        <f>IF(AND(V176&gt;=2,K176="Yes",L176="Yes"),"Sufficient",IF(AND(V176&gt;=1,OR(K176="Yes",L176="Yes")),"Thin","Insufficient"))</f>
        <v/>
      </c>
      <c r="Z176" s="5" t="n"/>
      <c r="AA176" s="5" t="n"/>
      <c r="AB176" s="5" t="n"/>
      <c r="AC176" s="5" t="n"/>
      <c r="AD176" s="5" t="n"/>
      <c r="AE176" s="5" t="n"/>
      <c r="AF176" s="5" t="n"/>
      <c r="AG176" s="5" t="n"/>
      <c r="AH176" s="5" t="n"/>
      <c r="AI176" s="5" t="n"/>
      <c r="AJ176" s="5" t="n"/>
      <c r="AK176" s="5" t="n"/>
      <c r="AL176" s="5" t="n"/>
      <c r="AM176" s="5" t="n"/>
      <c r="AN176" s="5" t="n"/>
      <c r="AO176" s="5" t="n"/>
      <c r="AP176" s="5" t="n"/>
      <c r="AQ176" s="5" t="n"/>
      <c r="AR176" s="40">
        <f t="array" ref="AR176">MIN(100, MAX(0,
  IFERROR(_xlfn.XLOOKUP(AJ176,'Lookup Tables'!$A$2:$A$7,'Lookup Tables'!$B$2:$B$7,0),0)
  + IF(Z176="Yes", IF(IFERROR(_xlfn.XLOOKUP(AJ176,'Lookup Tables'!$A$2:$A$7,'Lookup Tables'!$B$2:$B$7,0),0)&lt;20, 5, 0), 0)
  + _xlfn.IFS(AB176="Yes", IF(ISNUMBER(AC176)*AND(AC176&lt;=2030),15,10), AB176="Long-term Only", 5, AB176="No", 0, TRUE, 0)
  + _xlfn.IFS(AF176="Full",10, AF176="Partial",5, AF176="Scope 2 Only",3, TRUE,0)
  + _xlfn.IFS(AG176="Yes", IF(ISNUMBER(AH176)*AND(AH176&gt;=5),10,6), AG176="Partial",4, TRUE,0)
  + _xlfn.IFS(AI176="Yes",5, AI176="Partial (material categories only)",3, TRUE,0)
  + _xlfn.IFS(AL176="Yes — Detailed",10, AL176="Yes — High Level",5, TRUE,0)
  + _xlfn.IFS(AM176="Yes — Quantified",15, AM176="Yes — Directional Only",7, TRUE,0)
  + _xlfn.IFS(AP176="Formal",5, AP176="Referenced",2, TRUE,0)
  + _xlfn.IFS(AQ176="No Issues Found",5, AQ176="Concern Identified",-5, AQ176="Severe Contradiction",-15, TRUE,0)
  + _xlfn.IFS(BC176="Reasonable Assurance",5, BC176="Limited Assurance",3, TRUE,0)
  - IF(AND(Z176="Yes", AI176="No"), 10, 0)
  - IF(AND(Z176="Yes", AM176="No"), 10, 0)
))</f>
        <v/>
      </c>
      <c r="AS176" s="5" t="n"/>
      <c r="AT176" s="5" t="n"/>
      <c r="AU176" s="5" t="n"/>
      <c r="AV176" s="5" t="n"/>
      <c r="AW176" s="5" t="n"/>
      <c r="AX176" s="5" t="n"/>
      <c r="AY176" s="5" t="n"/>
      <c r="AZ176" s="5" t="n"/>
      <c r="BA176" s="5" t="n"/>
      <c r="BB176" s="5" t="n"/>
      <c r="BC176" s="5" t="n"/>
      <c r="BD176" s="5" t="n"/>
      <c r="BE176" s="39">
        <f t="array" ref="BE176">MIN(100, MAX(0,
  IFERROR(_xlfn.XLOOKUP(AT176,'Lookup Tables'!$D$2:$D$6,'Lookup Tables'!$E$2:$E$6,0),0)
  + IFERROR(_xlfn.XLOOKUP(AV176,'Lookup Tables'!$G$2:$G$5,'Lookup Tables'!$H$2:$H$5,0),0)
  + IFERROR(_xlfn.XLOOKUP(AW176,'Lookup Tables'!$J$2:$J$5,'Lookup Tables'!$K$2:$K$5,0),0)
  + _xlfn.IFS(AX176="No Issues",10, AX176="Complaint Filed",3, AX176="Confirmed Breach",-15, TRUE,0)
  + IFERROR(_xlfn.XLOOKUP(AY176,'Lookup Tables'!$M$2:$M$6,'Lookup Tables'!$N$2:$N$6,0),0)
  + IFERROR(_xlfn.XLOOKUP(AZ176,'Lookup Tables'!$P$2:$P$6,'Lookup Tables'!$Q$2:$Q$6,0),0)
  + _xlfn.IFS(BA176="Formal Board Committee",5, BA176="Board Oversight Mentioned",2, TRUE,0)
  + _xlfn.IFS(BB176="Yes — Quantified Targets",5, BB176="Yes — Discretionary Only",2, TRUE,0)
  + _xlfn.IFS(BC176="Reasonable Assurance",5, BC176="Limited Assurance",3, BC176="Management Review Only",1, TRUE,0)
))</f>
        <v/>
      </c>
      <c r="BF176" s="5" t="n"/>
      <c r="BG176" s="5" t="n"/>
      <c r="BH176" s="5" t="n"/>
      <c r="BI176" s="5" t="n"/>
      <c r="BJ176" s="5" t="n"/>
      <c r="BK176" s="5" t="n"/>
      <c r="BL176" s="5" t="n"/>
      <c r="BM176" s="5" t="n"/>
      <c r="BN176" s="5" t="n"/>
      <c r="BO176" s="5" t="n"/>
      <c r="BP176" s="5" t="n"/>
      <c r="BQ176" s="5" t="n"/>
      <c r="BR176" s="5" t="n"/>
      <c r="BS176" s="41">
        <f t="array" ref="BS176">MIN(100, MAX(0,
  IFERROR(_xlfn.XLOOKUP(BG176,'Lookup Tables'!$A$11:$A$16,'Lookup Tables'!$B$11:$B$16,0),0)
  + IFERROR(_xlfn.XLOOKUP(BR176,'Lookup Tables'!$M$11:$M$14,'Lookup Tables'!$N$11:$N$14,0),0)
  + IFERROR(_xlfn.XLOOKUP(BQ176,'Lookup Tables'!$J$11:$J$15,'Lookup Tables'!$K$11:$K$15,0),0)
  + IFERROR(_xlfn.XLOOKUP(BH176,'Lookup Tables'!$D$11:$D$15,'Lookup Tables'!$E$11:$E$15,0),0)
  + IFERROR(_xlfn.XLOOKUP(BJ176,'Lookup Tables'!$G$11:$G$16,'Lookup Tables'!$H$11:$H$16,0),0)
  + IFERROR(_xlfn.XLOOKUP(BN176,'Lookup Tables'!$P$11:$P$15,'Lookup Tables'!$Q$11:$Q$15,0),0)
  + _xlfn.IFS(BM176="No Evidence",10, BM176="Unknown",3, BM176="Likely",0, BM176="Confirmed",-10, TRUE,3)
  + IFERROR(_xlfn.XLOOKUP(BP176,'Lookup Tables'!$J$21:$J$24,'Lookup Tables'!$K$21:$K$24,0),0)
))</f>
        <v/>
      </c>
      <c r="BT176" s="5" t="n"/>
      <c r="BU176" s="5" t="n"/>
      <c r="BV176" s="5" t="n"/>
      <c r="BW176" s="5" t="n"/>
      <c r="BX176" s="5" t="n"/>
      <c r="BY176" s="5" t="n"/>
      <c r="BZ176" s="5" t="n"/>
      <c r="CA176" s="5" t="n"/>
      <c r="CB176" s="5" t="n"/>
      <c r="CC176" s="5" t="n"/>
      <c r="CD176" s="5" t="n"/>
      <c r="CE176" s="43">
        <f t="array" ref="CE176">MIN(100, MAX(0,
  IF(ISNUMBER(BV176)*AND(BV176&gt;0), 10, 0)
  + _xlfn.IFS(BY176="Independently Verified",25, BY176="Yes",15, TRUE,0)
  + IFERROR(_xlfn.XLOOKUP(BZ176,'Lookup Tables'!$A$21:$A$24,'Lookup Tables'!$B$21:$B$24,0),0)
  + IFERROR(_xlfn.XLOOKUP(CA176,'Lookup Tables'!$D$21:$D$24,'Lookup Tables'!$E$21:$E$24,0),0)
  + _xlfn.IFS(ISNUMBER(CB176)*AND(CB176&gt;=11),15, ISNUMBER(CB176)*AND(CB176&gt;=6),10, ISNUMBER(CB176)*AND(CB176&gt;=1),5, TRUE,0)
  + IFERROR(_xlfn.XLOOKUP(CC176,'Lookup Tables'!$G$21:$G$25,'Lookup Tables'!$H$21:$H$25,0),0)
  - IF(ISNUMBER(BW176)*AND(ISNUMBER(BV176))*AND(BW176&gt;BV176), 20, 0)
  - IF(AND(BY176="Yes", ISNUMBER(BW176), BW176&gt;60), 10, 0)
))</f>
        <v/>
      </c>
      <c r="CF176" s="5" t="n"/>
      <c r="CG176" s="5" t="n"/>
      <c r="CH176" s="5" t="n"/>
      <c r="CI176" s="5" t="n"/>
      <c r="CJ176" s="5" t="n"/>
      <c r="CK176" s="5" t="n"/>
      <c r="CL176" s="5" t="n"/>
      <c r="CM176" s="5" t="n"/>
      <c r="CN176" s="5" t="n"/>
      <c r="CO176" s="5" t="n"/>
      <c r="CP176" s="5" t="n"/>
      <c r="CQ176" s="5" t="n"/>
      <c r="CR176" s="5">
        <f>COUNTIF(CJ176:CQ176,"FAIL")</f>
        <v/>
      </c>
      <c r="CS176" s="5">
        <f>COUNTIF(CJ176:CQ176,"PARTIAL")</f>
        <v/>
      </c>
      <c r="CT176" s="5">
        <f>COUNTIF(CJ176:CQ176,"MISSING")</f>
        <v/>
      </c>
      <c r="CU176" s="5">
        <f>MIN(100,
  CR176*15
  + CS176*6
  + CT176*3
  + IFERROR(_xlfn.XLOOKUP(CW176,'Lookup Tables'!$M$21:$M$25,'Lookup Tables'!$N$21:$N$25,0),0)
)</f>
        <v/>
      </c>
      <c r="CV176" s="5">
        <f>IFERROR(
CHOOSE(
MATCH("FAIL",CJ176:CQ176,0),
"1-Specificity","2-Metric","3-Baseline","4-Target",
"5-Time Horizon","6-Scope","7-Verification","8-Consistency"
),
IFERROR(
CHOOSE(
MATCH("PARTIAL",CJ176:CQ176,0),
"1-Specificity","2-Metric","3-Baseline","4-Target",
"5-Time Horizon","6-Scope","7-Verification","8-Consistency"
),
"No failures"
)
)</f>
        <v/>
      </c>
      <c r="CW176" s="5" t="n"/>
      <c r="CX176" s="5" t="n"/>
      <c r="CY176" s="5" t="n"/>
      <c r="CZ176" s="5" t="n"/>
      <c r="DA176" s="5">
        <f>IF(OR(CU176&gt;=50,CW176="Material",CW176="Severe",AS176="Material",AS176="Severe",BF176="Material",BF176="Severe — Exclusion Trigger",AND(ISNUMBER(BS176),BS176&lt;30)),"Yes","No")</f>
        <v/>
      </c>
      <c r="DB176" s="5">
        <f>IF(OR(CR176&gt;=6,AW176="Confirmed Violation",AX176="Confirmed Breach"),"Yes — Automatic",IF(CW176="Severe","Yes — Requires Captain Confirmation","No"))</f>
        <v/>
      </c>
      <c r="DC176" s="5" t="n"/>
      <c r="DD176" s="5" t="n"/>
      <c r="DE176" s="5" t="n"/>
      <c r="DF176" s="5" t="n"/>
      <c r="DG176" s="5" t="n"/>
      <c r="DH176" s="5" t="n"/>
      <c r="DI176" s="5" t="n"/>
      <c r="DJ176" s="5" t="n"/>
      <c r="DK176" s="5" t="n"/>
      <c r="DL176" s="5">
        <f>IF(OR(IFERROR(VALUE(LEFT(DF176,1)),99)&lt;=2,IFERROR(VALUE(LEFT(DG176,1)),99)&lt;=2),"Flagged","Clear")</f>
        <v/>
      </c>
      <c r="DM176" s="5">
        <f>IF(OR(DA176="Yes",DB176&lt;&gt;"No",DH176="Unverified",DL176="Flagged"),"Yes","No")</f>
        <v/>
      </c>
      <c r="DN176" s="5">
        <f t="array" ref="DN176">MIN(100,
  IF(ISNUMBER(V176), _xlfn.IFS(V176&gt;=3,25, V176=2,15, V176=1,5, TRUE,0), 0)
  + IFERROR(_xlfn.IFS(VALUE(LEFT(DF176,1))=5,25, VALUE(LEFT(DF176,1))=4,20, VALUE(LEFT(DF176,1))=3,15, VALUE(LEFT(DF176,1))=2,8, TRUE,0), 15)
  + IFERROR(_xlfn.IFS(VALUE(LEFT(DG176,1))=5,25, VALUE(LEFT(DG176,1))=4,20, VALUE(LEFT(DG176,1))=3,15, VALUE(LEFT(DG176,1))=2,8, TRUE,0), 15)
  + _xlfn.IFS(DH176="Fully Verified",25, DH176="Partially Verified",12, TRUE,0)
)</f>
        <v/>
      </c>
      <c r="DO176" s="5">
        <f t="array" ref="DO176">_xlfn.IFS(
  ISBLANK(AR176), "Insufficient Evidence",
  AND(AR176&gt;=65, AJ176="Approved"), "Strong",
  AR176&gt;=65, "Adequate",
  AR176&gt;=40, "Adequate",
  AR176&gt;=20, "Weak",
  TRUE, "Insufficient Evidence"
)</f>
        <v/>
      </c>
      <c r="DP176" s="5">
        <f t="array" ref="DP176">_xlfn.IFS(
  ISBLANK(BS176), "Insufficient Evidence",
  BS176&gt;=65, "Strong",
  BS176&gt;=40, "Adequate",
  BS176&gt;=20, "Weak",
  TRUE, "Insufficient Evidence"
)</f>
        <v/>
      </c>
      <c r="DQ176" s="5">
        <f t="array" ref="DQ176">_xlfn.IFS(
  ISBLANK(BE176), "Insufficient Evidence",
  OR(AW176="Confirmed Violation", AX176="Confirmed Breach"), "Severe — Hard Trigger",
  BE176&gt;=65, "Strong",
  BE176&gt;=40, "Adequate",
  BE176&gt;=20, "Weak",
  TRUE, "Insufficient Evidence"
)</f>
        <v/>
      </c>
      <c r="DR176" s="5">
        <f t="array" ref="DR176">_xlfn.IFS(
  ISBLANK(CU176), "Insufficient Evidence",
  CU176&lt;=20, "Low Risk",
  CU176&lt;=50, "Moderate Risk",
  CU176&lt;=75, "High Risk",
  TRUE, "Very High Risk"
)</f>
        <v/>
      </c>
      <c r="DS176" s="5">
        <f t="array" ref="DS176">_xlfn.IFS(
  ISBLANK(CE176), "Insufficient Evidence",
  AND(ISNUMBER(BW176),ISNUMBER(BV176),BW176&gt;BV176), "Overclaiming Risk",
  CE176&gt;=65, "Strong",
  CE176&gt;=40, "Adequate",
  TRUE, "Weak"
)</f>
        <v/>
      </c>
      <c r="DT176" s="5">
        <f>IF(DB176="Yes — Automatic",0,ROUND((IF(ISNUMBER(AR176),AR176,0)*0.3+IF(ISNUMBER(BS176),BS176,0)*0.2+IF(ISNUMBER(BE176),BE176,0)*0.2+IF(ISNUMBER(CE176),CE176,0)*0.15+(100-IF(ISNUMBER(CU176),CU176,50))*0.15)*IF(DN176&gt;=75,1,IF(DN176&gt;=50,0.9,IF(DN176&gt;=25,0.75,0.6))),1))</f>
        <v/>
      </c>
      <c r="DU176" s="5">
        <f t="array" ref="DU176">_xlfn.IFS(
  DV176="Upgraded to Clear", "Clear",
  DV176="Downgraded to Watchlist", "Watchlist",
  DV176="Downgraded to Exclusion", "Exclusion Risk",
  DB176="Yes — Automatic", "Exclusion Risk",
  OR(AW176="Confirmed Violation", AX176="Confirmed Breach"), "Exclusion Risk",
  OR(V176=0, ISBLANK(V176), DN176&lt;20), "Insufficient Evidence",
  AND(DT176&gt;=65, DA176="No", DB176="No"), "Clear",
  OR(DT176&gt;=40, DA176="Yes"), "Watchlist",
  TRUE, "Exclusion Risk"
)</f>
        <v/>
      </c>
      <c r="DV176" s="5" t="n"/>
      <c r="DW176" s="5">
        <f t="array" ref="DW176">_xlfn.IFS(
  DU176="Exclusion Risk", "Exclude — Hard Trigger",
  DU176="Insufficient Evidence", "Watchlist — Further Evidence Needed",
  DU176="Watchlist", "Watchlist — Further Evidence Needed",
  AND(DU176="Clear", DT176&gt;=80), "Include — No Conditions",
  DU176="Clear", "Include — Monitor",
  TRUE, "Watchlist — Further Evidence Needed"
)</f>
        <v/>
      </c>
      <c r="DX176" s="5" t="n"/>
      <c r="DY176" s="5" t="n"/>
      <c r="DZ176" s="5" t="n"/>
      <c r="EA176" s="5" t="n"/>
      <c r="EB176" s="5">
        <f>IF(OR(V176=0, ISBLANK(V176)), "MISSING — No sources reviewed", "")</f>
        <v/>
      </c>
      <c r="EC176" s="5">
        <f>IF(AND(NOT(ISBLANK(DC176)), ISBLANK(DE176)), "PAGE REF MISSING", "")</f>
        <v/>
      </c>
    </row>
    <row r="177" ht="18" customHeight="1" s="60">
      <c r="A177" s="5" t="inlineStr">
        <is>
          <t>Frontline PLC</t>
        </is>
      </c>
      <c r="B177" s="5" t="inlineStr">
        <is>
          <t>HF6</t>
        </is>
      </c>
      <c r="C177" s="5">
        <f>IF(ISBLANK('Universe Tracker'!D152),"",'Universe Tracker'!D152)</f>
        <v/>
      </c>
      <c r="D177" s="5" t="n"/>
      <c r="E177" s="5" t="n"/>
      <c r="F177" s="5">
        <f>IF(ISBLANK('Universe Tracker'!F152),"",'Universe Tracker'!F152)</f>
        <v/>
      </c>
      <c r="G177" s="5">
        <f>IF(ISBLANK('Universe Tracker'!G152),"",'Universe Tracker'!G152)</f>
        <v/>
      </c>
      <c r="H177" s="5" t="n"/>
      <c r="I177" s="5" t="n"/>
      <c r="J177" s="5">
        <f>IF(ISBLANK(B177),"",B177&amp;"_"&amp;C177)</f>
        <v/>
      </c>
      <c r="K177" s="5" t="n"/>
      <c r="L177" s="5" t="n"/>
      <c r="M177" s="5" t="n"/>
      <c r="N177" s="5" t="n"/>
      <c r="O177" s="5" t="n"/>
      <c r="P177" s="5" t="n"/>
      <c r="Q177" s="5" t="n"/>
      <c r="R177" s="5" t="n"/>
      <c r="S177" s="5" t="n"/>
      <c r="T177" s="5" t="n"/>
      <c r="U177" s="5" t="n"/>
      <c r="V177" s="5" t="n"/>
      <c r="W177" s="5" t="n"/>
      <c r="X177" s="5" t="n"/>
      <c r="Y177" s="5">
        <f>IF(AND(V177&gt;=2,K177="Yes",L177="Yes"),"Sufficient",IF(AND(V177&gt;=1,OR(K177="Yes",L177="Yes")),"Thin","Insufficient"))</f>
        <v/>
      </c>
      <c r="Z177" s="5" t="n"/>
      <c r="AA177" s="5" t="n"/>
      <c r="AB177" s="5" t="n"/>
      <c r="AC177" s="5" t="n"/>
      <c r="AD177" s="5" t="n"/>
      <c r="AE177" s="5" t="n"/>
      <c r="AF177" s="5" t="n"/>
      <c r="AG177" s="5" t="n"/>
      <c r="AH177" s="5" t="n"/>
      <c r="AI177" s="5" t="n"/>
      <c r="AJ177" s="5" t="n"/>
      <c r="AK177" s="5" t="n"/>
      <c r="AL177" s="5" t="n"/>
      <c r="AM177" s="5" t="n"/>
      <c r="AN177" s="5" t="n"/>
      <c r="AO177" s="5" t="n"/>
      <c r="AP177" s="5" t="n"/>
      <c r="AQ177" s="5" t="n"/>
      <c r="AR177" s="40">
        <f t="array" ref="AR177">MIN(100, MAX(0,
  IFERROR(_xlfn.XLOOKUP(AJ177,'Lookup Tables'!$A$2:$A$7,'Lookup Tables'!$B$2:$B$7,0),0)
  + IF(Z177="Yes", IF(IFERROR(_xlfn.XLOOKUP(AJ177,'Lookup Tables'!$A$2:$A$7,'Lookup Tables'!$B$2:$B$7,0),0)&lt;20, 5, 0), 0)
  + _xlfn.IFS(AB177="Yes", IF(ISNUMBER(AC177)*AND(AC177&lt;=2030),15,10), AB177="Long-term Only", 5, AB177="No", 0, TRUE, 0)
  + _xlfn.IFS(AF177="Full",10, AF177="Partial",5, AF177="Scope 2 Only",3, TRUE,0)
  + _xlfn.IFS(AG177="Yes", IF(ISNUMBER(AH177)*AND(AH177&gt;=5),10,6), AG177="Partial",4, TRUE,0)
  + _xlfn.IFS(AI177="Yes",5, AI177="Partial (material categories only)",3, TRUE,0)
  + _xlfn.IFS(AL177="Yes — Detailed",10, AL177="Yes — High Level",5, TRUE,0)
  + _xlfn.IFS(AM177="Yes — Quantified",15, AM177="Yes — Directional Only",7, TRUE,0)
  + _xlfn.IFS(AP177="Formal",5, AP177="Referenced",2, TRUE,0)
  + _xlfn.IFS(AQ177="No Issues Found",5, AQ177="Concern Identified",-5, AQ177="Severe Contradiction",-15, TRUE,0)
  + _xlfn.IFS(BC177="Reasonable Assurance",5, BC177="Limited Assurance",3, TRUE,0)
  - IF(AND(Z177="Yes", AI177="No"), 10, 0)
  - IF(AND(Z177="Yes", AM177="No"), 10, 0)
))</f>
        <v/>
      </c>
      <c r="AS177" s="5" t="n"/>
      <c r="AT177" s="5" t="n"/>
      <c r="AU177" s="5" t="n"/>
      <c r="AV177" s="5" t="n"/>
      <c r="AW177" s="5" t="n"/>
      <c r="AX177" s="5" t="n"/>
      <c r="AY177" s="5" t="n"/>
      <c r="AZ177" s="5" t="n"/>
      <c r="BA177" s="5" t="n"/>
      <c r="BB177" s="5" t="n"/>
      <c r="BC177" s="5" t="n"/>
      <c r="BD177" s="5" t="n"/>
      <c r="BE177" s="39">
        <f t="array" ref="BE177">MIN(100, MAX(0,
  IFERROR(_xlfn.XLOOKUP(AT177,'Lookup Tables'!$D$2:$D$6,'Lookup Tables'!$E$2:$E$6,0),0)
  + IFERROR(_xlfn.XLOOKUP(AV177,'Lookup Tables'!$G$2:$G$5,'Lookup Tables'!$H$2:$H$5,0),0)
  + IFERROR(_xlfn.XLOOKUP(AW177,'Lookup Tables'!$J$2:$J$5,'Lookup Tables'!$K$2:$K$5,0),0)
  + _xlfn.IFS(AX177="No Issues",10, AX177="Complaint Filed",3, AX177="Confirmed Breach",-15, TRUE,0)
  + IFERROR(_xlfn.XLOOKUP(AY177,'Lookup Tables'!$M$2:$M$6,'Lookup Tables'!$N$2:$N$6,0),0)
  + IFERROR(_xlfn.XLOOKUP(AZ177,'Lookup Tables'!$P$2:$P$6,'Lookup Tables'!$Q$2:$Q$6,0),0)
  + _xlfn.IFS(BA177="Formal Board Committee",5, BA177="Board Oversight Mentioned",2, TRUE,0)
  + _xlfn.IFS(BB177="Yes — Quantified Targets",5, BB177="Yes — Discretionary Only",2, TRUE,0)
  + _xlfn.IFS(BC177="Reasonable Assurance",5, BC177="Limited Assurance",3, BC177="Management Review Only",1, TRUE,0)
))</f>
        <v/>
      </c>
      <c r="BF177" s="5" t="n"/>
      <c r="BG177" s="5" t="n"/>
      <c r="BH177" s="5" t="n"/>
      <c r="BI177" s="5" t="n"/>
      <c r="BJ177" s="5" t="n"/>
      <c r="BK177" s="5" t="n"/>
      <c r="BL177" s="5" t="n"/>
      <c r="BM177" s="5" t="n"/>
      <c r="BN177" s="5" t="n"/>
      <c r="BO177" s="5" t="n"/>
      <c r="BP177" s="5" t="n"/>
      <c r="BQ177" s="5" t="n"/>
      <c r="BR177" s="5" t="n"/>
      <c r="BS177" s="41">
        <f t="array" ref="BS177">MIN(100, MAX(0,
  IFERROR(_xlfn.XLOOKUP(BG177,'Lookup Tables'!$A$11:$A$16,'Lookup Tables'!$B$11:$B$16,0),0)
  + IFERROR(_xlfn.XLOOKUP(BR177,'Lookup Tables'!$M$11:$M$14,'Lookup Tables'!$N$11:$N$14,0),0)
  + IFERROR(_xlfn.XLOOKUP(BQ177,'Lookup Tables'!$J$11:$J$15,'Lookup Tables'!$K$11:$K$15,0),0)
  + IFERROR(_xlfn.XLOOKUP(BH177,'Lookup Tables'!$D$11:$D$15,'Lookup Tables'!$E$11:$E$15,0),0)
  + IFERROR(_xlfn.XLOOKUP(BJ177,'Lookup Tables'!$G$11:$G$16,'Lookup Tables'!$H$11:$H$16,0),0)
  + IFERROR(_xlfn.XLOOKUP(BN177,'Lookup Tables'!$P$11:$P$15,'Lookup Tables'!$Q$11:$Q$15,0),0)
  + _xlfn.IFS(BM177="No Evidence",10, BM177="Unknown",3, BM177="Likely",0, BM177="Confirmed",-10, TRUE,3)
  + IFERROR(_xlfn.XLOOKUP(BP177,'Lookup Tables'!$J$21:$J$24,'Lookup Tables'!$K$21:$K$24,0),0)
))</f>
        <v/>
      </c>
      <c r="BT177" s="5" t="n"/>
      <c r="BU177" s="5" t="n"/>
      <c r="BV177" s="5" t="n"/>
      <c r="BW177" s="5" t="n"/>
      <c r="BX177" s="5" t="n"/>
      <c r="BY177" s="5" t="n"/>
      <c r="BZ177" s="5" t="n"/>
      <c r="CA177" s="5" t="n"/>
      <c r="CB177" s="5" t="n"/>
      <c r="CC177" s="5" t="n"/>
      <c r="CD177" s="5" t="n"/>
      <c r="CE177" s="43">
        <f t="array" ref="CE177">MIN(100, MAX(0,
  IF(ISNUMBER(BV177)*AND(BV177&gt;0), 10, 0)
  + _xlfn.IFS(BY177="Independently Verified",25, BY177="Yes",15, TRUE,0)
  + IFERROR(_xlfn.XLOOKUP(BZ177,'Lookup Tables'!$A$21:$A$24,'Lookup Tables'!$B$21:$B$24,0),0)
  + IFERROR(_xlfn.XLOOKUP(CA177,'Lookup Tables'!$D$21:$D$24,'Lookup Tables'!$E$21:$E$24,0),0)
  + _xlfn.IFS(ISNUMBER(CB177)*AND(CB177&gt;=11),15, ISNUMBER(CB177)*AND(CB177&gt;=6),10, ISNUMBER(CB177)*AND(CB177&gt;=1),5, TRUE,0)
  + IFERROR(_xlfn.XLOOKUP(CC177,'Lookup Tables'!$G$21:$G$25,'Lookup Tables'!$H$21:$H$25,0),0)
  - IF(ISNUMBER(BW177)*AND(ISNUMBER(BV177))*AND(BW177&gt;BV177), 20, 0)
  - IF(AND(BY177="Yes", ISNUMBER(BW177), BW177&gt;60), 10, 0)
))</f>
        <v/>
      </c>
      <c r="CF177" s="5" t="n"/>
      <c r="CG177" s="5" t="n"/>
      <c r="CH177" s="5" t="n"/>
      <c r="CI177" s="5" t="n"/>
      <c r="CJ177" s="5" t="n"/>
      <c r="CK177" s="5" t="n"/>
      <c r="CL177" s="5" t="n"/>
      <c r="CM177" s="5" t="n"/>
      <c r="CN177" s="5" t="n"/>
      <c r="CO177" s="5" t="n"/>
      <c r="CP177" s="5" t="n"/>
      <c r="CQ177" s="5" t="n"/>
      <c r="CR177" s="5">
        <f>COUNTIF(CJ177:CQ177,"FAIL")</f>
        <v/>
      </c>
      <c r="CS177" s="5">
        <f>COUNTIF(CJ177:CQ177,"PARTIAL")</f>
        <v/>
      </c>
      <c r="CT177" s="5">
        <f>COUNTIF(CJ177:CQ177,"MISSING")</f>
        <v/>
      </c>
      <c r="CU177" s="5">
        <f>MIN(100,
  CR177*15
  + CS177*6
  + CT177*3
  + IFERROR(_xlfn.XLOOKUP(CW177,'Lookup Tables'!$M$21:$M$25,'Lookup Tables'!$N$21:$N$25,0),0)
)</f>
        <v/>
      </c>
      <c r="CV177" s="5">
        <f>IFERROR(
CHOOSE(
MATCH("FAIL",CJ177:CQ177,0),
"1-Specificity","2-Metric","3-Baseline","4-Target",
"5-Time Horizon","6-Scope","7-Verification","8-Consistency"
),
IFERROR(
CHOOSE(
MATCH("PARTIAL",CJ177:CQ177,0),
"1-Specificity","2-Metric","3-Baseline","4-Target",
"5-Time Horizon","6-Scope","7-Verification","8-Consistency"
),
"No failures"
)
)</f>
        <v/>
      </c>
      <c r="CW177" s="5" t="n"/>
      <c r="CX177" s="5" t="n"/>
      <c r="CY177" s="5" t="n"/>
      <c r="CZ177" s="5" t="n"/>
      <c r="DA177" s="5">
        <f>IF(OR(CU177&gt;=50,CW177="Material",CW177="Severe",AS177="Material",AS177="Severe",BF177="Material",BF177="Severe — Exclusion Trigger",AND(ISNUMBER(BS177),BS177&lt;30)),"Yes","No")</f>
        <v/>
      </c>
      <c r="DB177" s="5">
        <f>IF(OR(CR177&gt;=6,AW177="Confirmed Violation",AX177="Confirmed Breach"),"Yes — Automatic",IF(CW177="Severe","Yes — Requires Captain Confirmation","No"))</f>
        <v/>
      </c>
      <c r="DC177" s="5" t="n"/>
      <c r="DD177" s="5" t="n"/>
      <c r="DE177" s="5" t="n"/>
      <c r="DF177" s="5" t="n"/>
      <c r="DG177" s="5" t="n"/>
      <c r="DH177" s="5" t="n"/>
      <c r="DI177" s="5" t="n"/>
      <c r="DJ177" s="5" t="n"/>
      <c r="DK177" s="5" t="n"/>
      <c r="DL177" s="5">
        <f>IF(OR(IFERROR(VALUE(LEFT(DF177,1)),99)&lt;=2,IFERROR(VALUE(LEFT(DG177,1)),99)&lt;=2),"Flagged","Clear")</f>
        <v/>
      </c>
      <c r="DM177" s="5">
        <f>IF(OR(DA177="Yes",DB177&lt;&gt;"No",DH177="Unverified",DL177="Flagged"),"Yes","No")</f>
        <v/>
      </c>
      <c r="DN177" s="5">
        <f t="array" ref="DN177">MIN(100,
  IF(ISNUMBER(V177), _xlfn.IFS(V177&gt;=3,25, V177=2,15, V177=1,5, TRUE,0), 0)
  + IFERROR(_xlfn.IFS(VALUE(LEFT(DF177,1))=5,25, VALUE(LEFT(DF177,1))=4,20, VALUE(LEFT(DF177,1))=3,15, VALUE(LEFT(DF177,1))=2,8, TRUE,0), 15)
  + IFERROR(_xlfn.IFS(VALUE(LEFT(DG177,1))=5,25, VALUE(LEFT(DG177,1))=4,20, VALUE(LEFT(DG177,1))=3,15, VALUE(LEFT(DG177,1))=2,8, TRUE,0), 15)
  + _xlfn.IFS(DH177="Fully Verified",25, DH177="Partially Verified",12, TRUE,0)
)</f>
        <v/>
      </c>
      <c r="DO177" s="5">
        <f t="array" ref="DO177">_xlfn.IFS(
  ISBLANK(AR177), "Insufficient Evidence",
  AND(AR177&gt;=65, AJ177="Approved"), "Strong",
  AR177&gt;=65, "Adequate",
  AR177&gt;=40, "Adequate",
  AR177&gt;=20, "Weak",
  TRUE, "Insufficient Evidence"
)</f>
        <v/>
      </c>
      <c r="DP177" s="5">
        <f t="array" ref="DP177">_xlfn.IFS(
  ISBLANK(BS177), "Insufficient Evidence",
  BS177&gt;=65, "Strong",
  BS177&gt;=40, "Adequate",
  BS177&gt;=20, "Weak",
  TRUE, "Insufficient Evidence"
)</f>
        <v/>
      </c>
      <c r="DQ177" s="5">
        <f t="array" ref="DQ177">_xlfn.IFS(
  ISBLANK(BE177), "Insufficient Evidence",
  OR(AW177="Confirmed Violation", AX177="Confirmed Breach"), "Severe — Hard Trigger",
  BE177&gt;=65, "Strong",
  BE177&gt;=40, "Adequate",
  BE177&gt;=20, "Weak",
  TRUE, "Insufficient Evidence"
)</f>
        <v/>
      </c>
      <c r="DR177" s="5">
        <f t="array" ref="DR177">_xlfn.IFS(
  ISBLANK(CU177), "Insufficient Evidence",
  CU177&lt;=20, "Low Risk",
  CU177&lt;=50, "Moderate Risk",
  CU177&lt;=75, "High Risk",
  TRUE, "Very High Risk"
)</f>
        <v/>
      </c>
      <c r="DS177" s="5">
        <f t="array" ref="DS177">_xlfn.IFS(
  ISBLANK(CE177), "Insufficient Evidence",
  AND(ISNUMBER(BW177),ISNUMBER(BV177),BW177&gt;BV177), "Overclaiming Risk",
  CE177&gt;=65, "Strong",
  CE177&gt;=40, "Adequate",
  TRUE, "Weak"
)</f>
        <v/>
      </c>
      <c r="DT177" s="5">
        <f>IF(DB177="Yes — Automatic",0,ROUND((IF(ISNUMBER(AR177),AR177,0)*0.3+IF(ISNUMBER(BS177),BS177,0)*0.2+IF(ISNUMBER(BE177),BE177,0)*0.2+IF(ISNUMBER(CE177),CE177,0)*0.15+(100-IF(ISNUMBER(CU177),CU177,50))*0.15)*IF(DN177&gt;=75,1,IF(DN177&gt;=50,0.9,IF(DN177&gt;=25,0.75,0.6))),1))</f>
        <v/>
      </c>
      <c r="DU177" s="5">
        <f t="array" ref="DU177">_xlfn.IFS(
  DV177="Upgraded to Clear", "Clear",
  DV177="Downgraded to Watchlist", "Watchlist",
  DV177="Downgraded to Exclusion", "Exclusion Risk",
  DB177="Yes — Automatic", "Exclusion Risk",
  OR(AW177="Confirmed Violation", AX177="Confirmed Breach"), "Exclusion Risk",
  OR(V177=0, ISBLANK(V177), DN177&lt;20), "Insufficient Evidence",
  AND(DT177&gt;=65, DA177="No", DB177="No"), "Clear",
  OR(DT177&gt;=40, DA177="Yes"), "Watchlist",
  TRUE, "Exclusion Risk"
)</f>
        <v/>
      </c>
      <c r="DV177" s="5" t="n"/>
      <c r="DW177" s="5">
        <f t="array" ref="DW177">_xlfn.IFS(
  DU177="Exclusion Risk", "Exclude — Hard Trigger",
  DU177="Insufficient Evidence", "Watchlist — Further Evidence Needed",
  DU177="Watchlist", "Watchlist — Further Evidence Needed",
  AND(DU177="Clear", DT177&gt;=80), "Include — No Conditions",
  DU177="Clear", "Include — Monitor",
  TRUE, "Watchlist — Further Evidence Needed"
)</f>
        <v/>
      </c>
      <c r="DX177" s="5" t="n"/>
      <c r="DY177" s="5" t="n"/>
      <c r="DZ177" s="5" t="n"/>
      <c r="EA177" s="5" t="n"/>
      <c r="EB177" s="5">
        <f>IF(OR(V177=0, ISBLANK(V177)), "MISSING — No sources reviewed", "")</f>
        <v/>
      </c>
      <c r="EC177" s="5">
        <f>IF(AND(NOT(ISBLANK(DC177)), ISBLANK(DE177)), "PAGE REF MISSING", "")</f>
        <v/>
      </c>
    </row>
    <row r="178" ht="18" customHeight="1" s="60">
      <c r="A178" s="5" t="inlineStr">
        <is>
          <t>Pan African Resources PLC</t>
        </is>
      </c>
      <c r="B178" s="5" t="inlineStr">
        <is>
          <t>RTZ</t>
        </is>
      </c>
      <c r="C178" s="5">
        <f>IF(ISBLANK('Universe Tracker'!D153),"",'Universe Tracker'!D153)</f>
        <v/>
      </c>
      <c r="D178" s="5" t="n"/>
      <c r="E178" s="5" t="n"/>
      <c r="F178" s="5">
        <f>IF(ISBLANK('Universe Tracker'!F153),"",'Universe Tracker'!F153)</f>
        <v/>
      </c>
      <c r="G178" s="5">
        <f>IF(ISBLANK('Universe Tracker'!G153),"",'Universe Tracker'!G153)</f>
        <v/>
      </c>
      <c r="H178" s="5" t="n"/>
      <c r="I178" s="5" t="n"/>
      <c r="J178" s="5">
        <f>IF(ISBLANK(B178),"",B178&amp;"_"&amp;C178)</f>
        <v/>
      </c>
      <c r="K178" s="5" t="n"/>
      <c r="L178" s="5" t="n"/>
      <c r="M178" s="5" t="n"/>
      <c r="N178" s="5" t="n"/>
      <c r="O178" s="5" t="n"/>
      <c r="P178" s="5" t="n"/>
      <c r="Q178" s="5" t="n"/>
      <c r="R178" s="5" t="n"/>
      <c r="S178" s="5" t="n"/>
      <c r="T178" s="5" t="n"/>
      <c r="U178" s="5" t="n"/>
      <c r="V178" s="5" t="n"/>
      <c r="W178" s="5" t="n"/>
      <c r="X178" s="5" t="n"/>
      <c r="Y178" s="5">
        <f>IF(AND(V178&gt;=2,K178="Yes",L178="Yes"),"Sufficient",IF(AND(V178&gt;=1,OR(K178="Yes",L178="Yes")),"Thin","Insufficient"))</f>
        <v/>
      </c>
      <c r="Z178" s="5" t="n"/>
      <c r="AA178" s="5" t="n"/>
      <c r="AB178" s="5" t="n"/>
      <c r="AC178" s="5" t="n"/>
      <c r="AD178" s="5" t="n"/>
      <c r="AE178" s="5" t="n"/>
      <c r="AF178" s="5" t="n"/>
      <c r="AG178" s="5" t="n"/>
      <c r="AH178" s="5" t="n"/>
      <c r="AI178" s="5" t="n"/>
      <c r="AJ178" s="5" t="n"/>
      <c r="AK178" s="5" t="n"/>
      <c r="AL178" s="5" t="n"/>
      <c r="AM178" s="5" t="n"/>
      <c r="AN178" s="5" t="n"/>
      <c r="AO178" s="5" t="n"/>
      <c r="AP178" s="5" t="n"/>
      <c r="AQ178" s="5" t="n"/>
      <c r="AR178" s="40">
        <f t="array" ref="AR178">MIN(100, MAX(0,
  IFERROR(_xlfn.XLOOKUP(AJ178,'Lookup Tables'!$A$2:$A$7,'Lookup Tables'!$B$2:$B$7,0),0)
  + IF(Z178="Yes", IF(IFERROR(_xlfn.XLOOKUP(AJ178,'Lookup Tables'!$A$2:$A$7,'Lookup Tables'!$B$2:$B$7,0),0)&lt;20, 5, 0), 0)
  + _xlfn.IFS(AB178="Yes", IF(ISNUMBER(AC178)*AND(AC178&lt;=2030),15,10), AB178="Long-term Only", 5, AB178="No", 0, TRUE, 0)
  + _xlfn.IFS(AF178="Full",10, AF178="Partial",5, AF178="Scope 2 Only",3, TRUE,0)
  + _xlfn.IFS(AG178="Yes", IF(ISNUMBER(AH178)*AND(AH178&gt;=5),10,6), AG178="Partial",4, TRUE,0)
  + _xlfn.IFS(AI178="Yes",5, AI178="Partial (material categories only)",3, TRUE,0)
  + _xlfn.IFS(AL178="Yes — Detailed",10, AL178="Yes — High Level",5, TRUE,0)
  + _xlfn.IFS(AM178="Yes — Quantified",15, AM178="Yes — Directional Only",7, TRUE,0)
  + _xlfn.IFS(AP178="Formal",5, AP178="Referenced",2, TRUE,0)
  + _xlfn.IFS(AQ178="No Issues Found",5, AQ178="Concern Identified",-5, AQ178="Severe Contradiction",-15, TRUE,0)
  + _xlfn.IFS(BC178="Reasonable Assurance",5, BC178="Limited Assurance",3, TRUE,0)
  - IF(AND(Z178="Yes", AI178="No"), 10, 0)
  - IF(AND(Z178="Yes", AM178="No"), 10, 0)
))</f>
        <v/>
      </c>
      <c r="AS178" s="5" t="n"/>
      <c r="AT178" s="5" t="n"/>
      <c r="AU178" s="5" t="n"/>
      <c r="AV178" s="5" t="n"/>
      <c r="AW178" s="5" t="n"/>
      <c r="AX178" s="5" t="n"/>
      <c r="AY178" s="5" t="n"/>
      <c r="AZ178" s="5" t="n"/>
      <c r="BA178" s="5" t="n"/>
      <c r="BB178" s="5" t="n"/>
      <c r="BC178" s="5" t="n"/>
      <c r="BD178" s="5" t="n"/>
      <c r="BE178" s="39">
        <f t="array" ref="BE178">MIN(100, MAX(0,
  IFERROR(_xlfn.XLOOKUP(AT178,'Lookup Tables'!$D$2:$D$6,'Lookup Tables'!$E$2:$E$6,0),0)
  + IFERROR(_xlfn.XLOOKUP(AV178,'Lookup Tables'!$G$2:$G$5,'Lookup Tables'!$H$2:$H$5,0),0)
  + IFERROR(_xlfn.XLOOKUP(AW178,'Lookup Tables'!$J$2:$J$5,'Lookup Tables'!$K$2:$K$5,0),0)
  + _xlfn.IFS(AX178="No Issues",10, AX178="Complaint Filed",3, AX178="Confirmed Breach",-15, TRUE,0)
  + IFERROR(_xlfn.XLOOKUP(AY178,'Lookup Tables'!$M$2:$M$6,'Lookup Tables'!$N$2:$N$6,0),0)
  + IFERROR(_xlfn.XLOOKUP(AZ178,'Lookup Tables'!$P$2:$P$6,'Lookup Tables'!$Q$2:$Q$6,0),0)
  + _xlfn.IFS(BA178="Formal Board Committee",5, BA178="Board Oversight Mentioned",2, TRUE,0)
  + _xlfn.IFS(BB178="Yes — Quantified Targets",5, BB178="Yes — Discretionary Only",2, TRUE,0)
  + _xlfn.IFS(BC178="Reasonable Assurance",5, BC178="Limited Assurance",3, BC178="Management Review Only",1, TRUE,0)
))</f>
        <v/>
      </c>
      <c r="BF178" s="5" t="n"/>
      <c r="BG178" s="5" t="n"/>
      <c r="BH178" s="5" t="n"/>
      <c r="BI178" s="5" t="n"/>
      <c r="BJ178" s="5" t="n"/>
      <c r="BK178" s="5" t="n"/>
      <c r="BL178" s="5" t="n"/>
      <c r="BM178" s="5" t="n"/>
      <c r="BN178" s="5" t="n"/>
      <c r="BO178" s="5" t="n"/>
      <c r="BP178" s="5" t="n"/>
      <c r="BQ178" s="5" t="n"/>
      <c r="BR178" s="5" t="n"/>
      <c r="BS178" s="41">
        <f t="array" ref="BS178">MIN(100, MAX(0,
  IFERROR(_xlfn.XLOOKUP(BG178,'Lookup Tables'!$A$11:$A$16,'Lookup Tables'!$B$11:$B$16,0),0)
  + IFERROR(_xlfn.XLOOKUP(BR178,'Lookup Tables'!$M$11:$M$14,'Lookup Tables'!$N$11:$N$14,0),0)
  + IFERROR(_xlfn.XLOOKUP(BQ178,'Lookup Tables'!$J$11:$J$15,'Lookup Tables'!$K$11:$K$15,0),0)
  + IFERROR(_xlfn.XLOOKUP(BH178,'Lookup Tables'!$D$11:$D$15,'Lookup Tables'!$E$11:$E$15,0),0)
  + IFERROR(_xlfn.XLOOKUP(BJ178,'Lookup Tables'!$G$11:$G$16,'Lookup Tables'!$H$11:$H$16,0),0)
  + IFERROR(_xlfn.XLOOKUP(BN178,'Lookup Tables'!$P$11:$P$15,'Lookup Tables'!$Q$11:$Q$15,0),0)
  + _xlfn.IFS(BM178="No Evidence",10, BM178="Unknown",3, BM178="Likely",0, BM178="Confirmed",-10, TRUE,3)
  + IFERROR(_xlfn.XLOOKUP(BP178,'Lookup Tables'!$J$21:$J$24,'Lookup Tables'!$K$21:$K$24,0),0)
))</f>
        <v/>
      </c>
      <c r="BT178" s="5" t="n"/>
      <c r="BU178" s="5" t="n"/>
      <c r="BV178" s="5" t="n"/>
      <c r="BW178" s="5" t="n"/>
      <c r="BX178" s="5" t="n"/>
      <c r="BY178" s="5" t="n"/>
      <c r="BZ178" s="5" t="n"/>
      <c r="CA178" s="5" t="n"/>
      <c r="CB178" s="5" t="n"/>
      <c r="CC178" s="5" t="n"/>
      <c r="CD178" s="5" t="n"/>
      <c r="CE178" s="43">
        <f t="array" ref="CE178">MIN(100, MAX(0,
  IF(ISNUMBER(BV178)*AND(BV178&gt;0), 10, 0)
  + _xlfn.IFS(BY178="Independently Verified",25, BY178="Yes",15, TRUE,0)
  + IFERROR(_xlfn.XLOOKUP(BZ178,'Lookup Tables'!$A$21:$A$24,'Lookup Tables'!$B$21:$B$24,0),0)
  + IFERROR(_xlfn.XLOOKUP(CA178,'Lookup Tables'!$D$21:$D$24,'Lookup Tables'!$E$21:$E$24,0),0)
  + _xlfn.IFS(ISNUMBER(CB178)*AND(CB178&gt;=11),15, ISNUMBER(CB178)*AND(CB178&gt;=6),10, ISNUMBER(CB178)*AND(CB178&gt;=1),5, TRUE,0)
  + IFERROR(_xlfn.XLOOKUP(CC178,'Lookup Tables'!$G$21:$G$25,'Lookup Tables'!$H$21:$H$25,0),0)
  - IF(ISNUMBER(BW178)*AND(ISNUMBER(BV178))*AND(BW178&gt;BV178), 20, 0)
  - IF(AND(BY178="Yes", ISNUMBER(BW178), BW178&gt;60), 10, 0)
))</f>
        <v/>
      </c>
      <c r="CF178" s="5" t="n"/>
      <c r="CG178" s="5" t="n"/>
      <c r="CH178" s="5" t="n"/>
      <c r="CI178" s="5" t="n"/>
      <c r="CJ178" s="5" t="n"/>
      <c r="CK178" s="5" t="n"/>
      <c r="CL178" s="5" t="n"/>
      <c r="CM178" s="5" t="n"/>
      <c r="CN178" s="5" t="n"/>
      <c r="CO178" s="5" t="n"/>
      <c r="CP178" s="5" t="n"/>
      <c r="CQ178" s="5" t="n"/>
      <c r="CR178" s="5">
        <f>COUNTIF(CJ178:CQ178,"FAIL")</f>
        <v/>
      </c>
      <c r="CS178" s="5">
        <f>COUNTIF(CJ178:CQ178,"PARTIAL")</f>
        <v/>
      </c>
      <c r="CT178" s="5">
        <f>COUNTIF(CJ178:CQ178,"MISSING")</f>
        <v/>
      </c>
      <c r="CU178" s="5">
        <f>MIN(100,
  CR178*15
  + CS178*6
  + CT178*3
  + IFERROR(_xlfn.XLOOKUP(CW178,'Lookup Tables'!$M$21:$M$25,'Lookup Tables'!$N$21:$N$25,0),0)
)</f>
        <v/>
      </c>
      <c r="CV178" s="5">
        <f>IFERROR(
CHOOSE(
MATCH("FAIL",CJ178:CQ178,0),
"1-Specificity","2-Metric","3-Baseline","4-Target",
"5-Time Horizon","6-Scope","7-Verification","8-Consistency"
),
IFERROR(
CHOOSE(
MATCH("PARTIAL",CJ178:CQ178,0),
"1-Specificity","2-Metric","3-Baseline","4-Target",
"5-Time Horizon","6-Scope","7-Verification","8-Consistency"
),
"No failures"
)
)</f>
        <v/>
      </c>
      <c r="CW178" s="5" t="n"/>
      <c r="CX178" s="5" t="n"/>
      <c r="CY178" s="5" t="n"/>
      <c r="CZ178" s="5" t="n"/>
      <c r="DA178" s="5">
        <f>IF(OR(CU178&gt;=50,CW178="Material",CW178="Severe",AS178="Material",AS178="Severe",BF178="Material",BF178="Severe — Exclusion Trigger",AND(ISNUMBER(BS178),BS178&lt;30)),"Yes","No")</f>
        <v/>
      </c>
      <c r="DB178" s="5">
        <f>IF(OR(CR178&gt;=6,AW178="Confirmed Violation",AX178="Confirmed Breach"),"Yes — Automatic",IF(CW178="Severe","Yes — Requires Captain Confirmation","No"))</f>
        <v/>
      </c>
      <c r="DC178" s="5" t="n"/>
      <c r="DD178" s="5" t="n"/>
      <c r="DE178" s="5" t="n"/>
      <c r="DF178" s="5" t="n"/>
      <c r="DG178" s="5" t="n"/>
      <c r="DH178" s="5" t="n"/>
      <c r="DI178" s="5" t="n"/>
      <c r="DJ178" s="5" t="n"/>
      <c r="DK178" s="5" t="n"/>
      <c r="DL178" s="5">
        <f>IF(OR(IFERROR(VALUE(LEFT(DF178,1)),99)&lt;=2,IFERROR(VALUE(LEFT(DG178,1)),99)&lt;=2),"Flagged","Clear")</f>
        <v/>
      </c>
      <c r="DM178" s="5">
        <f>IF(OR(DA178="Yes",DB178&lt;&gt;"No",DH178="Unverified",DL178="Flagged"),"Yes","No")</f>
        <v/>
      </c>
      <c r="DN178" s="5">
        <f t="array" ref="DN178">MIN(100,
  IF(ISNUMBER(V178), _xlfn.IFS(V178&gt;=3,25, V178=2,15, V178=1,5, TRUE,0), 0)
  + IFERROR(_xlfn.IFS(VALUE(LEFT(DF178,1))=5,25, VALUE(LEFT(DF178,1))=4,20, VALUE(LEFT(DF178,1))=3,15, VALUE(LEFT(DF178,1))=2,8, TRUE,0), 15)
  + IFERROR(_xlfn.IFS(VALUE(LEFT(DG178,1))=5,25, VALUE(LEFT(DG178,1))=4,20, VALUE(LEFT(DG178,1))=3,15, VALUE(LEFT(DG178,1))=2,8, TRUE,0), 15)
  + _xlfn.IFS(DH178="Fully Verified",25, DH178="Partially Verified",12, TRUE,0)
)</f>
        <v/>
      </c>
      <c r="DO178" s="5">
        <f t="array" ref="DO178">_xlfn.IFS(
  ISBLANK(AR178), "Insufficient Evidence",
  AND(AR178&gt;=65, AJ178="Approved"), "Strong",
  AR178&gt;=65, "Adequate",
  AR178&gt;=40, "Adequate",
  AR178&gt;=20, "Weak",
  TRUE, "Insufficient Evidence"
)</f>
        <v/>
      </c>
      <c r="DP178" s="5">
        <f t="array" ref="DP178">_xlfn.IFS(
  ISBLANK(BS178), "Insufficient Evidence",
  BS178&gt;=65, "Strong",
  BS178&gt;=40, "Adequate",
  BS178&gt;=20, "Weak",
  TRUE, "Insufficient Evidence"
)</f>
        <v/>
      </c>
      <c r="DQ178" s="5">
        <f t="array" ref="DQ178">_xlfn.IFS(
  ISBLANK(BE178), "Insufficient Evidence",
  OR(AW178="Confirmed Violation", AX178="Confirmed Breach"), "Severe — Hard Trigger",
  BE178&gt;=65, "Strong",
  BE178&gt;=40, "Adequate",
  BE178&gt;=20, "Weak",
  TRUE, "Insufficient Evidence"
)</f>
        <v/>
      </c>
      <c r="DR178" s="5">
        <f t="array" ref="DR178">_xlfn.IFS(
  ISBLANK(CU178), "Insufficient Evidence",
  CU178&lt;=20, "Low Risk",
  CU178&lt;=50, "Moderate Risk",
  CU178&lt;=75, "High Risk",
  TRUE, "Very High Risk"
)</f>
        <v/>
      </c>
      <c r="DS178" s="5">
        <f t="array" ref="DS178">_xlfn.IFS(
  ISBLANK(CE178), "Insufficient Evidence",
  AND(ISNUMBER(BW178),ISNUMBER(BV178),BW178&gt;BV178), "Overclaiming Risk",
  CE178&gt;=65, "Strong",
  CE178&gt;=40, "Adequate",
  TRUE, "Weak"
)</f>
        <v/>
      </c>
      <c r="DT178" s="5">
        <f>IF(DB178="Yes — Automatic",0,ROUND((IF(ISNUMBER(AR178),AR178,0)*0.3+IF(ISNUMBER(BS178),BS178,0)*0.2+IF(ISNUMBER(BE178),BE178,0)*0.2+IF(ISNUMBER(CE178),CE178,0)*0.15+(100-IF(ISNUMBER(CU178),CU178,50))*0.15)*IF(DN178&gt;=75,1,IF(DN178&gt;=50,0.9,IF(DN178&gt;=25,0.75,0.6))),1))</f>
        <v/>
      </c>
      <c r="DU178" s="5">
        <f t="array" ref="DU178">_xlfn.IFS(
  DV178="Upgraded to Clear", "Clear",
  DV178="Downgraded to Watchlist", "Watchlist",
  DV178="Downgraded to Exclusion", "Exclusion Risk",
  DB178="Yes — Automatic", "Exclusion Risk",
  OR(AW178="Confirmed Violation", AX178="Confirmed Breach"), "Exclusion Risk",
  OR(V178=0, ISBLANK(V178), DN178&lt;20), "Insufficient Evidence",
  AND(DT178&gt;=65, DA178="No", DB178="No"), "Clear",
  OR(DT178&gt;=40, DA178="Yes"), "Watchlist",
  TRUE, "Exclusion Risk"
)</f>
        <v/>
      </c>
      <c r="DV178" s="5" t="n"/>
      <c r="DW178" s="5">
        <f t="array" ref="DW178">_xlfn.IFS(
  DU178="Exclusion Risk", "Exclude — Hard Trigger",
  DU178="Insufficient Evidence", "Watchlist — Further Evidence Needed",
  DU178="Watchlist", "Watchlist — Further Evidence Needed",
  AND(DU178="Clear", DT178&gt;=80), "Include — No Conditions",
  DU178="Clear", "Include — Monitor",
  TRUE, "Watchlist — Further Evidence Needed"
)</f>
        <v/>
      </c>
      <c r="DX178" s="5" t="n"/>
      <c r="DY178" s="5" t="n"/>
      <c r="DZ178" s="5" t="n"/>
      <c r="EA178" s="5" t="n"/>
      <c r="EB178" s="5">
        <f>IF(OR(V178=0, ISBLANK(V178)), "MISSING — No sources reviewed", "")</f>
        <v/>
      </c>
      <c r="EC178" s="5">
        <f>IF(AND(NOT(ISBLANK(DC178)), ISBLANK(DE178)), "PAGE REF MISSING", "")</f>
        <v/>
      </c>
    </row>
    <row r="179" ht="18" customHeight="1" s="60">
      <c r="A179" s="5" t="inlineStr">
        <is>
          <t>Hochschild Mining PLC</t>
        </is>
      </c>
      <c r="B179" s="5" t="inlineStr">
        <is>
          <t>H3M</t>
        </is>
      </c>
      <c r="C179" s="5">
        <f>IF(ISBLANK('Universe Tracker'!D154),"",'Universe Tracker'!D154)</f>
        <v/>
      </c>
      <c r="D179" s="5" t="n"/>
      <c r="E179" s="5" t="n"/>
      <c r="F179" s="5">
        <f>IF(ISBLANK('Universe Tracker'!F154),"",'Universe Tracker'!F154)</f>
        <v/>
      </c>
      <c r="G179" s="5">
        <f>IF(ISBLANK('Universe Tracker'!G154),"",'Universe Tracker'!G154)</f>
        <v/>
      </c>
      <c r="H179" s="5" t="n"/>
      <c r="I179" s="5" t="n"/>
      <c r="J179" s="5">
        <f>IF(ISBLANK(B179),"",B179&amp;"_"&amp;C179)</f>
        <v/>
      </c>
      <c r="K179" s="5" t="n"/>
      <c r="L179" s="5" t="n"/>
      <c r="M179" s="5" t="n"/>
      <c r="N179" s="5" t="n"/>
      <c r="O179" s="5" t="n"/>
      <c r="P179" s="5" t="n"/>
      <c r="Q179" s="5" t="n"/>
      <c r="R179" s="5" t="n"/>
      <c r="S179" s="5" t="n"/>
      <c r="T179" s="5" t="n"/>
      <c r="U179" s="5" t="n"/>
      <c r="V179" s="5" t="n"/>
      <c r="W179" s="5" t="n"/>
      <c r="X179" s="5" t="n"/>
      <c r="Y179" s="5">
        <f>IF(AND(V179&gt;=2,K179="Yes",L179="Yes"),"Sufficient",IF(AND(V179&gt;=1,OR(K179="Yes",L179="Yes")),"Thin","Insufficient"))</f>
        <v/>
      </c>
      <c r="Z179" s="5" t="n"/>
      <c r="AA179" s="5" t="n"/>
      <c r="AB179" s="5" t="n"/>
      <c r="AC179" s="5" t="n"/>
      <c r="AD179" s="5" t="n"/>
      <c r="AE179" s="5" t="n"/>
      <c r="AF179" s="5" t="n"/>
      <c r="AG179" s="5" t="n"/>
      <c r="AH179" s="5" t="n"/>
      <c r="AI179" s="5" t="n"/>
      <c r="AJ179" s="5" t="n"/>
      <c r="AK179" s="5" t="n"/>
      <c r="AL179" s="5" t="n"/>
      <c r="AM179" s="5" t="n"/>
      <c r="AN179" s="5" t="n"/>
      <c r="AO179" s="5" t="n"/>
      <c r="AP179" s="5" t="n"/>
      <c r="AQ179" s="5" t="n"/>
      <c r="AR179" s="40">
        <f t="array" ref="AR179">MIN(100, MAX(0,
  IFERROR(_xlfn.XLOOKUP(AJ179,'Lookup Tables'!$A$2:$A$7,'Lookup Tables'!$B$2:$B$7,0),0)
  + IF(Z179="Yes", IF(IFERROR(_xlfn.XLOOKUP(AJ179,'Lookup Tables'!$A$2:$A$7,'Lookup Tables'!$B$2:$B$7,0),0)&lt;20, 5, 0), 0)
  + _xlfn.IFS(AB179="Yes", IF(ISNUMBER(AC179)*AND(AC179&lt;=2030),15,10), AB179="Long-term Only", 5, AB179="No", 0, TRUE, 0)
  + _xlfn.IFS(AF179="Full",10, AF179="Partial",5, AF179="Scope 2 Only",3, TRUE,0)
  + _xlfn.IFS(AG179="Yes", IF(ISNUMBER(AH179)*AND(AH179&gt;=5),10,6), AG179="Partial",4, TRUE,0)
  + _xlfn.IFS(AI179="Yes",5, AI179="Partial (material categories only)",3, TRUE,0)
  + _xlfn.IFS(AL179="Yes — Detailed",10, AL179="Yes — High Level",5, TRUE,0)
  + _xlfn.IFS(AM179="Yes — Quantified",15, AM179="Yes — Directional Only",7, TRUE,0)
  + _xlfn.IFS(AP179="Formal",5, AP179="Referenced",2, TRUE,0)
  + _xlfn.IFS(AQ179="No Issues Found",5, AQ179="Concern Identified",-5, AQ179="Severe Contradiction",-15, TRUE,0)
  + _xlfn.IFS(BC179="Reasonable Assurance",5, BC179="Limited Assurance",3, TRUE,0)
  - IF(AND(Z179="Yes", AI179="No"), 10, 0)
  - IF(AND(Z179="Yes", AM179="No"), 10, 0)
))</f>
        <v/>
      </c>
      <c r="AS179" s="5" t="n"/>
      <c r="AT179" s="5" t="n"/>
      <c r="AU179" s="5" t="n"/>
      <c r="AV179" s="5" t="n"/>
      <c r="AW179" s="5" t="n"/>
      <c r="AX179" s="5" t="n"/>
      <c r="AY179" s="5" t="n"/>
      <c r="AZ179" s="5" t="n"/>
      <c r="BA179" s="5" t="n"/>
      <c r="BB179" s="5" t="n"/>
      <c r="BC179" s="5" t="n"/>
      <c r="BD179" s="5" t="n"/>
      <c r="BE179" s="39">
        <f t="array" ref="BE179">MIN(100, MAX(0,
  IFERROR(_xlfn.XLOOKUP(AT179,'Lookup Tables'!$D$2:$D$6,'Lookup Tables'!$E$2:$E$6,0),0)
  + IFERROR(_xlfn.XLOOKUP(AV179,'Lookup Tables'!$G$2:$G$5,'Lookup Tables'!$H$2:$H$5,0),0)
  + IFERROR(_xlfn.XLOOKUP(AW179,'Lookup Tables'!$J$2:$J$5,'Lookup Tables'!$K$2:$K$5,0),0)
  + _xlfn.IFS(AX179="No Issues",10, AX179="Complaint Filed",3, AX179="Confirmed Breach",-15, TRUE,0)
  + IFERROR(_xlfn.XLOOKUP(AY179,'Lookup Tables'!$M$2:$M$6,'Lookup Tables'!$N$2:$N$6,0),0)
  + IFERROR(_xlfn.XLOOKUP(AZ179,'Lookup Tables'!$P$2:$P$6,'Lookup Tables'!$Q$2:$Q$6,0),0)
  + _xlfn.IFS(BA179="Formal Board Committee",5, BA179="Board Oversight Mentioned",2, TRUE,0)
  + _xlfn.IFS(BB179="Yes — Quantified Targets",5, BB179="Yes — Discretionary Only",2, TRUE,0)
  + _xlfn.IFS(BC179="Reasonable Assurance",5, BC179="Limited Assurance",3, BC179="Management Review Only",1, TRUE,0)
))</f>
        <v/>
      </c>
      <c r="BF179" s="5" t="n"/>
      <c r="BG179" s="5" t="n"/>
      <c r="BH179" s="5" t="n"/>
      <c r="BI179" s="5" t="n"/>
      <c r="BJ179" s="5" t="n"/>
      <c r="BK179" s="5" t="n"/>
      <c r="BL179" s="5" t="n"/>
      <c r="BM179" s="5" t="n"/>
      <c r="BN179" s="5" t="n"/>
      <c r="BO179" s="5" t="n"/>
      <c r="BP179" s="5" t="n"/>
      <c r="BQ179" s="5" t="n"/>
      <c r="BR179" s="5" t="n"/>
      <c r="BS179" s="41">
        <f t="array" ref="BS179">MIN(100, MAX(0,
  IFERROR(_xlfn.XLOOKUP(BG179,'Lookup Tables'!$A$11:$A$16,'Lookup Tables'!$B$11:$B$16,0),0)
  + IFERROR(_xlfn.XLOOKUP(BR179,'Lookup Tables'!$M$11:$M$14,'Lookup Tables'!$N$11:$N$14,0),0)
  + IFERROR(_xlfn.XLOOKUP(BQ179,'Lookup Tables'!$J$11:$J$15,'Lookup Tables'!$K$11:$K$15,0),0)
  + IFERROR(_xlfn.XLOOKUP(BH179,'Lookup Tables'!$D$11:$D$15,'Lookup Tables'!$E$11:$E$15,0),0)
  + IFERROR(_xlfn.XLOOKUP(BJ179,'Lookup Tables'!$G$11:$G$16,'Lookup Tables'!$H$11:$H$16,0),0)
  + IFERROR(_xlfn.XLOOKUP(BN179,'Lookup Tables'!$P$11:$P$15,'Lookup Tables'!$Q$11:$Q$15,0),0)
  + _xlfn.IFS(BM179="No Evidence",10, BM179="Unknown",3, BM179="Likely",0, BM179="Confirmed",-10, TRUE,3)
  + IFERROR(_xlfn.XLOOKUP(BP179,'Lookup Tables'!$J$21:$J$24,'Lookup Tables'!$K$21:$K$24,0),0)
))</f>
        <v/>
      </c>
      <c r="BT179" s="5" t="n"/>
      <c r="BU179" s="5" t="n"/>
      <c r="BV179" s="5" t="n"/>
      <c r="BW179" s="5" t="n"/>
      <c r="BX179" s="5" t="n"/>
      <c r="BY179" s="5" t="n"/>
      <c r="BZ179" s="5" t="n"/>
      <c r="CA179" s="5" t="n"/>
      <c r="CB179" s="5" t="n"/>
      <c r="CC179" s="5" t="n"/>
      <c r="CD179" s="5" t="n"/>
      <c r="CE179" s="43">
        <f t="array" ref="CE179">MIN(100, MAX(0,
  IF(ISNUMBER(BV179)*AND(BV179&gt;0), 10, 0)
  + _xlfn.IFS(BY179="Independently Verified",25, BY179="Yes",15, TRUE,0)
  + IFERROR(_xlfn.XLOOKUP(BZ179,'Lookup Tables'!$A$21:$A$24,'Lookup Tables'!$B$21:$B$24,0),0)
  + IFERROR(_xlfn.XLOOKUP(CA179,'Lookup Tables'!$D$21:$D$24,'Lookup Tables'!$E$21:$E$24,0),0)
  + _xlfn.IFS(ISNUMBER(CB179)*AND(CB179&gt;=11),15, ISNUMBER(CB179)*AND(CB179&gt;=6),10, ISNUMBER(CB179)*AND(CB179&gt;=1),5, TRUE,0)
  + IFERROR(_xlfn.XLOOKUP(CC179,'Lookup Tables'!$G$21:$G$25,'Lookup Tables'!$H$21:$H$25,0),0)
  - IF(ISNUMBER(BW179)*AND(ISNUMBER(BV179))*AND(BW179&gt;BV179), 20, 0)
  - IF(AND(BY179="Yes", ISNUMBER(BW179), BW179&gt;60), 10, 0)
))</f>
        <v/>
      </c>
      <c r="CF179" s="5" t="n"/>
      <c r="CG179" s="5" t="n"/>
      <c r="CH179" s="5" t="n"/>
      <c r="CI179" s="5" t="n"/>
      <c r="CJ179" s="5" t="n"/>
      <c r="CK179" s="5" t="n"/>
      <c r="CL179" s="5" t="n"/>
      <c r="CM179" s="5" t="n"/>
      <c r="CN179" s="5" t="n"/>
      <c r="CO179" s="5" t="n"/>
      <c r="CP179" s="5" t="n"/>
      <c r="CQ179" s="5" t="n"/>
      <c r="CR179" s="5">
        <f>COUNTIF(CJ179:CQ179,"FAIL")</f>
        <v/>
      </c>
      <c r="CS179" s="5">
        <f>COUNTIF(CJ179:CQ179,"PARTIAL")</f>
        <v/>
      </c>
      <c r="CT179" s="5">
        <f>COUNTIF(CJ179:CQ179,"MISSING")</f>
        <v/>
      </c>
      <c r="CU179" s="5">
        <f>MIN(100,
  CR179*15
  + CS179*6
  + CT179*3
  + IFERROR(_xlfn.XLOOKUP(CW179,'Lookup Tables'!$M$21:$M$25,'Lookup Tables'!$N$21:$N$25,0),0)
)</f>
        <v/>
      </c>
      <c r="CV179" s="5">
        <f>IFERROR(
CHOOSE(
MATCH("FAIL",CJ179:CQ179,0),
"1-Specificity","2-Metric","3-Baseline","4-Target",
"5-Time Horizon","6-Scope","7-Verification","8-Consistency"
),
IFERROR(
CHOOSE(
MATCH("PARTIAL",CJ179:CQ179,0),
"1-Specificity","2-Metric","3-Baseline","4-Target",
"5-Time Horizon","6-Scope","7-Verification","8-Consistency"
),
"No failures"
)
)</f>
        <v/>
      </c>
      <c r="CW179" s="5" t="n"/>
      <c r="CX179" s="5" t="n"/>
      <c r="CY179" s="5" t="n"/>
      <c r="CZ179" s="5" t="n"/>
      <c r="DA179" s="5">
        <f>IF(OR(CU179&gt;=50,CW179="Material",CW179="Severe",AS179="Material",AS179="Severe",BF179="Material",BF179="Severe — Exclusion Trigger",AND(ISNUMBER(BS179),BS179&lt;30)),"Yes","No")</f>
        <v/>
      </c>
      <c r="DB179" s="5">
        <f>IF(OR(CR179&gt;=6,AW179="Confirmed Violation",AX179="Confirmed Breach"),"Yes — Automatic",IF(CW179="Severe","Yes — Requires Captain Confirmation","No"))</f>
        <v/>
      </c>
      <c r="DC179" s="5" t="n"/>
      <c r="DD179" s="5" t="n"/>
      <c r="DE179" s="5" t="n"/>
      <c r="DF179" s="5" t="n"/>
      <c r="DG179" s="5" t="n"/>
      <c r="DH179" s="5" t="n"/>
      <c r="DI179" s="5" t="n"/>
      <c r="DJ179" s="5" t="n"/>
      <c r="DK179" s="5" t="n"/>
      <c r="DL179" s="5">
        <f>IF(OR(IFERROR(VALUE(LEFT(DF179,1)),99)&lt;=2,IFERROR(VALUE(LEFT(DG179,1)),99)&lt;=2),"Flagged","Clear")</f>
        <v/>
      </c>
      <c r="DM179" s="5">
        <f>IF(OR(DA179="Yes",DB179&lt;&gt;"No",DH179="Unverified",DL179="Flagged"),"Yes","No")</f>
        <v/>
      </c>
      <c r="DN179" s="5">
        <f t="array" ref="DN179">MIN(100,
  IF(ISNUMBER(V179), _xlfn.IFS(V179&gt;=3,25, V179=2,15, V179=1,5, TRUE,0), 0)
  + IFERROR(_xlfn.IFS(VALUE(LEFT(DF179,1))=5,25, VALUE(LEFT(DF179,1))=4,20, VALUE(LEFT(DF179,1))=3,15, VALUE(LEFT(DF179,1))=2,8, TRUE,0), 15)
  + IFERROR(_xlfn.IFS(VALUE(LEFT(DG179,1))=5,25, VALUE(LEFT(DG179,1))=4,20, VALUE(LEFT(DG179,1))=3,15, VALUE(LEFT(DG179,1))=2,8, TRUE,0), 15)
  + _xlfn.IFS(DH179="Fully Verified",25, DH179="Partially Verified",12, TRUE,0)
)</f>
        <v/>
      </c>
      <c r="DO179" s="5">
        <f t="array" ref="DO179">_xlfn.IFS(
  ISBLANK(AR179), "Insufficient Evidence",
  AND(AR179&gt;=65, AJ179="Approved"), "Strong",
  AR179&gt;=65, "Adequate",
  AR179&gt;=40, "Adequate",
  AR179&gt;=20, "Weak",
  TRUE, "Insufficient Evidence"
)</f>
        <v/>
      </c>
      <c r="DP179" s="5">
        <f t="array" ref="DP179">_xlfn.IFS(
  ISBLANK(BS179), "Insufficient Evidence",
  BS179&gt;=65, "Strong",
  BS179&gt;=40, "Adequate",
  BS179&gt;=20, "Weak",
  TRUE, "Insufficient Evidence"
)</f>
        <v/>
      </c>
      <c r="DQ179" s="5">
        <f t="array" ref="DQ179">_xlfn.IFS(
  ISBLANK(BE179), "Insufficient Evidence",
  OR(AW179="Confirmed Violation", AX179="Confirmed Breach"), "Severe — Hard Trigger",
  BE179&gt;=65, "Strong",
  BE179&gt;=40, "Adequate",
  BE179&gt;=20, "Weak",
  TRUE, "Insufficient Evidence"
)</f>
        <v/>
      </c>
      <c r="DR179" s="5">
        <f t="array" ref="DR179">_xlfn.IFS(
  ISBLANK(CU179), "Insufficient Evidence",
  CU179&lt;=20, "Low Risk",
  CU179&lt;=50, "Moderate Risk",
  CU179&lt;=75, "High Risk",
  TRUE, "Very High Risk"
)</f>
        <v/>
      </c>
      <c r="DS179" s="5">
        <f t="array" ref="DS179">_xlfn.IFS(
  ISBLANK(CE179), "Insufficient Evidence",
  AND(ISNUMBER(BW179),ISNUMBER(BV179),BW179&gt;BV179), "Overclaiming Risk",
  CE179&gt;=65, "Strong",
  CE179&gt;=40, "Adequate",
  TRUE, "Weak"
)</f>
        <v/>
      </c>
      <c r="DT179" s="5">
        <f>IF(DB179="Yes — Automatic",0,ROUND((IF(ISNUMBER(AR179),AR179,0)*0.3+IF(ISNUMBER(BS179),BS179,0)*0.2+IF(ISNUMBER(BE179),BE179,0)*0.2+IF(ISNUMBER(CE179),CE179,0)*0.15+(100-IF(ISNUMBER(CU179),CU179,50))*0.15)*IF(DN179&gt;=75,1,IF(DN179&gt;=50,0.9,IF(DN179&gt;=25,0.75,0.6))),1))</f>
        <v/>
      </c>
      <c r="DU179" s="5">
        <f t="array" ref="DU179">_xlfn.IFS(
  DV179="Upgraded to Clear", "Clear",
  DV179="Downgraded to Watchlist", "Watchlist",
  DV179="Downgraded to Exclusion", "Exclusion Risk",
  DB179="Yes — Automatic", "Exclusion Risk",
  OR(AW179="Confirmed Violation", AX179="Confirmed Breach"), "Exclusion Risk",
  OR(V179=0, ISBLANK(V179), DN179&lt;20), "Insufficient Evidence",
  AND(DT179&gt;=65, DA179="No", DB179="No"), "Clear",
  OR(DT179&gt;=40, DA179="Yes"), "Watchlist",
  TRUE, "Exclusion Risk"
)</f>
        <v/>
      </c>
      <c r="DV179" s="5" t="n"/>
      <c r="DW179" s="5">
        <f t="array" ref="DW179">_xlfn.IFS(
  DU179="Exclusion Risk", "Exclude — Hard Trigger",
  DU179="Insufficient Evidence", "Watchlist — Further Evidence Needed",
  DU179="Watchlist", "Watchlist — Further Evidence Needed",
  AND(DU179="Clear", DT179&gt;=80), "Include — No Conditions",
  DU179="Clear", "Include — Monitor",
  TRUE, "Watchlist — Further Evidence Needed"
)</f>
        <v/>
      </c>
      <c r="DX179" s="5" t="n"/>
      <c r="DY179" s="5" t="n"/>
      <c r="DZ179" s="5" t="n"/>
      <c r="EA179" s="5" t="n"/>
      <c r="EB179" s="5">
        <f>IF(OR(V179=0, ISBLANK(V179)), "MISSING — No sources reviewed", "")</f>
        <v/>
      </c>
      <c r="EC179" s="5">
        <f>IF(AND(NOT(ISBLANK(DC179)), ISBLANK(DE179)), "PAGE REF MISSING", "")</f>
        <v/>
      </c>
    </row>
    <row r="180" ht="18" customHeight="1" s="60">
      <c r="A180" s="5" t="inlineStr">
        <is>
          <t>ArcelorMittal SA</t>
        </is>
      </c>
      <c r="B180" s="5" t="inlineStr">
        <is>
          <t>ARRD</t>
        </is>
      </c>
      <c r="C180" s="5">
        <f>IF(ISBLANK('Universe Tracker'!D155),"",'Universe Tracker'!D155)</f>
        <v/>
      </c>
      <c r="D180" s="5" t="n"/>
      <c r="E180" s="5" t="n"/>
      <c r="F180" s="5">
        <f>IF(ISBLANK('Universe Tracker'!F155),"",'Universe Tracker'!F155)</f>
        <v/>
      </c>
      <c r="G180" s="5">
        <f>IF(ISBLANK('Universe Tracker'!G155),"",'Universe Tracker'!G155)</f>
        <v/>
      </c>
      <c r="H180" s="5" t="n"/>
      <c r="I180" s="5" t="n"/>
      <c r="J180" s="5">
        <f>IF(ISBLANK(B180),"",B180&amp;"_"&amp;C180)</f>
        <v/>
      </c>
      <c r="K180" s="5" t="n"/>
      <c r="L180" s="5" t="n"/>
      <c r="M180" s="5" t="n"/>
      <c r="N180" s="5" t="n"/>
      <c r="O180" s="5" t="n"/>
      <c r="P180" s="5" t="n"/>
      <c r="Q180" s="5" t="n"/>
      <c r="R180" s="5" t="n"/>
      <c r="S180" s="5" t="n"/>
      <c r="T180" s="5" t="n"/>
      <c r="U180" s="5" t="n"/>
      <c r="V180" s="5" t="n"/>
      <c r="W180" s="5" t="n"/>
      <c r="X180" s="5" t="n"/>
      <c r="Y180" s="5">
        <f>IF(AND(V180&gt;=2,K180="Yes",L180="Yes"),"Sufficient",IF(AND(V180&gt;=1,OR(K180="Yes",L180="Yes")),"Thin","Insufficient"))</f>
        <v/>
      </c>
      <c r="Z180" s="5" t="n"/>
      <c r="AA180" s="5" t="n"/>
      <c r="AB180" s="5" t="n"/>
      <c r="AC180" s="5" t="n"/>
      <c r="AD180" s="5" t="n"/>
      <c r="AE180" s="5" t="n"/>
      <c r="AF180" s="5" t="n"/>
      <c r="AG180" s="5" t="n"/>
      <c r="AH180" s="5" t="n"/>
      <c r="AI180" s="5" t="n"/>
      <c r="AJ180" s="5" t="n"/>
      <c r="AK180" s="5" t="n"/>
      <c r="AL180" s="5" t="n"/>
      <c r="AM180" s="5" t="n"/>
      <c r="AN180" s="5" t="n"/>
      <c r="AO180" s="5" t="n"/>
      <c r="AP180" s="5" t="n"/>
      <c r="AQ180" s="5" t="n"/>
      <c r="AR180" s="40">
        <f t="array" ref="AR180">MIN(100, MAX(0,
  IFERROR(_xlfn.XLOOKUP(AJ180,'Lookup Tables'!$A$2:$A$7,'Lookup Tables'!$B$2:$B$7,0),0)
  + IF(Z180="Yes", IF(IFERROR(_xlfn.XLOOKUP(AJ180,'Lookup Tables'!$A$2:$A$7,'Lookup Tables'!$B$2:$B$7,0),0)&lt;20, 5, 0), 0)
  + _xlfn.IFS(AB180="Yes", IF(ISNUMBER(AC180)*AND(AC180&lt;=2030),15,10), AB180="Long-term Only", 5, AB180="No", 0, TRUE, 0)
  + _xlfn.IFS(AF180="Full",10, AF180="Partial",5, AF180="Scope 2 Only",3, TRUE,0)
  + _xlfn.IFS(AG180="Yes", IF(ISNUMBER(AH180)*AND(AH180&gt;=5),10,6), AG180="Partial",4, TRUE,0)
  + _xlfn.IFS(AI180="Yes",5, AI180="Partial (material categories only)",3, TRUE,0)
  + _xlfn.IFS(AL180="Yes — Detailed",10, AL180="Yes — High Level",5, TRUE,0)
  + _xlfn.IFS(AM180="Yes — Quantified",15, AM180="Yes — Directional Only",7, TRUE,0)
  + _xlfn.IFS(AP180="Formal",5, AP180="Referenced",2, TRUE,0)
  + _xlfn.IFS(AQ180="No Issues Found",5, AQ180="Concern Identified",-5, AQ180="Severe Contradiction",-15, TRUE,0)
  + _xlfn.IFS(BC180="Reasonable Assurance",5, BC180="Limited Assurance",3, TRUE,0)
  - IF(AND(Z180="Yes", AI180="No"), 10, 0)
  - IF(AND(Z180="Yes", AM180="No"), 10, 0)
))</f>
        <v/>
      </c>
      <c r="AS180" s="5" t="n"/>
      <c r="AT180" s="5" t="n"/>
      <c r="AU180" s="5" t="n"/>
      <c r="AV180" s="5" t="n"/>
      <c r="AW180" s="5" t="n"/>
      <c r="AX180" s="5" t="n"/>
      <c r="AY180" s="5" t="n"/>
      <c r="AZ180" s="5" t="n"/>
      <c r="BA180" s="5" t="n"/>
      <c r="BB180" s="5" t="n"/>
      <c r="BC180" s="5" t="n"/>
      <c r="BD180" s="5" t="n"/>
      <c r="BE180" s="39">
        <f t="array" ref="BE180">MIN(100, MAX(0,
  IFERROR(_xlfn.XLOOKUP(AT180,'Lookup Tables'!$D$2:$D$6,'Lookup Tables'!$E$2:$E$6,0),0)
  + IFERROR(_xlfn.XLOOKUP(AV180,'Lookup Tables'!$G$2:$G$5,'Lookup Tables'!$H$2:$H$5,0),0)
  + IFERROR(_xlfn.XLOOKUP(AW180,'Lookup Tables'!$J$2:$J$5,'Lookup Tables'!$K$2:$K$5,0),0)
  + _xlfn.IFS(AX180="No Issues",10, AX180="Complaint Filed",3, AX180="Confirmed Breach",-15, TRUE,0)
  + IFERROR(_xlfn.XLOOKUP(AY180,'Lookup Tables'!$M$2:$M$6,'Lookup Tables'!$N$2:$N$6,0),0)
  + IFERROR(_xlfn.XLOOKUP(AZ180,'Lookup Tables'!$P$2:$P$6,'Lookup Tables'!$Q$2:$Q$6,0),0)
  + _xlfn.IFS(BA180="Formal Board Committee",5, BA180="Board Oversight Mentioned",2, TRUE,0)
  + _xlfn.IFS(BB180="Yes — Quantified Targets",5, BB180="Yes — Discretionary Only",2, TRUE,0)
  + _xlfn.IFS(BC180="Reasonable Assurance",5, BC180="Limited Assurance",3, BC180="Management Review Only",1, TRUE,0)
))</f>
        <v/>
      </c>
      <c r="BF180" s="5" t="n"/>
      <c r="BG180" s="5" t="n"/>
      <c r="BH180" s="5" t="n"/>
      <c r="BI180" s="5" t="n"/>
      <c r="BJ180" s="5" t="n"/>
      <c r="BK180" s="5" t="n"/>
      <c r="BL180" s="5" t="n"/>
      <c r="BM180" s="5" t="n"/>
      <c r="BN180" s="5" t="n"/>
      <c r="BO180" s="5" t="n"/>
      <c r="BP180" s="5" t="n"/>
      <c r="BQ180" s="5" t="n"/>
      <c r="BR180" s="5" t="n"/>
      <c r="BS180" s="41">
        <f t="array" ref="BS180">MIN(100, MAX(0,
  IFERROR(_xlfn.XLOOKUP(BG180,'Lookup Tables'!$A$11:$A$16,'Lookup Tables'!$B$11:$B$16,0),0)
  + IFERROR(_xlfn.XLOOKUP(BR180,'Lookup Tables'!$M$11:$M$14,'Lookup Tables'!$N$11:$N$14,0),0)
  + IFERROR(_xlfn.XLOOKUP(BQ180,'Lookup Tables'!$J$11:$J$15,'Lookup Tables'!$K$11:$K$15,0),0)
  + IFERROR(_xlfn.XLOOKUP(BH180,'Lookup Tables'!$D$11:$D$15,'Lookup Tables'!$E$11:$E$15,0),0)
  + IFERROR(_xlfn.XLOOKUP(BJ180,'Lookup Tables'!$G$11:$G$16,'Lookup Tables'!$H$11:$H$16,0),0)
  + IFERROR(_xlfn.XLOOKUP(BN180,'Lookup Tables'!$P$11:$P$15,'Lookup Tables'!$Q$11:$Q$15,0),0)
  + _xlfn.IFS(BM180="No Evidence",10, BM180="Unknown",3, BM180="Likely",0, BM180="Confirmed",-10, TRUE,3)
  + IFERROR(_xlfn.XLOOKUP(BP180,'Lookup Tables'!$J$21:$J$24,'Lookup Tables'!$K$21:$K$24,0),0)
))</f>
        <v/>
      </c>
      <c r="BT180" s="5" t="n"/>
      <c r="BU180" s="5" t="n"/>
      <c r="BV180" s="5" t="n"/>
      <c r="BW180" s="5" t="n"/>
      <c r="BX180" s="5" t="n"/>
      <c r="BY180" s="5" t="n"/>
      <c r="BZ180" s="5" t="n"/>
      <c r="CA180" s="5" t="n"/>
      <c r="CB180" s="5" t="n"/>
      <c r="CC180" s="5" t="n"/>
      <c r="CD180" s="5" t="n"/>
      <c r="CE180" s="43">
        <f t="array" ref="CE180">MIN(100, MAX(0,
  IF(ISNUMBER(BV180)*AND(BV180&gt;0), 10, 0)
  + _xlfn.IFS(BY180="Independently Verified",25, BY180="Yes",15, TRUE,0)
  + IFERROR(_xlfn.XLOOKUP(BZ180,'Lookup Tables'!$A$21:$A$24,'Lookup Tables'!$B$21:$B$24,0),0)
  + IFERROR(_xlfn.XLOOKUP(CA180,'Lookup Tables'!$D$21:$D$24,'Lookup Tables'!$E$21:$E$24,0),0)
  + _xlfn.IFS(ISNUMBER(CB180)*AND(CB180&gt;=11),15, ISNUMBER(CB180)*AND(CB180&gt;=6),10, ISNUMBER(CB180)*AND(CB180&gt;=1),5, TRUE,0)
  + IFERROR(_xlfn.XLOOKUP(CC180,'Lookup Tables'!$G$21:$G$25,'Lookup Tables'!$H$21:$H$25,0),0)
  - IF(ISNUMBER(BW180)*AND(ISNUMBER(BV180))*AND(BW180&gt;BV180), 20, 0)
  - IF(AND(BY180="Yes", ISNUMBER(BW180), BW180&gt;60), 10, 0)
))</f>
        <v/>
      </c>
      <c r="CF180" s="5" t="n"/>
      <c r="CG180" s="5" t="n"/>
      <c r="CH180" s="5" t="n"/>
      <c r="CI180" s="5" t="n"/>
      <c r="CJ180" s="5" t="n"/>
      <c r="CK180" s="5" t="n"/>
      <c r="CL180" s="5" t="n"/>
      <c r="CM180" s="5" t="n"/>
      <c r="CN180" s="5" t="n"/>
      <c r="CO180" s="5" t="n"/>
      <c r="CP180" s="5" t="n"/>
      <c r="CQ180" s="5" t="n"/>
      <c r="CR180" s="5">
        <f>COUNTIF(CJ180:CQ180,"FAIL")</f>
        <v/>
      </c>
      <c r="CS180" s="5">
        <f>COUNTIF(CJ180:CQ180,"PARTIAL")</f>
        <v/>
      </c>
      <c r="CT180" s="5">
        <f>COUNTIF(CJ180:CQ180,"MISSING")</f>
        <v/>
      </c>
      <c r="CU180" s="5">
        <f>MIN(100,
  CR180*15
  + CS180*6
  + CT180*3
  + IFERROR(_xlfn.XLOOKUP(CW180,'Lookup Tables'!$M$21:$M$25,'Lookup Tables'!$N$21:$N$25,0),0)
)</f>
        <v/>
      </c>
      <c r="CV180" s="5">
        <f>IFERROR(
CHOOSE(
MATCH("FAIL",CJ180:CQ180,0),
"1-Specificity","2-Metric","3-Baseline","4-Target",
"5-Time Horizon","6-Scope","7-Verification","8-Consistency"
),
IFERROR(
CHOOSE(
MATCH("PARTIAL",CJ180:CQ180,0),
"1-Specificity","2-Metric","3-Baseline","4-Target",
"5-Time Horizon","6-Scope","7-Verification","8-Consistency"
),
"No failures"
)
)</f>
        <v/>
      </c>
      <c r="CW180" s="5" t="n"/>
      <c r="CX180" s="5" t="n"/>
      <c r="CY180" s="5" t="n"/>
      <c r="CZ180" s="5" t="n"/>
      <c r="DA180" s="5">
        <f>IF(OR(CU180&gt;=50,CW180="Material",CW180="Severe",AS180="Material",AS180="Severe",BF180="Material",BF180="Severe — Exclusion Trigger",AND(ISNUMBER(BS180),BS180&lt;30)),"Yes","No")</f>
        <v/>
      </c>
      <c r="DB180" s="5">
        <f>IF(OR(CR180&gt;=6,AW180="Confirmed Violation",AX180="Confirmed Breach"),"Yes — Automatic",IF(CW180="Severe","Yes — Requires Captain Confirmation","No"))</f>
        <v/>
      </c>
      <c r="DC180" s="5" t="n"/>
      <c r="DD180" s="5" t="n"/>
      <c r="DE180" s="5" t="n"/>
      <c r="DF180" s="5" t="n"/>
      <c r="DG180" s="5" t="n"/>
      <c r="DH180" s="5" t="n"/>
      <c r="DI180" s="5" t="n"/>
      <c r="DJ180" s="5" t="n"/>
      <c r="DK180" s="5" t="n"/>
      <c r="DL180" s="5">
        <f>IF(OR(IFERROR(VALUE(LEFT(DF180,1)),99)&lt;=2,IFERROR(VALUE(LEFT(DG180,1)),99)&lt;=2),"Flagged","Clear")</f>
        <v/>
      </c>
      <c r="DM180" s="5">
        <f>IF(OR(DA180="Yes",DB180&lt;&gt;"No",DH180="Unverified",DL180="Flagged"),"Yes","No")</f>
        <v/>
      </c>
      <c r="DN180" s="5">
        <f t="array" ref="DN180">MIN(100,
  IF(ISNUMBER(V180), _xlfn.IFS(V180&gt;=3,25, V180=2,15, V180=1,5, TRUE,0), 0)
  + IFERROR(_xlfn.IFS(VALUE(LEFT(DF180,1))=5,25, VALUE(LEFT(DF180,1))=4,20, VALUE(LEFT(DF180,1))=3,15, VALUE(LEFT(DF180,1))=2,8, TRUE,0), 15)
  + IFERROR(_xlfn.IFS(VALUE(LEFT(DG180,1))=5,25, VALUE(LEFT(DG180,1))=4,20, VALUE(LEFT(DG180,1))=3,15, VALUE(LEFT(DG180,1))=2,8, TRUE,0), 15)
  + _xlfn.IFS(DH180="Fully Verified",25, DH180="Partially Verified",12, TRUE,0)
)</f>
        <v/>
      </c>
      <c r="DO180" s="5">
        <f t="array" ref="DO180">_xlfn.IFS(
  ISBLANK(AR180), "Insufficient Evidence",
  AND(AR180&gt;=65, AJ180="Approved"), "Strong",
  AR180&gt;=65, "Adequate",
  AR180&gt;=40, "Adequate",
  AR180&gt;=20, "Weak",
  TRUE, "Insufficient Evidence"
)</f>
        <v/>
      </c>
      <c r="DP180" s="5">
        <f t="array" ref="DP180">_xlfn.IFS(
  ISBLANK(BS180), "Insufficient Evidence",
  BS180&gt;=65, "Strong",
  BS180&gt;=40, "Adequate",
  BS180&gt;=20, "Weak",
  TRUE, "Insufficient Evidence"
)</f>
        <v/>
      </c>
      <c r="DQ180" s="5">
        <f t="array" ref="DQ180">_xlfn.IFS(
  ISBLANK(BE180), "Insufficient Evidence",
  OR(AW180="Confirmed Violation", AX180="Confirmed Breach"), "Severe — Hard Trigger",
  BE180&gt;=65, "Strong",
  BE180&gt;=40, "Adequate",
  BE180&gt;=20, "Weak",
  TRUE, "Insufficient Evidence"
)</f>
        <v/>
      </c>
      <c r="DR180" s="5">
        <f t="array" ref="DR180">_xlfn.IFS(
  ISBLANK(CU180), "Insufficient Evidence",
  CU180&lt;=20, "Low Risk",
  CU180&lt;=50, "Moderate Risk",
  CU180&lt;=75, "High Risk",
  TRUE, "Very High Risk"
)</f>
        <v/>
      </c>
      <c r="DS180" s="5">
        <f t="array" ref="DS180">_xlfn.IFS(
  ISBLANK(CE180), "Insufficient Evidence",
  AND(ISNUMBER(BW180),ISNUMBER(BV180),BW180&gt;BV180), "Overclaiming Risk",
  CE180&gt;=65, "Strong",
  CE180&gt;=40, "Adequate",
  TRUE, "Weak"
)</f>
        <v/>
      </c>
      <c r="DT180" s="5">
        <f>IF(DB180="Yes — Automatic",0,ROUND((IF(ISNUMBER(AR180),AR180,0)*0.3+IF(ISNUMBER(BS180),BS180,0)*0.2+IF(ISNUMBER(BE180),BE180,0)*0.2+IF(ISNUMBER(CE180),CE180,0)*0.15+(100-IF(ISNUMBER(CU180),CU180,50))*0.15)*IF(DN180&gt;=75,1,IF(DN180&gt;=50,0.9,IF(DN180&gt;=25,0.75,0.6))),1))</f>
        <v/>
      </c>
      <c r="DU180" s="5">
        <f t="array" ref="DU180">_xlfn.IFS(
  DV180="Upgraded to Clear", "Clear",
  DV180="Downgraded to Watchlist", "Watchlist",
  DV180="Downgraded to Exclusion", "Exclusion Risk",
  DB180="Yes — Automatic", "Exclusion Risk",
  OR(AW180="Confirmed Violation", AX180="Confirmed Breach"), "Exclusion Risk",
  OR(V180=0, ISBLANK(V180), DN180&lt;20), "Insufficient Evidence",
  AND(DT180&gt;=65, DA180="No", DB180="No"), "Clear",
  OR(DT180&gt;=40, DA180="Yes"), "Watchlist",
  TRUE, "Exclusion Risk"
)</f>
        <v/>
      </c>
      <c r="DV180" s="5" t="n"/>
      <c r="DW180" s="5">
        <f t="array" ref="DW180">_xlfn.IFS(
  DU180="Exclusion Risk", "Exclude — Hard Trigger",
  DU180="Insufficient Evidence", "Watchlist — Further Evidence Needed",
  DU180="Watchlist", "Watchlist — Further Evidence Needed",
  AND(DU180="Clear", DT180&gt;=80), "Include — No Conditions",
  DU180="Clear", "Include — Monitor",
  TRUE, "Watchlist — Further Evidence Needed"
)</f>
        <v/>
      </c>
      <c r="DX180" s="5" t="n"/>
      <c r="DY180" s="5" t="n"/>
      <c r="DZ180" s="5" t="n"/>
      <c r="EA180" s="5" t="n"/>
      <c r="EB180" s="5">
        <f>IF(OR(V180=0, ISBLANK(V180)), "MISSING — No sources reviewed", "")</f>
        <v/>
      </c>
      <c r="EC180" s="5">
        <f>IF(AND(NOT(ISBLANK(DC180)), ISBLANK(DE180)), "PAGE REF MISSING", "")</f>
        <v/>
      </c>
    </row>
    <row r="181" ht="18" customHeight="1" s="60">
      <c r="A181" s="5" t="inlineStr">
        <is>
          <t>Metso Outotec Oyj</t>
        </is>
      </c>
      <c r="B181" s="5" t="inlineStr">
        <is>
          <t>M6Q</t>
        </is>
      </c>
      <c r="C181" s="5">
        <f>IF(ISBLANK('Universe Tracker'!D156),"",'Universe Tracker'!D156)</f>
        <v/>
      </c>
      <c r="D181" s="5" t="n"/>
      <c r="E181" s="5" t="n"/>
      <c r="F181" s="5">
        <f>IF(ISBLANK('Universe Tracker'!F156),"",'Universe Tracker'!F156)</f>
        <v/>
      </c>
      <c r="G181" s="5">
        <f>IF(ISBLANK('Universe Tracker'!G156),"",'Universe Tracker'!G156)</f>
        <v/>
      </c>
      <c r="H181" s="5" t="n"/>
      <c r="I181" s="5" t="n"/>
      <c r="J181" s="5">
        <f>IF(ISBLANK(B181),"",B181&amp;"_"&amp;C181)</f>
        <v/>
      </c>
      <c r="K181" s="5" t="n"/>
      <c r="L181" s="5" t="n"/>
      <c r="M181" s="5" t="n"/>
      <c r="N181" s="5" t="n"/>
      <c r="O181" s="5" t="n"/>
      <c r="P181" s="5" t="n"/>
      <c r="Q181" s="5" t="n"/>
      <c r="R181" s="5" t="n"/>
      <c r="S181" s="5" t="n"/>
      <c r="T181" s="5" t="n"/>
      <c r="U181" s="5" t="n"/>
      <c r="V181" s="5" t="n"/>
      <c r="W181" s="5" t="n"/>
      <c r="X181" s="5" t="n"/>
      <c r="Y181" s="5">
        <f>IF(AND(V181&gt;=2,K181="Yes",L181="Yes"),"Sufficient",IF(AND(V181&gt;=1,OR(K181="Yes",L181="Yes")),"Thin","Insufficient"))</f>
        <v/>
      </c>
      <c r="Z181" s="5" t="n"/>
      <c r="AA181" s="5" t="n"/>
      <c r="AB181" s="5" t="n"/>
      <c r="AC181" s="5" t="n"/>
      <c r="AD181" s="5" t="n"/>
      <c r="AE181" s="5" t="n"/>
      <c r="AF181" s="5" t="n"/>
      <c r="AG181" s="5" t="n"/>
      <c r="AH181" s="5" t="n"/>
      <c r="AI181" s="5" t="n"/>
      <c r="AJ181" s="5" t="n"/>
      <c r="AK181" s="5" t="n"/>
      <c r="AL181" s="5" t="n"/>
      <c r="AM181" s="5" t="n"/>
      <c r="AN181" s="5" t="n"/>
      <c r="AO181" s="5" t="n"/>
      <c r="AP181" s="5" t="n"/>
      <c r="AQ181" s="5" t="n"/>
      <c r="AR181" s="40">
        <f t="array" ref="AR181">MIN(100, MAX(0,
  IFERROR(_xlfn.XLOOKUP(AJ181,'Lookup Tables'!$A$2:$A$7,'Lookup Tables'!$B$2:$B$7,0),0)
  + IF(Z181="Yes", IF(IFERROR(_xlfn.XLOOKUP(AJ181,'Lookup Tables'!$A$2:$A$7,'Lookup Tables'!$B$2:$B$7,0),0)&lt;20, 5, 0), 0)
  + _xlfn.IFS(AB181="Yes", IF(ISNUMBER(AC181)*AND(AC181&lt;=2030),15,10), AB181="Long-term Only", 5, AB181="No", 0, TRUE, 0)
  + _xlfn.IFS(AF181="Full",10, AF181="Partial",5, AF181="Scope 2 Only",3, TRUE,0)
  + _xlfn.IFS(AG181="Yes", IF(ISNUMBER(AH181)*AND(AH181&gt;=5),10,6), AG181="Partial",4, TRUE,0)
  + _xlfn.IFS(AI181="Yes",5, AI181="Partial (material categories only)",3, TRUE,0)
  + _xlfn.IFS(AL181="Yes — Detailed",10, AL181="Yes — High Level",5, TRUE,0)
  + _xlfn.IFS(AM181="Yes — Quantified",15, AM181="Yes — Directional Only",7, TRUE,0)
  + _xlfn.IFS(AP181="Formal",5, AP181="Referenced",2, TRUE,0)
  + _xlfn.IFS(AQ181="No Issues Found",5, AQ181="Concern Identified",-5, AQ181="Severe Contradiction",-15, TRUE,0)
  + _xlfn.IFS(BC181="Reasonable Assurance",5, BC181="Limited Assurance",3, TRUE,0)
  - IF(AND(Z181="Yes", AI181="No"), 10, 0)
  - IF(AND(Z181="Yes", AM181="No"), 10, 0)
))</f>
        <v/>
      </c>
      <c r="AS181" s="5" t="n"/>
      <c r="AT181" s="5" t="n"/>
      <c r="AU181" s="5" t="n"/>
      <c r="AV181" s="5" t="n"/>
      <c r="AW181" s="5" t="n"/>
      <c r="AX181" s="5" t="n"/>
      <c r="AY181" s="5" t="n"/>
      <c r="AZ181" s="5" t="n"/>
      <c r="BA181" s="5" t="n"/>
      <c r="BB181" s="5" t="n"/>
      <c r="BC181" s="5" t="n"/>
      <c r="BD181" s="5" t="n"/>
      <c r="BE181" s="39">
        <f t="array" ref="BE181">MIN(100, MAX(0,
  IFERROR(_xlfn.XLOOKUP(AT181,'Lookup Tables'!$D$2:$D$6,'Lookup Tables'!$E$2:$E$6,0),0)
  + IFERROR(_xlfn.XLOOKUP(AV181,'Lookup Tables'!$G$2:$G$5,'Lookup Tables'!$H$2:$H$5,0),0)
  + IFERROR(_xlfn.XLOOKUP(AW181,'Lookup Tables'!$J$2:$J$5,'Lookup Tables'!$K$2:$K$5,0),0)
  + _xlfn.IFS(AX181="No Issues",10, AX181="Complaint Filed",3, AX181="Confirmed Breach",-15, TRUE,0)
  + IFERROR(_xlfn.XLOOKUP(AY181,'Lookup Tables'!$M$2:$M$6,'Lookup Tables'!$N$2:$N$6,0),0)
  + IFERROR(_xlfn.XLOOKUP(AZ181,'Lookup Tables'!$P$2:$P$6,'Lookup Tables'!$Q$2:$Q$6,0),0)
  + _xlfn.IFS(BA181="Formal Board Committee",5, BA181="Board Oversight Mentioned",2, TRUE,0)
  + _xlfn.IFS(BB181="Yes — Quantified Targets",5, BB181="Yes — Discretionary Only",2, TRUE,0)
  + _xlfn.IFS(BC181="Reasonable Assurance",5, BC181="Limited Assurance",3, BC181="Management Review Only",1, TRUE,0)
))</f>
        <v/>
      </c>
      <c r="BF181" s="5" t="n"/>
      <c r="BG181" s="5" t="n"/>
      <c r="BH181" s="5" t="n"/>
      <c r="BI181" s="5" t="n"/>
      <c r="BJ181" s="5" t="n"/>
      <c r="BK181" s="5" t="n"/>
      <c r="BL181" s="5" t="n"/>
      <c r="BM181" s="5" t="n"/>
      <c r="BN181" s="5" t="n"/>
      <c r="BO181" s="5" t="n"/>
      <c r="BP181" s="5" t="n"/>
      <c r="BQ181" s="5" t="n"/>
      <c r="BR181" s="5" t="n"/>
      <c r="BS181" s="41">
        <f t="array" ref="BS181">MIN(100, MAX(0,
  IFERROR(_xlfn.XLOOKUP(BG181,'Lookup Tables'!$A$11:$A$16,'Lookup Tables'!$B$11:$B$16,0),0)
  + IFERROR(_xlfn.XLOOKUP(BR181,'Lookup Tables'!$M$11:$M$14,'Lookup Tables'!$N$11:$N$14,0),0)
  + IFERROR(_xlfn.XLOOKUP(BQ181,'Lookup Tables'!$J$11:$J$15,'Lookup Tables'!$K$11:$K$15,0),0)
  + IFERROR(_xlfn.XLOOKUP(BH181,'Lookup Tables'!$D$11:$D$15,'Lookup Tables'!$E$11:$E$15,0),0)
  + IFERROR(_xlfn.XLOOKUP(BJ181,'Lookup Tables'!$G$11:$G$16,'Lookup Tables'!$H$11:$H$16,0),0)
  + IFERROR(_xlfn.XLOOKUP(BN181,'Lookup Tables'!$P$11:$P$15,'Lookup Tables'!$Q$11:$Q$15,0),0)
  + _xlfn.IFS(BM181="No Evidence",10, BM181="Unknown",3, BM181="Likely",0, BM181="Confirmed",-10, TRUE,3)
  + IFERROR(_xlfn.XLOOKUP(BP181,'Lookup Tables'!$J$21:$J$24,'Lookup Tables'!$K$21:$K$24,0),0)
))</f>
        <v/>
      </c>
      <c r="BT181" s="5" t="n"/>
      <c r="BU181" s="5" t="n"/>
      <c r="BV181" s="5" t="n"/>
      <c r="BW181" s="5" t="n"/>
      <c r="BX181" s="5" t="n"/>
      <c r="BY181" s="5" t="n"/>
      <c r="BZ181" s="5" t="n"/>
      <c r="CA181" s="5" t="n"/>
      <c r="CB181" s="5" t="n"/>
      <c r="CC181" s="5" t="n"/>
      <c r="CD181" s="5" t="n"/>
      <c r="CE181" s="43">
        <f t="array" ref="CE181">MIN(100, MAX(0,
  IF(ISNUMBER(BV181)*AND(BV181&gt;0), 10, 0)
  + _xlfn.IFS(BY181="Independently Verified",25, BY181="Yes",15, TRUE,0)
  + IFERROR(_xlfn.XLOOKUP(BZ181,'Lookup Tables'!$A$21:$A$24,'Lookup Tables'!$B$21:$B$24,0),0)
  + IFERROR(_xlfn.XLOOKUP(CA181,'Lookup Tables'!$D$21:$D$24,'Lookup Tables'!$E$21:$E$24,0),0)
  + _xlfn.IFS(ISNUMBER(CB181)*AND(CB181&gt;=11),15, ISNUMBER(CB181)*AND(CB181&gt;=6),10, ISNUMBER(CB181)*AND(CB181&gt;=1),5, TRUE,0)
  + IFERROR(_xlfn.XLOOKUP(CC181,'Lookup Tables'!$G$21:$G$25,'Lookup Tables'!$H$21:$H$25,0),0)
  - IF(ISNUMBER(BW181)*AND(ISNUMBER(BV181))*AND(BW181&gt;BV181), 20, 0)
  - IF(AND(BY181="Yes", ISNUMBER(BW181), BW181&gt;60), 10, 0)
))</f>
        <v/>
      </c>
      <c r="CF181" s="5" t="n"/>
      <c r="CG181" s="5" t="n"/>
      <c r="CH181" s="5" t="n"/>
      <c r="CI181" s="5" t="n"/>
      <c r="CJ181" s="5" t="n"/>
      <c r="CK181" s="5" t="n"/>
      <c r="CL181" s="5" t="n"/>
      <c r="CM181" s="5" t="n"/>
      <c r="CN181" s="5" t="n"/>
      <c r="CO181" s="5" t="n"/>
      <c r="CP181" s="5" t="n"/>
      <c r="CQ181" s="5" t="n"/>
      <c r="CR181" s="5">
        <f>COUNTIF(CJ181:CQ181,"FAIL")</f>
        <v/>
      </c>
      <c r="CS181" s="5">
        <f>COUNTIF(CJ181:CQ181,"PARTIAL")</f>
        <v/>
      </c>
      <c r="CT181" s="5">
        <f>COUNTIF(CJ181:CQ181,"MISSING")</f>
        <v/>
      </c>
      <c r="CU181" s="5">
        <f>MIN(100,
  CR181*15
  + CS181*6
  + CT181*3
  + IFERROR(_xlfn.XLOOKUP(CW181,'Lookup Tables'!$M$21:$M$25,'Lookup Tables'!$N$21:$N$25,0),0)
)</f>
        <v/>
      </c>
      <c r="CV181" s="5">
        <f>IFERROR(
CHOOSE(
MATCH("FAIL",CJ181:CQ181,0),
"1-Specificity","2-Metric","3-Baseline","4-Target",
"5-Time Horizon","6-Scope","7-Verification","8-Consistency"
),
IFERROR(
CHOOSE(
MATCH("PARTIAL",CJ181:CQ181,0),
"1-Specificity","2-Metric","3-Baseline","4-Target",
"5-Time Horizon","6-Scope","7-Verification","8-Consistency"
),
"No failures"
)
)</f>
        <v/>
      </c>
      <c r="CW181" s="5" t="n"/>
      <c r="CX181" s="5" t="n"/>
      <c r="CY181" s="5" t="n"/>
      <c r="CZ181" s="5" t="n"/>
      <c r="DA181" s="5">
        <f>IF(OR(CU181&gt;=50,CW181="Material",CW181="Severe",AS181="Material",AS181="Severe",BF181="Material",BF181="Severe — Exclusion Trigger",AND(ISNUMBER(BS181),BS181&lt;30)),"Yes","No")</f>
        <v/>
      </c>
      <c r="DB181" s="5">
        <f>IF(OR(CR181&gt;=6,AW181="Confirmed Violation",AX181="Confirmed Breach"),"Yes — Automatic",IF(CW181="Severe","Yes — Requires Captain Confirmation","No"))</f>
        <v/>
      </c>
      <c r="DC181" s="5" t="n"/>
      <c r="DD181" s="5" t="n"/>
      <c r="DE181" s="5" t="n"/>
      <c r="DF181" s="5" t="n"/>
      <c r="DG181" s="5" t="n"/>
      <c r="DH181" s="5" t="n"/>
      <c r="DI181" s="5" t="n"/>
      <c r="DJ181" s="5" t="n"/>
      <c r="DK181" s="5" t="n"/>
      <c r="DL181" s="5">
        <f>IF(OR(IFERROR(VALUE(LEFT(DF181,1)),99)&lt;=2,IFERROR(VALUE(LEFT(DG181,1)),99)&lt;=2),"Flagged","Clear")</f>
        <v/>
      </c>
      <c r="DM181" s="5">
        <f>IF(OR(DA181="Yes",DB181&lt;&gt;"No",DH181="Unverified",DL181="Flagged"),"Yes","No")</f>
        <v/>
      </c>
      <c r="DN181" s="5">
        <f t="array" ref="DN181">MIN(100,
  IF(ISNUMBER(V181), _xlfn.IFS(V181&gt;=3,25, V181=2,15, V181=1,5, TRUE,0), 0)
  + IFERROR(_xlfn.IFS(VALUE(LEFT(DF181,1))=5,25, VALUE(LEFT(DF181,1))=4,20, VALUE(LEFT(DF181,1))=3,15, VALUE(LEFT(DF181,1))=2,8, TRUE,0), 15)
  + IFERROR(_xlfn.IFS(VALUE(LEFT(DG181,1))=5,25, VALUE(LEFT(DG181,1))=4,20, VALUE(LEFT(DG181,1))=3,15, VALUE(LEFT(DG181,1))=2,8, TRUE,0), 15)
  + _xlfn.IFS(DH181="Fully Verified",25, DH181="Partially Verified",12, TRUE,0)
)</f>
        <v/>
      </c>
      <c r="DO181" s="5">
        <f t="array" ref="DO181">_xlfn.IFS(
  ISBLANK(AR181), "Insufficient Evidence",
  AND(AR181&gt;=65, AJ181="Approved"), "Strong",
  AR181&gt;=65, "Adequate",
  AR181&gt;=40, "Adequate",
  AR181&gt;=20, "Weak",
  TRUE, "Insufficient Evidence"
)</f>
        <v/>
      </c>
      <c r="DP181" s="5">
        <f t="array" ref="DP181">_xlfn.IFS(
  ISBLANK(BS181), "Insufficient Evidence",
  BS181&gt;=65, "Strong",
  BS181&gt;=40, "Adequate",
  BS181&gt;=20, "Weak",
  TRUE, "Insufficient Evidence"
)</f>
        <v/>
      </c>
      <c r="DQ181" s="5">
        <f t="array" ref="DQ181">_xlfn.IFS(
  ISBLANK(BE181), "Insufficient Evidence",
  OR(AW181="Confirmed Violation", AX181="Confirmed Breach"), "Severe — Hard Trigger",
  BE181&gt;=65, "Strong",
  BE181&gt;=40, "Adequate",
  BE181&gt;=20, "Weak",
  TRUE, "Insufficient Evidence"
)</f>
        <v/>
      </c>
      <c r="DR181" s="5">
        <f t="array" ref="DR181">_xlfn.IFS(
  ISBLANK(CU181), "Insufficient Evidence",
  CU181&lt;=20, "Low Risk",
  CU181&lt;=50, "Moderate Risk",
  CU181&lt;=75, "High Risk",
  TRUE, "Very High Risk"
)</f>
        <v/>
      </c>
      <c r="DS181" s="5">
        <f t="array" ref="DS181">_xlfn.IFS(
  ISBLANK(CE181), "Insufficient Evidence",
  AND(ISNUMBER(BW181),ISNUMBER(BV181),BW181&gt;BV181), "Overclaiming Risk",
  CE181&gt;=65, "Strong",
  CE181&gt;=40, "Adequate",
  TRUE, "Weak"
)</f>
        <v/>
      </c>
      <c r="DT181" s="5">
        <f>IF(DB181="Yes — Automatic",0,ROUND((IF(ISNUMBER(AR181),AR181,0)*0.3+IF(ISNUMBER(BS181),BS181,0)*0.2+IF(ISNUMBER(BE181),BE181,0)*0.2+IF(ISNUMBER(CE181),CE181,0)*0.15+(100-IF(ISNUMBER(CU181),CU181,50))*0.15)*IF(DN181&gt;=75,1,IF(DN181&gt;=50,0.9,IF(DN181&gt;=25,0.75,0.6))),1))</f>
        <v/>
      </c>
      <c r="DU181" s="5">
        <f t="array" ref="DU181">_xlfn.IFS(
  DV181="Upgraded to Clear", "Clear",
  DV181="Downgraded to Watchlist", "Watchlist",
  DV181="Downgraded to Exclusion", "Exclusion Risk",
  DB181="Yes — Automatic", "Exclusion Risk",
  OR(AW181="Confirmed Violation", AX181="Confirmed Breach"), "Exclusion Risk",
  OR(V181=0, ISBLANK(V181), DN181&lt;20), "Insufficient Evidence",
  AND(DT181&gt;=65, DA181="No", DB181="No"), "Clear",
  OR(DT181&gt;=40, DA181="Yes"), "Watchlist",
  TRUE, "Exclusion Risk"
)</f>
        <v/>
      </c>
      <c r="DV181" s="5" t="n"/>
      <c r="DW181" s="5">
        <f t="array" ref="DW181">_xlfn.IFS(
  DU181="Exclusion Risk", "Exclude — Hard Trigger",
  DU181="Insufficient Evidence", "Watchlist — Further Evidence Needed",
  DU181="Watchlist", "Watchlist — Further Evidence Needed",
  AND(DU181="Clear", DT181&gt;=80), "Include — No Conditions",
  DU181="Clear", "Include — Monitor",
  TRUE, "Watchlist — Further Evidence Needed"
)</f>
        <v/>
      </c>
      <c r="DX181" s="5" t="n"/>
      <c r="DY181" s="5" t="n"/>
      <c r="DZ181" s="5" t="n"/>
      <c r="EA181" s="5" t="n"/>
      <c r="EB181" s="5">
        <f>IF(OR(V181=0, ISBLANK(V181)), "MISSING — No sources reviewed", "")</f>
        <v/>
      </c>
      <c r="EC181" s="5">
        <f>IF(AND(NOT(ISBLANK(DC181)), ISBLANK(DE181)), "PAGE REF MISSING", "")</f>
        <v/>
      </c>
    </row>
    <row r="182" ht="18" customHeight="1" s="60">
      <c r="A182" s="5" t="inlineStr">
        <is>
          <t>Fresnillo PLC</t>
        </is>
      </c>
      <c r="B182" s="5" t="inlineStr">
        <is>
          <t>FNL</t>
        </is>
      </c>
      <c r="C182" s="5">
        <f>IF(ISBLANK('Universe Tracker'!D157),"",'Universe Tracker'!D157)</f>
        <v/>
      </c>
      <c r="D182" s="5" t="n"/>
      <c r="E182" s="5" t="n"/>
      <c r="F182" s="5">
        <f>IF(ISBLANK('Universe Tracker'!F157),"",'Universe Tracker'!F157)</f>
        <v/>
      </c>
      <c r="G182" s="5">
        <f>IF(ISBLANK('Universe Tracker'!G157),"",'Universe Tracker'!G157)</f>
        <v/>
      </c>
      <c r="H182" s="5" t="n"/>
      <c r="I182" s="5" t="n"/>
      <c r="J182" s="5">
        <f>IF(ISBLANK(B182),"",B182&amp;"_"&amp;C182)</f>
        <v/>
      </c>
      <c r="K182" s="5" t="n"/>
      <c r="L182" s="5" t="n"/>
      <c r="M182" s="5" t="n"/>
      <c r="N182" s="5" t="n"/>
      <c r="O182" s="5" t="n"/>
      <c r="P182" s="5" t="n"/>
      <c r="Q182" s="5" t="n"/>
      <c r="R182" s="5" t="n"/>
      <c r="S182" s="5" t="n"/>
      <c r="T182" s="5" t="n"/>
      <c r="U182" s="5" t="n"/>
      <c r="V182" s="5" t="n"/>
      <c r="W182" s="5" t="n"/>
      <c r="X182" s="5" t="n"/>
      <c r="Y182" s="5">
        <f>IF(AND(V182&gt;=2,K182="Yes",L182="Yes"),"Sufficient",IF(AND(V182&gt;=1,OR(K182="Yes",L182="Yes")),"Thin","Insufficient"))</f>
        <v/>
      </c>
      <c r="Z182" s="5" t="n"/>
      <c r="AA182" s="5" t="n"/>
      <c r="AB182" s="5" t="n"/>
      <c r="AC182" s="5" t="n"/>
      <c r="AD182" s="5" t="n"/>
      <c r="AE182" s="5" t="n"/>
      <c r="AF182" s="5" t="n"/>
      <c r="AG182" s="5" t="n"/>
      <c r="AH182" s="5" t="n"/>
      <c r="AI182" s="5" t="n"/>
      <c r="AJ182" s="5" t="n"/>
      <c r="AK182" s="5" t="n"/>
      <c r="AL182" s="5" t="n"/>
      <c r="AM182" s="5" t="n"/>
      <c r="AN182" s="5" t="n"/>
      <c r="AO182" s="5" t="n"/>
      <c r="AP182" s="5" t="n"/>
      <c r="AQ182" s="5" t="n"/>
      <c r="AR182" s="40">
        <f t="array" ref="AR182">MIN(100, MAX(0,
  IFERROR(_xlfn.XLOOKUP(AJ182,'Lookup Tables'!$A$2:$A$7,'Lookup Tables'!$B$2:$B$7,0),0)
  + IF(Z182="Yes", IF(IFERROR(_xlfn.XLOOKUP(AJ182,'Lookup Tables'!$A$2:$A$7,'Lookup Tables'!$B$2:$B$7,0),0)&lt;20, 5, 0), 0)
  + _xlfn.IFS(AB182="Yes", IF(ISNUMBER(AC182)*AND(AC182&lt;=2030),15,10), AB182="Long-term Only", 5, AB182="No", 0, TRUE, 0)
  + _xlfn.IFS(AF182="Full",10, AF182="Partial",5, AF182="Scope 2 Only",3, TRUE,0)
  + _xlfn.IFS(AG182="Yes", IF(ISNUMBER(AH182)*AND(AH182&gt;=5),10,6), AG182="Partial",4, TRUE,0)
  + _xlfn.IFS(AI182="Yes",5, AI182="Partial (material categories only)",3, TRUE,0)
  + _xlfn.IFS(AL182="Yes — Detailed",10, AL182="Yes — High Level",5, TRUE,0)
  + _xlfn.IFS(AM182="Yes — Quantified",15, AM182="Yes — Directional Only",7, TRUE,0)
  + _xlfn.IFS(AP182="Formal",5, AP182="Referenced",2, TRUE,0)
  + _xlfn.IFS(AQ182="No Issues Found",5, AQ182="Concern Identified",-5, AQ182="Severe Contradiction",-15, TRUE,0)
  + _xlfn.IFS(BC182="Reasonable Assurance",5, BC182="Limited Assurance",3, TRUE,0)
  - IF(AND(Z182="Yes", AI182="No"), 10, 0)
  - IF(AND(Z182="Yes", AM182="No"), 10, 0)
))</f>
        <v/>
      </c>
      <c r="AS182" s="5" t="n"/>
      <c r="AT182" s="5" t="n"/>
      <c r="AU182" s="5" t="n"/>
      <c r="AV182" s="5" t="n"/>
      <c r="AW182" s="5" t="n"/>
      <c r="AX182" s="5" t="n"/>
      <c r="AY182" s="5" t="n"/>
      <c r="AZ182" s="5" t="n"/>
      <c r="BA182" s="5" t="n"/>
      <c r="BB182" s="5" t="n"/>
      <c r="BC182" s="5" t="n"/>
      <c r="BD182" s="5" t="n"/>
      <c r="BE182" s="39">
        <f t="array" ref="BE182">MIN(100, MAX(0,
  IFERROR(_xlfn.XLOOKUP(AT182,'Lookup Tables'!$D$2:$D$6,'Lookup Tables'!$E$2:$E$6,0),0)
  + IFERROR(_xlfn.XLOOKUP(AV182,'Lookup Tables'!$G$2:$G$5,'Lookup Tables'!$H$2:$H$5,0),0)
  + IFERROR(_xlfn.XLOOKUP(AW182,'Lookup Tables'!$J$2:$J$5,'Lookup Tables'!$K$2:$K$5,0),0)
  + _xlfn.IFS(AX182="No Issues",10, AX182="Complaint Filed",3, AX182="Confirmed Breach",-15, TRUE,0)
  + IFERROR(_xlfn.XLOOKUP(AY182,'Lookup Tables'!$M$2:$M$6,'Lookup Tables'!$N$2:$N$6,0),0)
  + IFERROR(_xlfn.XLOOKUP(AZ182,'Lookup Tables'!$P$2:$P$6,'Lookup Tables'!$Q$2:$Q$6,0),0)
  + _xlfn.IFS(BA182="Formal Board Committee",5, BA182="Board Oversight Mentioned",2, TRUE,0)
  + _xlfn.IFS(BB182="Yes — Quantified Targets",5, BB182="Yes — Discretionary Only",2, TRUE,0)
  + _xlfn.IFS(BC182="Reasonable Assurance",5, BC182="Limited Assurance",3, BC182="Management Review Only",1, TRUE,0)
))</f>
        <v/>
      </c>
      <c r="BF182" s="5" t="n"/>
      <c r="BG182" s="5" t="n"/>
      <c r="BH182" s="5" t="n"/>
      <c r="BI182" s="5" t="n"/>
      <c r="BJ182" s="5" t="n"/>
      <c r="BK182" s="5" t="n"/>
      <c r="BL182" s="5" t="n"/>
      <c r="BM182" s="5" t="n"/>
      <c r="BN182" s="5" t="n"/>
      <c r="BO182" s="5" t="n"/>
      <c r="BP182" s="5" t="n"/>
      <c r="BQ182" s="5" t="n"/>
      <c r="BR182" s="5" t="n"/>
      <c r="BS182" s="41">
        <f t="array" ref="BS182">MIN(100, MAX(0,
  IFERROR(_xlfn.XLOOKUP(BG182,'Lookup Tables'!$A$11:$A$16,'Lookup Tables'!$B$11:$B$16,0),0)
  + IFERROR(_xlfn.XLOOKUP(BR182,'Lookup Tables'!$M$11:$M$14,'Lookup Tables'!$N$11:$N$14,0),0)
  + IFERROR(_xlfn.XLOOKUP(BQ182,'Lookup Tables'!$J$11:$J$15,'Lookup Tables'!$K$11:$K$15,0),0)
  + IFERROR(_xlfn.XLOOKUP(BH182,'Lookup Tables'!$D$11:$D$15,'Lookup Tables'!$E$11:$E$15,0),0)
  + IFERROR(_xlfn.XLOOKUP(BJ182,'Lookup Tables'!$G$11:$G$16,'Lookup Tables'!$H$11:$H$16,0),0)
  + IFERROR(_xlfn.XLOOKUP(BN182,'Lookup Tables'!$P$11:$P$15,'Lookup Tables'!$Q$11:$Q$15,0),0)
  + _xlfn.IFS(BM182="No Evidence",10, BM182="Unknown",3, BM182="Likely",0, BM182="Confirmed",-10, TRUE,3)
  + IFERROR(_xlfn.XLOOKUP(BP182,'Lookup Tables'!$J$21:$J$24,'Lookup Tables'!$K$21:$K$24,0),0)
))</f>
        <v/>
      </c>
      <c r="BT182" s="5" t="n"/>
      <c r="BU182" s="5" t="n"/>
      <c r="BV182" s="5" t="n"/>
      <c r="BW182" s="5" t="n"/>
      <c r="BX182" s="5" t="n"/>
      <c r="BY182" s="5" t="n"/>
      <c r="BZ182" s="5" t="n"/>
      <c r="CA182" s="5" t="n"/>
      <c r="CB182" s="5" t="n"/>
      <c r="CC182" s="5" t="n"/>
      <c r="CD182" s="5" t="n"/>
      <c r="CE182" s="43">
        <f t="array" ref="CE182">MIN(100, MAX(0,
  IF(ISNUMBER(BV182)*AND(BV182&gt;0), 10, 0)
  + _xlfn.IFS(BY182="Independently Verified",25, BY182="Yes",15, TRUE,0)
  + IFERROR(_xlfn.XLOOKUP(BZ182,'Lookup Tables'!$A$21:$A$24,'Lookup Tables'!$B$21:$B$24,0),0)
  + IFERROR(_xlfn.XLOOKUP(CA182,'Lookup Tables'!$D$21:$D$24,'Lookup Tables'!$E$21:$E$24,0),0)
  + _xlfn.IFS(ISNUMBER(CB182)*AND(CB182&gt;=11),15, ISNUMBER(CB182)*AND(CB182&gt;=6),10, ISNUMBER(CB182)*AND(CB182&gt;=1),5, TRUE,0)
  + IFERROR(_xlfn.XLOOKUP(CC182,'Lookup Tables'!$G$21:$G$25,'Lookup Tables'!$H$21:$H$25,0),0)
  - IF(ISNUMBER(BW182)*AND(ISNUMBER(BV182))*AND(BW182&gt;BV182), 20, 0)
  - IF(AND(BY182="Yes", ISNUMBER(BW182), BW182&gt;60), 10, 0)
))</f>
        <v/>
      </c>
      <c r="CF182" s="5" t="n"/>
      <c r="CG182" s="5" t="n"/>
      <c r="CH182" s="5" t="n"/>
      <c r="CI182" s="5" t="n"/>
      <c r="CJ182" s="5" t="n"/>
      <c r="CK182" s="5" t="n"/>
      <c r="CL182" s="5" t="n"/>
      <c r="CM182" s="5" t="n"/>
      <c r="CN182" s="5" t="n"/>
      <c r="CO182" s="5" t="n"/>
      <c r="CP182" s="5" t="n"/>
      <c r="CQ182" s="5" t="n"/>
      <c r="CR182" s="5">
        <f>COUNTIF(CJ182:CQ182,"FAIL")</f>
        <v/>
      </c>
      <c r="CS182" s="5">
        <f>COUNTIF(CJ182:CQ182,"PARTIAL")</f>
        <v/>
      </c>
      <c r="CT182" s="5">
        <f>COUNTIF(CJ182:CQ182,"MISSING")</f>
        <v/>
      </c>
      <c r="CU182" s="5">
        <f>MIN(100,
  CR182*15
  + CS182*6
  + CT182*3
  + IFERROR(_xlfn.XLOOKUP(CW182,'Lookup Tables'!$M$21:$M$25,'Lookup Tables'!$N$21:$N$25,0),0)
)</f>
        <v/>
      </c>
      <c r="CV182" s="5">
        <f>IFERROR(
CHOOSE(
MATCH("FAIL",CJ182:CQ182,0),
"1-Specificity","2-Metric","3-Baseline","4-Target",
"5-Time Horizon","6-Scope","7-Verification","8-Consistency"
),
IFERROR(
CHOOSE(
MATCH("PARTIAL",CJ182:CQ182,0),
"1-Specificity","2-Metric","3-Baseline","4-Target",
"5-Time Horizon","6-Scope","7-Verification","8-Consistency"
),
"No failures"
)
)</f>
        <v/>
      </c>
      <c r="CW182" s="5" t="n"/>
      <c r="CX182" s="5" t="n"/>
      <c r="CY182" s="5" t="n"/>
      <c r="CZ182" s="5" t="n"/>
      <c r="DA182" s="5">
        <f>IF(OR(CU182&gt;=50,CW182="Material",CW182="Severe",AS182="Material",AS182="Severe",BF182="Material",BF182="Severe — Exclusion Trigger",AND(ISNUMBER(BS182),BS182&lt;30)),"Yes","No")</f>
        <v/>
      </c>
      <c r="DB182" s="5">
        <f>IF(OR(CR182&gt;=6,AW182="Confirmed Violation",AX182="Confirmed Breach"),"Yes — Automatic",IF(CW182="Severe","Yes — Requires Captain Confirmation","No"))</f>
        <v/>
      </c>
      <c r="DC182" s="5" t="n"/>
      <c r="DD182" s="5" t="n"/>
      <c r="DE182" s="5" t="n"/>
      <c r="DF182" s="5" t="n"/>
      <c r="DG182" s="5" t="n"/>
      <c r="DH182" s="5" t="n"/>
      <c r="DI182" s="5" t="n"/>
      <c r="DJ182" s="5" t="n"/>
      <c r="DK182" s="5" t="n"/>
      <c r="DL182" s="5">
        <f>IF(OR(IFERROR(VALUE(LEFT(DF182,1)),99)&lt;=2,IFERROR(VALUE(LEFT(DG182,1)),99)&lt;=2),"Flagged","Clear")</f>
        <v/>
      </c>
      <c r="DM182" s="5">
        <f>IF(OR(DA182="Yes",DB182&lt;&gt;"No",DH182="Unverified",DL182="Flagged"),"Yes","No")</f>
        <v/>
      </c>
      <c r="DN182" s="5">
        <f t="array" ref="DN182">MIN(100,
  IF(ISNUMBER(V182), _xlfn.IFS(V182&gt;=3,25, V182=2,15, V182=1,5, TRUE,0), 0)
  + IFERROR(_xlfn.IFS(VALUE(LEFT(DF182,1))=5,25, VALUE(LEFT(DF182,1))=4,20, VALUE(LEFT(DF182,1))=3,15, VALUE(LEFT(DF182,1))=2,8, TRUE,0), 15)
  + IFERROR(_xlfn.IFS(VALUE(LEFT(DG182,1))=5,25, VALUE(LEFT(DG182,1))=4,20, VALUE(LEFT(DG182,1))=3,15, VALUE(LEFT(DG182,1))=2,8, TRUE,0), 15)
  + _xlfn.IFS(DH182="Fully Verified",25, DH182="Partially Verified",12, TRUE,0)
)</f>
        <v/>
      </c>
      <c r="DO182" s="5">
        <f t="array" ref="DO182">_xlfn.IFS(
  ISBLANK(AR182), "Insufficient Evidence",
  AND(AR182&gt;=65, AJ182="Approved"), "Strong",
  AR182&gt;=65, "Adequate",
  AR182&gt;=40, "Adequate",
  AR182&gt;=20, "Weak",
  TRUE, "Insufficient Evidence"
)</f>
        <v/>
      </c>
      <c r="DP182" s="5">
        <f t="array" ref="DP182">_xlfn.IFS(
  ISBLANK(BS182), "Insufficient Evidence",
  BS182&gt;=65, "Strong",
  BS182&gt;=40, "Adequate",
  BS182&gt;=20, "Weak",
  TRUE, "Insufficient Evidence"
)</f>
        <v/>
      </c>
      <c r="DQ182" s="5">
        <f t="array" ref="DQ182">_xlfn.IFS(
  ISBLANK(BE182), "Insufficient Evidence",
  OR(AW182="Confirmed Violation", AX182="Confirmed Breach"), "Severe — Hard Trigger",
  BE182&gt;=65, "Strong",
  BE182&gt;=40, "Adequate",
  BE182&gt;=20, "Weak",
  TRUE, "Insufficient Evidence"
)</f>
        <v/>
      </c>
      <c r="DR182" s="5">
        <f t="array" ref="DR182">_xlfn.IFS(
  ISBLANK(CU182), "Insufficient Evidence",
  CU182&lt;=20, "Low Risk",
  CU182&lt;=50, "Moderate Risk",
  CU182&lt;=75, "High Risk",
  TRUE, "Very High Risk"
)</f>
        <v/>
      </c>
      <c r="DS182" s="5">
        <f t="array" ref="DS182">_xlfn.IFS(
  ISBLANK(CE182), "Insufficient Evidence",
  AND(ISNUMBER(BW182),ISNUMBER(BV182),BW182&gt;BV182), "Overclaiming Risk",
  CE182&gt;=65, "Strong",
  CE182&gt;=40, "Adequate",
  TRUE, "Weak"
)</f>
        <v/>
      </c>
      <c r="DT182" s="5">
        <f>IF(DB182="Yes — Automatic",0,ROUND((IF(ISNUMBER(AR182),AR182,0)*0.3+IF(ISNUMBER(BS182),BS182,0)*0.2+IF(ISNUMBER(BE182),BE182,0)*0.2+IF(ISNUMBER(CE182),CE182,0)*0.15+(100-IF(ISNUMBER(CU182),CU182,50))*0.15)*IF(DN182&gt;=75,1,IF(DN182&gt;=50,0.9,IF(DN182&gt;=25,0.75,0.6))),1))</f>
        <v/>
      </c>
      <c r="DU182" s="5">
        <f t="array" ref="DU182">_xlfn.IFS(
  DV182="Upgraded to Clear", "Clear",
  DV182="Downgraded to Watchlist", "Watchlist",
  DV182="Downgraded to Exclusion", "Exclusion Risk",
  DB182="Yes — Automatic", "Exclusion Risk",
  OR(AW182="Confirmed Violation", AX182="Confirmed Breach"), "Exclusion Risk",
  OR(V182=0, ISBLANK(V182), DN182&lt;20), "Insufficient Evidence",
  AND(DT182&gt;=65, DA182="No", DB182="No"), "Clear",
  OR(DT182&gt;=40, DA182="Yes"), "Watchlist",
  TRUE, "Exclusion Risk"
)</f>
        <v/>
      </c>
      <c r="DV182" s="5" t="n"/>
      <c r="DW182" s="5">
        <f t="array" ref="DW182">_xlfn.IFS(
  DU182="Exclusion Risk", "Exclude — Hard Trigger",
  DU182="Insufficient Evidence", "Watchlist — Further Evidence Needed",
  DU182="Watchlist", "Watchlist — Further Evidence Needed",
  AND(DU182="Clear", DT182&gt;=80), "Include — No Conditions",
  DU182="Clear", "Include — Monitor",
  TRUE, "Watchlist — Further Evidence Needed"
)</f>
        <v/>
      </c>
      <c r="DX182" s="5" t="n"/>
      <c r="DY182" s="5" t="n"/>
      <c r="DZ182" s="5" t="n"/>
      <c r="EA182" s="5" t="n"/>
      <c r="EB182" s="5">
        <f>IF(OR(V182=0, ISBLANK(V182)), "MISSING — No sources reviewed", "")</f>
        <v/>
      </c>
      <c r="EC182" s="5">
        <f>IF(AND(NOT(ISBLANK(DC182)), ISBLANK(DE182)), "PAGE REF MISSING", "")</f>
        <v/>
      </c>
    </row>
    <row r="183" ht="18" customHeight="1" s="60">
      <c r="A183" s="5" t="inlineStr">
        <is>
          <t>BPER Banca</t>
        </is>
      </c>
      <c r="B183" s="5" t="inlineStr">
        <is>
          <t>4BE</t>
        </is>
      </c>
      <c r="C183" s="5">
        <f>IF(ISBLANK('Universe Tracker'!D158),"",'Universe Tracker'!D158)</f>
        <v/>
      </c>
      <c r="D183" s="5" t="n"/>
      <c r="E183" s="5" t="n"/>
      <c r="F183" s="5">
        <f>IF(ISBLANK('Universe Tracker'!F158),"",'Universe Tracker'!F158)</f>
        <v/>
      </c>
      <c r="G183" s="5">
        <f>IF(ISBLANK('Universe Tracker'!G158),"",'Universe Tracker'!G158)</f>
        <v/>
      </c>
      <c r="H183" s="5" t="n"/>
      <c r="I183" s="5" t="n"/>
      <c r="J183" s="5">
        <f>IF(ISBLANK(B183),"",B183&amp;"_"&amp;C183)</f>
        <v/>
      </c>
      <c r="K183" s="5" t="n"/>
      <c r="L183" s="5" t="n"/>
      <c r="M183" s="5" t="n"/>
      <c r="N183" s="5" t="n"/>
      <c r="O183" s="5" t="n"/>
      <c r="P183" s="5" t="n"/>
      <c r="Q183" s="5" t="n"/>
      <c r="R183" s="5" t="n"/>
      <c r="S183" s="5" t="n"/>
      <c r="T183" s="5" t="n"/>
      <c r="U183" s="5" t="n"/>
      <c r="V183" s="5" t="n"/>
      <c r="W183" s="5" t="n"/>
      <c r="X183" s="5" t="n"/>
      <c r="Y183" s="5">
        <f>IF(AND(V183&gt;=2,K183="Yes",L183="Yes"),"Sufficient",IF(AND(V183&gt;=1,OR(K183="Yes",L183="Yes")),"Thin","Insufficient"))</f>
        <v/>
      </c>
      <c r="Z183" s="5" t="n"/>
      <c r="AA183" s="5" t="n"/>
      <c r="AB183" s="5" t="n"/>
      <c r="AC183" s="5" t="n"/>
      <c r="AD183" s="5" t="n"/>
      <c r="AE183" s="5" t="n"/>
      <c r="AF183" s="5" t="n"/>
      <c r="AG183" s="5" t="n"/>
      <c r="AH183" s="5" t="n"/>
      <c r="AI183" s="5" t="n"/>
      <c r="AJ183" s="5" t="n"/>
      <c r="AK183" s="5" t="n"/>
      <c r="AL183" s="5" t="n"/>
      <c r="AM183" s="5" t="n"/>
      <c r="AN183" s="5" t="n"/>
      <c r="AO183" s="5" t="n"/>
      <c r="AP183" s="5" t="n"/>
      <c r="AQ183" s="5" t="n"/>
      <c r="AR183" s="40">
        <f t="array" ref="AR183">MIN(100, MAX(0,
  IFERROR(_xlfn.XLOOKUP(AJ183,'Lookup Tables'!$A$2:$A$7,'Lookup Tables'!$B$2:$B$7,0),0)
  + IF(Z183="Yes", IF(IFERROR(_xlfn.XLOOKUP(AJ183,'Lookup Tables'!$A$2:$A$7,'Lookup Tables'!$B$2:$B$7,0),0)&lt;20, 5, 0), 0)
  + _xlfn.IFS(AB183="Yes", IF(ISNUMBER(AC183)*AND(AC183&lt;=2030),15,10), AB183="Long-term Only", 5, AB183="No", 0, TRUE, 0)
  + _xlfn.IFS(AF183="Full",10, AF183="Partial",5, AF183="Scope 2 Only",3, TRUE,0)
  + _xlfn.IFS(AG183="Yes", IF(ISNUMBER(AH183)*AND(AH183&gt;=5),10,6), AG183="Partial",4, TRUE,0)
  + _xlfn.IFS(AI183="Yes",5, AI183="Partial (material categories only)",3, TRUE,0)
  + _xlfn.IFS(AL183="Yes — Detailed",10, AL183="Yes — High Level",5, TRUE,0)
  + _xlfn.IFS(AM183="Yes — Quantified",15, AM183="Yes — Directional Only",7, TRUE,0)
  + _xlfn.IFS(AP183="Formal",5, AP183="Referenced",2, TRUE,0)
  + _xlfn.IFS(AQ183="No Issues Found",5, AQ183="Concern Identified",-5, AQ183="Severe Contradiction",-15, TRUE,0)
  + _xlfn.IFS(BC183="Reasonable Assurance",5, BC183="Limited Assurance",3, TRUE,0)
  - IF(AND(Z183="Yes", AI183="No"), 10, 0)
  - IF(AND(Z183="Yes", AM183="No"), 10, 0)
))</f>
        <v/>
      </c>
      <c r="AS183" s="5" t="n"/>
      <c r="AT183" s="5" t="n"/>
      <c r="AU183" s="5" t="n"/>
      <c r="AV183" s="5" t="n"/>
      <c r="AW183" s="5" t="n"/>
      <c r="AX183" s="5" t="n"/>
      <c r="AY183" s="5" t="n"/>
      <c r="AZ183" s="5" t="n"/>
      <c r="BA183" s="5" t="n"/>
      <c r="BB183" s="5" t="n"/>
      <c r="BC183" s="5" t="n"/>
      <c r="BD183" s="5" t="n"/>
      <c r="BE183" s="39">
        <f t="array" ref="BE183">MIN(100, MAX(0,
  IFERROR(_xlfn.XLOOKUP(AT183,'Lookup Tables'!$D$2:$D$6,'Lookup Tables'!$E$2:$E$6,0),0)
  + IFERROR(_xlfn.XLOOKUP(AV183,'Lookup Tables'!$G$2:$G$5,'Lookup Tables'!$H$2:$H$5,0),0)
  + IFERROR(_xlfn.XLOOKUP(AW183,'Lookup Tables'!$J$2:$J$5,'Lookup Tables'!$K$2:$K$5,0),0)
  + _xlfn.IFS(AX183="No Issues",10, AX183="Complaint Filed",3, AX183="Confirmed Breach",-15, TRUE,0)
  + IFERROR(_xlfn.XLOOKUP(AY183,'Lookup Tables'!$M$2:$M$6,'Lookup Tables'!$N$2:$N$6,0),0)
  + IFERROR(_xlfn.XLOOKUP(AZ183,'Lookup Tables'!$P$2:$P$6,'Lookup Tables'!$Q$2:$Q$6,0),0)
  + _xlfn.IFS(BA183="Formal Board Committee",5, BA183="Board Oversight Mentioned",2, TRUE,0)
  + _xlfn.IFS(BB183="Yes — Quantified Targets",5, BB183="Yes — Discretionary Only",2, TRUE,0)
  + _xlfn.IFS(BC183="Reasonable Assurance",5, BC183="Limited Assurance",3, BC183="Management Review Only",1, TRUE,0)
))</f>
        <v/>
      </c>
      <c r="BF183" s="5" t="n"/>
      <c r="BG183" s="5" t="n"/>
      <c r="BH183" s="5" t="n"/>
      <c r="BI183" s="5" t="n"/>
      <c r="BJ183" s="5" t="n"/>
      <c r="BK183" s="5" t="n"/>
      <c r="BL183" s="5" t="n"/>
      <c r="BM183" s="5" t="n"/>
      <c r="BN183" s="5" t="n"/>
      <c r="BO183" s="5" t="n"/>
      <c r="BP183" s="5" t="n"/>
      <c r="BQ183" s="5" t="n"/>
      <c r="BR183" s="5" t="n"/>
      <c r="BS183" s="41">
        <f t="array" ref="BS183">MIN(100, MAX(0,
  IFERROR(_xlfn.XLOOKUP(BG183,'Lookup Tables'!$A$11:$A$16,'Lookup Tables'!$B$11:$B$16,0),0)
  + IFERROR(_xlfn.XLOOKUP(BR183,'Lookup Tables'!$M$11:$M$14,'Lookup Tables'!$N$11:$N$14,0),0)
  + IFERROR(_xlfn.XLOOKUP(BQ183,'Lookup Tables'!$J$11:$J$15,'Lookup Tables'!$K$11:$K$15,0),0)
  + IFERROR(_xlfn.XLOOKUP(BH183,'Lookup Tables'!$D$11:$D$15,'Lookup Tables'!$E$11:$E$15,0),0)
  + IFERROR(_xlfn.XLOOKUP(BJ183,'Lookup Tables'!$G$11:$G$16,'Lookup Tables'!$H$11:$H$16,0),0)
  + IFERROR(_xlfn.XLOOKUP(BN183,'Lookup Tables'!$P$11:$P$15,'Lookup Tables'!$Q$11:$Q$15,0),0)
  + _xlfn.IFS(BM183="No Evidence",10, BM183="Unknown",3, BM183="Likely",0, BM183="Confirmed",-10, TRUE,3)
  + IFERROR(_xlfn.XLOOKUP(BP183,'Lookup Tables'!$J$21:$J$24,'Lookup Tables'!$K$21:$K$24,0),0)
))</f>
        <v/>
      </c>
      <c r="BT183" s="5" t="n"/>
      <c r="BU183" s="5" t="n"/>
      <c r="BV183" s="5" t="n"/>
      <c r="BW183" s="5" t="n"/>
      <c r="BX183" s="5" t="n"/>
      <c r="BY183" s="5" t="n"/>
      <c r="BZ183" s="5" t="n"/>
      <c r="CA183" s="5" t="n"/>
      <c r="CB183" s="5" t="n"/>
      <c r="CC183" s="5" t="n"/>
      <c r="CD183" s="5" t="n"/>
      <c r="CE183" s="43">
        <f t="array" ref="CE183">MIN(100, MAX(0,
  IF(ISNUMBER(BV183)*AND(BV183&gt;0), 10, 0)
  + _xlfn.IFS(BY183="Independently Verified",25, BY183="Yes",15, TRUE,0)
  + IFERROR(_xlfn.XLOOKUP(BZ183,'Lookup Tables'!$A$21:$A$24,'Lookup Tables'!$B$21:$B$24,0),0)
  + IFERROR(_xlfn.XLOOKUP(CA183,'Lookup Tables'!$D$21:$D$24,'Lookup Tables'!$E$21:$E$24,0),0)
  + _xlfn.IFS(ISNUMBER(CB183)*AND(CB183&gt;=11),15, ISNUMBER(CB183)*AND(CB183&gt;=6),10, ISNUMBER(CB183)*AND(CB183&gt;=1),5, TRUE,0)
  + IFERROR(_xlfn.XLOOKUP(CC183,'Lookup Tables'!$G$21:$G$25,'Lookup Tables'!$H$21:$H$25,0),0)
  - IF(ISNUMBER(BW183)*AND(ISNUMBER(BV183))*AND(BW183&gt;BV183), 20, 0)
  - IF(AND(BY183="Yes", ISNUMBER(BW183), BW183&gt;60), 10, 0)
))</f>
        <v/>
      </c>
      <c r="CF183" s="5" t="n"/>
      <c r="CG183" s="5" t="n"/>
      <c r="CH183" s="5" t="n"/>
      <c r="CI183" s="5" t="n"/>
      <c r="CJ183" s="5" t="n"/>
      <c r="CK183" s="5" t="n"/>
      <c r="CL183" s="5" t="n"/>
      <c r="CM183" s="5" t="n"/>
      <c r="CN183" s="5" t="n"/>
      <c r="CO183" s="5" t="n"/>
      <c r="CP183" s="5" t="n"/>
      <c r="CQ183" s="5" t="n"/>
      <c r="CR183" s="5">
        <f>COUNTIF(CJ183:CQ183,"FAIL")</f>
        <v/>
      </c>
      <c r="CS183" s="5">
        <f>COUNTIF(CJ183:CQ183,"PARTIAL")</f>
        <v/>
      </c>
      <c r="CT183" s="5">
        <f>COUNTIF(CJ183:CQ183,"MISSING")</f>
        <v/>
      </c>
      <c r="CU183" s="5">
        <f>MIN(100,
  CR183*15
  + CS183*6
  + CT183*3
  + IFERROR(_xlfn.XLOOKUP(CW183,'Lookup Tables'!$M$21:$M$25,'Lookup Tables'!$N$21:$N$25,0),0)
)</f>
        <v/>
      </c>
      <c r="CV183" s="5">
        <f>IFERROR(
CHOOSE(
MATCH("FAIL",CJ183:CQ183,0),
"1-Specificity","2-Metric","3-Baseline","4-Target",
"5-Time Horizon","6-Scope","7-Verification","8-Consistency"
),
IFERROR(
CHOOSE(
MATCH("PARTIAL",CJ183:CQ183,0),
"1-Specificity","2-Metric","3-Baseline","4-Target",
"5-Time Horizon","6-Scope","7-Verification","8-Consistency"
),
"No failures"
)
)</f>
        <v/>
      </c>
      <c r="CW183" s="5" t="n"/>
      <c r="CX183" s="5" t="n"/>
      <c r="CY183" s="5" t="n"/>
      <c r="CZ183" s="5" t="n"/>
      <c r="DA183" s="5">
        <f>IF(OR(CU183&gt;=50,CW183="Material",CW183="Severe",AS183="Material",AS183="Severe",BF183="Material",BF183="Severe — Exclusion Trigger",AND(ISNUMBER(BS183),BS183&lt;30)),"Yes","No")</f>
        <v/>
      </c>
      <c r="DB183" s="5">
        <f>IF(OR(CR183&gt;=6,AW183="Confirmed Violation",AX183="Confirmed Breach"),"Yes — Automatic",IF(CW183="Severe","Yes — Requires Captain Confirmation","No"))</f>
        <v/>
      </c>
      <c r="DC183" s="5" t="n"/>
      <c r="DD183" s="5" t="n"/>
      <c r="DE183" s="5" t="n"/>
      <c r="DF183" s="5" t="n"/>
      <c r="DG183" s="5" t="n"/>
      <c r="DH183" s="5" t="n"/>
      <c r="DI183" s="5" t="n"/>
      <c r="DJ183" s="5" t="n"/>
      <c r="DK183" s="5" t="n"/>
      <c r="DL183" s="5">
        <f>IF(OR(IFERROR(VALUE(LEFT(DF183,1)),99)&lt;=2,IFERROR(VALUE(LEFT(DG183,1)),99)&lt;=2),"Flagged","Clear")</f>
        <v/>
      </c>
      <c r="DM183" s="5">
        <f>IF(OR(DA183="Yes",DB183&lt;&gt;"No",DH183="Unverified",DL183="Flagged"),"Yes","No")</f>
        <v/>
      </c>
      <c r="DN183" s="5">
        <f t="array" ref="DN183">MIN(100,
  IF(ISNUMBER(V183), _xlfn.IFS(V183&gt;=3,25, V183=2,15, V183=1,5, TRUE,0), 0)
  + IFERROR(_xlfn.IFS(VALUE(LEFT(DF183,1))=5,25, VALUE(LEFT(DF183,1))=4,20, VALUE(LEFT(DF183,1))=3,15, VALUE(LEFT(DF183,1))=2,8, TRUE,0), 15)
  + IFERROR(_xlfn.IFS(VALUE(LEFT(DG183,1))=5,25, VALUE(LEFT(DG183,1))=4,20, VALUE(LEFT(DG183,1))=3,15, VALUE(LEFT(DG183,1))=2,8, TRUE,0), 15)
  + _xlfn.IFS(DH183="Fully Verified",25, DH183="Partially Verified",12, TRUE,0)
)</f>
        <v/>
      </c>
      <c r="DO183" s="5">
        <f t="array" ref="DO183">_xlfn.IFS(
  ISBLANK(AR183), "Insufficient Evidence",
  AND(AR183&gt;=65, AJ183="Approved"), "Strong",
  AR183&gt;=65, "Adequate",
  AR183&gt;=40, "Adequate",
  AR183&gt;=20, "Weak",
  TRUE, "Insufficient Evidence"
)</f>
        <v/>
      </c>
      <c r="DP183" s="5">
        <f t="array" ref="DP183">_xlfn.IFS(
  ISBLANK(BS183), "Insufficient Evidence",
  BS183&gt;=65, "Strong",
  BS183&gt;=40, "Adequate",
  BS183&gt;=20, "Weak",
  TRUE, "Insufficient Evidence"
)</f>
        <v/>
      </c>
      <c r="DQ183" s="5">
        <f t="array" ref="DQ183">_xlfn.IFS(
  ISBLANK(BE183), "Insufficient Evidence",
  OR(AW183="Confirmed Violation", AX183="Confirmed Breach"), "Severe — Hard Trigger",
  BE183&gt;=65, "Strong",
  BE183&gt;=40, "Adequate",
  BE183&gt;=20, "Weak",
  TRUE, "Insufficient Evidence"
)</f>
        <v/>
      </c>
      <c r="DR183" s="5">
        <f t="array" ref="DR183">_xlfn.IFS(
  ISBLANK(CU183), "Insufficient Evidence",
  CU183&lt;=20, "Low Risk",
  CU183&lt;=50, "Moderate Risk",
  CU183&lt;=75, "High Risk",
  TRUE, "Very High Risk"
)</f>
        <v/>
      </c>
      <c r="DS183" s="5">
        <f t="array" ref="DS183">_xlfn.IFS(
  ISBLANK(CE183), "Insufficient Evidence",
  AND(ISNUMBER(BW183),ISNUMBER(BV183),BW183&gt;BV183), "Overclaiming Risk",
  CE183&gt;=65, "Strong",
  CE183&gt;=40, "Adequate",
  TRUE, "Weak"
)</f>
        <v/>
      </c>
      <c r="DT183" s="5">
        <f>IF(DB183="Yes — Automatic",0,ROUND((IF(ISNUMBER(AR183),AR183,0)*0.3+IF(ISNUMBER(BS183),BS183,0)*0.2+IF(ISNUMBER(BE183),BE183,0)*0.2+IF(ISNUMBER(CE183),CE183,0)*0.15+(100-IF(ISNUMBER(CU183),CU183,50))*0.15)*IF(DN183&gt;=75,1,IF(DN183&gt;=50,0.9,IF(DN183&gt;=25,0.75,0.6))),1))</f>
        <v/>
      </c>
      <c r="DU183" s="5">
        <f t="array" ref="DU183">_xlfn.IFS(
  DV183="Upgraded to Clear", "Clear",
  DV183="Downgraded to Watchlist", "Watchlist",
  DV183="Downgraded to Exclusion", "Exclusion Risk",
  DB183="Yes — Automatic", "Exclusion Risk",
  OR(AW183="Confirmed Violation", AX183="Confirmed Breach"), "Exclusion Risk",
  OR(V183=0, ISBLANK(V183), DN183&lt;20), "Insufficient Evidence",
  AND(DT183&gt;=65, DA183="No", DB183="No"), "Clear",
  OR(DT183&gt;=40, DA183="Yes"), "Watchlist",
  TRUE, "Exclusion Risk"
)</f>
        <v/>
      </c>
      <c r="DV183" s="5" t="n"/>
      <c r="DW183" s="5">
        <f t="array" ref="DW183">_xlfn.IFS(
  DU183="Exclusion Risk", "Exclude — Hard Trigger",
  DU183="Insufficient Evidence", "Watchlist — Further Evidence Needed",
  DU183="Watchlist", "Watchlist — Further Evidence Needed",
  AND(DU183="Clear", DT183&gt;=80), "Include — No Conditions",
  DU183="Clear", "Include — Monitor",
  TRUE, "Watchlist — Further Evidence Needed"
)</f>
        <v/>
      </c>
      <c r="DX183" s="5" t="n"/>
      <c r="DY183" s="5" t="n"/>
      <c r="DZ183" s="5" t="n"/>
      <c r="EA183" s="5" t="n"/>
      <c r="EB183" s="5">
        <f>IF(OR(V183=0, ISBLANK(V183)), "MISSING — No sources reviewed", "")</f>
        <v/>
      </c>
      <c r="EC183" s="5">
        <f>IF(AND(NOT(ISBLANK(DC183)), ISBLANK(DE183)), "PAGE REF MISSING", "")</f>
        <v/>
      </c>
    </row>
    <row r="184" ht="18" customHeight="1" s="60">
      <c r="A184" s="5" t="inlineStr">
        <is>
          <t>Zealand Pharma A/S</t>
        </is>
      </c>
      <c r="B184" s="5" t="inlineStr">
        <is>
          <t>22Z</t>
        </is>
      </c>
      <c r="C184" s="5">
        <f>IF(ISBLANK('Universe Tracker'!D159),"",'Universe Tracker'!D159)</f>
        <v/>
      </c>
      <c r="D184" s="5" t="n"/>
      <c r="E184" s="5" t="n"/>
      <c r="F184" s="5">
        <f>IF(ISBLANK('Universe Tracker'!F159),"",'Universe Tracker'!F159)</f>
        <v/>
      </c>
      <c r="G184" s="5">
        <f>IF(ISBLANK('Universe Tracker'!G159),"",'Universe Tracker'!G159)</f>
        <v/>
      </c>
      <c r="H184" s="5" t="n"/>
      <c r="I184" s="5" t="n"/>
      <c r="J184" s="5">
        <f>IF(ISBLANK(B184),"",B184&amp;"_"&amp;C184)</f>
        <v/>
      </c>
      <c r="K184" s="5" t="n"/>
      <c r="L184" s="5" t="n"/>
      <c r="M184" s="5" t="n"/>
      <c r="N184" s="5" t="n"/>
      <c r="O184" s="5" t="n"/>
      <c r="P184" s="5" t="n"/>
      <c r="Q184" s="5" t="n"/>
      <c r="R184" s="5" t="n"/>
      <c r="S184" s="5" t="n"/>
      <c r="T184" s="5" t="n"/>
      <c r="U184" s="5" t="n"/>
      <c r="V184" s="5" t="n"/>
      <c r="W184" s="5" t="n"/>
      <c r="X184" s="5" t="n"/>
      <c r="Y184" s="5">
        <f>IF(AND(V184&gt;=2,K184="Yes",L184="Yes"),"Sufficient",IF(AND(V184&gt;=1,OR(K184="Yes",L184="Yes")),"Thin","Insufficient"))</f>
        <v/>
      </c>
      <c r="Z184" s="5" t="n"/>
      <c r="AA184" s="5" t="n"/>
      <c r="AB184" s="5" t="n"/>
      <c r="AC184" s="5" t="n"/>
      <c r="AD184" s="5" t="n"/>
      <c r="AE184" s="5" t="n"/>
      <c r="AF184" s="5" t="n"/>
      <c r="AG184" s="5" t="n"/>
      <c r="AH184" s="5" t="n"/>
      <c r="AI184" s="5" t="n"/>
      <c r="AJ184" s="5" t="n"/>
      <c r="AK184" s="5" t="n"/>
      <c r="AL184" s="5" t="n"/>
      <c r="AM184" s="5" t="n"/>
      <c r="AN184" s="5" t="n"/>
      <c r="AO184" s="5" t="n"/>
      <c r="AP184" s="5" t="n"/>
      <c r="AQ184" s="5" t="n"/>
      <c r="AR184" s="40">
        <f t="array" ref="AR184">MIN(100, MAX(0,
  IFERROR(_xlfn.XLOOKUP(AJ184,'Lookup Tables'!$A$2:$A$7,'Lookup Tables'!$B$2:$B$7,0),0)
  + IF(Z184="Yes", IF(IFERROR(_xlfn.XLOOKUP(AJ184,'Lookup Tables'!$A$2:$A$7,'Lookup Tables'!$B$2:$B$7,0),0)&lt;20, 5, 0), 0)
  + _xlfn.IFS(AB184="Yes", IF(ISNUMBER(AC184)*AND(AC184&lt;=2030),15,10), AB184="Long-term Only", 5, AB184="No", 0, TRUE, 0)
  + _xlfn.IFS(AF184="Full",10, AF184="Partial",5, AF184="Scope 2 Only",3, TRUE,0)
  + _xlfn.IFS(AG184="Yes", IF(ISNUMBER(AH184)*AND(AH184&gt;=5),10,6), AG184="Partial",4, TRUE,0)
  + _xlfn.IFS(AI184="Yes",5, AI184="Partial (material categories only)",3, TRUE,0)
  + _xlfn.IFS(AL184="Yes — Detailed",10, AL184="Yes — High Level",5, TRUE,0)
  + _xlfn.IFS(AM184="Yes — Quantified",15, AM184="Yes — Directional Only",7, TRUE,0)
  + _xlfn.IFS(AP184="Formal",5, AP184="Referenced",2, TRUE,0)
  + _xlfn.IFS(AQ184="No Issues Found",5, AQ184="Concern Identified",-5, AQ184="Severe Contradiction",-15, TRUE,0)
  + _xlfn.IFS(BC184="Reasonable Assurance",5, BC184="Limited Assurance",3, TRUE,0)
  - IF(AND(Z184="Yes", AI184="No"), 10, 0)
  - IF(AND(Z184="Yes", AM184="No"), 10, 0)
))</f>
        <v/>
      </c>
      <c r="AS184" s="5" t="n"/>
      <c r="AT184" s="5" t="n"/>
      <c r="AU184" s="5" t="n"/>
      <c r="AV184" s="5" t="n"/>
      <c r="AW184" s="5" t="n"/>
      <c r="AX184" s="5" t="n"/>
      <c r="AY184" s="5" t="n"/>
      <c r="AZ184" s="5" t="n"/>
      <c r="BA184" s="5" t="n"/>
      <c r="BB184" s="5" t="n"/>
      <c r="BC184" s="5" t="n"/>
      <c r="BD184" s="5" t="n"/>
      <c r="BE184" s="39">
        <f t="array" ref="BE184">MIN(100, MAX(0,
  IFERROR(_xlfn.XLOOKUP(AT184,'Lookup Tables'!$D$2:$D$6,'Lookup Tables'!$E$2:$E$6,0),0)
  + IFERROR(_xlfn.XLOOKUP(AV184,'Lookup Tables'!$G$2:$G$5,'Lookup Tables'!$H$2:$H$5,0),0)
  + IFERROR(_xlfn.XLOOKUP(AW184,'Lookup Tables'!$J$2:$J$5,'Lookup Tables'!$K$2:$K$5,0),0)
  + _xlfn.IFS(AX184="No Issues",10, AX184="Complaint Filed",3, AX184="Confirmed Breach",-15, TRUE,0)
  + IFERROR(_xlfn.XLOOKUP(AY184,'Lookup Tables'!$M$2:$M$6,'Lookup Tables'!$N$2:$N$6,0),0)
  + IFERROR(_xlfn.XLOOKUP(AZ184,'Lookup Tables'!$P$2:$P$6,'Lookup Tables'!$Q$2:$Q$6,0),0)
  + _xlfn.IFS(BA184="Formal Board Committee",5, BA184="Board Oversight Mentioned",2, TRUE,0)
  + _xlfn.IFS(BB184="Yes — Quantified Targets",5, BB184="Yes — Discretionary Only",2, TRUE,0)
  + _xlfn.IFS(BC184="Reasonable Assurance",5, BC184="Limited Assurance",3, BC184="Management Review Only",1, TRUE,0)
))</f>
        <v/>
      </c>
      <c r="BF184" s="5" t="n"/>
      <c r="BG184" s="5" t="n"/>
      <c r="BH184" s="5" t="n"/>
      <c r="BI184" s="5" t="n"/>
      <c r="BJ184" s="5" t="n"/>
      <c r="BK184" s="5" t="n"/>
      <c r="BL184" s="5" t="n"/>
      <c r="BM184" s="5" t="n"/>
      <c r="BN184" s="5" t="n"/>
      <c r="BO184" s="5" t="n"/>
      <c r="BP184" s="5" t="n"/>
      <c r="BQ184" s="5" t="n"/>
      <c r="BR184" s="5" t="n"/>
      <c r="BS184" s="41">
        <f t="array" ref="BS184">MIN(100, MAX(0,
  IFERROR(_xlfn.XLOOKUP(BG184,'Lookup Tables'!$A$11:$A$16,'Lookup Tables'!$B$11:$B$16,0),0)
  + IFERROR(_xlfn.XLOOKUP(BR184,'Lookup Tables'!$M$11:$M$14,'Lookup Tables'!$N$11:$N$14,0),0)
  + IFERROR(_xlfn.XLOOKUP(BQ184,'Lookup Tables'!$J$11:$J$15,'Lookup Tables'!$K$11:$K$15,0),0)
  + IFERROR(_xlfn.XLOOKUP(BH184,'Lookup Tables'!$D$11:$D$15,'Lookup Tables'!$E$11:$E$15,0),0)
  + IFERROR(_xlfn.XLOOKUP(BJ184,'Lookup Tables'!$G$11:$G$16,'Lookup Tables'!$H$11:$H$16,0),0)
  + IFERROR(_xlfn.XLOOKUP(BN184,'Lookup Tables'!$P$11:$P$15,'Lookup Tables'!$Q$11:$Q$15,0),0)
  + _xlfn.IFS(BM184="No Evidence",10, BM184="Unknown",3, BM184="Likely",0, BM184="Confirmed",-10, TRUE,3)
  + IFERROR(_xlfn.XLOOKUP(BP184,'Lookup Tables'!$J$21:$J$24,'Lookup Tables'!$K$21:$K$24,0),0)
))</f>
        <v/>
      </c>
      <c r="BT184" s="5" t="n"/>
      <c r="BU184" s="5" t="n"/>
      <c r="BV184" s="5" t="n"/>
      <c r="BW184" s="5" t="n"/>
      <c r="BX184" s="5" t="n"/>
      <c r="BY184" s="5" t="n"/>
      <c r="BZ184" s="5" t="n"/>
      <c r="CA184" s="5" t="n"/>
      <c r="CB184" s="5" t="n"/>
      <c r="CC184" s="5" t="n"/>
      <c r="CD184" s="5" t="n"/>
      <c r="CE184" s="43">
        <f t="array" ref="CE184">MIN(100, MAX(0,
  IF(ISNUMBER(BV184)*AND(BV184&gt;0), 10, 0)
  + _xlfn.IFS(BY184="Independently Verified",25, BY184="Yes",15, TRUE,0)
  + IFERROR(_xlfn.XLOOKUP(BZ184,'Lookup Tables'!$A$21:$A$24,'Lookup Tables'!$B$21:$B$24,0),0)
  + IFERROR(_xlfn.XLOOKUP(CA184,'Lookup Tables'!$D$21:$D$24,'Lookup Tables'!$E$21:$E$24,0),0)
  + _xlfn.IFS(ISNUMBER(CB184)*AND(CB184&gt;=11),15, ISNUMBER(CB184)*AND(CB184&gt;=6),10, ISNUMBER(CB184)*AND(CB184&gt;=1),5, TRUE,0)
  + IFERROR(_xlfn.XLOOKUP(CC184,'Lookup Tables'!$G$21:$G$25,'Lookup Tables'!$H$21:$H$25,0),0)
  - IF(ISNUMBER(BW184)*AND(ISNUMBER(BV184))*AND(BW184&gt;BV184), 20, 0)
  - IF(AND(BY184="Yes", ISNUMBER(BW184), BW184&gt;60), 10, 0)
))</f>
        <v/>
      </c>
      <c r="CF184" s="5" t="n"/>
      <c r="CG184" s="5" t="n"/>
      <c r="CH184" s="5" t="n"/>
      <c r="CI184" s="5" t="n"/>
      <c r="CJ184" s="5" t="n"/>
      <c r="CK184" s="5" t="n"/>
      <c r="CL184" s="5" t="n"/>
      <c r="CM184" s="5" t="n"/>
      <c r="CN184" s="5" t="n"/>
      <c r="CO184" s="5" t="n"/>
      <c r="CP184" s="5" t="n"/>
      <c r="CQ184" s="5" t="n"/>
      <c r="CR184" s="5">
        <f>COUNTIF(CJ184:CQ184,"FAIL")</f>
        <v/>
      </c>
      <c r="CS184" s="5">
        <f>COUNTIF(CJ184:CQ184,"PARTIAL")</f>
        <v/>
      </c>
      <c r="CT184" s="5">
        <f>COUNTIF(CJ184:CQ184,"MISSING")</f>
        <v/>
      </c>
      <c r="CU184" s="5">
        <f>MIN(100,
  CR184*15
  + CS184*6
  + CT184*3
  + IFERROR(_xlfn.XLOOKUP(CW184,'Lookup Tables'!$M$21:$M$25,'Lookup Tables'!$N$21:$N$25,0),0)
)</f>
        <v/>
      </c>
      <c r="CV184" s="5">
        <f>IFERROR(
CHOOSE(
MATCH("FAIL",CJ184:CQ184,0),
"1-Specificity","2-Metric","3-Baseline","4-Target",
"5-Time Horizon","6-Scope","7-Verification","8-Consistency"
),
IFERROR(
CHOOSE(
MATCH("PARTIAL",CJ184:CQ184,0),
"1-Specificity","2-Metric","3-Baseline","4-Target",
"5-Time Horizon","6-Scope","7-Verification","8-Consistency"
),
"No failures"
)
)</f>
        <v/>
      </c>
      <c r="CW184" s="5" t="n"/>
      <c r="CX184" s="5" t="n"/>
      <c r="CY184" s="5" t="n"/>
      <c r="CZ184" s="5" t="n"/>
      <c r="DA184" s="5">
        <f>IF(OR(CU184&gt;=50,CW184="Material",CW184="Severe",AS184="Material",AS184="Severe",BF184="Material",BF184="Severe — Exclusion Trigger",AND(ISNUMBER(BS184),BS184&lt;30)),"Yes","No")</f>
        <v/>
      </c>
      <c r="DB184" s="5">
        <f>IF(OR(CR184&gt;=6,AW184="Confirmed Violation",AX184="Confirmed Breach"),"Yes — Automatic",IF(CW184="Severe","Yes — Requires Captain Confirmation","No"))</f>
        <v/>
      </c>
      <c r="DC184" s="5" t="n"/>
      <c r="DD184" s="5" t="n"/>
      <c r="DE184" s="5" t="n"/>
      <c r="DF184" s="5" t="n"/>
      <c r="DG184" s="5" t="n"/>
      <c r="DH184" s="5" t="n"/>
      <c r="DI184" s="5" t="n"/>
      <c r="DJ184" s="5" t="n"/>
      <c r="DK184" s="5" t="n"/>
      <c r="DL184" s="5">
        <f>IF(OR(IFERROR(VALUE(LEFT(DF184,1)),99)&lt;=2,IFERROR(VALUE(LEFT(DG184,1)),99)&lt;=2),"Flagged","Clear")</f>
        <v/>
      </c>
      <c r="DM184" s="5">
        <f>IF(OR(DA184="Yes",DB184&lt;&gt;"No",DH184="Unverified",DL184="Flagged"),"Yes","No")</f>
        <v/>
      </c>
      <c r="DN184" s="5">
        <f t="array" ref="DN184">MIN(100,
  IF(ISNUMBER(V184), _xlfn.IFS(V184&gt;=3,25, V184=2,15, V184=1,5, TRUE,0), 0)
  + IFERROR(_xlfn.IFS(VALUE(LEFT(DF184,1))=5,25, VALUE(LEFT(DF184,1))=4,20, VALUE(LEFT(DF184,1))=3,15, VALUE(LEFT(DF184,1))=2,8, TRUE,0), 15)
  + IFERROR(_xlfn.IFS(VALUE(LEFT(DG184,1))=5,25, VALUE(LEFT(DG184,1))=4,20, VALUE(LEFT(DG184,1))=3,15, VALUE(LEFT(DG184,1))=2,8, TRUE,0), 15)
  + _xlfn.IFS(DH184="Fully Verified",25, DH184="Partially Verified",12, TRUE,0)
)</f>
        <v/>
      </c>
      <c r="DO184" s="5">
        <f t="array" ref="DO184">_xlfn.IFS(
  ISBLANK(AR184), "Insufficient Evidence",
  AND(AR184&gt;=65, AJ184="Approved"), "Strong",
  AR184&gt;=65, "Adequate",
  AR184&gt;=40, "Adequate",
  AR184&gt;=20, "Weak",
  TRUE, "Insufficient Evidence"
)</f>
        <v/>
      </c>
      <c r="DP184" s="5">
        <f t="array" ref="DP184">_xlfn.IFS(
  ISBLANK(BS184), "Insufficient Evidence",
  BS184&gt;=65, "Strong",
  BS184&gt;=40, "Adequate",
  BS184&gt;=20, "Weak",
  TRUE, "Insufficient Evidence"
)</f>
        <v/>
      </c>
      <c r="DQ184" s="5">
        <f t="array" ref="DQ184">_xlfn.IFS(
  ISBLANK(BE184), "Insufficient Evidence",
  OR(AW184="Confirmed Violation", AX184="Confirmed Breach"), "Severe — Hard Trigger",
  BE184&gt;=65, "Strong",
  BE184&gt;=40, "Adequate",
  BE184&gt;=20, "Weak",
  TRUE, "Insufficient Evidence"
)</f>
        <v/>
      </c>
      <c r="DR184" s="5">
        <f t="array" ref="DR184">_xlfn.IFS(
  ISBLANK(CU184), "Insufficient Evidence",
  CU184&lt;=20, "Low Risk",
  CU184&lt;=50, "Moderate Risk",
  CU184&lt;=75, "High Risk",
  TRUE, "Very High Risk"
)</f>
        <v/>
      </c>
      <c r="DS184" s="5">
        <f t="array" ref="DS184">_xlfn.IFS(
  ISBLANK(CE184), "Insufficient Evidence",
  AND(ISNUMBER(BW184),ISNUMBER(BV184),BW184&gt;BV184), "Overclaiming Risk",
  CE184&gt;=65, "Strong",
  CE184&gt;=40, "Adequate",
  TRUE, "Weak"
)</f>
        <v/>
      </c>
      <c r="DT184" s="5">
        <f>IF(DB184="Yes — Automatic",0,ROUND((IF(ISNUMBER(AR184),AR184,0)*0.3+IF(ISNUMBER(BS184),BS184,0)*0.2+IF(ISNUMBER(BE184),BE184,0)*0.2+IF(ISNUMBER(CE184),CE184,0)*0.15+(100-IF(ISNUMBER(CU184),CU184,50))*0.15)*IF(DN184&gt;=75,1,IF(DN184&gt;=50,0.9,IF(DN184&gt;=25,0.75,0.6))),1))</f>
        <v/>
      </c>
      <c r="DU184" s="5">
        <f t="array" ref="DU184">_xlfn.IFS(
  DV184="Upgraded to Clear", "Clear",
  DV184="Downgraded to Watchlist", "Watchlist",
  DV184="Downgraded to Exclusion", "Exclusion Risk",
  DB184="Yes — Automatic", "Exclusion Risk",
  OR(AW184="Confirmed Violation", AX184="Confirmed Breach"), "Exclusion Risk",
  OR(V184=0, ISBLANK(V184), DN184&lt;20), "Insufficient Evidence",
  AND(DT184&gt;=65, DA184="No", DB184="No"), "Clear",
  OR(DT184&gt;=40, DA184="Yes"), "Watchlist",
  TRUE, "Exclusion Risk"
)</f>
        <v/>
      </c>
      <c r="DV184" s="5" t="n"/>
      <c r="DW184" s="5">
        <f t="array" ref="DW184">_xlfn.IFS(
  DU184="Exclusion Risk", "Exclude — Hard Trigger",
  DU184="Insufficient Evidence", "Watchlist — Further Evidence Needed",
  DU184="Watchlist", "Watchlist — Further Evidence Needed",
  AND(DU184="Clear", DT184&gt;=80), "Include — No Conditions",
  DU184="Clear", "Include — Monitor",
  TRUE, "Watchlist — Further Evidence Needed"
)</f>
        <v/>
      </c>
      <c r="DX184" s="5" t="n"/>
      <c r="DY184" s="5" t="n"/>
      <c r="DZ184" s="5" t="n"/>
      <c r="EA184" s="5" t="n"/>
      <c r="EB184" s="5">
        <f>IF(OR(V184=0, ISBLANK(V184)), "MISSING — No sources reviewed", "")</f>
        <v/>
      </c>
      <c r="EC184" s="5">
        <f>IF(AND(NOT(ISBLANK(DC184)), ISBLANK(DE184)), "PAGE REF MISSING", "")</f>
        <v/>
      </c>
    </row>
    <row r="185" ht="18" customHeight="1" s="60">
      <c r="A185" s="5" t="inlineStr">
        <is>
          <t>Tauron Polska Energia SA</t>
        </is>
      </c>
      <c r="B185" s="5" t="inlineStr">
        <is>
          <t>1T5</t>
        </is>
      </c>
      <c r="C185" s="5">
        <f>IF(ISBLANK('Universe Tracker'!D160),"",'Universe Tracker'!D160)</f>
        <v/>
      </c>
      <c r="D185" s="5" t="n"/>
      <c r="E185" s="5" t="n"/>
      <c r="F185" s="5">
        <f>IF(ISBLANK('Universe Tracker'!F160),"",'Universe Tracker'!F160)</f>
        <v/>
      </c>
      <c r="G185" s="5">
        <f>IF(ISBLANK('Universe Tracker'!G160),"",'Universe Tracker'!G160)</f>
        <v/>
      </c>
      <c r="H185" s="5" t="n"/>
      <c r="I185" s="5" t="n"/>
      <c r="J185" s="5">
        <f>IF(ISBLANK(B185),"",B185&amp;"_"&amp;C185)</f>
        <v/>
      </c>
      <c r="K185" s="5" t="n"/>
      <c r="L185" s="5" t="n"/>
      <c r="M185" s="5" t="n"/>
      <c r="N185" s="5" t="n"/>
      <c r="O185" s="5" t="n"/>
      <c r="P185" s="5" t="n"/>
      <c r="Q185" s="5" t="n"/>
      <c r="R185" s="5" t="n"/>
      <c r="S185" s="5" t="n"/>
      <c r="T185" s="5" t="n"/>
      <c r="U185" s="5" t="n"/>
      <c r="V185" s="5" t="n"/>
      <c r="W185" s="5" t="n"/>
      <c r="X185" s="5" t="n"/>
      <c r="Y185" s="5">
        <f>IF(AND(V185&gt;=2,K185="Yes",L185="Yes"),"Sufficient",IF(AND(V185&gt;=1,OR(K185="Yes",L185="Yes")),"Thin","Insufficient"))</f>
        <v/>
      </c>
      <c r="Z185" s="5" t="n"/>
      <c r="AA185" s="5" t="n"/>
      <c r="AB185" s="5" t="n"/>
      <c r="AC185" s="5" t="n"/>
      <c r="AD185" s="5" t="n"/>
      <c r="AE185" s="5" t="n"/>
      <c r="AF185" s="5" t="n"/>
      <c r="AG185" s="5" t="n"/>
      <c r="AH185" s="5" t="n"/>
      <c r="AI185" s="5" t="n"/>
      <c r="AJ185" s="5" t="n"/>
      <c r="AK185" s="5" t="n"/>
      <c r="AL185" s="5" t="n"/>
      <c r="AM185" s="5" t="n"/>
      <c r="AN185" s="5" t="n"/>
      <c r="AO185" s="5" t="n"/>
      <c r="AP185" s="5" t="n"/>
      <c r="AQ185" s="5" t="n"/>
      <c r="AR185" s="40">
        <f t="array" ref="AR185">MIN(100, MAX(0,
  IFERROR(_xlfn.XLOOKUP(AJ185,'Lookup Tables'!$A$2:$A$7,'Lookup Tables'!$B$2:$B$7,0),0)
  + IF(Z185="Yes", IF(IFERROR(_xlfn.XLOOKUP(AJ185,'Lookup Tables'!$A$2:$A$7,'Lookup Tables'!$B$2:$B$7,0),0)&lt;20, 5, 0), 0)
  + _xlfn.IFS(AB185="Yes", IF(ISNUMBER(AC185)*AND(AC185&lt;=2030),15,10), AB185="Long-term Only", 5, AB185="No", 0, TRUE, 0)
  + _xlfn.IFS(AF185="Full",10, AF185="Partial",5, AF185="Scope 2 Only",3, TRUE,0)
  + _xlfn.IFS(AG185="Yes", IF(ISNUMBER(AH185)*AND(AH185&gt;=5),10,6), AG185="Partial",4, TRUE,0)
  + _xlfn.IFS(AI185="Yes",5, AI185="Partial (material categories only)",3, TRUE,0)
  + _xlfn.IFS(AL185="Yes — Detailed",10, AL185="Yes — High Level",5, TRUE,0)
  + _xlfn.IFS(AM185="Yes — Quantified",15, AM185="Yes — Directional Only",7, TRUE,0)
  + _xlfn.IFS(AP185="Formal",5, AP185="Referenced",2, TRUE,0)
  + _xlfn.IFS(AQ185="No Issues Found",5, AQ185="Concern Identified",-5, AQ185="Severe Contradiction",-15, TRUE,0)
  + _xlfn.IFS(BC185="Reasonable Assurance",5, BC185="Limited Assurance",3, TRUE,0)
  - IF(AND(Z185="Yes", AI185="No"), 10, 0)
  - IF(AND(Z185="Yes", AM185="No"), 10, 0)
))</f>
        <v/>
      </c>
      <c r="AS185" s="5" t="n"/>
      <c r="AT185" s="5" t="n"/>
      <c r="AU185" s="5" t="n"/>
      <c r="AV185" s="5" t="n"/>
      <c r="AW185" s="5" t="n"/>
      <c r="AX185" s="5" t="n"/>
      <c r="AY185" s="5" t="n"/>
      <c r="AZ185" s="5" t="n"/>
      <c r="BA185" s="5" t="n"/>
      <c r="BB185" s="5" t="n"/>
      <c r="BC185" s="5" t="n"/>
      <c r="BD185" s="5" t="n"/>
      <c r="BE185" s="39">
        <f t="array" ref="BE185">MIN(100, MAX(0,
  IFERROR(_xlfn.XLOOKUP(AT185,'Lookup Tables'!$D$2:$D$6,'Lookup Tables'!$E$2:$E$6,0),0)
  + IFERROR(_xlfn.XLOOKUP(AV185,'Lookup Tables'!$G$2:$G$5,'Lookup Tables'!$H$2:$H$5,0),0)
  + IFERROR(_xlfn.XLOOKUP(AW185,'Lookup Tables'!$J$2:$J$5,'Lookup Tables'!$K$2:$K$5,0),0)
  + _xlfn.IFS(AX185="No Issues",10, AX185="Complaint Filed",3, AX185="Confirmed Breach",-15, TRUE,0)
  + IFERROR(_xlfn.XLOOKUP(AY185,'Lookup Tables'!$M$2:$M$6,'Lookup Tables'!$N$2:$N$6,0),0)
  + IFERROR(_xlfn.XLOOKUP(AZ185,'Lookup Tables'!$P$2:$P$6,'Lookup Tables'!$Q$2:$Q$6,0),0)
  + _xlfn.IFS(BA185="Formal Board Committee",5, BA185="Board Oversight Mentioned",2, TRUE,0)
  + _xlfn.IFS(BB185="Yes — Quantified Targets",5, BB185="Yes — Discretionary Only",2, TRUE,0)
  + _xlfn.IFS(BC185="Reasonable Assurance",5, BC185="Limited Assurance",3, BC185="Management Review Only",1, TRUE,0)
))</f>
        <v/>
      </c>
      <c r="BF185" s="5" t="n"/>
      <c r="BG185" s="5" t="n"/>
      <c r="BH185" s="5" t="n"/>
      <c r="BI185" s="5" t="n"/>
      <c r="BJ185" s="5" t="n"/>
      <c r="BK185" s="5" t="n"/>
      <c r="BL185" s="5" t="n"/>
      <c r="BM185" s="5" t="n"/>
      <c r="BN185" s="5" t="n"/>
      <c r="BO185" s="5" t="n"/>
      <c r="BP185" s="5" t="n"/>
      <c r="BQ185" s="5" t="n"/>
      <c r="BR185" s="5" t="n"/>
      <c r="BS185" s="41">
        <f t="array" ref="BS185">MIN(100, MAX(0,
  IFERROR(_xlfn.XLOOKUP(BG185,'Lookup Tables'!$A$11:$A$16,'Lookup Tables'!$B$11:$B$16,0),0)
  + IFERROR(_xlfn.XLOOKUP(BR185,'Lookup Tables'!$M$11:$M$14,'Lookup Tables'!$N$11:$N$14,0),0)
  + IFERROR(_xlfn.XLOOKUP(BQ185,'Lookup Tables'!$J$11:$J$15,'Lookup Tables'!$K$11:$K$15,0),0)
  + IFERROR(_xlfn.XLOOKUP(BH185,'Lookup Tables'!$D$11:$D$15,'Lookup Tables'!$E$11:$E$15,0),0)
  + IFERROR(_xlfn.XLOOKUP(BJ185,'Lookup Tables'!$G$11:$G$16,'Lookup Tables'!$H$11:$H$16,0),0)
  + IFERROR(_xlfn.XLOOKUP(BN185,'Lookup Tables'!$P$11:$P$15,'Lookup Tables'!$Q$11:$Q$15,0),0)
  + _xlfn.IFS(BM185="No Evidence",10, BM185="Unknown",3, BM185="Likely",0, BM185="Confirmed",-10, TRUE,3)
  + IFERROR(_xlfn.XLOOKUP(BP185,'Lookup Tables'!$J$21:$J$24,'Lookup Tables'!$K$21:$K$24,0),0)
))</f>
        <v/>
      </c>
      <c r="BT185" s="5" t="n"/>
      <c r="BU185" s="5" t="n"/>
      <c r="BV185" s="5" t="n"/>
      <c r="BW185" s="5" t="n"/>
      <c r="BX185" s="5" t="n"/>
      <c r="BY185" s="5" t="n"/>
      <c r="BZ185" s="5" t="n"/>
      <c r="CA185" s="5" t="n"/>
      <c r="CB185" s="5" t="n"/>
      <c r="CC185" s="5" t="n"/>
      <c r="CD185" s="5" t="n"/>
      <c r="CE185" s="43">
        <f t="array" ref="CE185">MIN(100, MAX(0,
  IF(ISNUMBER(BV185)*AND(BV185&gt;0), 10, 0)
  + _xlfn.IFS(BY185="Independently Verified",25, BY185="Yes",15, TRUE,0)
  + IFERROR(_xlfn.XLOOKUP(BZ185,'Lookup Tables'!$A$21:$A$24,'Lookup Tables'!$B$21:$B$24,0),0)
  + IFERROR(_xlfn.XLOOKUP(CA185,'Lookup Tables'!$D$21:$D$24,'Lookup Tables'!$E$21:$E$24,0),0)
  + _xlfn.IFS(ISNUMBER(CB185)*AND(CB185&gt;=11),15, ISNUMBER(CB185)*AND(CB185&gt;=6),10, ISNUMBER(CB185)*AND(CB185&gt;=1),5, TRUE,0)
  + IFERROR(_xlfn.XLOOKUP(CC185,'Lookup Tables'!$G$21:$G$25,'Lookup Tables'!$H$21:$H$25,0),0)
  - IF(ISNUMBER(BW185)*AND(ISNUMBER(BV185))*AND(BW185&gt;BV185), 20, 0)
  - IF(AND(BY185="Yes", ISNUMBER(BW185), BW185&gt;60), 10, 0)
))</f>
        <v/>
      </c>
      <c r="CF185" s="5" t="n"/>
      <c r="CG185" s="5" t="n"/>
      <c r="CH185" s="5" t="n"/>
      <c r="CI185" s="5" t="n"/>
      <c r="CJ185" s="5" t="n"/>
      <c r="CK185" s="5" t="n"/>
      <c r="CL185" s="5" t="n"/>
      <c r="CM185" s="5" t="n"/>
      <c r="CN185" s="5" t="n"/>
      <c r="CO185" s="5" t="n"/>
      <c r="CP185" s="5" t="n"/>
      <c r="CQ185" s="5" t="n"/>
      <c r="CR185" s="5">
        <f>COUNTIF(CJ185:CQ185,"FAIL")</f>
        <v/>
      </c>
      <c r="CS185" s="5">
        <f>COUNTIF(CJ185:CQ185,"PARTIAL")</f>
        <v/>
      </c>
      <c r="CT185" s="5">
        <f>COUNTIF(CJ185:CQ185,"MISSING")</f>
        <v/>
      </c>
      <c r="CU185" s="5">
        <f>MIN(100,
  CR185*15
  + CS185*6
  + CT185*3
  + IFERROR(_xlfn.XLOOKUP(CW185,'Lookup Tables'!$M$21:$M$25,'Lookup Tables'!$N$21:$N$25,0),0)
)</f>
        <v/>
      </c>
      <c r="CV185" s="5">
        <f>IFERROR(
CHOOSE(
MATCH("FAIL",CJ185:CQ185,0),
"1-Specificity","2-Metric","3-Baseline","4-Target",
"5-Time Horizon","6-Scope","7-Verification","8-Consistency"
),
IFERROR(
CHOOSE(
MATCH("PARTIAL",CJ185:CQ185,0),
"1-Specificity","2-Metric","3-Baseline","4-Target",
"5-Time Horizon","6-Scope","7-Verification","8-Consistency"
),
"No failures"
)
)</f>
        <v/>
      </c>
      <c r="CW185" s="5" t="n"/>
      <c r="CX185" s="5" t="n"/>
      <c r="CY185" s="5" t="n"/>
      <c r="CZ185" s="5" t="n"/>
      <c r="DA185" s="5">
        <f>IF(OR(CU185&gt;=50,CW185="Material",CW185="Severe",AS185="Material",AS185="Severe",BF185="Material",BF185="Severe — Exclusion Trigger",AND(ISNUMBER(BS185),BS185&lt;30)),"Yes","No")</f>
        <v/>
      </c>
      <c r="DB185" s="5">
        <f>IF(OR(CR185&gt;=6,AW185="Confirmed Violation",AX185="Confirmed Breach"),"Yes — Automatic",IF(CW185="Severe","Yes — Requires Captain Confirmation","No"))</f>
        <v/>
      </c>
      <c r="DC185" s="5" t="n"/>
      <c r="DD185" s="5" t="n"/>
      <c r="DE185" s="5" t="n"/>
      <c r="DF185" s="5" t="n"/>
      <c r="DG185" s="5" t="n"/>
      <c r="DH185" s="5" t="n"/>
      <c r="DI185" s="5" t="n"/>
      <c r="DJ185" s="5" t="n"/>
      <c r="DK185" s="5" t="n"/>
      <c r="DL185" s="5">
        <f>IF(OR(IFERROR(VALUE(LEFT(DF185,1)),99)&lt;=2,IFERROR(VALUE(LEFT(DG185,1)),99)&lt;=2),"Flagged","Clear")</f>
        <v/>
      </c>
      <c r="DM185" s="5">
        <f>IF(OR(DA185="Yes",DB185&lt;&gt;"No",DH185="Unverified",DL185="Flagged"),"Yes","No")</f>
        <v/>
      </c>
      <c r="DN185" s="5">
        <f t="array" ref="DN185">MIN(100,
  IF(ISNUMBER(V185), _xlfn.IFS(V185&gt;=3,25, V185=2,15, V185=1,5, TRUE,0), 0)
  + IFERROR(_xlfn.IFS(VALUE(LEFT(DF185,1))=5,25, VALUE(LEFT(DF185,1))=4,20, VALUE(LEFT(DF185,1))=3,15, VALUE(LEFT(DF185,1))=2,8, TRUE,0), 15)
  + IFERROR(_xlfn.IFS(VALUE(LEFT(DG185,1))=5,25, VALUE(LEFT(DG185,1))=4,20, VALUE(LEFT(DG185,1))=3,15, VALUE(LEFT(DG185,1))=2,8, TRUE,0), 15)
  + _xlfn.IFS(DH185="Fully Verified",25, DH185="Partially Verified",12, TRUE,0)
)</f>
        <v/>
      </c>
      <c r="DO185" s="5">
        <f t="array" ref="DO185">_xlfn.IFS(
  ISBLANK(AR185), "Insufficient Evidence",
  AND(AR185&gt;=65, AJ185="Approved"), "Strong",
  AR185&gt;=65, "Adequate",
  AR185&gt;=40, "Adequate",
  AR185&gt;=20, "Weak",
  TRUE, "Insufficient Evidence"
)</f>
        <v/>
      </c>
      <c r="DP185" s="5">
        <f t="array" ref="DP185">_xlfn.IFS(
  ISBLANK(BS185), "Insufficient Evidence",
  BS185&gt;=65, "Strong",
  BS185&gt;=40, "Adequate",
  BS185&gt;=20, "Weak",
  TRUE, "Insufficient Evidence"
)</f>
        <v/>
      </c>
      <c r="DQ185" s="5">
        <f t="array" ref="DQ185">_xlfn.IFS(
  ISBLANK(BE185), "Insufficient Evidence",
  OR(AW185="Confirmed Violation", AX185="Confirmed Breach"), "Severe — Hard Trigger",
  BE185&gt;=65, "Strong",
  BE185&gt;=40, "Adequate",
  BE185&gt;=20, "Weak",
  TRUE, "Insufficient Evidence"
)</f>
        <v/>
      </c>
      <c r="DR185" s="5">
        <f t="array" ref="DR185">_xlfn.IFS(
  ISBLANK(CU185), "Insufficient Evidence",
  CU185&lt;=20, "Low Risk",
  CU185&lt;=50, "Moderate Risk",
  CU185&lt;=75, "High Risk",
  TRUE, "Very High Risk"
)</f>
        <v/>
      </c>
      <c r="DS185" s="5">
        <f t="array" ref="DS185">_xlfn.IFS(
  ISBLANK(CE185), "Insufficient Evidence",
  AND(ISNUMBER(BW185),ISNUMBER(BV185),BW185&gt;BV185), "Overclaiming Risk",
  CE185&gt;=65, "Strong",
  CE185&gt;=40, "Adequate",
  TRUE, "Weak"
)</f>
        <v/>
      </c>
      <c r="DT185" s="5">
        <f>IF(DB185="Yes — Automatic",0,ROUND((IF(ISNUMBER(AR185),AR185,0)*0.3+IF(ISNUMBER(BS185),BS185,0)*0.2+IF(ISNUMBER(BE185),BE185,0)*0.2+IF(ISNUMBER(CE185),CE185,0)*0.15+(100-IF(ISNUMBER(CU185),CU185,50))*0.15)*IF(DN185&gt;=75,1,IF(DN185&gt;=50,0.9,IF(DN185&gt;=25,0.75,0.6))),1))</f>
        <v/>
      </c>
      <c r="DU185" s="5">
        <f t="array" ref="DU185">_xlfn.IFS(
  DV185="Upgraded to Clear", "Clear",
  DV185="Downgraded to Watchlist", "Watchlist",
  DV185="Downgraded to Exclusion", "Exclusion Risk",
  DB185="Yes — Automatic", "Exclusion Risk",
  OR(AW185="Confirmed Violation", AX185="Confirmed Breach"), "Exclusion Risk",
  OR(V185=0, ISBLANK(V185), DN185&lt;20), "Insufficient Evidence",
  AND(DT185&gt;=65, DA185="No", DB185="No"), "Clear",
  OR(DT185&gt;=40, DA185="Yes"), "Watchlist",
  TRUE, "Exclusion Risk"
)</f>
        <v/>
      </c>
      <c r="DV185" s="5" t="n"/>
      <c r="DW185" s="5">
        <f t="array" ref="DW185">_xlfn.IFS(
  DU185="Exclusion Risk", "Exclude — Hard Trigger",
  DU185="Insufficient Evidence", "Watchlist — Further Evidence Needed",
  DU185="Watchlist", "Watchlist — Further Evidence Needed",
  AND(DU185="Clear", DT185&gt;=80), "Include — No Conditions",
  DU185="Clear", "Include — Monitor",
  TRUE, "Watchlist — Further Evidence Needed"
)</f>
        <v/>
      </c>
      <c r="DX185" s="5" t="n"/>
      <c r="DY185" s="5" t="n"/>
      <c r="DZ185" s="5" t="n"/>
      <c r="EA185" s="5" t="n"/>
      <c r="EB185" s="5">
        <f>IF(OR(V185=0, ISBLANK(V185)), "MISSING — No sources reviewed", "")</f>
        <v/>
      </c>
      <c r="EC185" s="5">
        <f>IF(AND(NOT(ISBLANK(DC185)), ISBLANK(DE185)), "PAGE REF MISSING", "")</f>
        <v/>
      </c>
    </row>
    <row r="186" ht="18" customHeight="1" s="60">
      <c r="A186" s="5" t="inlineStr">
        <is>
          <t>mBank SA</t>
        </is>
      </c>
      <c r="B186" s="5" t="inlineStr">
        <is>
          <t>BRU</t>
        </is>
      </c>
      <c r="C186" s="5">
        <f>IF(ISBLANK('Universe Tracker'!D161),"",'Universe Tracker'!D161)</f>
        <v/>
      </c>
      <c r="D186" s="5" t="n"/>
      <c r="E186" s="5" t="n"/>
      <c r="F186" s="5">
        <f>IF(ISBLANK('Universe Tracker'!F161),"",'Universe Tracker'!F161)</f>
        <v/>
      </c>
      <c r="G186" s="5">
        <f>IF(ISBLANK('Universe Tracker'!G161),"",'Universe Tracker'!G161)</f>
        <v/>
      </c>
      <c r="H186" s="5" t="n"/>
      <c r="I186" s="5" t="n"/>
      <c r="J186" s="5">
        <f>IF(ISBLANK(B186),"",B186&amp;"_"&amp;C186)</f>
        <v/>
      </c>
      <c r="K186" s="5" t="n"/>
      <c r="L186" s="5" t="n"/>
      <c r="M186" s="5" t="n"/>
      <c r="N186" s="5" t="n"/>
      <c r="O186" s="5" t="n"/>
      <c r="P186" s="5" t="n"/>
      <c r="Q186" s="5" t="n"/>
      <c r="R186" s="5" t="n"/>
      <c r="S186" s="5" t="n"/>
      <c r="T186" s="5" t="n"/>
      <c r="U186" s="5" t="n"/>
      <c r="V186" s="5" t="n"/>
      <c r="W186" s="5" t="n"/>
      <c r="X186" s="5" t="n"/>
      <c r="Y186" s="5">
        <f>IF(AND(V186&gt;=2,K186="Yes",L186="Yes"),"Sufficient",IF(AND(V186&gt;=1,OR(K186="Yes",L186="Yes")),"Thin","Insufficient"))</f>
        <v/>
      </c>
      <c r="Z186" s="5" t="n"/>
      <c r="AA186" s="5" t="n"/>
      <c r="AB186" s="5" t="n"/>
      <c r="AC186" s="5" t="n"/>
      <c r="AD186" s="5" t="n"/>
      <c r="AE186" s="5" t="n"/>
      <c r="AF186" s="5" t="n"/>
      <c r="AG186" s="5" t="n"/>
      <c r="AH186" s="5" t="n"/>
      <c r="AI186" s="5" t="n"/>
      <c r="AJ186" s="5" t="n"/>
      <c r="AK186" s="5" t="n"/>
      <c r="AL186" s="5" t="n"/>
      <c r="AM186" s="5" t="n"/>
      <c r="AN186" s="5" t="n"/>
      <c r="AO186" s="5" t="n"/>
      <c r="AP186" s="5" t="n"/>
      <c r="AQ186" s="5" t="n"/>
      <c r="AR186" s="40">
        <f t="array" ref="AR186">MIN(100, MAX(0,
  IFERROR(_xlfn.XLOOKUP(AJ186,'Lookup Tables'!$A$2:$A$7,'Lookup Tables'!$B$2:$B$7,0),0)
  + IF(Z186="Yes", IF(IFERROR(_xlfn.XLOOKUP(AJ186,'Lookup Tables'!$A$2:$A$7,'Lookup Tables'!$B$2:$B$7,0),0)&lt;20, 5, 0), 0)
  + _xlfn.IFS(AB186="Yes", IF(ISNUMBER(AC186)*AND(AC186&lt;=2030),15,10), AB186="Long-term Only", 5, AB186="No", 0, TRUE, 0)
  + _xlfn.IFS(AF186="Full",10, AF186="Partial",5, AF186="Scope 2 Only",3, TRUE,0)
  + _xlfn.IFS(AG186="Yes", IF(ISNUMBER(AH186)*AND(AH186&gt;=5),10,6), AG186="Partial",4, TRUE,0)
  + _xlfn.IFS(AI186="Yes",5, AI186="Partial (material categories only)",3, TRUE,0)
  + _xlfn.IFS(AL186="Yes — Detailed",10, AL186="Yes — High Level",5, TRUE,0)
  + _xlfn.IFS(AM186="Yes — Quantified",15, AM186="Yes — Directional Only",7, TRUE,0)
  + _xlfn.IFS(AP186="Formal",5, AP186="Referenced",2, TRUE,0)
  + _xlfn.IFS(AQ186="No Issues Found",5, AQ186="Concern Identified",-5, AQ186="Severe Contradiction",-15, TRUE,0)
  + _xlfn.IFS(BC186="Reasonable Assurance",5, BC186="Limited Assurance",3, TRUE,0)
  - IF(AND(Z186="Yes", AI186="No"), 10, 0)
  - IF(AND(Z186="Yes", AM186="No"), 10, 0)
))</f>
        <v/>
      </c>
      <c r="AS186" s="5" t="n"/>
      <c r="AT186" s="5" t="n"/>
      <c r="AU186" s="5" t="n"/>
      <c r="AV186" s="5" t="n"/>
      <c r="AW186" s="5" t="n"/>
      <c r="AX186" s="5" t="n"/>
      <c r="AY186" s="5" t="n"/>
      <c r="AZ186" s="5" t="n"/>
      <c r="BA186" s="5" t="n"/>
      <c r="BB186" s="5" t="n"/>
      <c r="BC186" s="5" t="n"/>
      <c r="BD186" s="5" t="n"/>
      <c r="BE186" s="39">
        <f t="array" ref="BE186">MIN(100, MAX(0,
  IFERROR(_xlfn.XLOOKUP(AT186,'Lookup Tables'!$D$2:$D$6,'Lookup Tables'!$E$2:$E$6,0),0)
  + IFERROR(_xlfn.XLOOKUP(AV186,'Lookup Tables'!$G$2:$G$5,'Lookup Tables'!$H$2:$H$5,0),0)
  + IFERROR(_xlfn.XLOOKUP(AW186,'Lookup Tables'!$J$2:$J$5,'Lookup Tables'!$K$2:$K$5,0),0)
  + _xlfn.IFS(AX186="No Issues",10, AX186="Complaint Filed",3, AX186="Confirmed Breach",-15, TRUE,0)
  + IFERROR(_xlfn.XLOOKUP(AY186,'Lookup Tables'!$M$2:$M$6,'Lookup Tables'!$N$2:$N$6,0),0)
  + IFERROR(_xlfn.XLOOKUP(AZ186,'Lookup Tables'!$P$2:$P$6,'Lookup Tables'!$Q$2:$Q$6,0),0)
  + _xlfn.IFS(BA186="Formal Board Committee",5, BA186="Board Oversight Mentioned",2, TRUE,0)
  + _xlfn.IFS(BB186="Yes — Quantified Targets",5, BB186="Yes — Discretionary Only",2, TRUE,0)
  + _xlfn.IFS(BC186="Reasonable Assurance",5, BC186="Limited Assurance",3, BC186="Management Review Only",1, TRUE,0)
))</f>
        <v/>
      </c>
      <c r="BF186" s="5" t="n"/>
      <c r="BG186" s="5" t="n"/>
      <c r="BH186" s="5" t="n"/>
      <c r="BI186" s="5" t="n"/>
      <c r="BJ186" s="5" t="n"/>
      <c r="BK186" s="5" t="n"/>
      <c r="BL186" s="5" t="n"/>
      <c r="BM186" s="5" t="n"/>
      <c r="BN186" s="5" t="n"/>
      <c r="BO186" s="5" t="n"/>
      <c r="BP186" s="5" t="n"/>
      <c r="BQ186" s="5" t="n"/>
      <c r="BR186" s="5" t="n"/>
      <c r="BS186" s="41">
        <f t="array" ref="BS186">MIN(100, MAX(0,
  IFERROR(_xlfn.XLOOKUP(BG186,'Lookup Tables'!$A$11:$A$16,'Lookup Tables'!$B$11:$B$16,0),0)
  + IFERROR(_xlfn.XLOOKUP(BR186,'Lookup Tables'!$M$11:$M$14,'Lookup Tables'!$N$11:$N$14,0),0)
  + IFERROR(_xlfn.XLOOKUP(BQ186,'Lookup Tables'!$J$11:$J$15,'Lookup Tables'!$K$11:$K$15,0),0)
  + IFERROR(_xlfn.XLOOKUP(BH186,'Lookup Tables'!$D$11:$D$15,'Lookup Tables'!$E$11:$E$15,0),0)
  + IFERROR(_xlfn.XLOOKUP(BJ186,'Lookup Tables'!$G$11:$G$16,'Lookup Tables'!$H$11:$H$16,0),0)
  + IFERROR(_xlfn.XLOOKUP(BN186,'Lookup Tables'!$P$11:$P$15,'Lookup Tables'!$Q$11:$Q$15,0),0)
  + _xlfn.IFS(BM186="No Evidence",10, BM186="Unknown",3, BM186="Likely",0, BM186="Confirmed",-10, TRUE,3)
  + IFERROR(_xlfn.XLOOKUP(BP186,'Lookup Tables'!$J$21:$J$24,'Lookup Tables'!$K$21:$K$24,0),0)
))</f>
        <v/>
      </c>
      <c r="BT186" s="5" t="n"/>
      <c r="BU186" s="5" t="n"/>
      <c r="BV186" s="5" t="n"/>
      <c r="BW186" s="5" t="n"/>
      <c r="BX186" s="5" t="n"/>
      <c r="BY186" s="5" t="n"/>
      <c r="BZ186" s="5" t="n"/>
      <c r="CA186" s="5" t="n"/>
      <c r="CB186" s="5" t="n"/>
      <c r="CC186" s="5" t="n"/>
      <c r="CD186" s="5" t="n"/>
      <c r="CE186" s="43">
        <f t="array" ref="CE186">MIN(100, MAX(0,
  IF(ISNUMBER(BV186)*AND(BV186&gt;0), 10, 0)
  + _xlfn.IFS(BY186="Independently Verified",25, BY186="Yes",15, TRUE,0)
  + IFERROR(_xlfn.XLOOKUP(BZ186,'Lookup Tables'!$A$21:$A$24,'Lookup Tables'!$B$21:$B$24,0),0)
  + IFERROR(_xlfn.XLOOKUP(CA186,'Lookup Tables'!$D$21:$D$24,'Lookup Tables'!$E$21:$E$24,0),0)
  + _xlfn.IFS(ISNUMBER(CB186)*AND(CB186&gt;=11),15, ISNUMBER(CB186)*AND(CB186&gt;=6),10, ISNUMBER(CB186)*AND(CB186&gt;=1),5, TRUE,0)
  + IFERROR(_xlfn.XLOOKUP(CC186,'Lookup Tables'!$G$21:$G$25,'Lookup Tables'!$H$21:$H$25,0),0)
  - IF(ISNUMBER(BW186)*AND(ISNUMBER(BV186))*AND(BW186&gt;BV186), 20, 0)
  - IF(AND(BY186="Yes", ISNUMBER(BW186), BW186&gt;60), 10, 0)
))</f>
        <v/>
      </c>
      <c r="CF186" s="5" t="n"/>
      <c r="CG186" s="5" t="n"/>
      <c r="CH186" s="5" t="n"/>
      <c r="CI186" s="5" t="n"/>
      <c r="CJ186" s="5" t="n"/>
      <c r="CK186" s="5" t="n"/>
      <c r="CL186" s="5" t="n"/>
      <c r="CM186" s="5" t="n"/>
      <c r="CN186" s="5" t="n"/>
      <c r="CO186" s="5" t="n"/>
      <c r="CP186" s="5" t="n"/>
      <c r="CQ186" s="5" t="n"/>
      <c r="CR186" s="5">
        <f>COUNTIF(CJ186:CQ186,"FAIL")</f>
        <v/>
      </c>
      <c r="CS186" s="5">
        <f>COUNTIF(CJ186:CQ186,"PARTIAL")</f>
        <v/>
      </c>
      <c r="CT186" s="5">
        <f>COUNTIF(CJ186:CQ186,"MISSING")</f>
        <v/>
      </c>
      <c r="CU186" s="5">
        <f>MIN(100,
  CR186*15
  + CS186*6
  + CT186*3
  + IFERROR(_xlfn.XLOOKUP(CW186,'Lookup Tables'!$M$21:$M$25,'Lookup Tables'!$N$21:$N$25,0),0)
)</f>
        <v/>
      </c>
      <c r="CV186" s="5">
        <f>IFERROR(
CHOOSE(
MATCH("FAIL",CJ186:CQ186,0),
"1-Specificity","2-Metric","3-Baseline","4-Target",
"5-Time Horizon","6-Scope","7-Verification","8-Consistency"
),
IFERROR(
CHOOSE(
MATCH("PARTIAL",CJ186:CQ186,0),
"1-Specificity","2-Metric","3-Baseline","4-Target",
"5-Time Horizon","6-Scope","7-Verification","8-Consistency"
),
"No failures"
)
)</f>
        <v/>
      </c>
      <c r="CW186" s="5" t="n"/>
      <c r="CX186" s="5" t="n"/>
      <c r="CY186" s="5" t="n"/>
      <c r="CZ186" s="5" t="n"/>
      <c r="DA186" s="5">
        <f>IF(OR(CU186&gt;=50,CW186="Material",CW186="Severe",AS186="Material",AS186="Severe",BF186="Material",BF186="Severe — Exclusion Trigger",AND(ISNUMBER(BS186),BS186&lt;30)),"Yes","No")</f>
        <v/>
      </c>
      <c r="DB186" s="5">
        <f>IF(OR(CR186&gt;=6,AW186="Confirmed Violation",AX186="Confirmed Breach"),"Yes — Automatic",IF(CW186="Severe","Yes — Requires Captain Confirmation","No"))</f>
        <v/>
      </c>
      <c r="DC186" s="5" t="n"/>
      <c r="DD186" s="5" t="n"/>
      <c r="DE186" s="5" t="n"/>
      <c r="DF186" s="5" t="n"/>
      <c r="DG186" s="5" t="n"/>
      <c r="DH186" s="5" t="n"/>
      <c r="DI186" s="5" t="n"/>
      <c r="DJ186" s="5" t="n"/>
      <c r="DK186" s="5" t="n"/>
      <c r="DL186" s="5">
        <f>IF(OR(IFERROR(VALUE(LEFT(DF186,1)),99)&lt;=2,IFERROR(VALUE(LEFT(DG186,1)),99)&lt;=2),"Flagged","Clear")</f>
        <v/>
      </c>
      <c r="DM186" s="5">
        <f>IF(OR(DA186="Yes",DB186&lt;&gt;"No",DH186="Unverified",DL186="Flagged"),"Yes","No")</f>
        <v/>
      </c>
      <c r="DN186" s="5">
        <f t="array" ref="DN186">MIN(100,
  IF(ISNUMBER(V186), _xlfn.IFS(V186&gt;=3,25, V186=2,15, V186=1,5, TRUE,0), 0)
  + IFERROR(_xlfn.IFS(VALUE(LEFT(DF186,1))=5,25, VALUE(LEFT(DF186,1))=4,20, VALUE(LEFT(DF186,1))=3,15, VALUE(LEFT(DF186,1))=2,8, TRUE,0), 15)
  + IFERROR(_xlfn.IFS(VALUE(LEFT(DG186,1))=5,25, VALUE(LEFT(DG186,1))=4,20, VALUE(LEFT(DG186,1))=3,15, VALUE(LEFT(DG186,1))=2,8, TRUE,0), 15)
  + _xlfn.IFS(DH186="Fully Verified",25, DH186="Partially Verified",12, TRUE,0)
)</f>
        <v/>
      </c>
      <c r="DO186" s="5">
        <f t="array" ref="DO186">_xlfn.IFS(
  ISBLANK(AR186), "Insufficient Evidence",
  AND(AR186&gt;=65, AJ186="Approved"), "Strong",
  AR186&gt;=65, "Adequate",
  AR186&gt;=40, "Adequate",
  AR186&gt;=20, "Weak",
  TRUE, "Insufficient Evidence"
)</f>
        <v/>
      </c>
      <c r="DP186" s="5">
        <f t="array" ref="DP186">_xlfn.IFS(
  ISBLANK(BS186), "Insufficient Evidence",
  BS186&gt;=65, "Strong",
  BS186&gt;=40, "Adequate",
  BS186&gt;=20, "Weak",
  TRUE, "Insufficient Evidence"
)</f>
        <v/>
      </c>
      <c r="DQ186" s="5">
        <f t="array" ref="DQ186">_xlfn.IFS(
  ISBLANK(BE186), "Insufficient Evidence",
  OR(AW186="Confirmed Violation", AX186="Confirmed Breach"), "Severe — Hard Trigger",
  BE186&gt;=65, "Strong",
  BE186&gt;=40, "Adequate",
  BE186&gt;=20, "Weak",
  TRUE, "Insufficient Evidence"
)</f>
        <v/>
      </c>
      <c r="DR186" s="5">
        <f t="array" ref="DR186">_xlfn.IFS(
  ISBLANK(CU186), "Insufficient Evidence",
  CU186&lt;=20, "Low Risk",
  CU186&lt;=50, "Moderate Risk",
  CU186&lt;=75, "High Risk",
  TRUE, "Very High Risk"
)</f>
        <v/>
      </c>
      <c r="DS186" s="5">
        <f t="array" ref="DS186">_xlfn.IFS(
  ISBLANK(CE186), "Insufficient Evidence",
  AND(ISNUMBER(BW186),ISNUMBER(BV186),BW186&gt;BV186), "Overclaiming Risk",
  CE186&gt;=65, "Strong",
  CE186&gt;=40, "Adequate",
  TRUE, "Weak"
)</f>
        <v/>
      </c>
      <c r="DT186" s="5">
        <f>IF(DB186="Yes — Automatic",0,ROUND((IF(ISNUMBER(AR186),AR186,0)*0.3+IF(ISNUMBER(BS186),BS186,0)*0.2+IF(ISNUMBER(BE186),BE186,0)*0.2+IF(ISNUMBER(CE186),CE186,0)*0.15+(100-IF(ISNUMBER(CU186),CU186,50))*0.15)*IF(DN186&gt;=75,1,IF(DN186&gt;=50,0.9,IF(DN186&gt;=25,0.75,0.6))),1))</f>
        <v/>
      </c>
      <c r="DU186" s="5">
        <f t="array" ref="DU186">_xlfn.IFS(
  DV186="Upgraded to Clear", "Clear",
  DV186="Downgraded to Watchlist", "Watchlist",
  DV186="Downgraded to Exclusion", "Exclusion Risk",
  DB186="Yes — Automatic", "Exclusion Risk",
  OR(AW186="Confirmed Violation", AX186="Confirmed Breach"), "Exclusion Risk",
  OR(V186=0, ISBLANK(V186), DN186&lt;20), "Insufficient Evidence",
  AND(DT186&gt;=65, DA186="No", DB186="No"), "Clear",
  OR(DT186&gt;=40, DA186="Yes"), "Watchlist",
  TRUE, "Exclusion Risk"
)</f>
        <v/>
      </c>
      <c r="DV186" s="5" t="n"/>
      <c r="DW186" s="5">
        <f t="array" ref="DW186">_xlfn.IFS(
  DU186="Exclusion Risk", "Exclude — Hard Trigger",
  DU186="Insufficient Evidence", "Watchlist — Further Evidence Needed",
  DU186="Watchlist", "Watchlist — Further Evidence Needed",
  AND(DU186="Clear", DT186&gt;=80), "Include — No Conditions",
  DU186="Clear", "Include — Monitor",
  TRUE, "Watchlist — Further Evidence Needed"
)</f>
        <v/>
      </c>
      <c r="DX186" s="5" t="n"/>
      <c r="DY186" s="5" t="n"/>
      <c r="DZ186" s="5" t="n"/>
      <c r="EA186" s="5" t="n"/>
      <c r="EB186" s="5">
        <f>IF(OR(V186=0, ISBLANK(V186)), "MISSING — No sources reviewed", "")</f>
        <v/>
      </c>
      <c r="EC186" s="5">
        <f>IF(AND(NOT(ISBLANK(DC186)), ISBLANK(DE186)), "PAGE REF MISSING", "")</f>
        <v/>
      </c>
    </row>
    <row r="187" ht="18" customHeight="1" s="60">
      <c r="A187" s="5" t="inlineStr">
        <is>
          <t>CD Projekt SA</t>
        </is>
      </c>
      <c r="B187" s="5" t="inlineStr">
        <is>
          <t>7CD</t>
        </is>
      </c>
      <c r="C187" s="5">
        <f>IF(ISBLANK('Universe Tracker'!D162),"",'Universe Tracker'!D162)</f>
        <v/>
      </c>
      <c r="D187" s="5" t="n"/>
      <c r="E187" s="5" t="n"/>
      <c r="F187" s="5">
        <f>IF(ISBLANK('Universe Tracker'!F162),"",'Universe Tracker'!F162)</f>
        <v/>
      </c>
      <c r="G187" s="5">
        <f>IF(ISBLANK('Universe Tracker'!G162),"",'Universe Tracker'!G162)</f>
        <v/>
      </c>
      <c r="H187" s="5" t="n"/>
      <c r="I187" s="5" t="n"/>
      <c r="J187" s="5">
        <f>IF(ISBLANK(B187),"",B187&amp;"_"&amp;C187)</f>
        <v/>
      </c>
      <c r="K187" s="5" t="n"/>
      <c r="L187" s="5" t="n"/>
      <c r="M187" s="5" t="n"/>
      <c r="N187" s="5" t="n"/>
      <c r="O187" s="5" t="n"/>
      <c r="P187" s="5" t="n"/>
      <c r="Q187" s="5" t="n"/>
      <c r="R187" s="5" t="n"/>
      <c r="S187" s="5" t="n"/>
      <c r="T187" s="5" t="n"/>
      <c r="U187" s="5" t="n"/>
      <c r="V187" s="5" t="n"/>
      <c r="W187" s="5" t="n"/>
      <c r="X187" s="5" t="n"/>
      <c r="Y187" s="5">
        <f>IF(AND(V187&gt;=2,K187="Yes",L187="Yes"),"Sufficient",IF(AND(V187&gt;=1,OR(K187="Yes",L187="Yes")),"Thin","Insufficient"))</f>
        <v/>
      </c>
      <c r="Z187" s="5" t="n"/>
      <c r="AA187" s="5" t="n"/>
      <c r="AB187" s="5" t="n"/>
      <c r="AC187" s="5" t="n"/>
      <c r="AD187" s="5" t="n"/>
      <c r="AE187" s="5" t="n"/>
      <c r="AF187" s="5" t="n"/>
      <c r="AG187" s="5" t="n"/>
      <c r="AH187" s="5" t="n"/>
      <c r="AI187" s="5" t="n"/>
      <c r="AJ187" s="5" t="n"/>
      <c r="AK187" s="5" t="n"/>
      <c r="AL187" s="5" t="n"/>
      <c r="AM187" s="5" t="n"/>
      <c r="AN187" s="5" t="n"/>
      <c r="AO187" s="5" t="n"/>
      <c r="AP187" s="5" t="n"/>
      <c r="AQ187" s="5" t="n"/>
      <c r="AR187" s="40">
        <f t="array" ref="AR187">MIN(100, MAX(0,
  IFERROR(_xlfn.XLOOKUP(AJ187,'Lookup Tables'!$A$2:$A$7,'Lookup Tables'!$B$2:$B$7,0),0)
  + IF(Z187="Yes", IF(IFERROR(_xlfn.XLOOKUP(AJ187,'Lookup Tables'!$A$2:$A$7,'Lookup Tables'!$B$2:$B$7,0),0)&lt;20, 5, 0), 0)
  + _xlfn.IFS(AB187="Yes", IF(ISNUMBER(AC187)*AND(AC187&lt;=2030),15,10), AB187="Long-term Only", 5, AB187="No", 0, TRUE, 0)
  + _xlfn.IFS(AF187="Full",10, AF187="Partial",5, AF187="Scope 2 Only",3, TRUE,0)
  + _xlfn.IFS(AG187="Yes", IF(ISNUMBER(AH187)*AND(AH187&gt;=5),10,6), AG187="Partial",4, TRUE,0)
  + _xlfn.IFS(AI187="Yes",5, AI187="Partial (material categories only)",3, TRUE,0)
  + _xlfn.IFS(AL187="Yes — Detailed",10, AL187="Yes — High Level",5, TRUE,0)
  + _xlfn.IFS(AM187="Yes — Quantified",15, AM187="Yes — Directional Only",7, TRUE,0)
  + _xlfn.IFS(AP187="Formal",5, AP187="Referenced",2, TRUE,0)
  + _xlfn.IFS(AQ187="No Issues Found",5, AQ187="Concern Identified",-5, AQ187="Severe Contradiction",-15, TRUE,0)
  + _xlfn.IFS(BC187="Reasonable Assurance",5, BC187="Limited Assurance",3, TRUE,0)
  - IF(AND(Z187="Yes", AI187="No"), 10, 0)
  - IF(AND(Z187="Yes", AM187="No"), 10, 0)
))</f>
        <v/>
      </c>
      <c r="AS187" s="5" t="n"/>
      <c r="AT187" s="5" t="n"/>
      <c r="AU187" s="5" t="n"/>
      <c r="AV187" s="5" t="n"/>
      <c r="AW187" s="5" t="n"/>
      <c r="AX187" s="5" t="n"/>
      <c r="AY187" s="5" t="n"/>
      <c r="AZ187" s="5" t="n"/>
      <c r="BA187" s="5" t="n"/>
      <c r="BB187" s="5" t="n"/>
      <c r="BC187" s="5" t="n"/>
      <c r="BD187" s="5" t="n"/>
      <c r="BE187" s="39">
        <f t="array" ref="BE187">MIN(100, MAX(0,
  IFERROR(_xlfn.XLOOKUP(AT187,'Lookup Tables'!$D$2:$D$6,'Lookup Tables'!$E$2:$E$6,0),0)
  + IFERROR(_xlfn.XLOOKUP(AV187,'Lookup Tables'!$G$2:$G$5,'Lookup Tables'!$H$2:$H$5,0),0)
  + IFERROR(_xlfn.XLOOKUP(AW187,'Lookup Tables'!$J$2:$J$5,'Lookup Tables'!$K$2:$K$5,0),0)
  + _xlfn.IFS(AX187="No Issues",10, AX187="Complaint Filed",3, AX187="Confirmed Breach",-15, TRUE,0)
  + IFERROR(_xlfn.XLOOKUP(AY187,'Lookup Tables'!$M$2:$M$6,'Lookup Tables'!$N$2:$N$6,0),0)
  + IFERROR(_xlfn.XLOOKUP(AZ187,'Lookup Tables'!$P$2:$P$6,'Lookup Tables'!$Q$2:$Q$6,0),0)
  + _xlfn.IFS(BA187="Formal Board Committee",5, BA187="Board Oversight Mentioned",2, TRUE,0)
  + _xlfn.IFS(BB187="Yes — Quantified Targets",5, BB187="Yes — Discretionary Only",2, TRUE,0)
  + _xlfn.IFS(BC187="Reasonable Assurance",5, BC187="Limited Assurance",3, BC187="Management Review Only",1, TRUE,0)
))</f>
        <v/>
      </c>
      <c r="BF187" s="5" t="n"/>
      <c r="BG187" s="5" t="n"/>
      <c r="BH187" s="5" t="n"/>
      <c r="BI187" s="5" t="n"/>
      <c r="BJ187" s="5" t="n"/>
      <c r="BK187" s="5" t="n"/>
      <c r="BL187" s="5" t="n"/>
      <c r="BM187" s="5" t="n"/>
      <c r="BN187" s="5" t="n"/>
      <c r="BO187" s="5" t="n"/>
      <c r="BP187" s="5" t="n"/>
      <c r="BQ187" s="5" t="n"/>
      <c r="BR187" s="5" t="n"/>
      <c r="BS187" s="41">
        <f t="array" ref="BS187">MIN(100, MAX(0,
  IFERROR(_xlfn.XLOOKUP(BG187,'Lookup Tables'!$A$11:$A$16,'Lookup Tables'!$B$11:$B$16,0),0)
  + IFERROR(_xlfn.XLOOKUP(BR187,'Lookup Tables'!$M$11:$M$14,'Lookup Tables'!$N$11:$N$14,0),0)
  + IFERROR(_xlfn.XLOOKUP(BQ187,'Lookup Tables'!$J$11:$J$15,'Lookup Tables'!$K$11:$K$15,0),0)
  + IFERROR(_xlfn.XLOOKUP(BH187,'Lookup Tables'!$D$11:$D$15,'Lookup Tables'!$E$11:$E$15,0),0)
  + IFERROR(_xlfn.XLOOKUP(BJ187,'Lookup Tables'!$G$11:$G$16,'Lookup Tables'!$H$11:$H$16,0),0)
  + IFERROR(_xlfn.XLOOKUP(BN187,'Lookup Tables'!$P$11:$P$15,'Lookup Tables'!$Q$11:$Q$15,0),0)
  + _xlfn.IFS(BM187="No Evidence",10, BM187="Unknown",3, BM187="Likely",0, BM187="Confirmed",-10, TRUE,3)
  + IFERROR(_xlfn.XLOOKUP(BP187,'Lookup Tables'!$J$21:$J$24,'Lookup Tables'!$K$21:$K$24,0),0)
))</f>
        <v/>
      </c>
      <c r="BT187" s="5" t="n"/>
      <c r="BU187" s="5" t="n"/>
      <c r="BV187" s="5" t="n"/>
      <c r="BW187" s="5" t="n"/>
      <c r="BX187" s="5" t="n"/>
      <c r="BY187" s="5" t="n"/>
      <c r="BZ187" s="5" t="n"/>
      <c r="CA187" s="5" t="n"/>
      <c r="CB187" s="5" t="n"/>
      <c r="CC187" s="5" t="n"/>
      <c r="CD187" s="5" t="n"/>
      <c r="CE187" s="43">
        <f t="array" ref="CE187">MIN(100, MAX(0,
  IF(ISNUMBER(BV187)*AND(BV187&gt;0), 10, 0)
  + _xlfn.IFS(BY187="Independently Verified",25, BY187="Yes",15, TRUE,0)
  + IFERROR(_xlfn.XLOOKUP(BZ187,'Lookup Tables'!$A$21:$A$24,'Lookup Tables'!$B$21:$B$24,0),0)
  + IFERROR(_xlfn.XLOOKUP(CA187,'Lookup Tables'!$D$21:$D$24,'Lookup Tables'!$E$21:$E$24,0),0)
  + _xlfn.IFS(ISNUMBER(CB187)*AND(CB187&gt;=11),15, ISNUMBER(CB187)*AND(CB187&gt;=6),10, ISNUMBER(CB187)*AND(CB187&gt;=1),5, TRUE,0)
  + IFERROR(_xlfn.XLOOKUP(CC187,'Lookup Tables'!$G$21:$G$25,'Lookup Tables'!$H$21:$H$25,0),0)
  - IF(ISNUMBER(BW187)*AND(ISNUMBER(BV187))*AND(BW187&gt;BV187), 20, 0)
  - IF(AND(BY187="Yes", ISNUMBER(BW187), BW187&gt;60), 10, 0)
))</f>
        <v/>
      </c>
      <c r="CF187" s="5" t="n"/>
      <c r="CG187" s="5" t="n"/>
      <c r="CH187" s="5" t="n"/>
      <c r="CI187" s="5" t="n"/>
      <c r="CJ187" s="5" t="n"/>
      <c r="CK187" s="5" t="n"/>
      <c r="CL187" s="5" t="n"/>
      <c r="CM187" s="5" t="n"/>
      <c r="CN187" s="5" t="n"/>
      <c r="CO187" s="5" t="n"/>
      <c r="CP187" s="5" t="n"/>
      <c r="CQ187" s="5" t="n"/>
      <c r="CR187" s="5">
        <f>COUNTIF(CJ187:CQ187,"FAIL")</f>
        <v/>
      </c>
      <c r="CS187" s="5">
        <f>COUNTIF(CJ187:CQ187,"PARTIAL")</f>
        <v/>
      </c>
      <c r="CT187" s="5">
        <f>COUNTIF(CJ187:CQ187,"MISSING")</f>
        <v/>
      </c>
      <c r="CU187" s="5">
        <f>MIN(100,
  CR187*15
  + CS187*6
  + CT187*3
  + IFERROR(_xlfn.XLOOKUP(CW187,'Lookup Tables'!$M$21:$M$25,'Lookup Tables'!$N$21:$N$25,0),0)
)</f>
        <v/>
      </c>
      <c r="CV187" s="5">
        <f>IFERROR(
CHOOSE(
MATCH("FAIL",CJ187:CQ187,0),
"1-Specificity","2-Metric","3-Baseline","4-Target",
"5-Time Horizon","6-Scope","7-Verification","8-Consistency"
),
IFERROR(
CHOOSE(
MATCH("PARTIAL",CJ187:CQ187,0),
"1-Specificity","2-Metric","3-Baseline","4-Target",
"5-Time Horizon","6-Scope","7-Verification","8-Consistency"
),
"No failures"
)
)</f>
        <v/>
      </c>
      <c r="CW187" s="5" t="n"/>
      <c r="CX187" s="5" t="n"/>
      <c r="CY187" s="5" t="n"/>
      <c r="CZ187" s="5" t="n"/>
      <c r="DA187" s="5">
        <f>IF(OR(CU187&gt;=50,CW187="Material",CW187="Severe",AS187="Material",AS187="Severe",BF187="Material",BF187="Severe — Exclusion Trigger",AND(ISNUMBER(BS187),BS187&lt;30)),"Yes","No")</f>
        <v/>
      </c>
      <c r="DB187" s="5">
        <f>IF(OR(CR187&gt;=6,AW187="Confirmed Violation",AX187="Confirmed Breach"),"Yes — Automatic",IF(CW187="Severe","Yes — Requires Captain Confirmation","No"))</f>
        <v/>
      </c>
      <c r="DC187" s="5" t="n"/>
      <c r="DD187" s="5" t="n"/>
      <c r="DE187" s="5" t="n"/>
      <c r="DF187" s="5" t="n"/>
      <c r="DG187" s="5" t="n"/>
      <c r="DH187" s="5" t="n"/>
      <c r="DI187" s="5" t="n"/>
      <c r="DJ187" s="5" t="n"/>
      <c r="DK187" s="5" t="n"/>
      <c r="DL187" s="5">
        <f>IF(OR(IFERROR(VALUE(LEFT(DF187,1)),99)&lt;=2,IFERROR(VALUE(LEFT(DG187,1)),99)&lt;=2),"Flagged","Clear")</f>
        <v/>
      </c>
      <c r="DM187" s="5">
        <f>IF(OR(DA187="Yes",DB187&lt;&gt;"No",DH187="Unverified",DL187="Flagged"),"Yes","No")</f>
        <v/>
      </c>
      <c r="DN187" s="5">
        <f t="array" ref="DN187">MIN(100,
  IF(ISNUMBER(V187), _xlfn.IFS(V187&gt;=3,25, V187=2,15, V187=1,5, TRUE,0), 0)
  + IFERROR(_xlfn.IFS(VALUE(LEFT(DF187,1))=5,25, VALUE(LEFT(DF187,1))=4,20, VALUE(LEFT(DF187,1))=3,15, VALUE(LEFT(DF187,1))=2,8, TRUE,0), 15)
  + IFERROR(_xlfn.IFS(VALUE(LEFT(DG187,1))=5,25, VALUE(LEFT(DG187,1))=4,20, VALUE(LEFT(DG187,1))=3,15, VALUE(LEFT(DG187,1))=2,8, TRUE,0), 15)
  + _xlfn.IFS(DH187="Fully Verified",25, DH187="Partially Verified",12, TRUE,0)
)</f>
        <v/>
      </c>
      <c r="DO187" s="5">
        <f t="array" ref="DO187">_xlfn.IFS(
  ISBLANK(AR187), "Insufficient Evidence",
  AND(AR187&gt;=65, AJ187="Approved"), "Strong",
  AR187&gt;=65, "Adequate",
  AR187&gt;=40, "Adequate",
  AR187&gt;=20, "Weak",
  TRUE, "Insufficient Evidence"
)</f>
        <v/>
      </c>
      <c r="DP187" s="5">
        <f t="array" ref="DP187">_xlfn.IFS(
  ISBLANK(BS187), "Insufficient Evidence",
  BS187&gt;=65, "Strong",
  BS187&gt;=40, "Adequate",
  BS187&gt;=20, "Weak",
  TRUE, "Insufficient Evidence"
)</f>
        <v/>
      </c>
      <c r="DQ187" s="5">
        <f t="array" ref="DQ187">_xlfn.IFS(
  ISBLANK(BE187), "Insufficient Evidence",
  OR(AW187="Confirmed Violation", AX187="Confirmed Breach"), "Severe — Hard Trigger",
  BE187&gt;=65, "Strong",
  BE187&gt;=40, "Adequate",
  BE187&gt;=20, "Weak",
  TRUE, "Insufficient Evidence"
)</f>
        <v/>
      </c>
      <c r="DR187" s="5">
        <f t="array" ref="DR187">_xlfn.IFS(
  ISBLANK(CU187), "Insufficient Evidence",
  CU187&lt;=20, "Low Risk",
  CU187&lt;=50, "Moderate Risk",
  CU187&lt;=75, "High Risk",
  TRUE, "Very High Risk"
)</f>
        <v/>
      </c>
      <c r="DS187" s="5">
        <f t="array" ref="DS187">_xlfn.IFS(
  ISBLANK(CE187), "Insufficient Evidence",
  AND(ISNUMBER(BW187),ISNUMBER(BV187),BW187&gt;BV187), "Overclaiming Risk",
  CE187&gt;=65, "Strong",
  CE187&gt;=40, "Adequate",
  TRUE, "Weak"
)</f>
        <v/>
      </c>
      <c r="DT187" s="5">
        <f>IF(DB187="Yes — Automatic",0,ROUND((IF(ISNUMBER(AR187),AR187,0)*0.3+IF(ISNUMBER(BS187),BS187,0)*0.2+IF(ISNUMBER(BE187),BE187,0)*0.2+IF(ISNUMBER(CE187),CE187,0)*0.15+(100-IF(ISNUMBER(CU187),CU187,50))*0.15)*IF(DN187&gt;=75,1,IF(DN187&gt;=50,0.9,IF(DN187&gt;=25,0.75,0.6))),1))</f>
        <v/>
      </c>
      <c r="DU187" s="5">
        <f t="array" ref="DU187">_xlfn.IFS(
  DV187="Upgraded to Clear", "Clear",
  DV187="Downgraded to Watchlist", "Watchlist",
  DV187="Downgraded to Exclusion", "Exclusion Risk",
  DB187="Yes — Automatic", "Exclusion Risk",
  OR(AW187="Confirmed Violation", AX187="Confirmed Breach"), "Exclusion Risk",
  OR(V187=0, ISBLANK(V187), DN187&lt;20), "Insufficient Evidence",
  AND(DT187&gt;=65, DA187="No", DB187="No"), "Clear",
  OR(DT187&gt;=40, DA187="Yes"), "Watchlist",
  TRUE, "Exclusion Risk"
)</f>
        <v/>
      </c>
      <c r="DV187" s="5" t="n"/>
      <c r="DW187" s="5">
        <f t="array" ref="DW187">_xlfn.IFS(
  DU187="Exclusion Risk", "Exclude — Hard Trigger",
  DU187="Insufficient Evidence", "Watchlist — Further Evidence Needed",
  DU187="Watchlist", "Watchlist — Further Evidence Needed",
  AND(DU187="Clear", DT187&gt;=80), "Include — No Conditions",
  DU187="Clear", "Include — Monitor",
  TRUE, "Watchlist — Further Evidence Needed"
)</f>
        <v/>
      </c>
      <c r="DX187" s="5" t="n"/>
      <c r="DY187" s="5" t="n"/>
      <c r="DZ187" s="5" t="n"/>
      <c r="EA187" s="5" t="n"/>
      <c r="EB187" s="5">
        <f>IF(OR(V187=0, ISBLANK(V187)), "MISSING — No sources reviewed", "")</f>
        <v/>
      </c>
      <c r="EC187" s="5">
        <f>IF(AND(NOT(ISBLANK(DC187)), ISBLANK(DE187)), "PAGE REF MISSING", "")</f>
        <v/>
      </c>
    </row>
    <row r="188" ht="18" customHeight="1" s="60">
      <c r="A188" s="5" t="inlineStr">
        <is>
          <t>Argenx SE</t>
        </is>
      </c>
      <c r="B188" s="5" t="inlineStr">
        <is>
          <t>1AE</t>
        </is>
      </c>
      <c r="C188" s="5">
        <f>IF(ISBLANK('Universe Tracker'!D163),"",'Universe Tracker'!D163)</f>
        <v/>
      </c>
      <c r="D188" s="5" t="n"/>
      <c r="E188" s="5" t="n"/>
      <c r="F188" s="5">
        <f>IF(ISBLANK('Universe Tracker'!F163),"",'Universe Tracker'!F163)</f>
        <v/>
      </c>
      <c r="G188" s="5">
        <f>IF(ISBLANK('Universe Tracker'!G163),"",'Universe Tracker'!G163)</f>
        <v/>
      </c>
      <c r="H188" s="5" t="n"/>
      <c r="I188" s="5" t="n"/>
      <c r="J188" s="5">
        <f>IF(ISBLANK(B188),"",B188&amp;"_"&amp;C188)</f>
        <v/>
      </c>
      <c r="K188" s="5" t="n"/>
      <c r="L188" s="5" t="n"/>
      <c r="M188" s="5" t="n"/>
      <c r="N188" s="5" t="n"/>
      <c r="O188" s="5" t="n"/>
      <c r="P188" s="5" t="n"/>
      <c r="Q188" s="5" t="n"/>
      <c r="R188" s="5" t="n"/>
      <c r="S188" s="5" t="n"/>
      <c r="T188" s="5" t="n"/>
      <c r="U188" s="5" t="n"/>
      <c r="V188" s="5" t="n"/>
      <c r="W188" s="5" t="n"/>
      <c r="X188" s="5" t="n"/>
      <c r="Y188" s="5">
        <f>IF(AND(V188&gt;=2,K188="Yes",L188="Yes"),"Sufficient",IF(AND(V188&gt;=1,OR(K188="Yes",L188="Yes")),"Thin","Insufficient"))</f>
        <v/>
      </c>
      <c r="Z188" s="5" t="n"/>
      <c r="AA188" s="5" t="n"/>
      <c r="AB188" s="5" t="n"/>
      <c r="AC188" s="5" t="n"/>
      <c r="AD188" s="5" t="n"/>
      <c r="AE188" s="5" t="n"/>
      <c r="AF188" s="5" t="n"/>
      <c r="AG188" s="5" t="n"/>
      <c r="AH188" s="5" t="n"/>
      <c r="AI188" s="5" t="n"/>
      <c r="AJ188" s="5" t="n"/>
      <c r="AK188" s="5" t="n"/>
      <c r="AL188" s="5" t="n"/>
      <c r="AM188" s="5" t="n"/>
      <c r="AN188" s="5" t="n"/>
      <c r="AO188" s="5" t="n"/>
      <c r="AP188" s="5" t="n"/>
      <c r="AQ188" s="5" t="n"/>
      <c r="AR188" s="40">
        <f t="array" ref="AR188">MIN(100, MAX(0,
  IFERROR(_xlfn.XLOOKUP(AJ188,'Lookup Tables'!$A$2:$A$7,'Lookup Tables'!$B$2:$B$7,0),0)
  + IF(Z188="Yes", IF(IFERROR(_xlfn.XLOOKUP(AJ188,'Lookup Tables'!$A$2:$A$7,'Lookup Tables'!$B$2:$B$7,0),0)&lt;20, 5, 0), 0)
  + _xlfn.IFS(AB188="Yes", IF(ISNUMBER(AC188)*AND(AC188&lt;=2030),15,10), AB188="Long-term Only", 5, AB188="No", 0, TRUE, 0)
  + _xlfn.IFS(AF188="Full",10, AF188="Partial",5, AF188="Scope 2 Only",3, TRUE,0)
  + _xlfn.IFS(AG188="Yes", IF(ISNUMBER(AH188)*AND(AH188&gt;=5),10,6), AG188="Partial",4, TRUE,0)
  + _xlfn.IFS(AI188="Yes",5, AI188="Partial (material categories only)",3, TRUE,0)
  + _xlfn.IFS(AL188="Yes — Detailed",10, AL188="Yes — High Level",5, TRUE,0)
  + _xlfn.IFS(AM188="Yes — Quantified",15, AM188="Yes — Directional Only",7, TRUE,0)
  + _xlfn.IFS(AP188="Formal",5, AP188="Referenced",2, TRUE,0)
  + _xlfn.IFS(AQ188="No Issues Found",5, AQ188="Concern Identified",-5, AQ188="Severe Contradiction",-15, TRUE,0)
  + _xlfn.IFS(BC188="Reasonable Assurance",5, BC188="Limited Assurance",3, TRUE,0)
  - IF(AND(Z188="Yes", AI188="No"), 10, 0)
  - IF(AND(Z188="Yes", AM188="No"), 10, 0)
))</f>
        <v/>
      </c>
      <c r="AS188" s="5" t="n"/>
      <c r="AT188" s="5" t="n"/>
      <c r="AU188" s="5" t="n"/>
      <c r="AV188" s="5" t="n"/>
      <c r="AW188" s="5" t="n"/>
      <c r="AX188" s="5" t="n"/>
      <c r="AY188" s="5" t="n"/>
      <c r="AZ188" s="5" t="n"/>
      <c r="BA188" s="5" t="n"/>
      <c r="BB188" s="5" t="n"/>
      <c r="BC188" s="5" t="n"/>
      <c r="BD188" s="5" t="n"/>
      <c r="BE188" s="39">
        <f t="array" ref="BE188">MIN(100, MAX(0,
  IFERROR(_xlfn.XLOOKUP(AT188,'Lookup Tables'!$D$2:$D$6,'Lookup Tables'!$E$2:$E$6,0),0)
  + IFERROR(_xlfn.XLOOKUP(AV188,'Lookup Tables'!$G$2:$G$5,'Lookup Tables'!$H$2:$H$5,0),0)
  + IFERROR(_xlfn.XLOOKUP(AW188,'Lookup Tables'!$J$2:$J$5,'Lookup Tables'!$K$2:$K$5,0),0)
  + _xlfn.IFS(AX188="No Issues",10, AX188="Complaint Filed",3, AX188="Confirmed Breach",-15, TRUE,0)
  + IFERROR(_xlfn.XLOOKUP(AY188,'Lookup Tables'!$M$2:$M$6,'Lookup Tables'!$N$2:$N$6,0),0)
  + IFERROR(_xlfn.XLOOKUP(AZ188,'Lookup Tables'!$P$2:$P$6,'Lookup Tables'!$Q$2:$Q$6,0),0)
  + _xlfn.IFS(BA188="Formal Board Committee",5, BA188="Board Oversight Mentioned",2, TRUE,0)
  + _xlfn.IFS(BB188="Yes — Quantified Targets",5, BB188="Yes — Discretionary Only",2, TRUE,0)
  + _xlfn.IFS(BC188="Reasonable Assurance",5, BC188="Limited Assurance",3, BC188="Management Review Only",1, TRUE,0)
))</f>
        <v/>
      </c>
      <c r="BF188" s="5" t="n"/>
      <c r="BG188" s="5" t="n"/>
      <c r="BH188" s="5" t="n"/>
      <c r="BI188" s="5" t="n"/>
      <c r="BJ188" s="5" t="n"/>
      <c r="BK188" s="5" t="n"/>
      <c r="BL188" s="5" t="n"/>
      <c r="BM188" s="5" t="n"/>
      <c r="BN188" s="5" t="n"/>
      <c r="BO188" s="5" t="n"/>
      <c r="BP188" s="5" t="n"/>
      <c r="BQ188" s="5" t="n"/>
      <c r="BR188" s="5" t="n"/>
      <c r="BS188" s="41">
        <f t="array" ref="BS188">MIN(100, MAX(0,
  IFERROR(_xlfn.XLOOKUP(BG188,'Lookup Tables'!$A$11:$A$16,'Lookup Tables'!$B$11:$B$16,0),0)
  + IFERROR(_xlfn.XLOOKUP(BR188,'Lookup Tables'!$M$11:$M$14,'Lookup Tables'!$N$11:$N$14,0),0)
  + IFERROR(_xlfn.XLOOKUP(BQ188,'Lookup Tables'!$J$11:$J$15,'Lookup Tables'!$K$11:$K$15,0),0)
  + IFERROR(_xlfn.XLOOKUP(BH188,'Lookup Tables'!$D$11:$D$15,'Lookup Tables'!$E$11:$E$15,0),0)
  + IFERROR(_xlfn.XLOOKUP(BJ188,'Lookup Tables'!$G$11:$G$16,'Lookup Tables'!$H$11:$H$16,0),0)
  + IFERROR(_xlfn.XLOOKUP(BN188,'Lookup Tables'!$P$11:$P$15,'Lookup Tables'!$Q$11:$Q$15,0),0)
  + _xlfn.IFS(BM188="No Evidence",10, BM188="Unknown",3, BM188="Likely",0, BM188="Confirmed",-10, TRUE,3)
  + IFERROR(_xlfn.XLOOKUP(BP188,'Lookup Tables'!$J$21:$J$24,'Lookup Tables'!$K$21:$K$24,0),0)
))</f>
        <v/>
      </c>
      <c r="BT188" s="5" t="n"/>
      <c r="BU188" s="5" t="n"/>
      <c r="BV188" s="5" t="n"/>
      <c r="BW188" s="5" t="n"/>
      <c r="BX188" s="5" t="n"/>
      <c r="BY188" s="5" t="n"/>
      <c r="BZ188" s="5" t="n"/>
      <c r="CA188" s="5" t="n"/>
      <c r="CB188" s="5" t="n"/>
      <c r="CC188" s="5" t="n"/>
      <c r="CD188" s="5" t="n"/>
      <c r="CE188" s="43">
        <f t="array" ref="CE188">MIN(100, MAX(0,
  IF(ISNUMBER(BV188)*AND(BV188&gt;0), 10, 0)
  + _xlfn.IFS(BY188="Independently Verified",25, BY188="Yes",15, TRUE,0)
  + IFERROR(_xlfn.XLOOKUP(BZ188,'Lookup Tables'!$A$21:$A$24,'Lookup Tables'!$B$21:$B$24,0),0)
  + IFERROR(_xlfn.XLOOKUP(CA188,'Lookup Tables'!$D$21:$D$24,'Lookup Tables'!$E$21:$E$24,0),0)
  + _xlfn.IFS(ISNUMBER(CB188)*AND(CB188&gt;=11),15, ISNUMBER(CB188)*AND(CB188&gt;=6),10, ISNUMBER(CB188)*AND(CB188&gt;=1),5, TRUE,0)
  + IFERROR(_xlfn.XLOOKUP(CC188,'Lookup Tables'!$G$21:$G$25,'Lookup Tables'!$H$21:$H$25,0),0)
  - IF(ISNUMBER(BW188)*AND(ISNUMBER(BV188))*AND(BW188&gt;BV188), 20, 0)
  - IF(AND(BY188="Yes", ISNUMBER(BW188), BW188&gt;60), 10, 0)
))</f>
        <v/>
      </c>
      <c r="CF188" s="5" t="n"/>
      <c r="CG188" s="5" t="n"/>
      <c r="CH188" s="5" t="n"/>
      <c r="CI188" s="5" t="n"/>
      <c r="CJ188" s="5" t="n"/>
      <c r="CK188" s="5" t="n"/>
      <c r="CL188" s="5" t="n"/>
      <c r="CM188" s="5" t="n"/>
      <c r="CN188" s="5" t="n"/>
      <c r="CO188" s="5" t="n"/>
      <c r="CP188" s="5" t="n"/>
      <c r="CQ188" s="5" t="n"/>
      <c r="CR188" s="5">
        <f>COUNTIF(CJ188:CQ188,"FAIL")</f>
        <v/>
      </c>
      <c r="CS188" s="5">
        <f>COUNTIF(CJ188:CQ188,"PARTIAL")</f>
        <v/>
      </c>
      <c r="CT188" s="5">
        <f>COUNTIF(CJ188:CQ188,"MISSING")</f>
        <v/>
      </c>
      <c r="CU188" s="5">
        <f>MIN(100,
  CR188*15
  + CS188*6
  + CT188*3
  + IFERROR(_xlfn.XLOOKUP(CW188,'Lookup Tables'!$M$21:$M$25,'Lookup Tables'!$N$21:$N$25,0),0)
)</f>
        <v/>
      </c>
      <c r="CV188" s="5">
        <f>IFERROR(
CHOOSE(
MATCH("FAIL",CJ188:CQ188,0),
"1-Specificity","2-Metric","3-Baseline","4-Target",
"5-Time Horizon","6-Scope","7-Verification","8-Consistency"
),
IFERROR(
CHOOSE(
MATCH("PARTIAL",CJ188:CQ188,0),
"1-Specificity","2-Metric","3-Baseline","4-Target",
"5-Time Horizon","6-Scope","7-Verification","8-Consistency"
),
"No failures"
)
)</f>
        <v/>
      </c>
      <c r="CW188" s="5" t="n"/>
      <c r="CX188" s="5" t="n"/>
      <c r="CY188" s="5" t="n"/>
      <c r="CZ188" s="5" t="n"/>
      <c r="DA188" s="5">
        <f>IF(OR(CU188&gt;=50,CW188="Material",CW188="Severe",AS188="Material",AS188="Severe",BF188="Material",BF188="Severe — Exclusion Trigger",AND(ISNUMBER(BS188),BS188&lt;30)),"Yes","No")</f>
        <v/>
      </c>
      <c r="DB188" s="5">
        <f>IF(OR(CR188&gt;=6,AW188="Confirmed Violation",AX188="Confirmed Breach"),"Yes — Automatic",IF(CW188="Severe","Yes — Requires Captain Confirmation","No"))</f>
        <v/>
      </c>
      <c r="DC188" s="5" t="n"/>
      <c r="DD188" s="5" t="n"/>
      <c r="DE188" s="5" t="n"/>
      <c r="DF188" s="5" t="n"/>
      <c r="DG188" s="5" t="n"/>
      <c r="DH188" s="5" t="n"/>
      <c r="DI188" s="5" t="n"/>
      <c r="DJ188" s="5" t="n"/>
      <c r="DK188" s="5" t="n"/>
      <c r="DL188" s="5">
        <f>IF(OR(IFERROR(VALUE(LEFT(DF188,1)),99)&lt;=2,IFERROR(VALUE(LEFT(DG188,1)),99)&lt;=2),"Flagged","Clear")</f>
        <v/>
      </c>
      <c r="DM188" s="5">
        <f>IF(OR(DA188="Yes",DB188&lt;&gt;"No",DH188="Unverified",DL188="Flagged"),"Yes","No")</f>
        <v/>
      </c>
      <c r="DN188" s="5">
        <f t="array" ref="DN188">MIN(100,
  IF(ISNUMBER(V188), _xlfn.IFS(V188&gt;=3,25, V188=2,15, V188=1,5, TRUE,0), 0)
  + IFERROR(_xlfn.IFS(VALUE(LEFT(DF188,1))=5,25, VALUE(LEFT(DF188,1))=4,20, VALUE(LEFT(DF188,1))=3,15, VALUE(LEFT(DF188,1))=2,8, TRUE,0), 15)
  + IFERROR(_xlfn.IFS(VALUE(LEFT(DG188,1))=5,25, VALUE(LEFT(DG188,1))=4,20, VALUE(LEFT(DG188,1))=3,15, VALUE(LEFT(DG188,1))=2,8, TRUE,0), 15)
  + _xlfn.IFS(DH188="Fully Verified",25, DH188="Partially Verified",12, TRUE,0)
)</f>
        <v/>
      </c>
      <c r="DO188" s="5">
        <f t="array" ref="DO188">_xlfn.IFS(
  ISBLANK(AR188), "Insufficient Evidence",
  AND(AR188&gt;=65, AJ188="Approved"), "Strong",
  AR188&gt;=65, "Adequate",
  AR188&gt;=40, "Adequate",
  AR188&gt;=20, "Weak",
  TRUE, "Insufficient Evidence"
)</f>
        <v/>
      </c>
      <c r="DP188" s="5">
        <f t="array" ref="DP188">_xlfn.IFS(
  ISBLANK(BS188), "Insufficient Evidence",
  BS188&gt;=65, "Strong",
  BS188&gt;=40, "Adequate",
  BS188&gt;=20, "Weak",
  TRUE, "Insufficient Evidence"
)</f>
        <v/>
      </c>
      <c r="DQ188" s="5">
        <f t="array" ref="DQ188">_xlfn.IFS(
  ISBLANK(BE188), "Insufficient Evidence",
  OR(AW188="Confirmed Violation", AX188="Confirmed Breach"), "Severe — Hard Trigger",
  BE188&gt;=65, "Strong",
  BE188&gt;=40, "Adequate",
  BE188&gt;=20, "Weak",
  TRUE, "Insufficient Evidence"
)</f>
        <v/>
      </c>
      <c r="DR188" s="5">
        <f t="array" ref="DR188">_xlfn.IFS(
  ISBLANK(CU188), "Insufficient Evidence",
  CU188&lt;=20, "Low Risk",
  CU188&lt;=50, "Moderate Risk",
  CU188&lt;=75, "High Risk",
  TRUE, "Very High Risk"
)</f>
        <v/>
      </c>
      <c r="DS188" s="5">
        <f t="array" ref="DS188">_xlfn.IFS(
  ISBLANK(CE188), "Insufficient Evidence",
  AND(ISNUMBER(BW188),ISNUMBER(BV188),BW188&gt;BV188), "Overclaiming Risk",
  CE188&gt;=65, "Strong",
  CE188&gt;=40, "Adequate",
  TRUE, "Weak"
)</f>
        <v/>
      </c>
      <c r="DT188" s="5">
        <f>IF(DB188="Yes — Automatic",0,ROUND((IF(ISNUMBER(AR188),AR188,0)*0.3+IF(ISNUMBER(BS188),BS188,0)*0.2+IF(ISNUMBER(BE188),BE188,0)*0.2+IF(ISNUMBER(CE188),CE188,0)*0.15+(100-IF(ISNUMBER(CU188),CU188,50))*0.15)*IF(DN188&gt;=75,1,IF(DN188&gt;=50,0.9,IF(DN188&gt;=25,0.75,0.6))),1))</f>
        <v/>
      </c>
      <c r="DU188" s="5">
        <f t="array" ref="DU188">_xlfn.IFS(
  DV188="Upgraded to Clear", "Clear",
  DV188="Downgraded to Watchlist", "Watchlist",
  DV188="Downgraded to Exclusion", "Exclusion Risk",
  DB188="Yes — Automatic", "Exclusion Risk",
  OR(AW188="Confirmed Violation", AX188="Confirmed Breach"), "Exclusion Risk",
  OR(V188=0, ISBLANK(V188), DN188&lt;20), "Insufficient Evidence",
  AND(DT188&gt;=65, DA188="No", DB188="No"), "Clear",
  OR(DT188&gt;=40, DA188="Yes"), "Watchlist",
  TRUE, "Exclusion Risk"
)</f>
        <v/>
      </c>
      <c r="DV188" s="5" t="n"/>
      <c r="DW188" s="5">
        <f t="array" ref="DW188">_xlfn.IFS(
  DU188="Exclusion Risk", "Exclude — Hard Trigger",
  DU188="Insufficient Evidence", "Watchlist — Further Evidence Needed",
  DU188="Watchlist", "Watchlist — Further Evidence Needed",
  AND(DU188="Clear", DT188&gt;=80), "Include — No Conditions",
  DU188="Clear", "Include — Monitor",
  TRUE, "Watchlist — Further Evidence Needed"
)</f>
        <v/>
      </c>
      <c r="DX188" s="5" t="n"/>
      <c r="DY188" s="5" t="n"/>
      <c r="DZ188" s="5" t="n"/>
      <c r="EA188" s="5" t="n"/>
      <c r="EB188" s="5">
        <f>IF(OR(V188=0, ISBLANK(V188)), "MISSING — No sources reviewed", "")</f>
        <v/>
      </c>
      <c r="EC188" s="5">
        <f>IF(AND(NOT(ISBLANK(DC188)), ISBLANK(DE188)), "PAGE REF MISSING", "")</f>
        <v/>
      </c>
    </row>
    <row r="189" ht="18" customHeight="1" s="60">
      <c r="A189" s="5" t="inlineStr">
        <is>
          <t>Zegona Communications plc</t>
        </is>
      </c>
      <c r="B189" s="5" t="inlineStr">
        <is>
          <t>1ZG</t>
        </is>
      </c>
      <c r="C189" s="5">
        <f>IF(ISBLANK('Universe Tracker'!D164),"",'Universe Tracker'!D164)</f>
        <v/>
      </c>
      <c r="D189" s="5" t="n"/>
      <c r="E189" s="5" t="n"/>
      <c r="F189" s="5">
        <f>IF(ISBLANK('Universe Tracker'!F164),"",'Universe Tracker'!F164)</f>
        <v/>
      </c>
      <c r="G189" s="5">
        <f>IF(ISBLANK('Universe Tracker'!G164),"",'Universe Tracker'!G164)</f>
        <v/>
      </c>
      <c r="H189" s="5" t="n"/>
      <c r="I189" s="5" t="n"/>
      <c r="J189" s="5">
        <f>IF(ISBLANK(B189),"",B189&amp;"_"&amp;C189)</f>
        <v/>
      </c>
      <c r="K189" s="5" t="n"/>
      <c r="L189" s="5" t="n"/>
      <c r="M189" s="5" t="n"/>
      <c r="N189" s="5" t="n"/>
      <c r="O189" s="5" t="n"/>
      <c r="P189" s="5" t="n"/>
      <c r="Q189" s="5" t="n"/>
      <c r="R189" s="5" t="n"/>
      <c r="S189" s="5" t="n"/>
      <c r="T189" s="5" t="n"/>
      <c r="U189" s="5" t="n"/>
      <c r="V189" s="5" t="n"/>
      <c r="W189" s="5" t="n"/>
      <c r="X189" s="5" t="n"/>
      <c r="Y189" s="5">
        <f>IF(AND(V189&gt;=2,K189="Yes",L189="Yes"),"Sufficient",IF(AND(V189&gt;=1,OR(K189="Yes",L189="Yes")),"Thin","Insufficient"))</f>
        <v/>
      </c>
      <c r="Z189" s="5" t="n"/>
      <c r="AA189" s="5" t="n"/>
      <c r="AB189" s="5" t="n"/>
      <c r="AC189" s="5" t="n"/>
      <c r="AD189" s="5" t="n"/>
      <c r="AE189" s="5" t="n"/>
      <c r="AF189" s="5" t="n"/>
      <c r="AG189" s="5" t="n"/>
      <c r="AH189" s="5" t="n"/>
      <c r="AI189" s="5" t="n"/>
      <c r="AJ189" s="5" t="n"/>
      <c r="AK189" s="5" t="n"/>
      <c r="AL189" s="5" t="n"/>
      <c r="AM189" s="5" t="n"/>
      <c r="AN189" s="5" t="n"/>
      <c r="AO189" s="5" t="n"/>
      <c r="AP189" s="5" t="n"/>
      <c r="AQ189" s="5" t="n"/>
      <c r="AR189" s="40">
        <f t="array" ref="AR189">MIN(100, MAX(0,
  IFERROR(_xlfn.XLOOKUP(AJ189,'Lookup Tables'!$A$2:$A$7,'Lookup Tables'!$B$2:$B$7,0),0)
  + IF(Z189="Yes", IF(IFERROR(_xlfn.XLOOKUP(AJ189,'Lookup Tables'!$A$2:$A$7,'Lookup Tables'!$B$2:$B$7,0),0)&lt;20, 5, 0), 0)
  + _xlfn.IFS(AB189="Yes", IF(ISNUMBER(AC189)*AND(AC189&lt;=2030),15,10), AB189="Long-term Only", 5, AB189="No", 0, TRUE, 0)
  + _xlfn.IFS(AF189="Full",10, AF189="Partial",5, AF189="Scope 2 Only",3, TRUE,0)
  + _xlfn.IFS(AG189="Yes", IF(ISNUMBER(AH189)*AND(AH189&gt;=5),10,6), AG189="Partial",4, TRUE,0)
  + _xlfn.IFS(AI189="Yes",5, AI189="Partial (material categories only)",3, TRUE,0)
  + _xlfn.IFS(AL189="Yes — Detailed",10, AL189="Yes — High Level",5, TRUE,0)
  + _xlfn.IFS(AM189="Yes — Quantified",15, AM189="Yes — Directional Only",7, TRUE,0)
  + _xlfn.IFS(AP189="Formal",5, AP189="Referenced",2, TRUE,0)
  + _xlfn.IFS(AQ189="No Issues Found",5, AQ189="Concern Identified",-5, AQ189="Severe Contradiction",-15, TRUE,0)
  + _xlfn.IFS(BC189="Reasonable Assurance",5, BC189="Limited Assurance",3, TRUE,0)
  - IF(AND(Z189="Yes", AI189="No"), 10, 0)
  - IF(AND(Z189="Yes", AM189="No"), 10, 0)
))</f>
        <v/>
      </c>
      <c r="AS189" s="5" t="n"/>
      <c r="AT189" s="5" t="n"/>
      <c r="AU189" s="5" t="n"/>
      <c r="AV189" s="5" t="n"/>
      <c r="AW189" s="5" t="n"/>
      <c r="AX189" s="5" t="n"/>
      <c r="AY189" s="5" t="n"/>
      <c r="AZ189" s="5" t="n"/>
      <c r="BA189" s="5" t="n"/>
      <c r="BB189" s="5" t="n"/>
      <c r="BC189" s="5" t="n"/>
      <c r="BD189" s="5" t="n"/>
      <c r="BE189" s="39">
        <f t="array" ref="BE189">MIN(100, MAX(0,
  IFERROR(_xlfn.XLOOKUP(AT189,'Lookup Tables'!$D$2:$D$6,'Lookup Tables'!$E$2:$E$6,0),0)
  + IFERROR(_xlfn.XLOOKUP(AV189,'Lookup Tables'!$G$2:$G$5,'Lookup Tables'!$H$2:$H$5,0),0)
  + IFERROR(_xlfn.XLOOKUP(AW189,'Lookup Tables'!$J$2:$J$5,'Lookup Tables'!$K$2:$K$5,0),0)
  + _xlfn.IFS(AX189="No Issues",10, AX189="Complaint Filed",3, AX189="Confirmed Breach",-15, TRUE,0)
  + IFERROR(_xlfn.XLOOKUP(AY189,'Lookup Tables'!$M$2:$M$6,'Lookup Tables'!$N$2:$N$6,0),0)
  + IFERROR(_xlfn.XLOOKUP(AZ189,'Lookup Tables'!$P$2:$P$6,'Lookup Tables'!$Q$2:$Q$6,0),0)
  + _xlfn.IFS(BA189="Formal Board Committee",5, BA189="Board Oversight Mentioned",2, TRUE,0)
  + _xlfn.IFS(BB189="Yes — Quantified Targets",5, BB189="Yes — Discretionary Only",2, TRUE,0)
  + _xlfn.IFS(BC189="Reasonable Assurance",5, BC189="Limited Assurance",3, BC189="Management Review Only",1, TRUE,0)
))</f>
        <v/>
      </c>
      <c r="BF189" s="5" t="n"/>
      <c r="BG189" s="5" t="n"/>
      <c r="BH189" s="5" t="n"/>
      <c r="BI189" s="5" t="n"/>
      <c r="BJ189" s="5" t="n"/>
      <c r="BK189" s="5" t="n"/>
      <c r="BL189" s="5" t="n"/>
      <c r="BM189" s="5" t="n"/>
      <c r="BN189" s="5" t="n"/>
      <c r="BO189" s="5" t="n"/>
      <c r="BP189" s="5" t="n"/>
      <c r="BQ189" s="5" t="n"/>
      <c r="BR189" s="5" t="n"/>
      <c r="BS189" s="41">
        <f t="array" ref="BS189">MIN(100, MAX(0,
  IFERROR(_xlfn.XLOOKUP(BG189,'Lookup Tables'!$A$11:$A$16,'Lookup Tables'!$B$11:$B$16,0),0)
  + IFERROR(_xlfn.XLOOKUP(BR189,'Lookup Tables'!$M$11:$M$14,'Lookup Tables'!$N$11:$N$14,0),0)
  + IFERROR(_xlfn.XLOOKUP(BQ189,'Lookup Tables'!$J$11:$J$15,'Lookup Tables'!$K$11:$K$15,0),0)
  + IFERROR(_xlfn.XLOOKUP(BH189,'Lookup Tables'!$D$11:$D$15,'Lookup Tables'!$E$11:$E$15,0),0)
  + IFERROR(_xlfn.XLOOKUP(BJ189,'Lookup Tables'!$G$11:$G$16,'Lookup Tables'!$H$11:$H$16,0),0)
  + IFERROR(_xlfn.XLOOKUP(BN189,'Lookup Tables'!$P$11:$P$15,'Lookup Tables'!$Q$11:$Q$15,0),0)
  + _xlfn.IFS(BM189="No Evidence",10, BM189="Unknown",3, BM189="Likely",0, BM189="Confirmed",-10, TRUE,3)
  + IFERROR(_xlfn.XLOOKUP(BP189,'Lookup Tables'!$J$21:$J$24,'Lookup Tables'!$K$21:$K$24,0),0)
))</f>
        <v/>
      </c>
      <c r="BT189" s="5" t="n"/>
      <c r="BU189" s="5" t="n"/>
      <c r="BV189" s="5" t="n"/>
      <c r="BW189" s="5" t="n"/>
      <c r="BX189" s="5" t="n"/>
      <c r="BY189" s="5" t="n"/>
      <c r="BZ189" s="5" t="n"/>
      <c r="CA189" s="5" t="n"/>
      <c r="CB189" s="5" t="n"/>
      <c r="CC189" s="5" t="n"/>
      <c r="CD189" s="5" t="n"/>
      <c r="CE189" s="43">
        <f t="array" ref="CE189">MIN(100, MAX(0,
  IF(ISNUMBER(BV189)*AND(BV189&gt;0), 10, 0)
  + _xlfn.IFS(BY189="Independently Verified",25, BY189="Yes",15, TRUE,0)
  + IFERROR(_xlfn.XLOOKUP(BZ189,'Lookup Tables'!$A$21:$A$24,'Lookup Tables'!$B$21:$B$24,0),0)
  + IFERROR(_xlfn.XLOOKUP(CA189,'Lookup Tables'!$D$21:$D$24,'Lookup Tables'!$E$21:$E$24,0),0)
  + _xlfn.IFS(ISNUMBER(CB189)*AND(CB189&gt;=11),15, ISNUMBER(CB189)*AND(CB189&gt;=6),10, ISNUMBER(CB189)*AND(CB189&gt;=1),5, TRUE,0)
  + IFERROR(_xlfn.XLOOKUP(CC189,'Lookup Tables'!$G$21:$G$25,'Lookup Tables'!$H$21:$H$25,0),0)
  - IF(ISNUMBER(BW189)*AND(ISNUMBER(BV189))*AND(BW189&gt;BV189), 20, 0)
  - IF(AND(BY189="Yes", ISNUMBER(BW189), BW189&gt;60), 10, 0)
))</f>
        <v/>
      </c>
      <c r="CF189" s="5" t="n"/>
      <c r="CG189" s="5" t="n"/>
      <c r="CH189" s="5" t="n"/>
      <c r="CI189" s="5" t="n"/>
      <c r="CJ189" s="5" t="n"/>
      <c r="CK189" s="5" t="n"/>
      <c r="CL189" s="5" t="n"/>
      <c r="CM189" s="5" t="n"/>
      <c r="CN189" s="5" t="n"/>
      <c r="CO189" s="5" t="n"/>
      <c r="CP189" s="5" t="n"/>
      <c r="CQ189" s="5" t="n"/>
      <c r="CR189" s="5">
        <f>COUNTIF(CJ189:CQ189,"FAIL")</f>
        <v/>
      </c>
      <c r="CS189" s="5">
        <f>COUNTIF(CJ189:CQ189,"PARTIAL")</f>
        <v/>
      </c>
      <c r="CT189" s="5">
        <f>COUNTIF(CJ189:CQ189,"MISSING")</f>
        <v/>
      </c>
      <c r="CU189" s="5">
        <f>MIN(100,
  CR189*15
  + CS189*6
  + CT189*3
  + IFERROR(_xlfn.XLOOKUP(CW189,'Lookup Tables'!$M$21:$M$25,'Lookup Tables'!$N$21:$N$25,0),0)
)</f>
        <v/>
      </c>
      <c r="CV189" s="5">
        <f>IFERROR(
CHOOSE(
MATCH("FAIL",CJ189:CQ189,0),
"1-Specificity","2-Metric","3-Baseline","4-Target",
"5-Time Horizon","6-Scope","7-Verification","8-Consistency"
),
IFERROR(
CHOOSE(
MATCH("PARTIAL",CJ189:CQ189,0),
"1-Specificity","2-Metric","3-Baseline","4-Target",
"5-Time Horizon","6-Scope","7-Verification","8-Consistency"
),
"No failures"
)
)</f>
        <v/>
      </c>
      <c r="CW189" s="5" t="n"/>
      <c r="CX189" s="5" t="n"/>
      <c r="CY189" s="5" t="n"/>
      <c r="CZ189" s="5" t="n"/>
      <c r="DA189" s="5">
        <f>IF(OR(CU189&gt;=50,CW189="Material",CW189="Severe",AS189="Material",AS189="Severe",BF189="Material",BF189="Severe — Exclusion Trigger",AND(ISNUMBER(BS189),BS189&lt;30)),"Yes","No")</f>
        <v/>
      </c>
      <c r="DB189" s="5">
        <f>IF(OR(CR189&gt;=6,AW189="Confirmed Violation",AX189="Confirmed Breach"),"Yes — Automatic",IF(CW189="Severe","Yes — Requires Captain Confirmation","No"))</f>
        <v/>
      </c>
      <c r="DC189" s="5" t="n"/>
      <c r="DD189" s="5" t="n"/>
      <c r="DE189" s="5" t="n"/>
      <c r="DF189" s="5" t="n"/>
      <c r="DG189" s="5" t="n"/>
      <c r="DH189" s="5" t="n"/>
      <c r="DI189" s="5" t="n"/>
      <c r="DJ189" s="5" t="n"/>
      <c r="DK189" s="5" t="n"/>
      <c r="DL189" s="5">
        <f>IF(OR(IFERROR(VALUE(LEFT(DF189,1)),99)&lt;=2,IFERROR(VALUE(LEFT(DG189,1)),99)&lt;=2),"Flagged","Clear")</f>
        <v/>
      </c>
      <c r="DM189" s="5">
        <f>IF(OR(DA189="Yes",DB189&lt;&gt;"No",DH189="Unverified",DL189="Flagged"),"Yes","No")</f>
        <v/>
      </c>
      <c r="DN189" s="5">
        <f t="array" ref="DN189">MIN(100,
  IF(ISNUMBER(V189), _xlfn.IFS(V189&gt;=3,25, V189=2,15, V189=1,5, TRUE,0), 0)
  + IFERROR(_xlfn.IFS(VALUE(LEFT(DF189,1))=5,25, VALUE(LEFT(DF189,1))=4,20, VALUE(LEFT(DF189,1))=3,15, VALUE(LEFT(DF189,1))=2,8, TRUE,0), 15)
  + IFERROR(_xlfn.IFS(VALUE(LEFT(DG189,1))=5,25, VALUE(LEFT(DG189,1))=4,20, VALUE(LEFT(DG189,1))=3,15, VALUE(LEFT(DG189,1))=2,8, TRUE,0), 15)
  + _xlfn.IFS(DH189="Fully Verified",25, DH189="Partially Verified",12, TRUE,0)
)</f>
        <v/>
      </c>
      <c r="DO189" s="5">
        <f t="array" ref="DO189">_xlfn.IFS(
  ISBLANK(AR189), "Insufficient Evidence",
  AND(AR189&gt;=65, AJ189="Approved"), "Strong",
  AR189&gt;=65, "Adequate",
  AR189&gt;=40, "Adequate",
  AR189&gt;=20, "Weak",
  TRUE, "Insufficient Evidence"
)</f>
        <v/>
      </c>
      <c r="DP189" s="5">
        <f t="array" ref="DP189">_xlfn.IFS(
  ISBLANK(BS189), "Insufficient Evidence",
  BS189&gt;=65, "Strong",
  BS189&gt;=40, "Adequate",
  BS189&gt;=20, "Weak",
  TRUE, "Insufficient Evidence"
)</f>
        <v/>
      </c>
      <c r="DQ189" s="5">
        <f t="array" ref="DQ189">_xlfn.IFS(
  ISBLANK(BE189), "Insufficient Evidence",
  OR(AW189="Confirmed Violation", AX189="Confirmed Breach"), "Severe — Hard Trigger",
  BE189&gt;=65, "Strong",
  BE189&gt;=40, "Adequate",
  BE189&gt;=20, "Weak",
  TRUE, "Insufficient Evidence"
)</f>
        <v/>
      </c>
      <c r="DR189" s="5">
        <f t="array" ref="DR189">_xlfn.IFS(
  ISBLANK(CU189), "Insufficient Evidence",
  CU189&lt;=20, "Low Risk",
  CU189&lt;=50, "Moderate Risk",
  CU189&lt;=75, "High Risk",
  TRUE, "Very High Risk"
)</f>
        <v/>
      </c>
      <c r="DS189" s="5">
        <f t="array" ref="DS189">_xlfn.IFS(
  ISBLANK(CE189), "Insufficient Evidence",
  AND(ISNUMBER(BW189),ISNUMBER(BV189),BW189&gt;BV189), "Overclaiming Risk",
  CE189&gt;=65, "Strong",
  CE189&gt;=40, "Adequate",
  TRUE, "Weak"
)</f>
        <v/>
      </c>
      <c r="DT189" s="5">
        <f>IF(DB189="Yes — Automatic",0,ROUND((IF(ISNUMBER(AR189),AR189,0)*0.3+IF(ISNUMBER(BS189),BS189,0)*0.2+IF(ISNUMBER(BE189),BE189,0)*0.2+IF(ISNUMBER(CE189),CE189,0)*0.15+(100-IF(ISNUMBER(CU189),CU189,50))*0.15)*IF(DN189&gt;=75,1,IF(DN189&gt;=50,0.9,IF(DN189&gt;=25,0.75,0.6))),1))</f>
        <v/>
      </c>
      <c r="DU189" s="5">
        <f t="array" ref="DU189">_xlfn.IFS(
  DV189="Upgraded to Clear", "Clear",
  DV189="Downgraded to Watchlist", "Watchlist",
  DV189="Downgraded to Exclusion", "Exclusion Risk",
  DB189="Yes — Automatic", "Exclusion Risk",
  OR(AW189="Confirmed Violation", AX189="Confirmed Breach"), "Exclusion Risk",
  OR(V189=0, ISBLANK(V189), DN189&lt;20), "Insufficient Evidence",
  AND(DT189&gt;=65, DA189="No", DB189="No"), "Clear",
  OR(DT189&gt;=40, DA189="Yes"), "Watchlist",
  TRUE, "Exclusion Risk"
)</f>
        <v/>
      </c>
      <c r="DV189" s="5" t="n"/>
      <c r="DW189" s="5">
        <f t="array" ref="DW189">_xlfn.IFS(
  DU189="Exclusion Risk", "Exclude — Hard Trigger",
  DU189="Insufficient Evidence", "Watchlist — Further Evidence Needed",
  DU189="Watchlist", "Watchlist — Further Evidence Needed",
  AND(DU189="Clear", DT189&gt;=80), "Include — No Conditions",
  DU189="Clear", "Include — Monitor",
  TRUE, "Watchlist — Further Evidence Needed"
)</f>
        <v/>
      </c>
      <c r="DX189" s="5" t="n"/>
      <c r="DY189" s="5" t="n"/>
      <c r="DZ189" s="5" t="n"/>
      <c r="EA189" s="5" t="n"/>
      <c r="EB189" s="5">
        <f>IF(OR(V189=0, ISBLANK(V189)), "MISSING — No sources reviewed", "")</f>
        <v/>
      </c>
      <c r="EC189" s="5">
        <f>IF(AND(NOT(ISBLANK(DC189)), ISBLANK(DE189)), "PAGE REF MISSING", "")</f>
        <v/>
      </c>
    </row>
    <row r="190" ht="18" customHeight="1" s="60">
      <c r="A190" s="5" t="inlineStr">
        <is>
          <t>Camurus AB</t>
        </is>
      </c>
      <c r="B190" s="5" t="inlineStr">
        <is>
          <t>7CA</t>
        </is>
      </c>
      <c r="C190" s="5">
        <f>IF(ISBLANK('Universe Tracker'!D165),"",'Universe Tracker'!D165)</f>
        <v/>
      </c>
      <c r="D190" s="5" t="n"/>
      <c r="E190" s="5" t="n"/>
      <c r="F190" s="5">
        <f>IF(ISBLANK('Universe Tracker'!F165),"",'Universe Tracker'!F165)</f>
        <v/>
      </c>
      <c r="G190" s="5">
        <f>IF(ISBLANK('Universe Tracker'!G165),"",'Universe Tracker'!G165)</f>
        <v/>
      </c>
      <c r="H190" s="5" t="n"/>
      <c r="I190" s="5" t="n"/>
      <c r="J190" s="5">
        <f>IF(ISBLANK(B190),"",B190&amp;"_"&amp;C190)</f>
        <v/>
      </c>
      <c r="K190" s="5" t="n"/>
      <c r="L190" s="5" t="n"/>
      <c r="M190" s="5" t="n"/>
      <c r="N190" s="5" t="n"/>
      <c r="O190" s="5" t="n"/>
      <c r="P190" s="5" t="n"/>
      <c r="Q190" s="5" t="n"/>
      <c r="R190" s="5" t="n"/>
      <c r="S190" s="5" t="n"/>
      <c r="T190" s="5" t="n"/>
      <c r="U190" s="5" t="n"/>
      <c r="V190" s="5" t="n"/>
      <c r="W190" s="5" t="n"/>
      <c r="X190" s="5" t="n"/>
      <c r="Y190" s="5">
        <f>IF(AND(V190&gt;=2,K190="Yes",L190="Yes"),"Sufficient",IF(AND(V190&gt;=1,OR(K190="Yes",L190="Yes")),"Thin","Insufficient"))</f>
        <v/>
      </c>
      <c r="Z190" s="5" t="n"/>
      <c r="AA190" s="5" t="n"/>
      <c r="AB190" s="5" t="n"/>
      <c r="AC190" s="5" t="n"/>
      <c r="AD190" s="5" t="n"/>
      <c r="AE190" s="5" t="n"/>
      <c r="AF190" s="5" t="n"/>
      <c r="AG190" s="5" t="n"/>
      <c r="AH190" s="5" t="n"/>
      <c r="AI190" s="5" t="n"/>
      <c r="AJ190" s="5" t="n"/>
      <c r="AK190" s="5" t="n"/>
      <c r="AL190" s="5" t="n"/>
      <c r="AM190" s="5" t="n"/>
      <c r="AN190" s="5" t="n"/>
      <c r="AO190" s="5" t="n"/>
      <c r="AP190" s="5" t="n"/>
      <c r="AQ190" s="5" t="n"/>
      <c r="AR190" s="40">
        <f t="array" ref="AR190">MIN(100, MAX(0,
  IFERROR(_xlfn.XLOOKUP(AJ190,'Lookup Tables'!$A$2:$A$7,'Lookup Tables'!$B$2:$B$7,0),0)
  + IF(Z190="Yes", IF(IFERROR(_xlfn.XLOOKUP(AJ190,'Lookup Tables'!$A$2:$A$7,'Lookup Tables'!$B$2:$B$7,0),0)&lt;20, 5, 0), 0)
  + _xlfn.IFS(AB190="Yes", IF(ISNUMBER(AC190)*AND(AC190&lt;=2030),15,10), AB190="Long-term Only", 5, AB190="No", 0, TRUE, 0)
  + _xlfn.IFS(AF190="Full",10, AF190="Partial",5, AF190="Scope 2 Only",3, TRUE,0)
  + _xlfn.IFS(AG190="Yes", IF(ISNUMBER(AH190)*AND(AH190&gt;=5),10,6), AG190="Partial",4, TRUE,0)
  + _xlfn.IFS(AI190="Yes",5, AI190="Partial (material categories only)",3, TRUE,0)
  + _xlfn.IFS(AL190="Yes — Detailed",10, AL190="Yes — High Level",5, TRUE,0)
  + _xlfn.IFS(AM190="Yes — Quantified",15, AM190="Yes — Directional Only",7, TRUE,0)
  + _xlfn.IFS(AP190="Formal",5, AP190="Referenced",2, TRUE,0)
  + _xlfn.IFS(AQ190="No Issues Found",5, AQ190="Concern Identified",-5, AQ190="Severe Contradiction",-15, TRUE,0)
  + _xlfn.IFS(BC190="Reasonable Assurance",5, BC190="Limited Assurance",3, TRUE,0)
  - IF(AND(Z190="Yes", AI190="No"), 10, 0)
  - IF(AND(Z190="Yes", AM190="No"), 10, 0)
))</f>
        <v/>
      </c>
      <c r="AS190" s="5" t="n"/>
      <c r="AT190" s="5" t="n"/>
      <c r="AU190" s="5" t="n"/>
      <c r="AV190" s="5" t="n"/>
      <c r="AW190" s="5" t="n"/>
      <c r="AX190" s="5" t="n"/>
      <c r="AY190" s="5" t="n"/>
      <c r="AZ190" s="5" t="n"/>
      <c r="BA190" s="5" t="n"/>
      <c r="BB190" s="5" t="n"/>
      <c r="BC190" s="5" t="n"/>
      <c r="BD190" s="5" t="n"/>
      <c r="BE190" s="39">
        <f t="array" ref="BE190">MIN(100, MAX(0,
  IFERROR(_xlfn.XLOOKUP(AT190,'Lookup Tables'!$D$2:$D$6,'Lookup Tables'!$E$2:$E$6,0),0)
  + IFERROR(_xlfn.XLOOKUP(AV190,'Lookup Tables'!$G$2:$G$5,'Lookup Tables'!$H$2:$H$5,0),0)
  + IFERROR(_xlfn.XLOOKUP(AW190,'Lookup Tables'!$J$2:$J$5,'Lookup Tables'!$K$2:$K$5,0),0)
  + _xlfn.IFS(AX190="No Issues",10, AX190="Complaint Filed",3, AX190="Confirmed Breach",-15, TRUE,0)
  + IFERROR(_xlfn.XLOOKUP(AY190,'Lookup Tables'!$M$2:$M$6,'Lookup Tables'!$N$2:$N$6,0),0)
  + IFERROR(_xlfn.XLOOKUP(AZ190,'Lookup Tables'!$P$2:$P$6,'Lookup Tables'!$Q$2:$Q$6,0),0)
  + _xlfn.IFS(BA190="Formal Board Committee",5, BA190="Board Oversight Mentioned",2, TRUE,0)
  + _xlfn.IFS(BB190="Yes — Quantified Targets",5, BB190="Yes — Discretionary Only",2, TRUE,0)
  + _xlfn.IFS(BC190="Reasonable Assurance",5, BC190="Limited Assurance",3, BC190="Management Review Only",1, TRUE,0)
))</f>
        <v/>
      </c>
      <c r="BF190" s="5" t="n"/>
      <c r="BG190" s="5" t="n"/>
      <c r="BH190" s="5" t="n"/>
      <c r="BI190" s="5" t="n"/>
      <c r="BJ190" s="5" t="n"/>
      <c r="BK190" s="5" t="n"/>
      <c r="BL190" s="5" t="n"/>
      <c r="BM190" s="5" t="n"/>
      <c r="BN190" s="5" t="n"/>
      <c r="BO190" s="5" t="n"/>
      <c r="BP190" s="5" t="n"/>
      <c r="BQ190" s="5" t="n"/>
      <c r="BR190" s="5" t="n"/>
      <c r="BS190" s="41">
        <f t="array" ref="BS190">MIN(100, MAX(0,
  IFERROR(_xlfn.XLOOKUP(BG190,'Lookup Tables'!$A$11:$A$16,'Lookup Tables'!$B$11:$B$16,0),0)
  + IFERROR(_xlfn.XLOOKUP(BR190,'Lookup Tables'!$M$11:$M$14,'Lookup Tables'!$N$11:$N$14,0),0)
  + IFERROR(_xlfn.XLOOKUP(BQ190,'Lookup Tables'!$J$11:$J$15,'Lookup Tables'!$K$11:$K$15,0),0)
  + IFERROR(_xlfn.XLOOKUP(BH190,'Lookup Tables'!$D$11:$D$15,'Lookup Tables'!$E$11:$E$15,0),0)
  + IFERROR(_xlfn.XLOOKUP(BJ190,'Lookup Tables'!$G$11:$G$16,'Lookup Tables'!$H$11:$H$16,0),0)
  + IFERROR(_xlfn.XLOOKUP(BN190,'Lookup Tables'!$P$11:$P$15,'Lookup Tables'!$Q$11:$Q$15,0),0)
  + _xlfn.IFS(BM190="No Evidence",10, BM190="Unknown",3, BM190="Likely",0, BM190="Confirmed",-10, TRUE,3)
  + IFERROR(_xlfn.XLOOKUP(BP190,'Lookup Tables'!$J$21:$J$24,'Lookup Tables'!$K$21:$K$24,0),0)
))</f>
        <v/>
      </c>
      <c r="BT190" s="5" t="n"/>
      <c r="BU190" s="5" t="n"/>
      <c r="BV190" s="5" t="n"/>
      <c r="BW190" s="5" t="n"/>
      <c r="BX190" s="5" t="n"/>
      <c r="BY190" s="5" t="n"/>
      <c r="BZ190" s="5" t="n"/>
      <c r="CA190" s="5" t="n"/>
      <c r="CB190" s="5" t="n"/>
      <c r="CC190" s="5" t="n"/>
      <c r="CD190" s="5" t="n"/>
      <c r="CE190" s="43">
        <f t="array" ref="CE190">MIN(100, MAX(0,
  IF(ISNUMBER(BV190)*AND(BV190&gt;0), 10, 0)
  + _xlfn.IFS(BY190="Independently Verified",25, BY190="Yes",15, TRUE,0)
  + IFERROR(_xlfn.XLOOKUP(BZ190,'Lookup Tables'!$A$21:$A$24,'Lookup Tables'!$B$21:$B$24,0),0)
  + IFERROR(_xlfn.XLOOKUP(CA190,'Lookup Tables'!$D$21:$D$24,'Lookup Tables'!$E$21:$E$24,0),0)
  + _xlfn.IFS(ISNUMBER(CB190)*AND(CB190&gt;=11),15, ISNUMBER(CB190)*AND(CB190&gt;=6),10, ISNUMBER(CB190)*AND(CB190&gt;=1),5, TRUE,0)
  + IFERROR(_xlfn.XLOOKUP(CC190,'Lookup Tables'!$G$21:$G$25,'Lookup Tables'!$H$21:$H$25,0),0)
  - IF(ISNUMBER(BW190)*AND(ISNUMBER(BV190))*AND(BW190&gt;BV190), 20, 0)
  - IF(AND(BY190="Yes", ISNUMBER(BW190), BW190&gt;60), 10, 0)
))</f>
        <v/>
      </c>
      <c r="CF190" s="5" t="n"/>
      <c r="CG190" s="5" t="n"/>
      <c r="CH190" s="5" t="n"/>
      <c r="CI190" s="5" t="n"/>
      <c r="CJ190" s="5" t="n"/>
      <c r="CK190" s="5" t="n"/>
      <c r="CL190" s="5" t="n"/>
      <c r="CM190" s="5" t="n"/>
      <c r="CN190" s="5" t="n"/>
      <c r="CO190" s="5" t="n"/>
      <c r="CP190" s="5" t="n"/>
      <c r="CQ190" s="5" t="n"/>
      <c r="CR190" s="5">
        <f>COUNTIF(CJ190:CQ190,"FAIL")</f>
        <v/>
      </c>
      <c r="CS190" s="5">
        <f>COUNTIF(CJ190:CQ190,"PARTIAL")</f>
        <v/>
      </c>
      <c r="CT190" s="5">
        <f>COUNTIF(CJ190:CQ190,"MISSING")</f>
        <v/>
      </c>
      <c r="CU190" s="5">
        <f>MIN(100,
  CR190*15
  + CS190*6
  + CT190*3
  + IFERROR(_xlfn.XLOOKUP(CW190,'Lookup Tables'!$M$21:$M$25,'Lookup Tables'!$N$21:$N$25,0),0)
)</f>
        <v/>
      </c>
      <c r="CV190" s="5">
        <f>IFERROR(
CHOOSE(
MATCH("FAIL",CJ190:CQ190,0),
"1-Specificity","2-Metric","3-Baseline","4-Target",
"5-Time Horizon","6-Scope","7-Verification","8-Consistency"
),
IFERROR(
CHOOSE(
MATCH("PARTIAL",CJ190:CQ190,0),
"1-Specificity","2-Metric","3-Baseline","4-Target",
"5-Time Horizon","6-Scope","7-Verification","8-Consistency"
),
"No failures"
)
)</f>
        <v/>
      </c>
      <c r="CW190" s="5" t="n"/>
      <c r="CX190" s="5" t="n"/>
      <c r="CY190" s="5" t="n"/>
      <c r="CZ190" s="5" t="n"/>
      <c r="DA190" s="5">
        <f>IF(OR(CU190&gt;=50,CW190="Material",CW190="Severe",AS190="Material",AS190="Severe",BF190="Material",BF190="Severe — Exclusion Trigger",AND(ISNUMBER(BS190),BS190&lt;30)),"Yes","No")</f>
        <v/>
      </c>
      <c r="DB190" s="5">
        <f>IF(OR(CR190&gt;=6,AW190="Confirmed Violation",AX190="Confirmed Breach"),"Yes — Automatic",IF(CW190="Severe","Yes — Requires Captain Confirmation","No"))</f>
        <v/>
      </c>
      <c r="DC190" s="5" t="n"/>
      <c r="DD190" s="5" t="n"/>
      <c r="DE190" s="5" t="n"/>
      <c r="DF190" s="5" t="n"/>
      <c r="DG190" s="5" t="n"/>
      <c r="DH190" s="5" t="n"/>
      <c r="DI190" s="5" t="n"/>
      <c r="DJ190" s="5" t="n"/>
      <c r="DK190" s="5" t="n"/>
      <c r="DL190" s="5">
        <f>IF(OR(IFERROR(VALUE(LEFT(DF190,1)),99)&lt;=2,IFERROR(VALUE(LEFT(DG190,1)),99)&lt;=2),"Flagged","Clear")</f>
        <v/>
      </c>
      <c r="DM190" s="5">
        <f>IF(OR(DA190="Yes",DB190&lt;&gt;"No",DH190="Unverified",DL190="Flagged"),"Yes","No")</f>
        <v/>
      </c>
      <c r="DN190" s="5">
        <f t="array" ref="DN190">MIN(100,
  IF(ISNUMBER(V190), _xlfn.IFS(V190&gt;=3,25, V190=2,15, V190=1,5, TRUE,0), 0)
  + IFERROR(_xlfn.IFS(VALUE(LEFT(DF190,1))=5,25, VALUE(LEFT(DF190,1))=4,20, VALUE(LEFT(DF190,1))=3,15, VALUE(LEFT(DF190,1))=2,8, TRUE,0), 15)
  + IFERROR(_xlfn.IFS(VALUE(LEFT(DG190,1))=5,25, VALUE(LEFT(DG190,1))=4,20, VALUE(LEFT(DG190,1))=3,15, VALUE(LEFT(DG190,1))=2,8, TRUE,0), 15)
  + _xlfn.IFS(DH190="Fully Verified",25, DH190="Partially Verified",12, TRUE,0)
)</f>
        <v/>
      </c>
      <c r="DO190" s="5">
        <f t="array" ref="DO190">_xlfn.IFS(
  ISBLANK(AR190), "Insufficient Evidence",
  AND(AR190&gt;=65, AJ190="Approved"), "Strong",
  AR190&gt;=65, "Adequate",
  AR190&gt;=40, "Adequate",
  AR190&gt;=20, "Weak",
  TRUE, "Insufficient Evidence"
)</f>
        <v/>
      </c>
      <c r="DP190" s="5">
        <f t="array" ref="DP190">_xlfn.IFS(
  ISBLANK(BS190), "Insufficient Evidence",
  BS190&gt;=65, "Strong",
  BS190&gt;=40, "Adequate",
  BS190&gt;=20, "Weak",
  TRUE, "Insufficient Evidence"
)</f>
        <v/>
      </c>
      <c r="DQ190" s="5">
        <f t="array" ref="DQ190">_xlfn.IFS(
  ISBLANK(BE190), "Insufficient Evidence",
  OR(AW190="Confirmed Violation", AX190="Confirmed Breach"), "Severe — Hard Trigger",
  BE190&gt;=65, "Strong",
  BE190&gt;=40, "Adequate",
  BE190&gt;=20, "Weak",
  TRUE, "Insufficient Evidence"
)</f>
        <v/>
      </c>
      <c r="DR190" s="5">
        <f t="array" ref="DR190">_xlfn.IFS(
  ISBLANK(CU190), "Insufficient Evidence",
  CU190&lt;=20, "Low Risk",
  CU190&lt;=50, "Moderate Risk",
  CU190&lt;=75, "High Risk",
  TRUE, "Very High Risk"
)</f>
        <v/>
      </c>
      <c r="DS190" s="5">
        <f t="array" ref="DS190">_xlfn.IFS(
  ISBLANK(CE190), "Insufficient Evidence",
  AND(ISNUMBER(BW190),ISNUMBER(BV190),BW190&gt;BV190), "Overclaiming Risk",
  CE190&gt;=65, "Strong",
  CE190&gt;=40, "Adequate",
  TRUE, "Weak"
)</f>
        <v/>
      </c>
      <c r="DT190" s="5">
        <f>IF(DB190="Yes — Automatic",0,ROUND((IF(ISNUMBER(AR190),AR190,0)*0.3+IF(ISNUMBER(BS190),BS190,0)*0.2+IF(ISNUMBER(BE190),BE190,0)*0.2+IF(ISNUMBER(CE190),CE190,0)*0.15+(100-IF(ISNUMBER(CU190),CU190,50))*0.15)*IF(DN190&gt;=75,1,IF(DN190&gt;=50,0.9,IF(DN190&gt;=25,0.75,0.6))),1))</f>
        <v/>
      </c>
      <c r="DU190" s="5">
        <f t="array" ref="DU190">_xlfn.IFS(
  DV190="Upgraded to Clear", "Clear",
  DV190="Downgraded to Watchlist", "Watchlist",
  DV190="Downgraded to Exclusion", "Exclusion Risk",
  DB190="Yes — Automatic", "Exclusion Risk",
  OR(AW190="Confirmed Violation", AX190="Confirmed Breach"), "Exclusion Risk",
  OR(V190=0, ISBLANK(V190), DN190&lt;20), "Insufficient Evidence",
  AND(DT190&gt;=65, DA190="No", DB190="No"), "Clear",
  OR(DT190&gt;=40, DA190="Yes"), "Watchlist",
  TRUE, "Exclusion Risk"
)</f>
        <v/>
      </c>
      <c r="DV190" s="5" t="n"/>
      <c r="DW190" s="5">
        <f t="array" ref="DW190">_xlfn.IFS(
  DU190="Exclusion Risk", "Exclude — Hard Trigger",
  DU190="Insufficient Evidence", "Watchlist — Further Evidence Needed",
  DU190="Watchlist", "Watchlist — Further Evidence Needed",
  AND(DU190="Clear", DT190&gt;=80), "Include — No Conditions",
  DU190="Clear", "Include — Monitor",
  TRUE, "Watchlist — Further Evidence Needed"
)</f>
        <v/>
      </c>
      <c r="DX190" s="5" t="n"/>
      <c r="DY190" s="5" t="n"/>
      <c r="DZ190" s="5" t="n"/>
      <c r="EA190" s="5" t="n"/>
      <c r="EB190" s="5">
        <f>IF(OR(V190=0, ISBLANK(V190)), "MISSING — No sources reviewed", "")</f>
        <v/>
      </c>
      <c r="EC190" s="5">
        <f>IF(AND(NOT(ISBLANK(DC190)), ISBLANK(DE190)), "PAGE REF MISSING", "")</f>
        <v/>
      </c>
    </row>
    <row r="191" ht="18" customHeight="1" s="60">
      <c r="A191" s="5" t="inlineStr">
        <is>
          <t>Banco BPM SpA</t>
        </is>
      </c>
      <c r="B191" s="5" t="inlineStr">
        <is>
          <t>BPM</t>
        </is>
      </c>
      <c r="C191" s="5">
        <f>IF(ISBLANK('Universe Tracker'!D166),"",'Universe Tracker'!D166)</f>
        <v/>
      </c>
      <c r="D191" s="5" t="n"/>
      <c r="E191" s="5" t="n"/>
      <c r="F191" s="5">
        <f>IF(ISBLANK('Universe Tracker'!F166),"",'Universe Tracker'!F166)</f>
        <v/>
      </c>
      <c r="G191" s="5">
        <f>IF(ISBLANK('Universe Tracker'!G166),"",'Universe Tracker'!G166)</f>
        <v/>
      </c>
      <c r="H191" s="5" t="n"/>
      <c r="I191" s="5" t="n"/>
      <c r="J191" s="5">
        <f>IF(ISBLANK(B191),"",B191&amp;"_"&amp;C191)</f>
        <v/>
      </c>
      <c r="K191" s="5" t="n"/>
      <c r="L191" s="5" t="n"/>
      <c r="M191" s="5" t="n"/>
      <c r="N191" s="5" t="n"/>
      <c r="O191" s="5" t="n"/>
      <c r="P191" s="5" t="n"/>
      <c r="Q191" s="5" t="n"/>
      <c r="R191" s="5" t="n"/>
      <c r="S191" s="5" t="n"/>
      <c r="T191" s="5" t="n"/>
      <c r="U191" s="5" t="n"/>
      <c r="V191" s="5" t="n"/>
      <c r="W191" s="5" t="n"/>
      <c r="X191" s="5" t="n"/>
      <c r="Y191" s="5">
        <f>IF(AND(V191&gt;=2,K191="Yes",L191="Yes"),"Sufficient",IF(AND(V191&gt;=1,OR(K191="Yes",L191="Yes")),"Thin","Insufficient"))</f>
        <v/>
      </c>
      <c r="Z191" s="5" t="n"/>
      <c r="AA191" s="5" t="n"/>
      <c r="AB191" s="5" t="n"/>
      <c r="AC191" s="5" t="n"/>
      <c r="AD191" s="5" t="n"/>
      <c r="AE191" s="5" t="n"/>
      <c r="AF191" s="5" t="n"/>
      <c r="AG191" s="5" t="n"/>
      <c r="AH191" s="5" t="n"/>
      <c r="AI191" s="5" t="n"/>
      <c r="AJ191" s="5" t="n"/>
      <c r="AK191" s="5" t="n"/>
      <c r="AL191" s="5" t="n"/>
      <c r="AM191" s="5" t="n"/>
      <c r="AN191" s="5" t="n"/>
      <c r="AO191" s="5" t="n"/>
      <c r="AP191" s="5" t="n"/>
      <c r="AQ191" s="5" t="n"/>
      <c r="AR191" s="40">
        <f t="array" ref="AR191">MIN(100, MAX(0,
  IFERROR(_xlfn.XLOOKUP(AJ191,'Lookup Tables'!$A$2:$A$7,'Lookup Tables'!$B$2:$B$7,0),0)
  + IF(Z191="Yes", IF(IFERROR(_xlfn.XLOOKUP(AJ191,'Lookup Tables'!$A$2:$A$7,'Lookup Tables'!$B$2:$B$7,0),0)&lt;20, 5, 0), 0)
  + _xlfn.IFS(AB191="Yes", IF(ISNUMBER(AC191)*AND(AC191&lt;=2030),15,10), AB191="Long-term Only", 5, AB191="No", 0, TRUE, 0)
  + _xlfn.IFS(AF191="Full",10, AF191="Partial",5, AF191="Scope 2 Only",3, TRUE,0)
  + _xlfn.IFS(AG191="Yes", IF(ISNUMBER(AH191)*AND(AH191&gt;=5),10,6), AG191="Partial",4, TRUE,0)
  + _xlfn.IFS(AI191="Yes",5, AI191="Partial (material categories only)",3, TRUE,0)
  + _xlfn.IFS(AL191="Yes — Detailed",10, AL191="Yes — High Level",5, TRUE,0)
  + _xlfn.IFS(AM191="Yes — Quantified",15, AM191="Yes — Directional Only",7, TRUE,0)
  + _xlfn.IFS(AP191="Formal",5, AP191="Referenced",2, TRUE,0)
  + _xlfn.IFS(AQ191="No Issues Found",5, AQ191="Concern Identified",-5, AQ191="Severe Contradiction",-15, TRUE,0)
  + _xlfn.IFS(BC191="Reasonable Assurance",5, BC191="Limited Assurance",3, TRUE,0)
  - IF(AND(Z191="Yes", AI191="No"), 10, 0)
  - IF(AND(Z191="Yes", AM191="No"), 10, 0)
))</f>
        <v/>
      </c>
      <c r="AS191" s="5" t="n"/>
      <c r="AT191" s="5" t="n"/>
      <c r="AU191" s="5" t="n"/>
      <c r="AV191" s="5" t="n"/>
      <c r="AW191" s="5" t="n"/>
      <c r="AX191" s="5" t="n"/>
      <c r="AY191" s="5" t="n"/>
      <c r="AZ191" s="5" t="n"/>
      <c r="BA191" s="5" t="n"/>
      <c r="BB191" s="5" t="n"/>
      <c r="BC191" s="5" t="n"/>
      <c r="BD191" s="5" t="n"/>
      <c r="BE191" s="39">
        <f t="array" ref="BE191">MIN(100, MAX(0,
  IFERROR(_xlfn.XLOOKUP(AT191,'Lookup Tables'!$D$2:$D$6,'Lookup Tables'!$E$2:$E$6,0),0)
  + IFERROR(_xlfn.XLOOKUP(AV191,'Lookup Tables'!$G$2:$G$5,'Lookup Tables'!$H$2:$H$5,0),0)
  + IFERROR(_xlfn.XLOOKUP(AW191,'Lookup Tables'!$J$2:$J$5,'Lookup Tables'!$K$2:$K$5,0),0)
  + _xlfn.IFS(AX191="No Issues",10, AX191="Complaint Filed",3, AX191="Confirmed Breach",-15, TRUE,0)
  + IFERROR(_xlfn.XLOOKUP(AY191,'Lookup Tables'!$M$2:$M$6,'Lookup Tables'!$N$2:$N$6,0),0)
  + IFERROR(_xlfn.XLOOKUP(AZ191,'Lookup Tables'!$P$2:$P$6,'Lookup Tables'!$Q$2:$Q$6,0),0)
  + _xlfn.IFS(BA191="Formal Board Committee",5, BA191="Board Oversight Mentioned",2, TRUE,0)
  + _xlfn.IFS(BB191="Yes — Quantified Targets",5, BB191="Yes — Discretionary Only",2, TRUE,0)
  + _xlfn.IFS(BC191="Reasonable Assurance",5, BC191="Limited Assurance",3, BC191="Management Review Only",1, TRUE,0)
))</f>
        <v/>
      </c>
      <c r="BF191" s="5" t="n"/>
      <c r="BG191" s="5" t="n"/>
      <c r="BH191" s="5" t="n"/>
      <c r="BI191" s="5" t="n"/>
      <c r="BJ191" s="5" t="n"/>
      <c r="BK191" s="5" t="n"/>
      <c r="BL191" s="5" t="n"/>
      <c r="BM191" s="5" t="n"/>
      <c r="BN191" s="5" t="n"/>
      <c r="BO191" s="5" t="n"/>
      <c r="BP191" s="5" t="n"/>
      <c r="BQ191" s="5" t="n"/>
      <c r="BR191" s="5" t="n"/>
      <c r="BS191" s="41">
        <f t="array" ref="BS191">MIN(100, MAX(0,
  IFERROR(_xlfn.XLOOKUP(BG191,'Lookup Tables'!$A$11:$A$16,'Lookup Tables'!$B$11:$B$16,0),0)
  + IFERROR(_xlfn.XLOOKUP(BR191,'Lookup Tables'!$M$11:$M$14,'Lookup Tables'!$N$11:$N$14,0),0)
  + IFERROR(_xlfn.XLOOKUP(BQ191,'Lookup Tables'!$J$11:$J$15,'Lookup Tables'!$K$11:$K$15,0),0)
  + IFERROR(_xlfn.XLOOKUP(BH191,'Lookup Tables'!$D$11:$D$15,'Lookup Tables'!$E$11:$E$15,0),0)
  + IFERROR(_xlfn.XLOOKUP(BJ191,'Lookup Tables'!$G$11:$G$16,'Lookup Tables'!$H$11:$H$16,0),0)
  + IFERROR(_xlfn.XLOOKUP(BN191,'Lookup Tables'!$P$11:$P$15,'Lookup Tables'!$Q$11:$Q$15,0),0)
  + _xlfn.IFS(BM191="No Evidence",10, BM191="Unknown",3, BM191="Likely",0, BM191="Confirmed",-10, TRUE,3)
  + IFERROR(_xlfn.XLOOKUP(BP191,'Lookup Tables'!$J$21:$J$24,'Lookup Tables'!$K$21:$K$24,0),0)
))</f>
        <v/>
      </c>
      <c r="BT191" s="5" t="n"/>
      <c r="BU191" s="5" t="n"/>
      <c r="BV191" s="5" t="n"/>
      <c r="BW191" s="5" t="n"/>
      <c r="BX191" s="5" t="n"/>
      <c r="BY191" s="5" t="n"/>
      <c r="BZ191" s="5" t="n"/>
      <c r="CA191" s="5" t="n"/>
      <c r="CB191" s="5" t="n"/>
      <c r="CC191" s="5" t="n"/>
      <c r="CD191" s="5" t="n"/>
      <c r="CE191" s="43">
        <f t="array" ref="CE191">MIN(100, MAX(0,
  IF(ISNUMBER(BV191)*AND(BV191&gt;0), 10, 0)
  + _xlfn.IFS(BY191="Independently Verified",25, BY191="Yes",15, TRUE,0)
  + IFERROR(_xlfn.XLOOKUP(BZ191,'Lookup Tables'!$A$21:$A$24,'Lookup Tables'!$B$21:$B$24,0),0)
  + IFERROR(_xlfn.XLOOKUP(CA191,'Lookup Tables'!$D$21:$D$24,'Lookup Tables'!$E$21:$E$24,0),0)
  + _xlfn.IFS(ISNUMBER(CB191)*AND(CB191&gt;=11),15, ISNUMBER(CB191)*AND(CB191&gt;=6),10, ISNUMBER(CB191)*AND(CB191&gt;=1),5, TRUE,0)
  + IFERROR(_xlfn.XLOOKUP(CC191,'Lookup Tables'!$G$21:$G$25,'Lookup Tables'!$H$21:$H$25,0),0)
  - IF(ISNUMBER(BW191)*AND(ISNUMBER(BV191))*AND(BW191&gt;BV191), 20, 0)
  - IF(AND(BY191="Yes", ISNUMBER(BW191), BW191&gt;60), 10, 0)
))</f>
        <v/>
      </c>
      <c r="CF191" s="5" t="n"/>
      <c r="CG191" s="5" t="n"/>
      <c r="CH191" s="5" t="n"/>
      <c r="CI191" s="5" t="n"/>
      <c r="CJ191" s="5" t="n"/>
      <c r="CK191" s="5" t="n"/>
      <c r="CL191" s="5" t="n"/>
      <c r="CM191" s="5" t="n"/>
      <c r="CN191" s="5" t="n"/>
      <c r="CO191" s="5" t="n"/>
      <c r="CP191" s="5" t="n"/>
      <c r="CQ191" s="5" t="n"/>
      <c r="CR191" s="5">
        <f>COUNTIF(CJ191:CQ191,"FAIL")</f>
        <v/>
      </c>
      <c r="CS191" s="5">
        <f>COUNTIF(CJ191:CQ191,"PARTIAL")</f>
        <v/>
      </c>
      <c r="CT191" s="5">
        <f>COUNTIF(CJ191:CQ191,"MISSING")</f>
        <v/>
      </c>
      <c r="CU191" s="5">
        <f>MIN(100,
  CR191*15
  + CS191*6
  + CT191*3
  + IFERROR(_xlfn.XLOOKUP(CW191,'Lookup Tables'!$M$21:$M$25,'Lookup Tables'!$N$21:$N$25,0),0)
)</f>
        <v/>
      </c>
      <c r="CV191" s="5">
        <f>IFERROR(
CHOOSE(
MATCH("FAIL",CJ191:CQ191,0),
"1-Specificity","2-Metric","3-Baseline","4-Target",
"5-Time Horizon","6-Scope","7-Verification","8-Consistency"
),
IFERROR(
CHOOSE(
MATCH("PARTIAL",CJ191:CQ191,0),
"1-Specificity","2-Metric","3-Baseline","4-Target",
"5-Time Horizon","6-Scope","7-Verification","8-Consistency"
),
"No failures"
)
)</f>
        <v/>
      </c>
      <c r="CW191" s="5" t="n"/>
      <c r="CX191" s="5" t="n"/>
      <c r="CY191" s="5" t="n"/>
      <c r="CZ191" s="5" t="n"/>
      <c r="DA191" s="5">
        <f>IF(OR(CU191&gt;=50,CW191="Material",CW191="Severe",AS191="Material",AS191="Severe",BF191="Material",BF191="Severe — Exclusion Trigger",AND(ISNUMBER(BS191),BS191&lt;30)),"Yes","No")</f>
        <v/>
      </c>
      <c r="DB191" s="5">
        <f>IF(OR(CR191&gt;=6,AW191="Confirmed Violation",AX191="Confirmed Breach"),"Yes — Automatic",IF(CW191="Severe","Yes — Requires Captain Confirmation","No"))</f>
        <v/>
      </c>
      <c r="DC191" s="5" t="n"/>
      <c r="DD191" s="5" t="n"/>
      <c r="DE191" s="5" t="n"/>
      <c r="DF191" s="5" t="n"/>
      <c r="DG191" s="5" t="n"/>
      <c r="DH191" s="5" t="n"/>
      <c r="DI191" s="5" t="n"/>
      <c r="DJ191" s="5" t="n"/>
      <c r="DK191" s="5" t="n"/>
      <c r="DL191" s="5">
        <f>IF(OR(IFERROR(VALUE(LEFT(DF191,1)),99)&lt;=2,IFERROR(VALUE(LEFT(DG191,1)),99)&lt;=2),"Flagged","Clear")</f>
        <v/>
      </c>
      <c r="DM191" s="5">
        <f>IF(OR(DA191="Yes",DB191&lt;&gt;"No",DH191="Unverified",DL191="Flagged"),"Yes","No")</f>
        <v/>
      </c>
      <c r="DN191" s="5">
        <f t="array" ref="DN191">MIN(100,
  IF(ISNUMBER(V191), _xlfn.IFS(V191&gt;=3,25, V191=2,15, V191=1,5, TRUE,0), 0)
  + IFERROR(_xlfn.IFS(VALUE(LEFT(DF191,1))=5,25, VALUE(LEFT(DF191,1))=4,20, VALUE(LEFT(DF191,1))=3,15, VALUE(LEFT(DF191,1))=2,8, TRUE,0), 15)
  + IFERROR(_xlfn.IFS(VALUE(LEFT(DG191,1))=5,25, VALUE(LEFT(DG191,1))=4,20, VALUE(LEFT(DG191,1))=3,15, VALUE(LEFT(DG191,1))=2,8, TRUE,0), 15)
  + _xlfn.IFS(DH191="Fully Verified",25, DH191="Partially Verified",12, TRUE,0)
)</f>
        <v/>
      </c>
      <c r="DO191" s="5">
        <f t="array" ref="DO191">_xlfn.IFS(
  ISBLANK(AR191), "Insufficient Evidence",
  AND(AR191&gt;=65, AJ191="Approved"), "Strong",
  AR191&gt;=65, "Adequate",
  AR191&gt;=40, "Adequate",
  AR191&gt;=20, "Weak",
  TRUE, "Insufficient Evidence"
)</f>
        <v/>
      </c>
      <c r="DP191" s="5">
        <f t="array" ref="DP191">_xlfn.IFS(
  ISBLANK(BS191), "Insufficient Evidence",
  BS191&gt;=65, "Strong",
  BS191&gt;=40, "Adequate",
  BS191&gt;=20, "Weak",
  TRUE, "Insufficient Evidence"
)</f>
        <v/>
      </c>
      <c r="DQ191" s="5">
        <f t="array" ref="DQ191">_xlfn.IFS(
  ISBLANK(BE191), "Insufficient Evidence",
  OR(AW191="Confirmed Violation", AX191="Confirmed Breach"), "Severe — Hard Trigger",
  BE191&gt;=65, "Strong",
  BE191&gt;=40, "Adequate",
  BE191&gt;=20, "Weak",
  TRUE, "Insufficient Evidence"
)</f>
        <v/>
      </c>
      <c r="DR191" s="5">
        <f t="array" ref="DR191">_xlfn.IFS(
  ISBLANK(CU191), "Insufficient Evidence",
  CU191&lt;=20, "Low Risk",
  CU191&lt;=50, "Moderate Risk",
  CU191&lt;=75, "High Risk",
  TRUE, "Very High Risk"
)</f>
        <v/>
      </c>
      <c r="DS191" s="5">
        <f t="array" ref="DS191">_xlfn.IFS(
  ISBLANK(CE191), "Insufficient Evidence",
  AND(ISNUMBER(BW191),ISNUMBER(BV191),BW191&gt;BV191), "Overclaiming Risk",
  CE191&gt;=65, "Strong",
  CE191&gt;=40, "Adequate",
  TRUE, "Weak"
)</f>
        <v/>
      </c>
      <c r="DT191" s="5">
        <f>IF(DB191="Yes — Automatic",0,ROUND((IF(ISNUMBER(AR191),AR191,0)*0.3+IF(ISNUMBER(BS191),BS191,0)*0.2+IF(ISNUMBER(BE191),BE191,0)*0.2+IF(ISNUMBER(CE191),CE191,0)*0.15+(100-IF(ISNUMBER(CU191),CU191,50))*0.15)*IF(DN191&gt;=75,1,IF(DN191&gt;=50,0.9,IF(DN191&gt;=25,0.75,0.6))),1))</f>
        <v/>
      </c>
      <c r="DU191" s="5">
        <f t="array" ref="DU191">_xlfn.IFS(
  DV191="Upgraded to Clear", "Clear",
  DV191="Downgraded to Watchlist", "Watchlist",
  DV191="Downgraded to Exclusion", "Exclusion Risk",
  DB191="Yes — Automatic", "Exclusion Risk",
  OR(AW191="Confirmed Violation", AX191="Confirmed Breach"), "Exclusion Risk",
  OR(V191=0, ISBLANK(V191), DN191&lt;20), "Insufficient Evidence",
  AND(DT191&gt;=65, DA191="No", DB191="No"), "Clear",
  OR(DT191&gt;=40, DA191="Yes"), "Watchlist",
  TRUE, "Exclusion Risk"
)</f>
        <v/>
      </c>
      <c r="DV191" s="5" t="n"/>
      <c r="DW191" s="5">
        <f t="array" ref="DW191">_xlfn.IFS(
  DU191="Exclusion Risk", "Exclude — Hard Trigger",
  DU191="Insufficient Evidence", "Watchlist — Further Evidence Needed",
  DU191="Watchlist", "Watchlist — Further Evidence Needed",
  AND(DU191="Clear", DT191&gt;=80), "Include — No Conditions",
  DU191="Clear", "Include — Monitor",
  TRUE, "Watchlist — Further Evidence Needed"
)</f>
        <v/>
      </c>
      <c r="DX191" s="5" t="n"/>
      <c r="DY191" s="5" t="n"/>
      <c r="DZ191" s="5" t="n"/>
      <c r="EA191" s="5" t="n"/>
      <c r="EB191" s="5">
        <f>IF(OR(V191=0, ISBLANK(V191)), "MISSING — No sources reviewed", "")</f>
        <v/>
      </c>
      <c r="EC191" s="5">
        <f>IF(AND(NOT(ISBLANK(DC191)), ISBLANK(DE191)), "PAGE REF MISSING", "")</f>
        <v/>
      </c>
    </row>
    <row r="192" ht="18" customHeight="1" s="60">
      <c r="A192" s="5" t="inlineStr">
        <is>
          <t>Abivax SA</t>
        </is>
      </c>
      <c r="B192" s="5" t="inlineStr">
        <is>
          <t>2X1</t>
        </is>
      </c>
      <c r="C192" s="5">
        <f>IF(ISBLANK('Universe Tracker'!D167),"",'Universe Tracker'!D167)</f>
        <v/>
      </c>
      <c r="D192" s="5" t="n"/>
      <c r="E192" s="5" t="n"/>
      <c r="F192" s="5">
        <f>IF(ISBLANK('Universe Tracker'!F167),"",'Universe Tracker'!F167)</f>
        <v/>
      </c>
      <c r="G192" s="5">
        <f>IF(ISBLANK('Universe Tracker'!G167),"",'Universe Tracker'!G167)</f>
        <v/>
      </c>
      <c r="H192" s="5" t="n"/>
      <c r="I192" s="5" t="n"/>
      <c r="J192" s="5">
        <f>IF(ISBLANK(B192),"",B192&amp;"_"&amp;C192)</f>
        <v/>
      </c>
      <c r="K192" s="5" t="n"/>
      <c r="L192" s="5" t="n"/>
      <c r="M192" s="5" t="n"/>
      <c r="N192" s="5" t="n"/>
      <c r="O192" s="5" t="n"/>
      <c r="P192" s="5" t="n"/>
      <c r="Q192" s="5" t="n"/>
      <c r="R192" s="5" t="n"/>
      <c r="S192" s="5" t="n"/>
      <c r="T192" s="5" t="n"/>
      <c r="U192" s="5" t="n"/>
      <c r="V192" s="5" t="n"/>
      <c r="W192" s="5" t="n"/>
      <c r="X192" s="5" t="n"/>
      <c r="Y192" s="5">
        <f>IF(AND(V192&gt;=2,K192="Yes",L192="Yes"),"Sufficient",IF(AND(V192&gt;=1,OR(K192="Yes",L192="Yes")),"Thin","Insufficient"))</f>
        <v/>
      </c>
      <c r="Z192" s="5" t="n"/>
      <c r="AA192" s="5" t="n"/>
      <c r="AB192" s="5" t="n"/>
      <c r="AC192" s="5" t="n"/>
      <c r="AD192" s="5" t="n"/>
      <c r="AE192" s="5" t="n"/>
      <c r="AF192" s="5" t="n"/>
      <c r="AG192" s="5" t="n"/>
      <c r="AH192" s="5" t="n"/>
      <c r="AI192" s="5" t="n"/>
      <c r="AJ192" s="5" t="n"/>
      <c r="AK192" s="5" t="n"/>
      <c r="AL192" s="5" t="n"/>
      <c r="AM192" s="5" t="n"/>
      <c r="AN192" s="5" t="n"/>
      <c r="AO192" s="5" t="n"/>
      <c r="AP192" s="5" t="n"/>
      <c r="AQ192" s="5" t="n"/>
      <c r="AR192" s="40">
        <f t="array" ref="AR192">MIN(100, MAX(0,
  IFERROR(_xlfn.XLOOKUP(AJ192,'Lookup Tables'!$A$2:$A$7,'Lookup Tables'!$B$2:$B$7,0),0)
  + IF(Z192="Yes", IF(IFERROR(_xlfn.XLOOKUP(AJ192,'Lookup Tables'!$A$2:$A$7,'Lookup Tables'!$B$2:$B$7,0),0)&lt;20, 5, 0), 0)
  + _xlfn.IFS(AB192="Yes", IF(ISNUMBER(AC192)*AND(AC192&lt;=2030),15,10), AB192="Long-term Only", 5, AB192="No", 0, TRUE, 0)
  + _xlfn.IFS(AF192="Full",10, AF192="Partial",5, AF192="Scope 2 Only",3, TRUE,0)
  + _xlfn.IFS(AG192="Yes", IF(ISNUMBER(AH192)*AND(AH192&gt;=5),10,6), AG192="Partial",4, TRUE,0)
  + _xlfn.IFS(AI192="Yes",5, AI192="Partial (material categories only)",3, TRUE,0)
  + _xlfn.IFS(AL192="Yes — Detailed",10, AL192="Yes — High Level",5, TRUE,0)
  + _xlfn.IFS(AM192="Yes — Quantified",15, AM192="Yes — Directional Only",7, TRUE,0)
  + _xlfn.IFS(AP192="Formal",5, AP192="Referenced",2, TRUE,0)
  + _xlfn.IFS(AQ192="No Issues Found",5, AQ192="Concern Identified",-5, AQ192="Severe Contradiction",-15, TRUE,0)
  + _xlfn.IFS(BC192="Reasonable Assurance",5, BC192="Limited Assurance",3, TRUE,0)
  - IF(AND(Z192="Yes", AI192="No"), 10, 0)
  - IF(AND(Z192="Yes", AM192="No"), 10, 0)
))</f>
        <v/>
      </c>
      <c r="AS192" s="5" t="n"/>
      <c r="AT192" s="5" t="n"/>
      <c r="AU192" s="5" t="n"/>
      <c r="AV192" s="5" t="n"/>
      <c r="AW192" s="5" t="n"/>
      <c r="AX192" s="5" t="n"/>
      <c r="AY192" s="5" t="n"/>
      <c r="AZ192" s="5" t="n"/>
      <c r="BA192" s="5" t="n"/>
      <c r="BB192" s="5" t="n"/>
      <c r="BC192" s="5" t="n"/>
      <c r="BD192" s="5" t="n"/>
      <c r="BE192" s="39">
        <f t="array" ref="BE192">MIN(100, MAX(0,
  IFERROR(_xlfn.XLOOKUP(AT192,'Lookup Tables'!$D$2:$D$6,'Lookup Tables'!$E$2:$E$6,0),0)
  + IFERROR(_xlfn.XLOOKUP(AV192,'Lookup Tables'!$G$2:$G$5,'Lookup Tables'!$H$2:$H$5,0),0)
  + IFERROR(_xlfn.XLOOKUP(AW192,'Lookup Tables'!$J$2:$J$5,'Lookup Tables'!$K$2:$K$5,0),0)
  + _xlfn.IFS(AX192="No Issues",10, AX192="Complaint Filed",3, AX192="Confirmed Breach",-15, TRUE,0)
  + IFERROR(_xlfn.XLOOKUP(AY192,'Lookup Tables'!$M$2:$M$6,'Lookup Tables'!$N$2:$N$6,0),0)
  + IFERROR(_xlfn.XLOOKUP(AZ192,'Lookup Tables'!$P$2:$P$6,'Lookup Tables'!$Q$2:$Q$6,0),0)
  + _xlfn.IFS(BA192="Formal Board Committee",5, BA192="Board Oversight Mentioned",2, TRUE,0)
  + _xlfn.IFS(BB192="Yes — Quantified Targets",5, BB192="Yes — Discretionary Only",2, TRUE,0)
  + _xlfn.IFS(BC192="Reasonable Assurance",5, BC192="Limited Assurance",3, BC192="Management Review Only",1, TRUE,0)
))</f>
        <v/>
      </c>
      <c r="BF192" s="5" t="n"/>
      <c r="BG192" s="5" t="n"/>
      <c r="BH192" s="5" t="n"/>
      <c r="BI192" s="5" t="n"/>
      <c r="BJ192" s="5" t="n"/>
      <c r="BK192" s="5" t="n"/>
      <c r="BL192" s="5" t="n"/>
      <c r="BM192" s="5" t="n"/>
      <c r="BN192" s="5" t="n"/>
      <c r="BO192" s="5" t="n"/>
      <c r="BP192" s="5" t="n"/>
      <c r="BQ192" s="5" t="n"/>
      <c r="BR192" s="5" t="n"/>
      <c r="BS192" s="41">
        <f t="array" ref="BS192">MIN(100, MAX(0,
  IFERROR(_xlfn.XLOOKUP(BG192,'Lookup Tables'!$A$11:$A$16,'Lookup Tables'!$B$11:$B$16,0),0)
  + IFERROR(_xlfn.XLOOKUP(BR192,'Lookup Tables'!$M$11:$M$14,'Lookup Tables'!$N$11:$N$14,0),0)
  + IFERROR(_xlfn.XLOOKUP(BQ192,'Lookup Tables'!$J$11:$J$15,'Lookup Tables'!$K$11:$K$15,0),0)
  + IFERROR(_xlfn.XLOOKUP(BH192,'Lookup Tables'!$D$11:$D$15,'Lookup Tables'!$E$11:$E$15,0),0)
  + IFERROR(_xlfn.XLOOKUP(BJ192,'Lookup Tables'!$G$11:$G$16,'Lookup Tables'!$H$11:$H$16,0),0)
  + IFERROR(_xlfn.XLOOKUP(BN192,'Lookup Tables'!$P$11:$P$15,'Lookup Tables'!$Q$11:$Q$15,0),0)
  + _xlfn.IFS(BM192="No Evidence",10, BM192="Unknown",3, BM192="Likely",0, BM192="Confirmed",-10, TRUE,3)
  + IFERROR(_xlfn.XLOOKUP(BP192,'Lookup Tables'!$J$21:$J$24,'Lookup Tables'!$K$21:$K$24,0),0)
))</f>
        <v/>
      </c>
      <c r="BT192" s="5" t="n"/>
      <c r="BU192" s="5" t="n"/>
      <c r="BV192" s="5" t="n"/>
      <c r="BW192" s="5" t="n"/>
      <c r="BX192" s="5" t="n"/>
      <c r="BY192" s="5" t="n"/>
      <c r="BZ192" s="5" t="n"/>
      <c r="CA192" s="5" t="n"/>
      <c r="CB192" s="5" t="n"/>
      <c r="CC192" s="5" t="n"/>
      <c r="CD192" s="5" t="n"/>
      <c r="CE192" s="43">
        <f t="array" ref="CE192">MIN(100, MAX(0,
  IF(ISNUMBER(BV192)*AND(BV192&gt;0), 10, 0)
  + _xlfn.IFS(BY192="Independently Verified",25, BY192="Yes",15, TRUE,0)
  + IFERROR(_xlfn.XLOOKUP(BZ192,'Lookup Tables'!$A$21:$A$24,'Lookup Tables'!$B$21:$B$24,0),0)
  + IFERROR(_xlfn.XLOOKUP(CA192,'Lookup Tables'!$D$21:$D$24,'Lookup Tables'!$E$21:$E$24,0),0)
  + _xlfn.IFS(ISNUMBER(CB192)*AND(CB192&gt;=11),15, ISNUMBER(CB192)*AND(CB192&gt;=6),10, ISNUMBER(CB192)*AND(CB192&gt;=1),5, TRUE,0)
  + IFERROR(_xlfn.XLOOKUP(CC192,'Lookup Tables'!$G$21:$G$25,'Lookup Tables'!$H$21:$H$25,0),0)
  - IF(ISNUMBER(BW192)*AND(ISNUMBER(BV192))*AND(BW192&gt;BV192), 20, 0)
  - IF(AND(BY192="Yes", ISNUMBER(BW192), BW192&gt;60), 10, 0)
))</f>
        <v/>
      </c>
      <c r="CF192" s="5" t="n"/>
      <c r="CG192" s="5" t="n"/>
      <c r="CH192" s="5" t="n"/>
      <c r="CI192" s="5" t="n"/>
      <c r="CJ192" s="5" t="n"/>
      <c r="CK192" s="5" t="n"/>
      <c r="CL192" s="5" t="n"/>
      <c r="CM192" s="5" t="n"/>
      <c r="CN192" s="5" t="n"/>
      <c r="CO192" s="5" t="n"/>
      <c r="CP192" s="5" t="n"/>
      <c r="CQ192" s="5" t="n"/>
      <c r="CR192" s="5">
        <f>COUNTIF(CJ192:CQ192,"FAIL")</f>
        <v/>
      </c>
      <c r="CS192" s="5">
        <f>COUNTIF(CJ192:CQ192,"PARTIAL")</f>
        <v/>
      </c>
      <c r="CT192" s="5">
        <f>COUNTIF(CJ192:CQ192,"MISSING")</f>
        <v/>
      </c>
      <c r="CU192" s="5">
        <f>MIN(100,
  CR192*15
  + CS192*6
  + CT192*3
  + IFERROR(_xlfn.XLOOKUP(CW192,'Lookup Tables'!$M$21:$M$25,'Lookup Tables'!$N$21:$N$25,0),0)
)</f>
        <v/>
      </c>
      <c r="CV192" s="5">
        <f>IFERROR(
CHOOSE(
MATCH("FAIL",CJ192:CQ192,0),
"1-Specificity","2-Metric","3-Baseline","4-Target",
"5-Time Horizon","6-Scope","7-Verification","8-Consistency"
),
IFERROR(
CHOOSE(
MATCH("PARTIAL",CJ192:CQ192,0),
"1-Specificity","2-Metric","3-Baseline","4-Target",
"5-Time Horizon","6-Scope","7-Verification","8-Consistency"
),
"No failures"
)
)</f>
        <v/>
      </c>
      <c r="CW192" s="5" t="n"/>
      <c r="CX192" s="5" t="n"/>
      <c r="CY192" s="5" t="n"/>
      <c r="CZ192" s="5" t="n"/>
      <c r="DA192" s="5">
        <f>IF(OR(CU192&gt;=50,CW192="Material",CW192="Severe",AS192="Material",AS192="Severe",BF192="Material",BF192="Severe — Exclusion Trigger",AND(ISNUMBER(BS192),BS192&lt;30)),"Yes","No")</f>
        <v/>
      </c>
      <c r="DB192" s="5">
        <f>IF(OR(CR192&gt;=6,AW192="Confirmed Violation",AX192="Confirmed Breach"),"Yes — Automatic",IF(CW192="Severe","Yes — Requires Captain Confirmation","No"))</f>
        <v/>
      </c>
      <c r="DC192" s="5" t="n"/>
      <c r="DD192" s="5" t="n"/>
      <c r="DE192" s="5" t="n"/>
      <c r="DF192" s="5" t="n"/>
      <c r="DG192" s="5" t="n"/>
      <c r="DH192" s="5" t="n"/>
      <c r="DI192" s="5" t="n"/>
      <c r="DJ192" s="5" t="n"/>
      <c r="DK192" s="5" t="n"/>
      <c r="DL192" s="5">
        <f>IF(OR(IFERROR(VALUE(LEFT(DF192,1)),99)&lt;=2,IFERROR(VALUE(LEFT(DG192,1)),99)&lt;=2),"Flagged","Clear")</f>
        <v/>
      </c>
      <c r="DM192" s="5">
        <f>IF(OR(DA192="Yes",DB192&lt;&gt;"No",DH192="Unverified",DL192="Flagged"),"Yes","No")</f>
        <v/>
      </c>
      <c r="DN192" s="5">
        <f t="array" ref="DN192">MIN(100,
  IF(ISNUMBER(V192), _xlfn.IFS(V192&gt;=3,25, V192=2,15, V192=1,5, TRUE,0), 0)
  + IFERROR(_xlfn.IFS(VALUE(LEFT(DF192,1))=5,25, VALUE(LEFT(DF192,1))=4,20, VALUE(LEFT(DF192,1))=3,15, VALUE(LEFT(DF192,1))=2,8, TRUE,0), 15)
  + IFERROR(_xlfn.IFS(VALUE(LEFT(DG192,1))=5,25, VALUE(LEFT(DG192,1))=4,20, VALUE(LEFT(DG192,1))=3,15, VALUE(LEFT(DG192,1))=2,8, TRUE,0), 15)
  + _xlfn.IFS(DH192="Fully Verified",25, DH192="Partially Verified",12, TRUE,0)
)</f>
        <v/>
      </c>
      <c r="DO192" s="5">
        <f t="array" ref="DO192">_xlfn.IFS(
  ISBLANK(AR192), "Insufficient Evidence",
  AND(AR192&gt;=65, AJ192="Approved"), "Strong",
  AR192&gt;=65, "Adequate",
  AR192&gt;=40, "Adequate",
  AR192&gt;=20, "Weak",
  TRUE, "Insufficient Evidence"
)</f>
        <v/>
      </c>
      <c r="DP192" s="5">
        <f t="array" ref="DP192">_xlfn.IFS(
  ISBLANK(BS192), "Insufficient Evidence",
  BS192&gt;=65, "Strong",
  BS192&gt;=40, "Adequate",
  BS192&gt;=20, "Weak",
  TRUE, "Insufficient Evidence"
)</f>
        <v/>
      </c>
      <c r="DQ192" s="5">
        <f t="array" ref="DQ192">_xlfn.IFS(
  ISBLANK(BE192), "Insufficient Evidence",
  OR(AW192="Confirmed Violation", AX192="Confirmed Breach"), "Severe — Hard Trigger",
  BE192&gt;=65, "Strong",
  BE192&gt;=40, "Adequate",
  BE192&gt;=20, "Weak",
  TRUE, "Insufficient Evidence"
)</f>
        <v/>
      </c>
      <c r="DR192" s="5">
        <f t="array" ref="DR192">_xlfn.IFS(
  ISBLANK(CU192), "Insufficient Evidence",
  CU192&lt;=20, "Low Risk",
  CU192&lt;=50, "Moderate Risk",
  CU192&lt;=75, "High Risk",
  TRUE, "Very High Risk"
)</f>
        <v/>
      </c>
      <c r="DS192" s="5">
        <f t="array" ref="DS192">_xlfn.IFS(
  ISBLANK(CE192), "Insufficient Evidence",
  AND(ISNUMBER(BW192),ISNUMBER(BV192),BW192&gt;BV192), "Overclaiming Risk",
  CE192&gt;=65, "Strong",
  CE192&gt;=40, "Adequate",
  TRUE, "Weak"
)</f>
        <v/>
      </c>
      <c r="DT192" s="5">
        <f>IF(DB192="Yes — Automatic",0,ROUND((IF(ISNUMBER(AR192),AR192,0)*0.3+IF(ISNUMBER(BS192),BS192,0)*0.2+IF(ISNUMBER(BE192),BE192,0)*0.2+IF(ISNUMBER(CE192),CE192,0)*0.15+(100-IF(ISNUMBER(CU192),CU192,50))*0.15)*IF(DN192&gt;=75,1,IF(DN192&gt;=50,0.9,IF(DN192&gt;=25,0.75,0.6))),1))</f>
        <v/>
      </c>
      <c r="DU192" s="5">
        <f t="array" ref="DU192">_xlfn.IFS(
  DV192="Upgraded to Clear", "Clear",
  DV192="Downgraded to Watchlist", "Watchlist",
  DV192="Downgraded to Exclusion", "Exclusion Risk",
  DB192="Yes — Automatic", "Exclusion Risk",
  OR(AW192="Confirmed Violation", AX192="Confirmed Breach"), "Exclusion Risk",
  OR(V192=0, ISBLANK(V192), DN192&lt;20), "Insufficient Evidence",
  AND(DT192&gt;=65, DA192="No", DB192="No"), "Clear",
  OR(DT192&gt;=40, DA192="Yes"), "Watchlist",
  TRUE, "Exclusion Risk"
)</f>
        <v/>
      </c>
      <c r="DV192" s="5" t="n"/>
      <c r="DW192" s="5">
        <f t="array" ref="DW192">_xlfn.IFS(
  DU192="Exclusion Risk", "Exclude — Hard Trigger",
  DU192="Insufficient Evidence", "Watchlist — Further Evidence Needed",
  DU192="Watchlist", "Watchlist — Further Evidence Needed",
  AND(DU192="Clear", DT192&gt;=80), "Include — No Conditions",
  DU192="Clear", "Include — Monitor",
  TRUE, "Watchlist — Further Evidence Needed"
)</f>
        <v/>
      </c>
      <c r="DX192" s="5" t="n"/>
      <c r="DY192" s="5" t="n"/>
      <c r="DZ192" s="5" t="n"/>
      <c r="EA192" s="5" t="n"/>
      <c r="EB192" s="5">
        <f>IF(OR(V192=0, ISBLANK(V192)), "MISSING — No sources reviewed", "")</f>
        <v/>
      </c>
      <c r="EC192" s="5">
        <f>IF(AND(NOT(ISBLANK(DC192)), ISBLANK(DE192)), "PAGE REF MISSING", "")</f>
        <v/>
      </c>
    </row>
    <row r="193" ht="18" customHeight="1" s="60">
      <c r="A193" s="5" t="inlineStr">
        <is>
          <t>Bank of Ireland Group PLC</t>
        </is>
      </c>
      <c r="B193" s="5" t="inlineStr">
        <is>
          <t>BIRG</t>
        </is>
      </c>
      <c r="C193" s="5">
        <f>IF(ISBLANK('Universe Tracker'!D168),"",'Universe Tracker'!D168)</f>
        <v/>
      </c>
      <c r="D193" s="5" t="n"/>
      <c r="E193" s="5" t="n"/>
      <c r="F193" s="5">
        <f>IF(ISBLANK('Universe Tracker'!F168),"",'Universe Tracker'!F168)</f>
        <v/>
      </c>
      <c r="G193" s="5">
        <f>IF(ISBLANK('Universe Tracker'!G168),"",'Universe Tracker'!G168)</f>
        <v/>
      </c>
      <c r="H193" s="5" t="n"/>
      <c r="I193" s="5" t="n"/>
      <c r="J193" s="5">
        <f>IF(ISBLANK(B193),"",B193&amp;"_"&amp;C193)</f>
        <v/>
      </c>
      <c r="K193" s="5" t="n"/>
      <c r="L193" s="5" t="n"/>
      <c r="M193" s="5" t="n"/>
      <c r="N193" s="5" t="n"/>
      <c r="O193" s="5" t="n"/>
      <c r="P193" s="5" t="n"/>
      <c r="Q193" s="5" t="n"/>
      <c r="R193" s="5" t="n"/>
      <c r="S193" s="5" t="n"/>
      <c r="T193" s="5" t="n"/>
      <c r="U193" s="5" t="n"/>
      <c r="V193" s="5" t="n"/>
      <c r="W193" s="5" t="n"/>
      <c r="X193" s="5" t="n"/>
      <c r="Y193" s="5">
        <f>IF(AND(V193&gt;=2,K193="Yes",L193="Yes"),"Sufficient",IF(AND(V193&gt;=1,OR(K193="Yes",L193="Yes")),"Thin","Insufficient"))</f>
        <v/>
      </c>
      <c r="Z193" s="5" t="n"/>
      <c r="AA193" s="5" t="n"/>
      <c r="AB193" s="5" t="n"/>
      <c r="AC193" s="5" t="n"/>
      <c r="AD193" s="5" t="n"/>
      <c r="AE193" s="5" t="n"/>
      <c r="AF193" s="5" t="n"/>
      <c r="AG193" s="5" t="n"/>
      <c r="AH193" s="5" t="n"/>
      <c r="AI193" s="5" t="n"/>
      <c r="AJ193" s="5" t="n"/>
      <c r="AK193" s="5" t="n"/>
      <c r="AL193" s="5" t="n"/>
      <c r="AM193" s="5" t="n"/>
      <c r="AN193" s="5" t="n"/>
      <c r="AO193" s="5" t="n"/>
      <c r="AP193" s="5" t="n"/>
      <c r="AQ193" s="5" t="n"/>
      <c r="AR193" s="40">
        <f t="array" ref="AR193">MIN(100, MAX(0,
  IFERROR(_xlfn.XLOOKUP(AJ193,'Lookup Tables'!$A$2:$A$7,'Lookup Tables'!$B$2:$B$7,0),0)
  + IF(Z193="Yes", IF(IFERROR(_xlfn.XLOOKUP(AJ193,'Lookup Tables'!$A$2:$A$7,'Lookup Tables'!$B$2:$B$7,0),0)&lt;20, 5, 0), 0)
  + _xlfn.IFS(AB193="Yes", IF(ISNUMBER(AC193)*AND(AC193&lt;=2030),15,10), AB193="Long-term Only", 5, AB193="No", 0, TRUE, 0)
  + _xlfn.IFS(AF193="Full",10, AF193="Partial",5, AF193="Scope 2 Only",3, TRUE,0)
  + _xlfn.IFS(AG193="Yes", IF(ISNUMBER(AH193)*AND(AH193&gt;=5),10,6), AG193="Partial",4, TRUE,0)
  + _xlfn.IFS(AI193="Yes",5, AI193="Partial (material categories only)",3, TRUE,0)
  + _xlfn.IFS(AL193="Yes — Detailed",10, AL193="Yes — High Level",5, TRUE,0)
  + _xlfn.IFS(AM193="Yes — Quantified",15, AM193="Yes — Directional Only",7, TRUE,0)
  + _xlfn.IFS(AP193="Formal",5, AP193="Referenced",2, TRUE,0)
  + _xlfn.IFS(AQ193="No Issues Found",5, AQ193="Concern Identified",-5, AQ193="Severe Contradiction",-15, TRUE,0)
  + _xlfn.IFS(BC193="Reasonable Assurance",5, BC193="Limited Assurance",3, TRUE,0)
  - IF(AND(Z193="Yes", AI193="No"), 10, 0)
  - IF(AND(Z193="Yes", AM193="No"), 10, 0)
))</f>
        <v/>
      </c>
      <c r="AS193" s="5" t="n"/>
      <c r="AT193" s="5" t="n"/>
      <c r="AU193" s="5" t="n"/>
      <c r="AV193" s="5" t="n"/>
      <c r="AW193" s="5" t="n"/>
      <c r="AX193" s="5" t="n"/>
      <c r="AY193" s="5" t="n"/>
      <c r="AZ193" s="5" t="n"/>
      <c r="BA193" s="5" t="n"/>
      <c r="BB193" s="5" t="n"/>
      <c r="BC193" s="5" t="n"/>
      <c r="BD193" s="5" t="n"/>
      <c r="BE193" s="39">
        <f t="array" ref="BE193">MIN(100, MAX(0,
  IFERROR(_xlfn.XLOOKUP(AT193,'Lookup Tables'!$D$2:$D$6,'Lookup Tables'!$E$2:$E$6,0),0)
  + IFERROR(_xlfn.XLOOKUP(AV193,'Lookup Tables'!$G$2:$G$5,'Lookup Tables'!$H$2:$H$5,0),0)
  + IFERROR(_xlfn.XLOOKUP(AW193,'Lookup Tables'!$J$2:$J$5,'Lookup Tables'!$K$2:$K$5,0),0)
  + _xlfn.IFS(AX193="No Issues",10, AX193="Complaint Filed",3, AX193="Confirmed Breach",-15, TRUE,0)
  + IFERROR(_xlfn.XLOOKUP(AY193,'Lookup Tables'!$M$2:$M$6,'Lookup Tables'!$N$2:$N$6,0),0)
  + IFERROR(_xlfn.XLOOKUP(AZ193,'Lookup Tables'!$P$2:$P$6,'Lookup Tables'!$Q$2:$Q$6,0),0)
  + _xlfn.IFS(BA193="Formal Board Committee",5, BA193="Board Oversight Mentioned",2, TRUE,0)
  + _xlfn.IFS(BB193="Yes — Quantified Targets",5, BB193="Yes — Discretionary Only",2, TRUE,0)
  + _xlfn.IFS(BC193="Reasonable Assurance",5, BC193="Limited Assurance",3, BC193="Management Review Only",1, TRUE,0)
))</f>
        <v/>
      </c>
      <c r="BF193" s="5" t="n"/>
      <c r="BG193" s="5" t="n"/>
      <c r="BH193" s="5" t="n"/>
      <c r="BI193" s="5" t="n"/>
      <c r="BJ193" s="5" t="n"/>
      <c r="BK193" s="5" t="n"/>
      <c r="BL193" s="5" t="n"/>
      <c r="BM193" s="5" t="n"/>
      <c r="BN193" s="5" t="n"/>
      <c r="BO193" s="5" t="n"/>
      <c r="BP193" s="5" t="n"/>
      <c r="BQ193" s="5" t="n"/>
      <c r="BR193" s="5" t="n"/>
      <c r="BS193" s="41">
        <f t="array" ref="BS193">MIN(100, MAX(0,
  IFERROR(_xlfn.XLOOKUP(BG193,'Lookup Tables'!$A$11:$A$16,'Lookup Tables'!$B$11:$B$16,0),0)
  + IFERROR(_xlfn.XLOOKUP(BR193,'Lookup Tables'!$M$11:$M$14,'Lookup Tables'!$N$11:$N$14,0),0)
  + IFERROR(_xlfn.XLOOKUP(BQ193,'Lookup Tables'!$J$11:$J$15,'Lookup Tables'!$K$11:$K$15,0),0)
  + IFERROR(_xlfn.XLOOKUP(BH193,'Lookup Tables'!$D$11:$D$15,'Lookup Tables'!$E$11:$E$15,0),0)
  + IFERROR(_xlfn.XLOOKUP(BJ193,'Lookup Tables'!$G$11:$G$16,'Lookup Tables'!$H$11:$H$16,0),0)
  + IFERROR(_xlfn.XLOOKUP(BN193,'Lookup Tables'!$P$11:$P$15,'Lookup Tables'!$Q$11:$Q$15,0),0)
  + _xlfn.IFS(BM193="No Evidence",10, BM193="Unknown",3, BM193="Likely",0, BM193="Confirmed",-10, TRUE,3)
  + IFERROR(_xlfn.XLOOKUP(BP193,'Lookup Tables'!$J$21:$J$24,'Lookup Tables'!$K$21:$K$24,0),0)
))</f>
        <v/>
      </c>
      <c r="BT193" s="5" t="n"/>
      <c r="BU193" s="5" t="n"/>
      <c r="BV193" s="5" t="n"/>
      <c r="BW193" s="5" t="n"/>
      <c r="BX193" s="5" t="n"/>
      <c r="BY193" s="5" t="n"/>
      <c r="BZ193" s="5" t="n"/>
      <c r="CA193" s="5" t="n"/>
      <c r="CB193" s="5" t="n"/>
      <c r="CC193" s="5" t="n"/>
      <c r="CD193" s="5" t="n"/>
      <c r="CE193" s="43">
        <f t="array" ref="CE193">MIN(100, MAX(0,
  IF(ISNUMBER(BV193)*AND(BV193&gt;0), 10, 0)
  + _xlfn.IFS(BY193="Independently Verified",25, BY193="Yes",15, TRUE,0)
  + IFERROR(_xlfn.XLOOKUP(BZ193,'Lookup Tables'!$A$21:$A$24,'Lookup Tables'!$B$21:$B$24,0),0)
  + IFERROR(_xlfn.XLOOKUP(CA193,'Lookup Tables'!$D$21:$D$24,'Lookup Tables'!$E$21:$E$24,0),0)
  + _xlfn.IFS(ISNUMBER(CB193)*AND(CB193&gt;=11),15, ISNUMBER(CB193)*AND(CB193&gt;=6),10, ISNUMBER(CB193)*AND(CB193&gt;=1),5, TRUE,0)
  + IFERROR(_xlfn.XLOOKUP(CC193,'Lookup Tables'!$G$21:$G$25,'Lookup Tables'!$H$21:$H$25,0),0)
  - IF(ISNUMBER(BW193)*AND(ISNUMBER(BV193))*AND(BW193&gt;BV193), 20, 0)
  - IF(AND(BY193="Yes", ISNUMBER(BW193), BW193&gt;60), 10, 0)
))</f>
        <v/>
      </c>
      <c r="CF193" s="5" t="n"/>
      <c r="CG193" s="5" t="n"/>
      <c r="CH193" s="5" t="n"/>
      <c r="CI193" s="5" t="n"/>
      <c r="CJ193" s="5" t="n"/>
      <c r="CK193" s="5" t="n"/>
      <c r="CL193" s="5" t="n"/>
      <c r="CM193" s="5" t="n"/>
      <c r="CN193" s="5" t="n"/>
      <c r="CO193" s="5" t="n"/>
      <c r="CP193" s="5" t="n"/>
      <c r="CQ193" s="5" t="n"/>
      <c r="CR193" s="5">
        <f>COUNTIF(CJ193:CQ193,"FAIL")</f>
        <v/>
      </c>
      <c r="CS193" s="5">
        <f>COUNTIF(CJ193:CQ193,"PARTIAL")</f>
        <v/>
      </c>
      <c r="CT193" s="5">
        <f>COUNTIF(CJ193:CQ193,"MISSING")</f>
        <v/>
      </c>
      <c r="CU193" s="5">
        <f>MIN(100,
  CR193*15
  + CS193*6
  + CT193*3
  + IFERROR(_xlfn.XLOOKUP(CW193,'Lookup Tables'!$M$21:$M$25,'Lookup Tables'!$N$21:$N$25,0),0)
)</f>
        <v/>
      </c>
      <c r="CV193" s="5">
        <f>IFERROR(
CHOOSE(
MATCH("FAIL",CJ193:CQ193,0),
"1-Specificity","2-Metric","3-Baseline","4-Target",
"5-Time Horizon","6-Scope","7-Verification","8-Consistency"
),
IFERROR(
CHOOSE(
MATCH("PARTIAL",CJ193:CQ193,0),
"1-Specificity","2-Metric","3-Baseline","4-Target",
"5-Time Horizon","6-Scope","7-Verification","8-Consistency"
),
"No failures"
)
)</f>
        <v/>
      </c>
      <c r="CW193" s="5" t="n"/>
      <c r="CX193" s="5" t="n"/>
      <c r="CY193" s="5" t="n"/>
      <c r="CZ193" s="5" t="n"/>
      <c r="DA193" s="5">
        <f>IF(OR(CU193&gt;=50,CW193="Material",CW193="Severe",AS193="Material",AS193="Severe",BF193="Material",BF193="Severe — Exclusion Trigger",AND(ISNUMBER(BS193),BS193&lt;30)),"Yes","No")</f>
        <v/>
      </c>
      <c r="DB193" s="5">
        <f>IF(OR(CR193&gt;=6,AW193="Confirmed Violation",AX193="Confirmed Breach"),"Yes — Automatic",IF(CW193="Severe","Yes — Requires Captain Confirmation","No"))</f>
        <v/>
      </c>
      <c r="DC193" s="5" t="n"/>
      <c r="DD193" s="5" t="n"/>
      <c r="DE193" s="5" t="n"/>
      <c r="DF193" s="5" t="n"/>
      <c r="DG193" s="5" t="n"/>
      <c r="DH193" s="5" t="n"/>
      <c r="DI193" s="5" t="n"/>
      <c r="DJ193" s="5" t="n"/>
      <c r="DK193" s="5" t="n"/>
      <c r="DL193" s="5">
        <f>IF(OR(IFERROR(VALUE(LEFT(DF193,1)),99)&lt;=2,IFERROR(VALUE(LEFT(DG193,1)),99)&lt;=2),"Flagged","Clear")</f>
        <v/>
      </c>
      <c r="DM193" s="5">
        <f>IF(OR(DA193="Yes",DB193&lt;&gt;"No",DH193="Unverified",DL193="Flagged"),"Yes","No")</f>
        <v/>
      </c>
      <c r="DN193" s="5">
        <f t="array" ref="DN193">MIN(100,
  IF(ISNUMBER(V193), _xlfn.IFS(V193&gt;=3,25, V193=2,15, V193=1,5, TRUE,0), 0)
  + IFERROR(_xlfn.IFS(VALUE(LEFT(DF193,1))=5,25, VALUE(LEFT(DF193,1))=4,20, VALUE(LEFT(DF193,1))=3,15, VALUE(LEFT(DF193,1))=2,8, TRUE,0), 15)
  + IFERROR(_xlfn.IFS(VALUE(LEFT(DG193,1))=5,25, VALUE(LEFT(DG193,1))=4,20, VALUE(LEFT(DG193,1))=3,15, VALUE(LEFT(DG193,1))=2,8, TRUE,0), 15)
  + _xlfn.IFS(DH193="Fully Verified",25, DH193="Partially Verified",12, TRUE,0)
)</f>
        <v/>
      </c>
      <c r="DO193" s="5">
        <f t="array" ref="DO193">_xlfn.IFS(
  ISBLANK(AR193), "Insufficient Evidence",
  AND(AR193&gt;=65, AJ193="Approved"), "Strong",
  AR193&gt;=65, "Adequate",
  AR193&gt;=40, "Adequate",
  AR193&gt;=20, "Weak",
  TRUE, "Insufficient Evidence"
)</f>
        <v/>
      </c>
      <c r="DP193" s="5">
        <f t="array" ref="DP193">_xlfn.IFS(
  ISBLANK(BS193), "Insufficient Evidence",
  BS193&gt;=65, "Strong",
  BS193&gt;=40, "Adequate",
  BS193&gt;=20, "Weak",
  TRUE, "Insufficient Evidence"
)</f>
        <v/>
      </c>
      <c r="DQ193" s="5">
        <f t="array" ref="DQ193">_xlfn.IFS(
  ISBLANK(BE193), "Insufficient Evidence",
  OR(AW193="Confirmed Violation", AX193="Confirmed Breach"), "Severe — Hard Trigger",
  BE193&gt;=65, "Strong",
  BE193&gt;=40, "Adequate",
  BE193&gt;=20, "Weak",
  TRUE, "Insufficient Evidence"
)</f>
        <v/>
      </c>
      <c r="DR193" s="5">
        <f t="array" ref="DR193">_xlfn.IFS(
  ISBLANK(CU193), "Insufficient Evidence",
  CU193&lt;=20, "Low Risk",
  CU193&lt;=50, "Moderate Risk",
  CU193&lt;=75, "High Risk",
  TRUE, "Very High Risk"
)</f>
        <v/>
      </c>
      <c r="DS193" s="5">
        <f t="array" ref="DS193">_xlfn.IFS(
  ISBLANK(CE193), "Insufficient Evidence",
  AND(ISNUMBER(BW193),ISNUMBER(BV193),BW193&gt;BV193), "Overclaiming Risk",
  CE193&gt;=65, "Strong",
  CE193&gt;=40, "Adequate",
  TRUE, "Weak"
)</f>
        <v/>
      </c>
      <c r="DT193" s="5">
        <f>IF(DB193="Yes — Automatic",0,ROUND((IF(ISNUMBER(AR193),AR193,0)*0.3+IF(ISNUMBER(BS193),BS193,0)*0.2+IF(ISNUMBER(BE193),BE193,0)*0.2+IF(ISNUMBER(CE193),CE193,0)*0.15+(100-IF(ISNUMBER(CU193),CU193,50))*0.15)*IF(DN193&gt;=75,1,IF(DN193&gt;=50,0.9,IF(DN193&gt;=25,0.75,0.6))),1))</f>
        <v/>
      </c>
      <c r="DU193" s="5">
        <f t="array" ref="DU193">_xlfn.IFS(
  DV193="Upgraded to Clear", "Clear",
  DV193="Downgraded to Watchlist", "Watchlist",
  DV193="Downgraded to Exclusion", "Exclusion Risk",
  DB193="Yes — Automatic", "Exclusion Risk",
  OR(AW193="Confirmed Violation", AX193="Confirmed Breach"), "Exclusion Risk",
  OR(V193=0, ISBLANK(V193), DN193&lt;20), "Insufficient Evidence",
  AND(DT193&gt;=65, DA193="No", DB193="No"), "Clear",
  OR(DT193&gt;=40, DA193="Yes"), "Watchlist",
  TRUE, "Exclusion Risk"
)</f>
        <v/>
      </c>
      <c r="DV193" s="5" t="n"/>
      <c r="DW193" s="5">
        <f t="array" ref="DW193">_xlfn.IFS(
  DU193="Exclusion Risk", "Exclude — Hard Trigger",
  DU193="Insufficient Evidence", "Watchlist — Further Evidence Needed",
  DU193="Watchlist", "Watchlist — Further Evidence Needed",
  AND(DU193="Clear", DT193&gt;=80), "Include — No Conditions",
  DU193="Clear", "Include — Monitor",
  TRUE, "Watchlist — Further Evidence Needed"
)</f>
        <v/>
      </c>
      <c r="DX193" s="5" t="n"/>
      <c r="DY193" s="5" t="n"/>
      <c r="DZ193" s="5" t="n"/>
      <c r="EA193" s="5" t="n"/>
      <c r="EB193" s="5">
        <f>IF(OR(V193=0, ISBLANK(V193)), "MISSING — No sources reviewed", "")</f>
        <v/>
      </c>
      <c r="EC193" s="5">
        <f>IF(AND(NOT(ISBLANK(DC193)), ISBLANK(DE193)), "PAGE REF MISSING", "")</f>
        <v/>
      </c>
    </row>
    <row r="194" ht="18" customHeight="1" s="60">
      <c r="A194" s="5" t="inlineStr">
        <is>
          <t>LPP SA</t>
        </is>
      </c>
      <c r="B194" s="5" t="inlineStr">
        <is>
          <t>1RY</t>
        </is>
      </c>
      <c r="C194" s="5">
        <f>IF(ISBLANK('Universe Tracker'!D169),"",'Universe Tracker'!D169)</f>
        <v/>
      </c>
      <c r="D194" s="5" t="n"/>
      <c r="E194" s="5" t="n"/>
      <c r="F194" s="5">
        <f>IF(ISBLANK('Universe Tracker'!F169),"",'Universe Tracker'!F169)</f>
        <v/>
      </c>
      <c r="G194" s="5">
        <f>IF(ISBLANK('Universe Tracker'!G169),"",'Universe Tracker'!G169)</f>
        <v/>
      </c>
      <c r="H194" s="5" t="n"/>
      <c r="I194" s="5" t="n"/>
      <c r="J194" s="5">
        <f>IF(ISBLANK(B194),"",B194&amp;"_"&amp;C194)</f>
        <v/>
      </c>
      <c r="K194" s="5" t="n"/>
      <c r="L194" s="5" t="n"/>
      <c r="M194" s="5" t="n"/>
      <c r="N194" s="5" t="n"/>
      <c r="O194" s="5" t="n"/>
      <c r="P194" s="5" t="n"/>
      <c r="Q194" s="5" t="n"/>
      <c r="R194" s="5" t="n"/>
      <c r="S194" s="5" t="n"/>
      <c r="T194" s="5" t="n"/>
      <c r="U194" s="5" t="n"/>
      <c r="V194" s="5" t="n"/>
      <c r="W194" s="5" t="n"/>
      <c r="X194" s="5" t="n"/>
      <c r="Y194" s="5">
        <f>IF(AND(V194&gt;=2,K194="Yes",L194="Yes"),"Sufficient",IF(AND(V194&gt;=1,OR(K194="Yes",L194="Yes")),"Thin","Insufficient"))</f>
        <v/>
      </c>
      <c r="Z194" s="5" t="n"/>
      <c r="AA194" s="5" t="n"/>
      <c r="AB194" s="5" t="n"/>
      <c r="AC194" s="5" t="n"/>
      <c r="AD194" s="5" t="n"/>
      <c r="AE194" s="5" t="n"/>
      <c r="AF194" s="5" t="n"/>
      <c r="AG194" s="5" t="n"/>
      <c r="AH194" s="5" t="n"/>
      <c r="AI194" s="5" t="n"/>
      <c r="AJ194" s="5" t="n"/>
      <c r="AK194" s="5" t="n"/>
      <c r="AL194" s="5" t="n"/>
      <c r="AM194" s="5" t="n"/>
      <c r="AN194" s="5" t="n"/>
      <c r="AO194" s="5" t="n"/>
      <c r="AP194" s="5" t="n"/>
      <c r="AQ194" s="5" t="n"/>
      <c r="AR194" s="40">
        <f t="array" ref="AR194">MIN(100, MAX(0,
  IFERROR(_xlfn.XLOOKUP(AJ194,'Lookup Tables'!$A$2:$A$7,'Lookup Tables'!$B$2:$B$7,0),0)
  + IF(Z194="Yes", IF(IFERROR(_xlfn.XLOOKUP(AJ194,'Lookup Tables'!$A$2:$A$7,'Lookup Tables'!$B$2:$B$7,0),0)&lt;20, 5, 0), 0)
  + _xlfn.IFS(AB194="Yes", IF(ISNUMBER(AC194)*AND(AC194&lt;=2030),15,10), AB194="Long-term Only", 5, AB194="No", 0, TRUE, 0)
  + _xlfn.IFS(AF194="Full",10, AF194="Partial",5, AF194="Scope 2 Only",3, TRUE,0)
  + _xlfn.IFS(AG194="Yes", IF(ISNUMBER(AH194)*AND(AH194&gt;=5),10,6), AG194="Partial",4, TRUE,0)
  + _xlfn.IFS(AI194="Yes",5, AI194="Partial (material categories only)",3, TRUE,0)
  + _xlfn.IFS(AL194="Yes — Detailed",10, AL194="Yes — High Level",5, TRUE,0)
  + _xlfn.IFS(AM194="Yes — Quantified",15, AM194="Yes — Directional Only",7, TRUE,0)
  + _xlfn.IFS(AP194="Formal",5, AP194="Referenced",2, TRUE,0)
  + _xlfn.IFS(AQ194="No Issues Found",5, AQ194="Concern Identified",-5, AQ194="Severe Contradiction",-15, TRUE,0)
  + _xlfn.IFS(BC194="Reasonable Assurance",5, BC194="Limited Assurance",3, TRUE,0)
  - IF(AND(Z194="Yes", AI194="No"), 10, 0)
  - IF(AND(Z194="Yes", AM194="No"), 10, 0)
))</f>
        <v/>
      </c>
      <c r="AS194" s="5" t="n"/>
      <c r="AT194" s="5" t="n"/>
      <c r="AU194" s="5" t="n"/>
      <c r="AV194" s="5" t="n"/>
      <c r="AW194" s="5" t="n"/>
      <c r="AX194" s="5" t="n"/>
      <c r="AY194" s="5" t="n"/>
      <c r="AZ194" s="5" t="n"/>
      <c r="BA194" s="5" t="n"/>
      <c r="BB194" s="5" t="n"/>
      <c r="BC194" s="5" t="n"/>
      <c r="BD194" s="5" t="n"/>
      <c r="BE194" s="39">
        <f t="array" ref="BE194">MIN(100, MAX(0,
  IFERROR(_xlfn.XLOOKUP(AT194,'Lookup Tables'!$D$2:$D$6,'Lookup Tables'!$E$2:$E$6,0),0)
  + IFERROR(_xlfn.XLOOKUP(AV194,'Lookup Tables'!$G$2:$G$5,'Lookup Tables'!$H$2:$H$5,0),0)
  + IFERROR(_xlfn.XLOOKUP(AW194,'Lookup Tables'!$J$2:$J$5,'Lookup Tables'!$K$2:$K$5,0),0)
  + _xlfn.IFS(AX194="No Issues",10, AX194="Complaint Filed",3, AX194="Confirmed Breach",-15, TRUE,0)
  + IFERROR(_xlfn.XLOOKUP(AY194,'Lookup Tables'!$M$2:$M$6,'Lookup Tables'!$N$2:$N$6,0),0)
  + IFERROR(_xlfn.XLOOKUP(AZ194,'Lookup Tables'!$P$2:$P$6,'Lookup Tables'!$Q$2:$Q$6,0),0)
  + _xlfn.IFS(BA194="Formal Board Committee",5, BA194="Board Oversight Mentioned",2, TRUE,0)
  + _xlfn.IFS(BB194="Yes — Quantified Targets",5, BB194="Yes — Discretionary Only",2, TRUE,0)
  + _xlfn.IFS(BC194="Reasonable Assurance",5, BC194="Limited Assurance",3, BC194="Management Review Only",1, TRUE,0)
))</f>
        <v/>
      </c>
      <c r="BF194" s="5" t="n"/>
      <c r="BG194" s="5" t="n"/>
      <c r="BH194" s="5" t="n"/>
      <c r="BI194" s="5" t="n"/>
      <c r="BJ194" s="5" t="n"/>
      <c r="BK194" s="5" t="n"/>
      <c r="BL194" s="5" t="n"/>
      <c r="BM194" s="5" t="n"/>
      <c r="BN194" s="5" t="n"/>
      <c r="BO194" s="5" t="n"/>
      <c r="BP194" s="5" t="n"/>
      <c r="BQ194" s="5" t="n"/>
      <c r="BR194" s="5" t="n"/>
      <c r="BS194" s="41">
        <f t="array" ref="BS194">MIN(100, MAX(0,
  IFERROR(_xlfn.XLOOKUP(BG194,'Lookup Tables'!$A$11:$A$16,'Lookup Tables'!$B$11:$B$16,0),0)
  + IFERROR(_xlfn.XLOOKUP(BR194,'Lookup Tables'!$M$11:$M$14,'Lookup Tables'!$N$11:$N$14,0),0)
  + IFERROR(_xlfn.XLOOKUP(BQ194,'Lookup Tables'!$J$11:$J$15,'Lookup Tables'!$K$11:$K$15,0),0)
  + IFERROR(_xlfn.XLOOKUP(BH194,'Lookup Tables'!$D$11:$D$15,'Lookup Tables'!$E$11:$E$15,0),0)
  + IFERROR(_xlfn.XLOOKUP(BJ194,'Lookup Tables'!$G$11:$G$16,'Lookup Tables'!$H$11:$H$16,0),0)
  + IFERROR(_xlfn.XLOOKUP(BN194,'Lookup Tables'!$P$11:$P$15,'Lookup Tables'!$Q$11:$Q$15,0),0)
  + _xlfn.IFS(BM194="No Evidence",10, BM194="Unknown",3, BM194="Likely",0, BM194="Confirmed",-10, TRUE,3)
  + IFERROR(_xlfn.XLOOKUP(BP194,'Lookup Tables'!$J$21:$J$24,'Lookup Tables'!$K$21:$K$24,0),0)
))</f>
        <v/>
      </c>
      <c r="BT194" s="5" t="n"/>
      <c r="BU194" s="5" t="n"/>
      <c r="BV194" s="5" t="n"/>
      <c r="BW194" s="5" t="n"/>
      <c r="BX194" s="5" t="n"/>
      <c r="BY194" s="5" t="n"/>
      <c r="BZ194" s="5" t="n"/>
      <c r="CA194" s="5" t="n"/>
      <c r="CB194" s="5" t="n"/>
      <c r="CC194" s="5" t="n"/>
      <c r="CD194" s="5" t="n"/>
      <c r="CE194" s="43">
        <f t="array" ref="CE194">MIN(100, MAX(0,
  IF(ISNUMBER(BV194)*AND(BV194&gt;0), 10, 0)
  + _xlfn.IFS(BY194="Independently Verified",25, BY194="Yes",15, TRUE,0)
  + IFERROR(_xlfn.XLOOKUP(BZ194,'Lookup Tables'!$A$21:$A$24,'Lookup Tables'!$B$21:$B$24,0),0)
  + IFERROR(_xlfn.XLOOKUP(CA194,'Lookup Tables'!$D$21:$D$24,'Lookup Tables'!$E$21:$E$24,0),0)
  + _xlfn.IFS(ISNUMBER(CB194)*AND(CB194&gt;=11),15, ISNUMBER(CB194)*AND(CB194&gt;=6),10, ISNUMBER(CB194)*AND(CB194&gt;=1),5, TRUE,0)
  + IFERROR(_xlfn.XLOOKUP(CC194,'Lookup Tables'!$G$21:$G$25,'Lookup Tables'!$H$21:$H$25,0),0)
  - IF(ISNUMBER(BW194)*AND(ISNUMBER(BV194))*AND(BW194&gt;BV194), 20, 0)
  - IF(AND(BY194="Yes", ISNUMBER(BW194), BW194&gt;60), 10, 0)
))</f>
        <v/>
      </c>
      <c r="CF194" s="5" t="n"/>
      <c r="CG194" s="5" t="n"/>
      <c r="CH194" s="5" t="n"/>
      <c r="CI194" s="5" t="n"/>
      <c r="CJ194" s="5" t="n"/>
      <c r="CK194" s="5" t="n"/>
      <c r="CL194" s="5" t="n"/>
      <c r="CM194" s="5" t="n"/>
      <c r="CN194" s="5" t="n"/>
      <c r="CO194" s="5" t="n"/>
      <c r="CP194" s="5" t="n"/>
      <c r="CQ194" s="5" t="n"/>
      <c r="CR194" s="5">
        <f>COUNTIF(CJ194:CQ194,"FAIL")</f>
        <v/>
      </c>
      <c r="CS194" s="5">
        <f>COUNTIF(CJ194:CQ194,"PARTIAL")</f>
        <v/>
      </c>
      <c r="CT194" s="5">
        <f>COUNTIF(CJ194:CQ194,"MISSING")</f>
        <v/>
      </c>
      <c r="CU194" s="5">
        <f>MIN(100,
  CR194*15
  + CS194*6
  + CT194*3
  + IFERROR(_xlfn.XLOOKUP(CW194,'Lookup Tables'!$M$21:$M$25,'Lookup Tables'!$N$21:$N$25,0),0)
)</f>
        <v/>
      </c>
      <c r="CV194" s="5">
        <f>IFERROR(
CHOOSE(
MATCH("FAIL",CJ194:CQ194,0),
"1-Specificity","2-Metric","3-Baseline","4-Target",
"5-Time Horizon","6-Scope","7-Verification","8-Consistency"
),
IFERROR(
CHOOSE(
MATCH("PARTIAL",CJ194:CQ194,0),
"1-Specificity","2-Metric","3-Baseline","4-Target",
"5-Time Horizon","6-Scope","7-Verification","8-Consistency"
),
"No failures"
)
)</f>
        <v/>
      </c>
      <c r="CW194" s="5" t="n"/>
      <c r="CX194" s="5" t="n"/>
      <c r="CY194" s="5" t="n"/>
      <c r="CZ194" s="5" t="n"/>
      <c r="DA194" s="5">
        <f>IF(OR(CU194&gt;=50,CW194="Material",CW194="Severe",AS194="Material",AS194="Severe",BF194="Material",BF194="Severe — Exclusion Trigger",AND(ISNUMBER(BS194),BS194&lt;30)),"Yes","No")</f>
        <v/>
      </c>
      <c r="DB194" s="5">
        <f>IF(OR(CR194&gt;=6,AW194="Confirmed Violation",AX194="Confirmed Breach"),"Yes — Automatic",IF(CW194="Severe","Yes — Requires Captain Confirmation","No"))</f>
        <v/>
      </c>
      <c r="DC194" s="5" t="n"/>
      <c r="DD194" s="5" t="n"/>
      <c r="DE194" s="5" t="n"/>
      <c r="DF194" s="5" t="n"/>
      <c r="DG194" s="5" t="n"/>
      <c r="DH194" s="5" t="n"/>
      <c r="DI194" s="5" t="n"/>
      <c r="DJ194" s="5" t="n"/>
      <c r="DK194" s="5" t="n"/>
      <c r="DL194" s="5">
        <f>IF(OR(IFERROR(VALUE(LEFT(DF194,1)),99)&lt;=2,IFERROR(VALUE(LEFT(DG194,1)),99)&lt;=2),"Flagged","Clear")</f>
        <v/>
      </c>
      <c r="DM194" s="5">
        <f>IF(OR(DA194="Yes",DB194&lt;&gt;"No",DH194="Unverified",DL194="Flagged"),"Yes","No")</f>
        <v/>
      </c>
      <c r="DN194" s="5">
        <f t="array" ref="DN194">MIN(100,
  IF(ISNUMBER(V194), _xlfn.IFS(V194&gt;=3,25, V194=2,15, V194=1,5, TRUE,0), 0)
  + IFERROR(_xlfn.IFS(VALUE(LEFT(DF194,1))=5,25, VALUE(LEFT(DF194,1))=4,20, VALUE(LEFT(DF194,1))=3,15, VALUE(LEFT(DF194,1))=2,8, TRUE,0), 15)
  + IFERROR(_xlfn.IFS(VALUE(LEFT(DG194,1))=5,25, VALUE(LEFT(DG194,1))=4,20, VALUE(LEFT(DG194,1))=3,15, VALUE(LEFT(DG194,1))=2,8, TRUE,0), 15)
  + _xlfn.IFS(DH194="Fully Verified",25, DH194="Partially Verified",12, TRUE,0)
)</f>
        <v/>
      </c>
      <c r="DO194" s="5">
        <f t="array" ref="DO194">_xlfn.IFS(
  ISBLANK(AR194), "Insufficient Evidence",
  AND(AR194&gt;=65, AJ194="Approved"), "Strong",
  AR194&gt;=65, "Adequate",
  AR194&gt;=40, "Adequate",
  AR194&gt;=20, "Weak",
  TRUE, "Insufficient Evidence"
)</f>
        <v/>
      </c>
      <c r="DP194" s="5">
        <f t="array" ref="DP194">_xlfn.IFS(
  ISBLANK(BS194), "Insufficient Evidence",
  BS194&gt;=65, "Strong",
  BS194&gt;=40, "Adequate",
  BS194&gt;=20, "Weak",
  TRUE, "Insufficient Evidence"
)</f>
        <v/>
      </c>
      <c r="DQ194" s="5">
        <f t="array" ref="DQ194">_xlfn.IFS(
  ISBLANK(BE194), "Insufficient Evidence",
  OR(AW194="Confirmed Violation", AX194="Confirmed Breach"), "Severe — Hard Trigger",
  BE194&gt;=65, "Strong",
  BE194&gt;=40, "Adequate",
  BE194&gt;=20, "Weak",
  TRUE, "Insufficient Evidence"
)</f>
        <v/>
      </c>
      <c r="DR194" s="5">
        <f t="array" ref="DR194">_xlfn.IFS(
  ISBLANK(CU194), "Insufficient Evidence",
  CU194&lt;=20, "Low Risk",
  CU194&lt;=50, "Moderate Risk",
  CU194&lt;=75, "High Risk",
  TRUE, "Very High Risk"
)</f>
        <v/>
      </c>
      <c r="DS194" s="5">
        <f t="array" ref="DS194">_xlfn.IFS(
  ISBLANK(CE194), "Insufficient Evidence",
  AND(ISNUMBER(BW194),ISNUMBER(BV194),BW194&gt;BV194), "Overclaiming Risk",
  CE194&gt;=65, "Strong",
  CE194&gt;=40, "Adequate",
  TRUE, "Weak"
)</f>
        <v/>
      </c>
      <c r="DT194" s="5">
        <f>IF(DB194="Yes — Automatic",0,ROUND((IF(ISNUMBER(AR194),AR194,0)*0.3+IF(ISNUMBER(BS194),BS194,0)*0.2+IF(ISNUMBER(BE194),BE194,0)*0.2+IF(ISNUMBER(CE194),CE194,0)*0.15+(100-IF(ISNUMBER(CU194),CU194,50))*0.15)*IF(DN194&gt;=75,1,IF(DN194&gt;=50,0.9,IF(DN194&gt;=25,0.75,0.6))),1))</f>
        <v/>
      </c>
      <c r="DU194" s="5">
        <f t="array" ref="DU194">_xlfn.IFS(
  DV194="Upgraded to Clear", "Clear",
  DV194="Downgraded to Watchlist", "Watchlist",
  DV194="Downgraded to Exclusion", "Exclusion Risk",
  DB194="Yes — Automatic", "Exclusion Risk",
  OR(AW194="Confirmed Violation", AX194="Confirmed Breach"), "Exclusion Risk",
  OR(V194=0, ISBLANK(V194), DN194&lt;20), "Insufficient Evidence",
  AND(DT194&gt;=65, DA194="No", DB194="No"), "Clear",
  OR(DT194&gt;=40, DA194="Yes"), "Watchlist",
  TRUE, "Exclusion Risk"
)</f>
        <v/>
      </c>
      <c r="DV194" s="5" t="n"/>
      <c r="DW194" s="5">
        <f t="array" ref="DW194">_xlfn.IFS(
  DU194="Exclusion Risk", "Exclude — Hard Trigger",
  DU194="Insufficient Evidence", "Watchlist — Further Evidence Needed",
  DU194="Watchlist", "Watchlist — Further Evidence Needed",
  AND(DU194="Clear", DT194&gt;=80), "Include — No Conditions",
  DU194="Clear", "Include — Monitor",
  TRUE, "Watchlist — Further Evidence Needed"
)</f>
        <v/>
      </c>
      <c r="DX194" s="5" t="n"/>
      <c r="DY194" s="5" t="n"/>
      <c r="DZ194" s="5" t="n"/>
      <c r="EA194" s="5" t="n"/>
      <c r="EB194" s="5">
        <f>IF(OR(V194=0, ISBLANK(V194)), "MISSING — No sources reviewed", "")</f>
        <v/>
      </c>
      <c r="EC194" s="5">
        <f>IF(AND(NOT(ISBLANK(DC194)), ISBLANK(DE194)), "PAGE REF MISSING", "")</f>
        <v/>
      </c>
    </row>
    <row r="195" ht="18" customHeight="1" s="60">
      <c r="A195" s="5" t="inlineStr">
        <is>
          <t>Klepierre SA</t>
        </is>
      </c>
      <c r="B195" s="5" t="inlineStr">
        <is>
          <t>LI</t>
        </is>
      </c>
      <c r="C195" s="5" t="inlineStr">
        <is>
          <t>FR0000121964</t>
        </is>
      </c>
      <c r="D195" s="5" t="n"/>
      <c r="E195" s="5" t="n"/>
      <c r="F195" s="5">
        <f>IF(ISBLANK('Universe Tracker'!F170),"",'Universe Tracker'!F170)</f>
        <v/>
      </c>
      <c r="G195" s="5">
        <f>IF(ISBLANK('Universe Tracker'!G170),"",'Universe Tracker'!G170)</f>
        <v/>
      </c>
      <c r="H195" s="5" t="n"/>
      <c r="I195" s="5" t="n"/>
      <c r="J195" s="5">
        <f>IF(ISBLANK(B195),"",B195&amp;"_"&amp;C195)</f>
        <v/>
      </c>
      <c r="K195" s="5" t="n"/>
      <c r="L195" s="5" t="n"/>
      <c r="M195" s="5" t="n"/>
      <c r="N195" s="5" t="n"/>
      <c r="O195" s="5" t="inlineStr">
        <is>
          <t>Yes</t>
        </is>
      </c>
      <c r="P195" s="5" t="inlineStr">
        <is>
          <t>Yes</t>
        </is>
      </c>
      <c r="Q195" s="5" t="n"/>
      <c r="R195" s="5" t="n"/>
      <c r="S195" s="5" t="n"/>
      <c r="T195" s="5" t="n"/>
      <c r="U195" s="5" t="n"/>
      <c r="V195" s="5" t="n"/>
      <c r="W195" s="5" t="n"/>
      <c r="X195" s="5" t="n"/>
      <c r="Y195" s="5">
        <f>IF(AND(V195&gt;=2,K195="Yes",L195="Yes"),"Sufficient",IF(AND(V195&gt;=1,OR(K195="Yes",L195="Yes")),"Thin","Insufficient"))</f>
        <v/>
      </c>
      <c r="Z195" s="5" t="n"/>
      <c r="AA195" s="5" t="n"/>
      <c r="AB195" s="5" t="n"/>
      <c r="AC195" s="5" t="n"/>
      <c r="AD195" s="5" t="n"/>
      <c r="AE195" s="5" t="n"/>
      <c r="AF195" s="5" t="n"/>
      <c r="AG195" s="5" t="n"/>
      <c r="AH195" s="5" t="n"/>
      <c r="AI195" s="5" t="n"/>
      <c r="AJ195" s="5" t="inlineStr">
        <is>
          <t>Targets set (1.5°C)</t>
        </is>
      </c>
      <c r="AK195" s="5" t="inlineStr">
        <is>
          <t>2030</t>
        </is>
      </c>
      <c r="AL195" s="5" t="n"/>
      <c r="AM195" s="5" t="n"/>
      <c r="AN195" s="5" t="n"/>
      <c r="AO195" s="5" t="n"/>
      <c r="AP195" s="5" t="n"/>
      <c r="AQ195" s="5" t="n"/>
      <c r="AR195" s="40">
        <f t="array" ref="AR195">MIN(100, MAX(0,
  IFERROR(_xlfn.XLOOKUP(AJ195,'Lookup Tables'!$A$2:$A$7,'Lookup Tables'!$B$2:$B$7,0),0)
  + IF(Z195="Yes", IF(IFERROR(_xlfn.XLOOKUP(AJ195,'Lookup Tables'!$A$2:$A$7,'Lookup Tables'!$B$2:$B$7,0),0)&lt;20, 5, 0), 0)
  + _xlfn.IFS(AB195="Yes", IF(ISNUMBER(AC195)*AND(AC195&lt;=2030),15,10), AB195="Long-term Only", 5, AB195="No", 0, TRUE, 0)
  + _xlfn.IFS(AF195="Full",10, AF195="Partial",5, AF195="Scope 2 Only",3, TRUE,0)
  + _xlfn.IFS(AG195="Yes", IF(ISNUMBER(AH195)*AND(AH195&gt;=5),10,6), AG195="Partial",4, TRUE,0)
  + _xlfn.IFS(AI195="Yes",5, AI195="Partial (material categories only)",3, TRUE,0)
  + _xlfn.IFS(AL195="Yes — Detailed",10, AL195="Yes — High Level",5, TRUE,0)
  + _xlfn.IFS(AM195="Yes — Quantified",15, AM195="Yes — Directional Only",7, TRUE,0)
  + _xlfn.IFS(AP195="Formal",5, AP195="Referenced",2, TRUE,0)
  + _xlfn.IFS(AQ195="No Issues Found",5, AQ195="Concern Identified",-5, AQ195="Severe Contradiction",-15, TRUE,0)
  + _xlfn.IFS(BC195="Reasonable Assurance",5, BC195="Limited Assurance",3, TRUE,0)
  - IF(AND(Z195="Yes", AI195="No"), 10, 0)
  - IF(AND(Z195="Yes", AM195="No"), 10, 0)
))</f>
        <v/>
      </c>
      <c r="AS195" s="5" t="n"/>
      <c r="AT195" s="5" t="n"/>
      <c r="AU195" s="5" t="n"/>
      <c r="AV195" s="5" t="n"/>
      <c r="AW195" s="5" t="n"/>
      <c r="AX195" s="5" t="n"/>
      <c r="AY195" s="5" t="n"/>
      <c r="AZ195" s="5" t="n"/>
      <c r="BA195" s="5" t="n"/>
      <c r="BB195" s="5" t="n"/>
      <c r="BC195" s="5" t="n"/>
      <c r="BD195" s="5" t="n"/>
      <c r="BE195" s="39">
        <f t="array" ref="BE195">MIN(100, MAX(0,
  IFERROR(_xlfn.XLOOKUP(AT195,'Lookup Tables'!$D$2:$D$6,'Lookup Tables'!$E$2:$E$6,0),0)
  + IFERROR(_xlfn.XLOOKUP(AV195,'Lookup Tables'!$G$2:$G$5,'Lookup Tables'!$H$2:$H$5,0),0)
  + IFERROR(_xlfn.XLOOKUP(AW195,'Lookup Tables'!$J$2:$J$5,'Lookup Tables'!$K$2:$K$5,0),0)
  + _xlfn.IFS(AX195="No Issues",10, AX195="Complaint Filed",3, AX195="Confirmed Breach",-15, TRUE,0)
  + IFERROR(_xlfn.XLOOKUP(AY195,'Lookup Tables'!$M$2:$M$6,'Lookup Tables'!$N$2:$N$6,0),0)
  + IFERROR(_xlfn.XLOOKUP(AZ195,'Lookup Tables'!$P$2:$P$6,'Lookup Tables'!$Q$2:$Q$6,0),0)
  + _xlfn.IFS(BA195="Formal Board Committee",5, BA195="Board Oversight Mentioned",2, TRUE,0)
  + _xlfn.IFS(BB195="Yes — Quantified Targets",5, BB195="Yes — Discretionary Only",2, TRUE,0)
  + _xlfn.IFS(BC195="Reasonable Assurance",5, BC195="Limited Assurance",3, BC195="Management Review Only",1, TRUE,0)
))</f>
        <v/>
      </c>
      <c r="BF195" s="5" t="n"/>
      <c r="BG195" s="5" t="n"/>
      <c r="BH195" s="5" t="n"/>
      <c r="BI195" s="5" t="n"/>
      <c r="BJ195" s="5" t="n"/>
      <c r="BK195" s="5" t="n"/>
      <c r="BL195" s="5" t="n"/>
      <c r="BM195" s="5" t="n"/>
      <c r="BN195" s="5" t="n"/>
      <c r="BO195" s="5" t="n"/>
      <c r="BP195" s="5" t="n"/>
      <c r="BQ195" s="5" t="n"/>
      <c r="BR195" s="5" t="n"/>
      <c r="BS195" s="41">
        <f t="array" ref="BS195">MIN(100, MAX(0,
  IFERROR(_xlfn.XLOOKUP(BG195,'Lookup Tables'!$A$11:$A$16,'Lookup Tables'!$B$11:$B$16,0),0)
  + IFERROR(_xlfn.XLOOKUP(BR195,'Lookup Tables'!$M$11:$M$14,'Lookup Tables'!$N$11:$N$14,0),0)
  + IFERROR(_xlfn.XLOOKUP(BQ195,'Lookup Tables'!$J$11:$J$15,'Lookup Tables'!$K$11:$K$15,0),0)
  + IFERROR(_xlfn.XLOOKUP(BH195,'Lookup Tables'!$D$11:$D$15,'Lookup Tables'!$E$11:$E$15,0),0)
  + IFERROR(_xlfn.XLOOKUP(BJ195,'Lookup Tables'!$G$11:$G$16,'Lookup Tables'!$H$11:$H$16,0),0)
  + IFERROR(_xlfn.XLOOKUP(BN195,'Lookup Tables'!$P$11:$P$15,'Lookup Tables'!$Q$11:$Q$15,0),0)
  + _xlfn.IFS(BM195="No Evidence",10, BM195="Unknown",3, BM195="Likely",0, BM195="Confirmed",-10, TRUE,3)
  + IFERROR(_xlfn.XLOOKUP(BP195,'Lookup Tables'!$J$21:$J$24,'Lookup Tables'!$K$21:$K$24,0),0)
))</f>
        <v/>
      </c>
      <c r="BT195" s="5" t="n"/>
      <c r="BU195" s="5" t="n"/>
      <c r="BV195" s="5" t="n"/>
      <c r="BW195" s="5" t="n"/>
      <c r="BX195" s="5" t="n"/>
      <c r="BY195" s="5" t="n"/>
      <c r="BZ195" s="5" t="n"/>
      <c r="CA195" s="5" t="n"/>
      <c r="CB195" s="5" t="n"/>
      <c r="CC195" s="5" t="n"/>
      <c r="CD195" s="5" t="n"/>
      <c r="CE195" s="43">
        <f t="array" ref="CE195">MIN(100, MAX(0,
  IF(ISNUMBER(BV195)*AND(BV195&gt;0), 10, 0)
  + _xlfn.IFS(BY195="Independently Verified",25, BY195="Yes",15, TRUE,0)
  + IFERROR(_xlfn.XLOOKUP(BZ195,'Lookup Tables'!$A$21:$A$24,'Lookup Tables'!$B$21:$B$24,0),0)
  + IFERROR(_xlfn.XLOOKUP(CA195,'Lookup Tables'!$D$21:$D$24,'Lookup Tables'!$E$21:$E$24,0),0)
  + _xlfn.IFS(ISNUMBER(CB195)*AND(CB195&gt;=11),15, ISNUMBER(CB195)*AND(CB195&gt;=6),10, ISNUMBER(CB195)*AND(CB195&gt;=1),5, TRUE,0)
  + IFERROR(_xlfn.XLOOKUP(CC195,'Lookup Tables'!$G$21:$G$25,'Lookup Tables'!$H$21:$H$25,0),0)
  - IF(ISNUMBER(BW195)*AND(ISNUMBER(BV195))*AND(BW195&gt;BV195), 20, 0)
  - IF(AND(BY195="Yes", ISNUMBER(BW195), BW195&gt;60), 10, 0)
))</f>
        <v/>
      </c>
      <c r="CF195" s="5" t="n"/>
      <c r="CG195" s="5" t="inlineStr">
        <is>
          <t>the Group's 2030 net-zero commitment (scopes 1 and 2)</t>
        </is>
      </c>
      <c r="CH195" s="5" t="inlineStr">
        <is>
          <t>document-d-enregistrement-universel-2025-69cbd8e41b4ad.pdf</t>
        </is>
      </c>
      <c r="CI195" s="5" t="n">
        <v>55</v>
      </c>
      <c r="CJ195" s="5" t="inlineStr">
        <is>
          <t>PASS</t>
        </is>
      </c>
      <c r="CK195" s="5" t="inlineStr">
        <is>
          <t>PASS</t>
        </is>
      </c>
      <c r="CL195" s="5" t="inlineStr">
        <is>
          <t>PASS</t>
        </is>
      </c>
      <c r="CM195" s="5" t="inlineStr">
        <is>
          <t>PASS</t>
        </is>
      </c>
      <c r="CN195" s="5" t="inlineStr">
        <is>
          <t>PASS</t>
        </is>
      </c>
      <c r="CO195" s="5" t="inlineStr">
        <is>
          <t>PASS</t>
        </is>
      </c>
      <c r="CP195" s="5" t="inlineStr">
        <is>
          <t>PASS</t>
        </is>
      </c>
      <c r="CQ195" s="5" t="inlineStr">
        <is>
          <t>PASS</t>
        </is>
      </c>
      <c r="CR195" s="5">
        <f>COUNTIF(CJ195:CQ195,"FAIL")</f>
        <v/>
      </c>
      <c r="CS195" s="5">
        <f>COUNTIF(CJ195:CQ195,"PARTIAL")</f>
        <v/>
      </c>
      <c r="CT195" s="5">
        <f>COUNTIF(CJ195:CQ195,"MISSING")</f>
        <v/>
      </c>
      <c r="CU195" s="5">
        <f>MIN(100,
  CR195*15
  + CS195*6
  + CT195*3
  + IFERROR(_xlfn.XLOOKUP(CW195,'Lookup Tables'!$M$21:$M$25,'Lookup Tables'!$N$21:$N$25,0),0)
)</f>
        <v/>
      </c>
      <c r="CV195" s="5">
        <f>IFERROR(
CHOOSE(
MATCH("FAIL",CJ195:CQ195,0),
"1-Specificity","2-Metric","3-Baseline","4-Target",
"5-Time Horizon","6-Scope","7-Verification","8-Consistency"
),
IFERROR(
CHOOSE(
MATCH("PARTIAL",CJ195:CQ195,0),
"1-Specificity","2-Metric","3-Baseline","4-Target",
"5-Time Horizon","6-Scope","7-Verification","8-Consistency"
),
"No failures"
)
)</f>
        <v/>
      </c>
      <c r="CW195" s="5" t="n"/>
      <c r="CX195" s="5" t="n"/>
      <c r="CY195" s="5" t="n"/>
      <c r="CZ195" s="5" t="n"/>
      <c r="DA195" s="5">
        <f>IF(OR(CU195&gt;=50,CW195="Material",CW195="Severe",AS195="Material",AS195="Severe",BF195="Material",BF195="Severe — Exclusion Trigger",AND(ISNUMBER(BS195),BS195&lt;30)),"Yes","No")</f>
        <v/>
      </c>
      <c r="DB195" s="5">
        <f>IF(OR(CR195&gt;=6,AW195="Confirmed Violation",AX195="Confirmed Breach"),"Yes — Automatic",IF(CW195="Severe","Yes — Requires Captain Confirmation","No"))</f>
        <v/>
      </c>
      <c r="DC195" s="5" t="inlineStr">
        <is>
          <t>the Group's 2030 net-zero commitment (scopes 1 and 2)</t>
        </is>
      </c>
      <c r="DD195" s="5" t="inlineStr">
        <is>
          <t>document-d-enregistrement-universel-2025-69cbd8e41b4ad.pdf</t>
        </is>
      </c>
      <c r="DE195" s="5" t="n">
        <v>55</v>
      </c>
      <c r="DF195" s="5" t="n">
        <v>4</v>
      </c>
      <c r="DG195" s="5" t="n">
        <v>4</v>
      </c>
      <c r="DH195" s="5" t="inlineStr">
        <is>
          <t>PENDING</t>
        </is>
      </c>
      <c r="DI195" s="5" t="n"/>
      <c r="DJ195" s="5" t="n"/>
      <c r="DK195" s="5" t="n"/>
      <c r="DL195" s="5">
        <f>IF(OR(IFERROR(VALUE(LEFT(DF195,1)),99)&lt;=2,IFERROR(VALUE(LEFT(DG195,1)),99)&lt;=2),"Flagged","Clear")</f>
        <v/>
      </c>
      <c r="DM195" s="5">
        <f>IF(OR(DA195="Yes",DB195&lt;&gt;"No",DH195="Unverified",DL195="Flagged"),"Yes","No")</f>
        <v/>
      </c>
      <c r="DN195" s="5">
        <f t="array" ref="DN195">MIN(100,
  IF(ISNUMBER(V195), _xlfn.IFS(V195&gt;=3,25, V195=2,15, V195=1,5, TRUE,0), 0)
  + IFERROR(_xlfn.IFS(VALUE(LEFT(DF195,1))=5,25, VALUE(LEFT(DF195,1))=4,20, VALUE(LEFT(DF195,1))=3,15, VALUE(LEFT(DF195,1))=2,8, TRUE,0), 15)
  + IFERROR(_xlfn.IFS(VALUE(LEFT(DG195,1))=5,25, VALUE(LEFT(DG195,1))=4,20, VALUE(LEFT(DG195,1))=3,15, VALUE(LEFT(DG195,1))=2,8, TRUE,0), 15)
  + _xlfn.IFS(DH195="Fully Verified",25, DH195="Partially Verified",12, TRUE,0)
)</f>
        <v/>
      </c>
      <c r="DO195" s="5">
        <f t="array" ref="DO195">_xlfn.IFS(
  ISBLANK(AR195), "Insufficient Evidence",
  AND(AR195&gt;=65, AJ195="Approved"), "Strong",
  AR195&gt;=65, "Adequate",
  AR195&gt;=40, "Adequate",
  AR195&gt;=20, "Weak",
  TRUE, "Insufficient Evidence"
)</f>
        <v/>
      </c>
      <c r="DP195" s="5">
        <f t="array" ref="DP195">_xlfn.IFS(
  ISBLANK(BS195), "Insufficient Evidence",
  BS195&gt;=65, "Strong",
  BS195&gt;=40, "Adequate",
  BS195&gt;=20, "Weak",
  TRUE, "Insufficient Evidence"
)</f>
        <v/>
      </c>
      <c r="DQ195" s="5">
        <f t="array" ref="DQ195">_xlfn.IFS(
  ISBLANK(BE195), "Insufficient Evidence",
  OR(AW195="Confirmed Violation", AX195="Confirmed Breach"), "Severe — Hard Trigger",
  BE195&gt;=65, "Strong",
  BE195&gt;=40, "Adequate",
  BE195&gt;=20, "Weak",
  TRUE, "Insufficient Evidence"
)</f>
        <v/>
      </c>
      <c r="DR195" s="5">
        <f t="array" ref="DR195">_xlfn.IFS(
  ISBLANK(CU195), "Insufficient Evidence",
  CU195&lt;=20, "Low Risk",
  CU195&lt;=50, "Moderate Risk",
  CU195&lt;=75, "High Risk",
  TRUE, "Very High Risk"
)</f>
        <v/>
      </c>
      <c r="DS195" s="5">
        <f t="array" ref="DS195">_xlfn.IFS(
  ISBLANK(CE195), "Insufficient Evidence",
  AND(ISNUMBER(BW195),ISNUMBER(BV195),BW195&gt;BV195), "Overclaiming Risk",
  CE195&gt;=65, "Strong",
  CE195&gt;=40, "Adequate",
  TRUE, "Weak"
)</f>
        <v/>
      </c>
      <c r="DT195" s="5">
        <f>IF(DB195="Yes — Automatic",0,ROUND((IF(ISNUMBER(AR195),AR195,0)*0.3+IF(ISNUMBER(BS195),BS195,0)*0.2+IF(ISNUMBER(BE195),BE195,0)*0.2+IF(ISNUMBER(CE195),CE195,0)*0.15+(100-IF(ISNUMBER(CU195),CU195,50))*0.15)*IF(DN195&gt;=75,1,IF(DN195&gt;=50,0.9,IF(DN195&gt;=25,0.75,0.6))),1))</f>
        <v/>
      </c>
      <c r="DU195" s="5">
        <f t="array" ref="DU195">_xlfn.IFS(
  DV195="Upgraded to Clear", "Clear",
  DV195="Downgraded to Watchlist", "Watchlist",
  DV195="Downgraded to Exclusion", "Exclusion Risk",
  DB195="Yes — Automatic", "Exclusion Risk",
  OR(AW195="Confirmed Violation", AX195="Confirmed Breach"), "Exclusion Risk",
  OR(V195=0, ISBLANK(V195), DN195&lt;20), "Insufficient Evidence",
  AND(DT195&gt;=65, DA195="No", DB195="No"), "Clear",
  OR(DT195&gt;=40, DA195="Yes"), "Watchlist",
  TRUE, "Exclusion Risk"
)</f>
        <v/>
      </c>
      <c r="DV195" s="5" t="n"/>
      <c r="DW195" s="5">
        <f t="array" ref="DW195">_xlfn.IFS(
  DU195="Exclusion Risk", "Exclude — Hard Trigger",
  DU195="Insufficient Evidence", "Watchlist — Further Evidence Needed",
  DU195="Watchlist", "Watchlist — Further Evidence Needed",
  AND(DU195="Clear", DT195&gt;=80), "Include — No Conditions",
  DU195="Clear", "Include — Monitor",
  TRUE, "Watchlist — Further Evidence Needed"
)</f>
        <v/>
      </c>
      <c r="DX195" s="5" t="inlineStr">
        <is>
          <t>Main claim: "the Group's 2030 net-zero commitment (scopes 1 and 2)" (document-d-enregistrement-universel-2025-69cbd8e41b4ad.pdf, p55.0). SBTi: Targets set, 1.5°C near-term target (2030). 8-Test: 0 PARTIAL, 0 FAIL, 0 MISSING -&gt; PASS. Main claim: "the Group's 2030 net-zero commitment (scopes 1 and 2)" (document-d-enregistrement-universel-2025-69cbd8e41b4ad.pdf, p55). SBTi: Targets set, 1.5°C near-term target (2030). 8-Test: 0 PARTIAL, 0 FAIL, 0 MISSING -&gt; PASS....</t>
        </is>
      </c>
      <c r="DY195" s="5" t="n"/>
      <c r="DZ195" s="5" t="n"/>
      <c r="EA195" s="5" t="n"/>
      <c r="EB195" s="5">
        <f>IF(OR(V195=0, ISBLANK(V195)), "MISSING — No sources reviewed", "")</f>
        <v/>
      </c>
      <c r="EC195" s="5">
        <f>IF(AND(NOT(ISBLANK(DC195)), ISBLANK(DE195)), "PAGE REF MISSING", "")</f>
        <v/>
      </c>
    </row>
    <row r="196" ht="18" customHeight="1" s="60">
      <c r="A196" s="5" t="inlineStr">
        <is>
          <t>MERLIN Properties SOCIMI, S.A.</t>
        </is>
      </c>
      <c r="B196" s="5" t="inlineStr">
        <is>
          <t>MRL</t>
        </is>
      </c>
      <c r="C196" s="5" t="inlineStr">
        <is>
          <t>ES0105025003</t>
        </is>
      </c>
      <c r="D196" s="5" t="n"/>
      <c r="E196" s="5" t="n"/>
      <c r="F196" s="5">
        <f>IF(ISBLANK('Universe Tracker'!F171),"",'Universe Tracker'!F171)</f>
        <v/>
      </c>
      <c r="G196" s="5">
        <f>IF(ISBLANK('Universe Tracker'!G171),"",'Universe Tracker'!G171)</f>
        <v/>
      </c>
      <c r="H196" s="5" t="n"/>
      <c r="I196" s="5" t="n"/>
      <c r="J196" s="5">
        <f>IF(ISBLANK(B196),"",B196&amp;"_"&amp;C196)</f>
        <v/>
      </c>
      <c r="K196" s="5" t="n"/>
      <c r="L196" s="5" t="n"/>
      <c r="M196" s="5" t="n"/>
      <c r="N196" s="5" t="n"/>
      <c r="O196" s="5" t="inlineStr">
        <is>
          <t>Yes</t>
        </is>
      </c>
      <c r="P196" s="5" t="inlineStr">
        <is>
          <t>Yes</t>
        </is>
      </c>
      <c r="Q196" s="5" t="n"/>
      <c r="R196" s="5" t="n"/>
      <c r="S196" s="5" t="n"/>
      <c r="T196" s="5" t="n"/>
      <c r="U196" s="5" t="n"/>
      <c r="V196" s="5" t="n"/>
      <c r="W196" s="5" t="n"/>
      <c r="X196" s="5" t="n"/>
      <c r="Y196" s="5">
        <f>IF(AND(V196&gt;=2,K196="Yes",L196="Yes"),"Sufficient",IF(AND(V196&gt;=1,OR(K196="Yes",L196="Yes")),"Thin","Insufficient"))</f>
        <v/>
      </c>
      <c r="Z196" s="5" t="n"/>
      <c r="AA196" s="5" t="n"/>
      <c r="AB196" s="5" t="n"/>
      <c r="AC196" s="5" t="n"/>
      <c r="AD196" s="5" t="n"/>
      <c r="AE196" s="5" t="n"/>
      <c r="AF196" s="5" t="n"/>
      <c r="AG196" s="5" t="n"/>
      <c r="AH196" s="5" t="n"/>
      <c r="AI196" s="5" t="n"/>
      <c r="AJ196" s="5" t="inlineStr">
        <is>
          <t>Targets set (1.5°C)</t>
        </is>
      </c>
      <c r="AK196" s="5" t="inlineStr">
        <is>
          <t>2030</t>
        </is>
      </c>
      <c r="AL196" s="5" t="n"/>
      <c r="AM196" s="5" t="n"/>
      <c r="AN196" s="5" t="n"/>
      <c r="AO196" s="5" t="n"/>
      <c r="AP196" s="5" t="n"/>
      <c r="AQ196" s="5" t="n"/>
      <c r="AR196" s="40">
        <f t="array" ref="AR196">MIN(100, MAX(0,
  IFERROR(_xlfn.XLOOKUP(AJ196,'Lookup Tables'!$A$2:$A$7,'Lookup Tables'!$B$2:$B$7,0),0)
  + IF(Z196="Yes", IF(IFERROR(_xlfn.XLOOKUP(AJ196,'Lookup Tables'!$A$2:$A$7,'Lookup Tables'!$B$2:$B$7,0),0)&lt;20, 5, 0), 0)
  + _xlfn.IFS(AB196="Yes", IF(ISNUMBER(AC196)*AND(AC196&lt;=2030),15,10), AB196="Long-term Only", 5, AB196="No", 0, TRUE, 0)
  + _xlfn.IFS(AF196="Full",10, AF196="Partial",5, AF196="Scope 2 Only",3, TRUE,0)
  + _xlfn.IFS(AG196="Yes", IF(ISNUMBER(AH196)*AND(AH196&gt;=5),10,6), AG196="Partial",4, TRUE,0)
  + _xlfn.IFS(AI196="Yes",5, AI196="Partial (material categories only)",3, TRUE,0)
  + _xlfn.IFS(AL196="Yes — Detailed",10, AL196="Yes — High Level",5, TRUE,0)
  + _xlfn.IFS(AM196="Yes — Quantified",15, AM196="Yes — Directional Only",7, TRUE,0)
  + _xlfn.IFS(AP196="Formal",5, AP196="Referenced",2, TRUE,0)
  + _xlfn.IFS(AQ196="No Issues Found",5, AQ196="Concern Identified",-5, AQ196="Severe Contradiction",-15, TRUE,0)
  + _xlfn.IFS(BC196="Reasonable Assurance",5, BC196="Limited Assurance",3, TRUE,0)
  - IF(AND(Z196="Yes", AI196="No"), 10, 0)
  - IF(AND(Z196="Yes", AM196="No"), 10, 0)
))</f>
        <v/>
      </c>
      <c r="AS196" s="5" t="n"/>
      <c r="AT196" s="5" t="n"/>
      <c r="AU196" s="5" t="n"/>
      <c r="AV196" s="5" t="n"/>
      <c r="AW196" s="5" t="n"/>
      <c r="AX196" s="5" t="n"/>
      <c r="AY196" s="5" t="n"/>
      <c r="AZ196" s="5" t="n"/>
      <c r="BA196" s="5" t="n"/>
      <c r="BB196" s="5" t="n"/>
      <c r="BC196" s="5" t="n"/>
      <c r="BD196" s="5" t="n"/>
      <c r="BE196" s="39">
        <f t="array" ref="BE196">MIN(100, MAX(0,
  IFERROR(_xlfn.XLOOKUP(AT196,'Lookup Tables'!$D$2:$D$6,'Lookup Tables'!$E$2:$E$6,0),0)
  + IFERROR(_xlfn.XLOOKUP(AV196,'Lookup Tables'!$G$2:$G$5,'Lookup Tables'!$H$2:$H$5,0),0)
  + IFERROR(_xlfn.XLOOKUP(AW196,'Lookup Tables'!$J$2:$J$5,'Lookup Tables'!$K$2:$K$5,0),0)
  + _xlfn.IFS(AX196="No Issues",10, AX196="Complaint Filed",3, AX196="Confirmed Breach",-15, TRUE,0)
  + IFERROR(_xlfn.XLOOKUP(AY196,'Lookup Tables'!$M$2:$M$6,'Lookup Tables'!$N$2:$N$6,0),0)
  + IFERROR(_xlfn.XLOOKUP(AZ196,'Lookup Tables'!$P$2:$P$6,'Lookup Tables'!$Q$2:$Q$6,0),0)
  + _xlfn.IFS(BA196="Formal Board Committee",5, BA196="Board Oversight Mentioned",2, TRUE,0)
  + _xlfn.IFS(BB196="Yes — Quantified Targets",5, BB196="Yes — Discretionary Only",2, TRUE,0)
  + _xlfn.IFS(BC196="Reasonable Assurance",5, BC196="Limited Assurance",3, BC196="Management Review Only",1, TRUE,0)
))</f>
        <v/>
      </c>
      <c r="BF196" s="5" t="n"/>
      <c r="BG196" s="5" t="n"/>
      <c r="BH196" s="5" t="n"/>
      <c r="BI196" s="5" t="n"/>
      <c r="BJ196" s="5" t="n"/>
      <c r="BK196" s="5" t="n"/>
      <c r="BL196" s="5" t="n"/>
      <c r="BM196" s="5" t="n"/>
      <c r="BN196" s="5" t="n"/>
      <c r="BO196" s="5" t="n"/>
      <c r="BP196" s="5" t="n"/>
      <c r="BQ196" s="5" t="n"/>
      <c r="BR196" s="5" t="n"/>
      <c r="BS196" s="41">
        <f t="array" ref="BS196">MIN(100, MAX(0,
  IFERROR(_xlfn.XLOOKUP(BG196,'Lookup Tables'!$A$11:$A$16,'Lookup Tables'!$B$11:$B$16,0),0)
  + IFERROR(_xlfn.XLOOKUP(BR196,'Lookup Tables'!$M$11:$M$14,'Lookup Tables'!$N$11:$N$14,0),0)
  + IFERROR(_xlfn.XLOOKUP(BQ196,'Lookup Tables'!$J$11:$J$15,'Lookup Tables'!$K$11:$K$15,0),0)
  + IFERROR(_xlfn.XLOOKUP(BH196,'Lookup Tables'!$D$11:$D$15,'Lookup Tables'!$E$11:$E$15,0),0)
  + IFERROR(_xlfn.XLOOKUP(BJ196,'Lookup Tables'!$G$11:$G$16,'Lookup Tables'!$H$11:$H$16,0),0)
  + IFERROR(_xlfn.XLOOKUP(BN196,'Lookup Tables'!$P$11:$P$15,'Lookup Tables'!$Q$11:$Q$15,0),0)
  + _xlfn.IFS(BM196="No Evidence",10, BM196="Unknown",3, BM196="Likely",0, BM196="Confirmed",-10, TRUE,3)
  + IFERROR(_xlfn.XLOOKUP(BP196,'Lookup Tables'!$J$21:$J$24,'Lookup Tables'!$K$21:$K$24,0),0)
))</f>
        <v/>
      </c>
      <c r="BT196" s="5" t="n"/>
      <c r="BU196" s="5" t="n"/>
      <c r="BV196" s="5" t="n"/>
      <c r="BW196" s="5" t="n"/>
      <c r="BX196" s="5" t="n"/>
      <c r="BY196" s="5" t="n"/>
      <c r="BZ196" s="5" t="n"/>
      <c r="CA196" s="5" t="n"/>
      <c r="CB196" s="5" t="n"/>
      <c r="CC196" s="5" t="n"/>
      <c r="CD196" s="5" t="n"/>
      <c r="CE196" s="43">
        <f t="array" ref="CE196">MIN(100, MAX(0,
  IF(ISNUMBER(BV196)*AND(BV196&gt;0), 10, 0)
  + _xlfn.IFS(BY196="Independently Verified",25, BY196="Yes",15, TRUE,0)
  + IFERROR(_xlfn.XLOOKUP(BZ196,'Lookup Tables'!$A$21:$A$24,'Lookup Tables'!$B$21:$B$24,0),0)
  + IFERROR(_xlfn.XLOOKUP(CA196,'Lookup Tables'!$D$21:$D$24,'Lookup Tables'!$E$21:$E$24,0),0)
  + _xlfn.IFS(ISNUMBER(CB196)*AND(CB196&gt;=11),15, ISNUMBER(CB196)*AND(CB196&gt;=6),10, ISNUMBER(CB196)*AND(CB196&gt;=1),5, TRUE,0)
  + IFERROR(_xlfn.XLOOKUP(CC196,'Lookup Tables'!$G$21:$G$25,'Lookup Tables'!$H$21:$H$25,0),0)
  - IF(ISNUMBER(BW196)*AND(ISNUMBER(BV196))*AND(BW196&gt;BV196), 20, 0)
  - IF(AND(BY196="Yes", ISNUMBER(BW196), BW196&gt;60), 10, 0)
))</f>
        <v/>
      </c>
      <c r="CF196" s="5" t="n"/>
      <c r="CG196" s="5" t="inlineStr">
        <is>
          <t>MERLIN launched its 'Pathway to Net Zero' strategy, a roadmap</t>
        </is>
      </c>
      <c r="CH196" s="5" t="inlineStr">
        <is>
          <t>EINF-Version-Ingles-2025.pdf</t>
        </is>
      </c>
      <c r="CI196" s="5" t="n">
        <v>5</v>
      </c>
      <c r="CJ196" s="5" t="inlineStr">
        <is>
          <t>PASS</t>
        </is>
      </c>
      <c r="CK196" s="5" t="inlineStr">
        <is>
          <t>PASS</t>
        </is>
      </c>
      <c r="CL196" s="5" t="inlineStr">
        <is>
          <t>PASS</t>
        </is>
      </c>
      <c r="CM196" s="5" t="inlineStr">
        <is>
          <t>PASS</t>
        </is>
      </c>
      <c r="CN196" s="5" t="inlineStr">
        <is>
          <t>PASS</t>
        </is>
      </c>
      <c r="CO196" s="5" t="inlineStr">
        <is>
          <t>PASS</t>
        </is>
      </c>
      <c r="CP196" s="5" t="inlineStr">
        <is>
          <t>PASS</t>
        </is>
      </c>
      <c r="CQ196" s="5" t="inlineStr">
        <is>
          <t>PASS</t>
        </is>
      </c>
      <c r="CR196" s="5">
        <f>COUNTIF(CJ196:CQ196,"FAIL")</f>
        <v/>
      </c>
      <c r="CS196" s="5">
        <f>COUNTIF(CJ196:CQ196,"PARTIAL")</f>
        <v/>
      </c>
      <c r="CT196" s="5">
        <f>COUNTIF(CJ196:CQ196,"MISSING")</f>
        <v/>
      </c>
      <c r="CU196" s="5">
        <f>MIN(100,
  CR196*15
  + CS196*6
  + CT196*3
  + IFERROR(_xlfn.XLOOKUP(CW196,'Lookup Tables'!$M$21:$M$25,'Lookup Tables'!$N$21:$N$25,0),0)
)</f>
        <v/>
      </c>
      <c r="CV196" s="5">
        <f>IFERROR(
CHOOSE(
MATCH("FAIL",CJ196:CQ196,0),
"1-Specificity","2-Metric","3-Baseline","4-Target",
"5-Time Horizon","6-Scope","7-Verification","8-Consistency"
),
IFERROR(
CHOOSE(
MATCH("PARTIAL",CJ196:CQ196,0),
"1-Specificity","2-Metric","3-Baseline","4-Target",
"5-Time Horizon","6-Scope","7-Verification","8-Consistency"
),
"No failures"
)
)</f>
        <v/>
      </c>
      <c r="CW196" s="5" t="n"/>
      <c r="CX196" s="5" t="n"/>
      <c r="CY196" s="5" t="n"/>
      <c r="CZ196" s="5" t="n"/>
      <c r="DA196" s="5">
        <f>IF(OR(CU196&gt;=50,CW196="Material",CW196="Severe",AS196="Material",AS196="Severe",BF196="Material",BF196="Severe — Exclusion Trigger",AND(ISNUMBER(BS196),BS196&lt;30)),"Yes","No")</f>
        <v/>
      </c>
      <c r="DB196" s="5">
        <f>IF(OR(CR196&gt;=6,AW196="Confirmed Violation",AX196="Confirmed Breach"),"Yes — Automatic",IF(CW196="Severe","Yes — Requires Captain Confirmation","No"))</f>
        <v/>
      </c>
      <c r="DC196" s="5" t="inlineStr">
        <is>
          <t>MERLIN launched its 'Pathway to Net Zero' strategy, a roadmap</t>
        </is>
      </c>
      <c r="DD196" s="5" t="inlineStr">
        <is>
          <t>EINF-Version-Ingles-2025.pdf</t>
        </is>
      </c>
      <c r="DE196" s="5" t="n">
        <v>5</v>
      </c>
      <c r="DF196" s="5" t="n">
        <v>4</v>
      </c>
      <c r="DG196" s="5" t="n">
        <v>4</v>
      </c>
      <c r="DH196" s="5" t="inlineStr">
        <is>
          <t>PENDING</t>
        </is>
      </c>
      <c r="DI196" s="5" t="n"/>
      <c r="DJ196" s="5" t="n"/>
      <c r="DK196" s="5" t="n"/>
      <c r="DL196" s="5">
        <f>IF(OR(IFERROR(VALUE(LEFT(DF196,1)),99)&lt;=2,IFERROR(VALUE(LEFT(DG196,1)),99)&lt;=2),"Flagged","Clear")</f>
        <v/>
      </c>
      <c r="DM196" s="5">
        <f>IF(OR(DA196="Yes",DB196&lt;&gt;"No",DH196="Unverified",DL196="Flagged"),"Yes","No")</f>
        <v/>
      </c>
      <c r="DN196" s="5">
        <f t="array" ref="DN196">MIN(100,
  IF(ISNUMBER(V196), _xlfn.IFS(V196&gt;=3,25, V196=2,15, V196=1,5, TRUE,0), 0)
  + IFERROR(_xlfn.IFS(VALUE(LEFT(DF196,1))=5,25, VALUE(LEFT(DF196,1))=4,20, VALUE(LEFT(DF196,1))=3,15, VALUE(LEFT(DF196,1))=2,8, TRUE,0), 15)
  + IFERROR(_xlfn.IFS(VALUE(LEFT(DG196,1))=5,25, VALUE(LEFT(DG196,1))=4,20, VALUE(LEFT(DG196,1))=3,15, VALUE(LEFT(DG196,1))=2,8, TRUE,0), 15)
  + _xlfn.IFS(DH196="Fully Verified",25, DH196="Partially Verified",12, TRUE,0)
)</f>
        <v/>
      </c>
      <c r="DO196" s="5">
        <f t="array" ref="DO196">_xlfn.IFS(
  ISBLANK(AR196), "Insufficient Evidence",
  AND(AR196&gt;=65, AJ196="Approved"), "Strong",
  AR196&gt;=65, "Adequate",
  AR196&gt;=40, "Adequate",
  AR196&gt;=20, "Weak",
  TRUE, "Insufficient Evidence"
)</f>
        <v/>
      </c>
      <c r="DP196" s="5">
        <f t="array" ref="DP196">_xlfn.IFS(
  ISBLANK(BS196), "Insufficient Evidence",
  BS196&gt;=65, "Strong",
  BS196&gt;=40, "Adequate",
  BS196&gt;=20, "Weak",
  TRUE, "Insufficient Evidence"
)</f>
        <v/>
      </c>
      <c r="DQ196" s="5">
        <f t="array" ref="DQ196">_xlfn.IFS(
  ISBLANK(BE196), "Insufficient Evidence",
  OR(AW196="Confirmed Violation", AX196="Confirmed Breach"), "Severe — Hard Trigger",
  BE196&gt;=65, "Strong",
  BE196&gt;=40, "Adequate",
  BE196&gt;=20, "Weak",
  TRUE, "Insufficient Evidence"
)</f>
        <v/>
      </c>
      <c r="DR196" s="5">
        <f t="array" ref="DR196">_xlfn.IFS(
  ISBLANK(CU196), "Insufficient Evidence",
  CU196&lt;=20, "Low Risk",
  CU196&lt;=50, "Moderate Risk",
  CU196&lt;=75, "High Risk",
  TRUE, "Very High Risk"
)</f>
        <v/>
      </c>
      <c r="DS196" s="5">
        <f t="array" ref="DS196">_xlfn.IFS(
  ISBLANK(CE196), "Insufficient Evidence",
  AND(ISNUMBER(BW196),ISNUMBER(BV196),BW196&gt;BV196), "Overclaiming Risk",
  CE196&gt;=65, "Strong",
  CE196&gt;=40, "Adequate",
  TRUE, "Weak"
)</f>
        <v/>
      </c>
      <c r="DT196" s="5">
        <f>IF(DB196="Yes — Automatic",0,ROUND((IF(ISNUMBER(AR196),AR196,0)*0.3+IF(ISNUMBER(BS196),BS196,0)*0.2+IF(ISNUMBER(BE196),BE196,0)*0.2+IF(ISNUMBER(CE196),CE196,0)*0.15+(100-IF(ISNUMBER(CU196),CU196,50))*0.15)*IF(DN196&gt;=75,1,IF(DN196&gt;=50,0.9,IF(DN196&gt;=25,0.75,0.6))),1))</f>
        <v/>
      </c>
      <c r="DU196" s="5">
        <f t="array" ref="DU196">_xlfn.IFS(
  DV196="Upgraded to Clear", "Clear",
  DV196="Downgraded to Watchlist", "Watchlist",
  DV196="Downgraded to Exclusion", "Exclusion Risk",
  DB196="Yes — Automatic", "Exclusion Risk",
  OR(AW196="Confirmed Violation", AX196="Confirmed Breach"), "Exclusion Risk",
  OR(V196=0, ISBLANK(V196), DN196&lt;20), "Insufficient Evidence",
  AND(DT196&gt;=65, DA196="No", DB196="No"), "Clear",
  OR(DT196&gt;=40, DA196="Yes"), "Watchlist",
  TRUE, "Exclusion Risk"
)</f>
        <v/>
      </c>
      <c r="DV196" s="5" t="n"/>
      <c r="DW196" s="5">
        <f t="array" ref="DW196">_xlfn.IFS(
  DU196="Exclusion Risk", "Exclude — Hard Trigger",
  DU196="Insufficient Evidence", "Watchlist — Further Evidence Needed",
  DU196="Watchlist", "Watchlist — Further Evidence Needed",
  AND(DU196="Clear", DT196&gt;=80), "Include — No Conditions",
  DU196="Clear", "Include — Monitor",
  TRUE, "Watchlist — Further Evidence Needed"
)</f>
        <v/>
      </c>
      <c r="DX196" s="5" t="inlineStr">
        <is>
          <t>Main claim: "MERLIN launched its 'Pathway to Net Zero' strategy, a roadmap" (EINF-Version-Ingles-2025.pdf, p5.0). SBTi: Targets set, 1.5°C near-term target (2030). 8-Test: 0 PARTIAL, 0 FAIL, 0 MISSING -&gt; PASS. Main claim: "MERLIN launched its 'Pathway to Net Zero' strategy, a roadmap" (EINF-Version-Ingles-2025.pdf, p5). SBTi: Targets set, 1.5°C near-term target (2030). 8-Test: 0 PARTIAL, 0 FAIL, 0 MISSING -&gt; PASS. EINF non-financial...</t>
        </is>
      </c>
      <c r="DY196" s="5" t="n"/>
      <c r="DZ196" s="5" t="n"/>
      <c r="EA196" s="5" t="n"/>
      <c r="EB196" s="5">
        <f>IF(OR(V196=0, ISBLANK(V196)), "MISSING — No sources reviewed", "")</f>
        <v/>
      </c>
      <c r="EC196" s="5">
        <f>IF(AND(NOT(ISBLANK(DC196)), ISBLANK(DE196)), "PAGE REF MISSING", "")</f>
        <v/>
      </c>
    </row>
    <row r="197" ht="18" customHeight="1" s="60">
      <c r="A197" s="5" t="inlineStr">
        <is>
          <t>Galenica AG</t>
        </is>
      </c>
      <c r="B197" s="5" t="inlineStr">
        <is>
          <t>GALE</t>
        </is>
      </c>
      <c r="C197" s="5" t="inlineStr">
        <is>
          <t>CH0360674466</t>
        </is>
      </c>
      <c r="D197" s="5" t="n"/>
      <c r="E197" s="5" t="n"/>
      <c r="F197" s="5">
        <f>IF(ISBLANK('Universe Tracker'!F172),"",'Universe Tracker'!F172)</f>
        <v/>
      </c>
      <c r="G197" s="5">
        <f>IF(ISBLANK('Universe Tracker'!G172),"",'Universe Tracker'!G172)</f>
        <v/>
      </c>
      <c r="H197" s="5" t="n"/>
      <c r="I197" s="5" t="n"/>
      <c r="J197" s="5">
        <f>IF(ISBLANK(B197),"",B197&amp;"_"&amp;C197)</f>
        <v/>
      </c>
      <c r="K197" s="5" t="n"/>
      <c r="L197" s="5" t="n"/>
      <c r="M197" s="5" t="n"/>
      <c r="N197" s="5" t="n"/>
      <c r="O197" s="5" t="inlineStr">
        <is>
          <t>Yes</t>
        </is>
      </c>
      <c r="P197" s="5" t="inlineStr">
        <is>
          <t>Yes</t>
        </is>
      </c>
      <c r="Q197" s="5" t="n"/>
      <c r="R197" s="5" t="n"/>
      <c r="S197" s="5" t="n"/>
      <c r="T197" s="5" t="n"/>
      <c r="U197" s="5" t="n"/>
      <c r="V197" s="5" t="n"/>
      <c r="W197" s="5" t="n"/>
      <c r="X197" s="5" t="n"/>
      <c r="Y197" s="5">
        <f>IF(AND(V197&gt;=2,K197="Yes",L197="Yes"),"Sufficient",IF(AND(V197&gt;=1,OR(K197="Yes",L197="Yes")),"Thin","Insufficient"))</f>
        <v/>
      </c>
      <c r="Z197" s="5" t="n"/>
      <c r="AA197" s="5" t="n"/>
      <c r="AB197" s="5" t="n"/>
      <c r="AC197" s="5" t="n"/>
      <c r="AD197" s="5" t="n"/>
      <c r="AE197" s="5" t="n"/>
      <c r="AF197" s="5" t="n"/>
      <c r="AG197" s="5" t="n"/>
      <c r="AH197" s="5" t="n"/>
      <c r="AI197" s="5" t="n"/>
      <c r="AJ197" s="5" t="inlineStr">
        <is>
          <t>Committed</t>
        </is>
      </c>
      <c r="AK197" s="5" t="inlineStr"/>
      <c r="AL197" s="5" t="n"/>
      <c r="AM197" s="5" t="n"/>
      <c r="AN197" s="5" t="n"/>
      <c r="AO197" s="5" t="n"/>
      <c r="AP197" s="5" t="n"/>
      <c r="AQ197" s="5" t="n"/>
      <c r="AR197" s="40">
        <f t="array" ref="AR197">MIN(100, MAX(0,
  IFERROR(_xlfn.XLOOKUP(AJ197,'Lookup Tables'!$A$2:$A$7,'Lookup Tables'!$B$2:$B$7,0),0)
  + IF(Z197="Yes", IF(IFERROR(_xlfn.XLOOKUP(AJ197,'Lookup Tables'!$A$2:$A$7,'Lookup Tables'!$B$2:$B$7,0),0)&lt;20, 5, 0), 0)
  + _xlfn.IFS(AB197="Yes", IF(ISNUMBER(AC197)*AND(AC197&lt;=2030),15,10), AB197="Long-term Only", 5, AB197="No", 0, TRUE, 0)
  + _xlfn.IFS(AF197="Full",10, AF197="Partial",5, AF197="Scope 2 Only",3, TRUE,0)
  + _xlfn.IFS(AG197="Yes", IF(ISNUMBER(AH197)*AND(AH197&gt;=5),10,6), AG197="Partial",4, TRUE,0)
  + _xlfn.IFS(AI197="Yes",5, AI197="Partial (material categories only)",3, TRUE,0)
  + _xlfn.IFS(AL197="Yes — Detailed",10, AL197="Yes — High Level",5, TRUE,0)
  + _xlfn.IFS(AM197="Yes — Quantified",15, AM197="Yes — Directional Only",7, TRUE,0)
  + _xlfn.IFS(AP197="Formal",5, AP197="Referenced",2, TRUE,0)
  + _xlfn.IFS(AQ197="No Issues Found",5, AQ197="Concern Identified",-5, AQ197="Severe Contradiction",-15, TRUE,0)
  + _xlfn.IFS(BC197="Reasonable Assurance",5, BC197="Limited Assurance",3, TRUE,0)
  - IF(AND(Z197="Yes", AI197="No"), 10, 0)
  - IF(AND(Z197="Yes", AM197="No"), 10, 0)
))</f>
        <v/>
      </c>
      <c r="AS197" s="5" t="n"/>
      <c r="AT197" s="5" t="n"/>
      <c r="AU197" s="5" t="n"/>
      <c r="AV197" s="5" t="n"/>
      <c r="AW197" s="5" t="n"/>
      <c r="AX197" s="5" t="n"/>
      <c r="AY197" s="5" t="n"/>
      <c r="AZ197" s="5" t="n"/>
      <c r="BA197" s="5" t="n"/>
      <c r="BB197" s="5" t="n"/>
      <c r="BC197" s="5" t="n"/>
      <c r="BD197" s="5" t="n"/>
      <c r="BE197" s="39">
        <f t="array" ref="BE197">MIN(100, MAX(0,
  IFERROR(_xlfn.XLOOKUP(AT197,'Lookup Tables'!$D$2:$D$6,'Lookup Tables'!$E$2:$E$6,0),0)
  + IFERROR(_xlfn.XLOOKUP(AV197,'Lookup Tables'!$G$2:$G$5,'Lookup Tables'!$H$2:$H$5,0),0)
  + IFERROR(_xlfn.XLOOKUP(AW197,'Lookup Tables'!$J$2:$J$5,'Lookup Tables'!$K$2:$K$5,0),0)
  + _xlfn.IFS(AX197="No Issues",10, AX197="Complaint Filed",3, AX197="Confirmed Breach",-15, TRUE,0)
  + IFERROR(_xlfn.XLOOKUP(AY197,'Lookup Tables'!$M$2:$M$6,'Lookup Tables'!$N$2:$N$6,0),0)
  + IFERROR(_xlfn.XLOOKUP(AZ197,'Lookup Tables'!$P$2:$P$6,'Lookup Tables'!$Q$2:$Q$6,0),0)
  + _xlfn.IFS(BA197="Formal Board Committee",5, BA197="Board Oversight Mentioned",2, TRUE,0)
  + _xlfn.IFS(BB197="Yes — Quantified Targets",5, BB197="Yes — Discretionary Only",2, TRUE,0)
  + _xlfn.IFS(BC197="Reasonable Assurance",5, BC197="Limited Assurance",3, BC197="Management Review Only",1, TRUE,0)
))</f>
        <v/>
      </c>
      <c r="BF197" s="5" t="n"/>
      <c r="BG197" s="5" t="n"/>
      <c r="BH197" s="5" t="n"/>
      <c r="BI197" s="5" t="n"/>
      <c r="BJ197" s="5" t="n"/>
      <c r="BK197" s="5" t="n"/>
      <c r="BL197" s="5" t="n"/>
      <c r="BM197" s="5" t="n"/>
      <c r="BN197" s="5" t="n"/>
      <c r="BO197" s="5" t="n"/>
      <c r="BP197" s="5" t="n"/>
      <c r="BQ197" s="5" t="n"/>
      <c r="BR197" s="5" t="n"/>
      <c r="BS197" s="41">
        <f t="array" ref="BS197">MIN(100, MAX(0,
  IFERROR(_xlfn.XLOOKUP(BG197,'Lookup Tables'!$A$11:$A$16,'Lookup Tables'!$B$11:$B$16,0),0)
  + IFERROR(_xlfn.XLOOKUP(BR197,'Lookup Tables'!$M$11:$M$14,'Lookup Tables'!$N$11:$N$14,0),0)
  + IFERROR(_xlfn.XLOOKUP(BQ197,'Lookup Tables'!$J$11:$J$15,'Lookup Tables'!$K$11:$K$15,0),0)
  + IFERROR(_xlfn.XLOOKUP(BH197,'Lookup Tables'!$D$11:$D$15,'Lookup Tables'!$E$11:$E$15,0),0)
  + IFERROR(_xlfn.XLOOKUP(BJ197,'Lookup Tables'!$G$11:$G$16,'Lookup Tables'!$H$11:$H$16,0),0)
  + IFERROR(_xlfn.XLOOKUP(BN197,'Lookup Tables'!$P$11:$P$15,'Lookup Tables'!$Q$11:$Q$15,0),0)
  + _xlfn.IFS(BM197="No Evidence",10, BM197="Unknown",3, BM197="Likely",0, BM197="Confirmed",-10, TRUE,3)
  + IFERROR(_xlfn.XLOOKUP(BP197,'Lookup Tables'!$J$21:$J$24,'Lookup Tables'!$K$21:$K$24,0),0)
))</f>
        <v/>
      </c>
      <c r="BT197" s="5" t="n"/>
      <c r="BU197" s="5" t="n"/>
      <c r="BV197" s="5" t="n"/>
      <c r="BW197" s="5" t="n"/>
      <c r="BX197" s="5" t="n"/>
      <c r="BY197" s="5" t="n"/>
      <c r="BZ197" s="5" t="n"/>
      <c r="CA197" s="5" t="n"/>
      <c r="CB197" s="5" t="n"/>
      <c r="CC197" s="5" t="n"/>
      <c r="CD197" s="5" t="n"/>
      <c r="CE197" s="43">
        <f t="array" ref="CE197">MIN(100, MAX(0,
  IF(ISNUMBER(BV197)*AND(BV197&gt;0), 10, 0)
  + _xlfn.IFS(BY197="Independently Verified",25, BY197="Yes",15, TRUE,0)
  + IFERROR(_xlfn.XLOOKUP(BZ197,'Lookup Tables'!$A$21:$A$24,'Lookup Tables'!$B$21:$B$24,0),0)
  + IFERROR(_xlfn.XLOOKUP(CA197,'Lookup Tables'!$D$21:$D$24,'Lookup Tables'!$E$21:$E$24,0),0)
  + _xlfn.IFS(ISNUMBER(CB197)*AND(CB197&gt;=11),15, ISNUMBER(CB197)*AND(CB197&gt;=6),10, ISNUMBER(CB197)*AND(CB197&gt;=1),5, TRUE,0)
  + IFERROR(_xlfn.XLOOKUP(CC197,'Lookup Tables'!$G$21:$G$25,'Lookup Tables'!$H$21:$H$25,0),0)
  - IF(ISNUMBER(BW197)*AND(ISNUMBER(BV197))*AND(BW197&gt;BV197), 20, 0)
  - IF(AND(BY197="Yes", ISNUMBER(BW197), BW197&gt;60), 10, 0)
))</f>
        <v/>
      </c>
      <c r="CF197" s="5" t="n"/>
      <c r="CG197" s="5" t="inlineStr">
        <is>
          <t>aim to achieve net zero emissions by 2050</t>
        </is>
      </c>
      <c r="CH197" s="5" t="inlineStr">
        <is>
          <t>3695.ar.en.2025.pdf</t>
        </is>
      </c>
      <c r="CI197" s="5" t="n">
        <v>65</v>
      </c>
      <c r="CJ197" s="5" t="inlineStr">
        <is>
          <t>PASS</t>
        </is>
      </c>
      <c r="CK197" s="5" t="inlineStr">
        <is>
          <t>PARTIAL</t>
        </is>
      </c>
      <c r="CL197" s="5" t="inlineStr">
        <is>
          <t>PASS</t>
        </is>
      </c>
      <c r="CM197" s="5" t="inlineStr">
        <is>
          <t>PARTIAL</t>
        </is>
      </c>
      <c r="CN197" s="5" t="inlineStr">
        <is>
          <t>PARTIAL</t>
        </is>
      </c>
      <c r="CO197" s="5" t="inlineStr">
        <is>
          <t>PASS</t>
        </is>
      </c>
      <c r="CP197" s="5" t="inlineStr">
        <is>
          <t>PARTIAL</t>
        </is>
      </c>
      <c r="CQ197" s="5" t="inlineStr">
        <is>
          <t>PASS</t>
        </is>
      </c>
      <c r="CR197" s="5">
        <f>COUNTIF(CJ197:CQ197,"FAIL")</f>
        <v/>
      </c>
      <c r="CS197" s="5">
        <f>COUNTIF(CJ197:CQ197,"PARTIAL")</f>
        <v/>
      </c>
      <c r="CT197" s="5">
        <f>COUNTIF(CJ197:CQ197,"MISSING")</f>
        <v/>
      </c>
      <c r="CU197" s="5">
        <f>MIN(100,
  CR197*15
  + CS197*6
  + CT197*3
  + IFERROR(_xlfn.XLOOKUP(CW197,'Lookup Tables'!$M$21:$M$25,'Lookup Tables'!$N$21:$N$25,0),0)
)</f>
        <v/>
      </c>
      <c r="CV197" s="5">
        <f>IFERROR(
CHOOSE(
MATCH("FAIL",CJ197:CQ197,0),
"1-Specificity","2-Metric","3-Baseline","4-Target",
"5-Time Horizon","6-Scope","7-Verification","8-Consistency"
),
IFERROR(
CHOOSE(
MATCH("PARTIAL",CJ197:CQ197,0),
"1-Specificity","2-Metric","3-Baseline","4-Target",
"5-Time Horizon","6-Scope","7-Verification","8-Consistency"
),
"No failures"
)
)</f>
        <v/>
      </c>
      <c r="CW197" s="5" t="n"/>
      <c r="CX197" s="5" t="n"/>
      <c r="CY197" s="5" t="n"/>
      <c r="CZ197" s="5" t="n"/>
      <c r="DA197" s="5">
        <f>IF(OR(CU197&gt;=50,CW197="Material",CW197="Severe",AS197="Material",AS197="Severe",BF197="Material",BF197="Severe — Exclusion Trigger",AND(ISNUMBER(BS197),BS197&lt;30)),"Yes","No")</f>
        <v/>
      </c>
      <c r="DB197" s="5">
        <f>IF(OR(CR197&gt;=6,AW197="Confirmed Violation",AX197="Confirmed Breach"),"Yes — Automatic",IF(CW197="Severe","Yes — Requires Captain Confirmation","No"))</f>
        <v/>
      </c>
      <c r="DC197" s="5" t="inlineStr">
        <is>
          <t>aim to achieve net zero emissions by 2050</t>
        </is>
      </c>
      <c r="DD197" s="5" t="inlineStr">
        <is>
          <t>3695.ar.en.2025.pdf</t>
        </is>
      </c>
      <c r="DE197" s="5" t="n">
        <v>65</v>
      </c>
      <c r="DF197" s="5" t="n">
        <v>4</v>
      </c>
      <c r="DG197" s="5" t="n">
        <v>4</v>
      </c>
      <c r="DH197" s="5" t="inlineStr">
        <is>
          <t>PENDING</t>
        </is>
      </c>
      <c r="DI197" s="5" t="n"/>
      <c r="DJ197" s="5" t="n"/>
      <c r="DK197" s="5" t="n"/>
      <c r="DL197" s="5">
        <f>IF(OR(IFERROR(VALUE(LEFT(DF197,1)),99)&lt;=2,IFERROR(VALUE(LEFT(DG197,1)),99)&lt;=2),"Flagged","Clear")</f>
        <v/>
      </c>
      <c r="DM197" s="5">
        <f>IF(OR(DA197="Yes",DB197&lt;&gt;"No",DH197="Unverified",DL197="Flagged"),"Yes","No")</f>
        <v/>
      </c>
      <c r="DN197" s="5">
        <f t="array" ref="DN197">MIN(100,
  IF(ISNUMBER(V197), _xlfn.IFS(V197&gt;=3,25, V197=2,15, V197=1,5, TRUE,0), 0)
  + IFERROR(_xlfn.IFS(VALUE(LEFT(DF197,1))=5,25, VALUE(LEFT(DF197,1))=4,20, VALUE(LEFT(DF197,1))=3,15, VALUE(LEFT(DF197,1))=2,8, TRUE,0), 15)
  + IFERROR(_xlfn.IFS(VALUE(LEFT(DG197,1))=5,25, VALUE(LEFT(DG197,1))=4,20, VALUE(LEFT(DG197,1))=3,15, VALUE(LEFT(DG197,1))=2,8, TRUE,0), 15)
  + _xlfn.IFS(DH197="Fully Verified",25, DH197="Partially Verified",12, TRUE,0)
)</f>
        <v/>
      </c>
      <c r="DO197" s="5">
        <f t="array" ref="DO197">_xlfn.IFS(
  ISBLANK(AR197), "Insufficient Evidence",
  AND(AR197&gt;=65, AJ197="Approved"), "Strong",
  AR197&gt;=65, "Adequate",
  AR197&gt;=40, "Adequate",
  AR197&gt;=20, "Weak",
  TRUE, "Insufficient Evidence"
)</f>
        <v/>
      </c>
      <c r="DP197" s="5">
        <f t="array" ref="DP197">_xlfn.IFS(
  ISBLANK(BS197), "Insufficient Evidence",
  BS197&gt;=65, "Strong",
  BS197&gt;=40, "Adequate",
  BS197&gt;=20, "Weak",
  TRUE, "Insufficient Evidence"
)</f>
        <v/>
      </c>
      <c r="DQ197" s="5">
        <f t="array" ref="DQ197">_xlfn.IFS(
  ISBLANK(BE197), "Insufficient Evidence",
  OR(AW197="Confirmed Violation", AX197="Confirmed Breach"), "Severe — Hard Trigger",
  BE197&gt;=65, "Strong",
  BE197&gt;=40, "Adequate",
  BE197&gt;=20, "Weak",
  TRUE, "Insufficient Evidence"
)</f>
        <v/>
      </c>
      <c r="DR197" s="5">
        <f t="array" ref="DR197">_xlfn.IFS(
  ISBLANK(CU197), "Insufficient Evidence",
  CU197&lt;=20, "Low Risk",
  CU197&lt;=50, "Moderate Risk",
  CU197&lt;=75, "High Risk",
  TRUE, "Very High Risk"
)</f>
        <v/>
      </c>
      <c r="DS197" s="5">
        <f t="array" ref="DS197">_xlfn.IFS(
  ISBLANK(CE197), "Insufficient Evidence",
  AND(ISNUMBER(BW197),ISNUMBER(BV197),BW197&gt;BV197), "Overclaiming Risk",
  CE197&gt;=65, "Strong",
  CE197&gt;=40, "Adequate",
  TRUE, "Weak"
)</f>
        <v/>
      </c>
      <c r="DT197" s="5">
        <f>IF(DB197="Yes — Automatic",0,ROUND((IF(ISNUMBER(AR197),AR197,0)*0.3+IF(ISNUMBER(BS197),BS197,0)*0.2+IF(ISNUMBER(BE197),BE197,0)*0.2+IF(ISNUMBER(CE197),CE197,0)*0.15+(100-IF(ISNUMBER(CU197),CU197,50))*0.15)*IF(DN197&gt;=75,1,IF(DN197&gt;=50,0.9,IF(DN197&gt;=25,0.75,0.6))),1))</f>
        <v/>
      </c>
      <c r="DU197" s="5">
        <f t="array" ref="DU197">_xlfn.IFS(
  DV197="Upgraded to Clear", "Clear",
  DV197="Downgraded to Watchlist", "Watchlist",
  DV197="Downgraded to Exclusion", "Exclusion Risk",
  DB197="Yes — Automatic", "Exclusion Risk",
  OR(AW197="Confirmed Violation", AX197="Confirmed Breach"), "Exclusion Risk",
  OR(V197=0, ISBLANK(V197), DN197&lt;20), "Insufficient Evidence",
  AND(DT197&gt;=65, DA197="No", DB197="No"), "Clear",
  OR(DT197&gt;=40, DA197="Yes"), "Watchlist",
  TRUE, "Exclusion Risk"
)</f>
        <v/>
      </c>
      <c r="DV197" s="5" t="n"/>
      <c r="DW197" s="5">
        <f t="array" ref="DW197">_xlfn.IFS(
  DU197="Exclusion Risk", "Exclude — Hard Trigger",
  DU197="Insufficient Evidence", "Watchlist — Further Evidence Needed",
  DU197="Watchlist", "Watchlist — Further Evidence Needed",
  AND(DU197="Clear", DT197&gt;=80), "Include — No Conditions",
  DU197="Clear", "Include — Monitor",
  TRUE, "Watchlist — Further Evidence Needed"
)</f>
        <v/>
      </c>
      <c r="DX197" s="5" t="inlineStr">
        <is>
          <t>Main claim: "aim to achieve net zero emissions by 2050" (3695.ar.en.2025.pdf, p65.0). SBTi: Committed. 8-Test: 4 PARTIAL, 0 FAIL, 0 MISSING -&gt; PASS. Main claim: "aim to achieve net zero emissions by 2050" (3695.ar.en.2025.pdf, p65). SBTi: Committed. 8-Test: 4 PARTIAL, 0 FAIL, 0 MISSING -&gt; PASS. Galenica is mid-transition: a net-zero-2050 commitment and a documented transition plan,...</t>
        </is>
      </c>
      <c r="DY197" s="5" t="n"/>
      <c r="DZ197" s="5" t="n"/>
      <c r="EA197" s="5" t="n"/>
      <c r="EB197" s="5">
        <f>IF(OR(V197=0, ISBLANK(V197)), "MISSING — No sources reviewed", "")</f>
        <v/>
      </c>
      <c r="EC197" s="5">
        <f>IF(AND(NOT(ISBLANK(DC197)), ISBLANK(DE197)), "PAGE REF MISSING", "")</f>
        <v/>
      </c>
    </row>
    <row r="198" ht="18" customHeight="1" s="60">
      <c r="A198" s="5" t="inlineStr">
        <is>
          <t>AIB Group plc</t>
        </is>
      </c>
      <c r="B198" s="5" t="inlineStr">
        <is>
          <t>A5G</t>
        </is>
      </c>
      <c r="C198" s="5" t="inlineStr">
        <is>
          <t>IE00BF0L3536</t>
        </is>
      </c>
      <c r="D198" s="5" t="n"/>
      <c r="E198" s="5" t="n"/>
      <c r="F198" s="5">
        <f>IF(ISBLANK('Universe Tracker'!F173),"",'Universe Tracker'!F173)</f>
        <v/>
      </c>
      <c r="G198" s="5">
        <f>IF(ISBLANK('Universe Tracker'!G173),"",'Universe Tracker'!G173)</f>
        <v/>
      </c>
      <c r="H198" s="5" t="n"/>
      <c r="I198" s="5" t="n"/>
      <c r="J198" s="5">
        <f>IF(ISBLANK(B198),"",B198&amp;"_"&amp;C198)</f>
        <v/>
      </c>
      <c r="K198" s="5" t="n"/>
      <c r="L198" s="5" t="n"/>
      <c r="M198" s="5" t="n"/>
      <c r="N198" s="5" t="n"/>
      <c r="O198" s="5" t="inlineStr">
        <is>
          <t>Yes</t>
        </is>
      </c>
      <c r="P198" s="5" t="inlineStr">
        <is>
          <t>Yes</t>
        </is>
      </c>
      <c r="Q198" s="5" t="n"/>
      <c r="R198" s="5" t="n"/>
      <c r="S198" s="5" t="n"/>
      <c r="T198" s="5" t="n"/>
      <c r="U198" s="5" t="n"/>
      <c r="V198" s="5" t="n"/>
      <c r="W198" s="5" t="n"/>
      <c r="X198" s="5" t="n"/>
      <c r="Y198" s="5">
        <f>IF(AND(V198&gt;=2,K198="Yes",L198="Yes"),"Sufficient",IF(AND(V198&gt;=1,OR(K198="Yes",L198="Yes")),"Thin","Insufficient"))</f>
        <v/>
      </c>
      <c r="Z198" s="5" t="n"/>
      <c r="AA198" s="5" t="n"/>
      <c r="AB198" s="5" t="n"/>
      <c r="AC198" s="5" t="n"/>
      <c r="AD198" s="5" t="n"/>
      <c r="AE198" s="5" t="n"/>
      <c r="AF198" s="5" t="n"/>
      <c r="AG198" s="5" t="n"/>
      <c r="AH198" s="5" t="n"/>
      <c r="AI198" s="5" t="n"/>
      <c r="AJ198" s="5" t="inlineStr">
        <is>
          <t>Targets set (1.5°C)</t>
        </is>
      </c>
      <c r="AK198" s="5" t="inlineStr">
        <is>
          <t>2026</t>
        </is>
      </c>
      <c r="AL198" s="5" t="n"/>
      <c r="AM198" s="5" t="n"/>
      <c r="AN198" s="5" t="n"/>
      <c r="AO198" s="5" t="n"/>
      <c r="AP198" s="5" t="n"/>
      <c r="AQ198" s="5" t="n"/>
      <c r="AR198" s="40">
        <f t="array" ref="AR198">MIN(100, MAX(0,
  IFERROR(_xlfn.XLOOKUP(AJ198,'Lookup Tables'!$A$2:$A$7,'Lookup Tables'!$B$2:$B$7,0),0)
  + IF(Z198="Yes", IF(IFERROR(_xlfn.XLOOKUP(AJ198,'Lookup Tables'!$A$2:$A$7,'Lookup Tables'!$B$2:$B$7,0),0)&lt;20, 5, 0), 0)
  + _xlfn.IFS(AB198="Yes", IF(ISNUMBER(AC198)*AND(AC198&lt;=2030),15,10), AB198="Long-term Only", 5, AB198="No", 0, TRUE, 0)
  + _xlfn.IFS(AF198="Full",10, AF198="Partial",5, AF198="Scope 2 Only",3, TRUE,0)
  + _xlfn.IFS(AG198="Yes", IF(ISNUMBER(AH198)*AND(AH198&gt;=5),10,6), AG198="Partial",4, TRUE,0)
  + _xlfn.IFS(AI198="Yes",5, AI198="Partial (material categories only)",3, TRUE,0)
  + _xlfn.IFS(AL198="Yes — Detailed",10, AL198="Yes — High Level",5, TRUE,0)
  + _xlfn.IFS(AM198="Yes — Quantified",15, AM198="Yes — Directional Only",7, TRUE,0)
  + _xlfn.IFS(AP198="Formal",5, AP198="Referenced",2, TRUE,0)
  + _xlfn.IFS(AQ198="No Issues Found",5, AQ198="Concern Identified",-5, AQ198="Severe Contradiction",-15, TRUE,0)
  + _xlfn.IFS(BC198="Reasonable Assurance",5, BC198="Limited Assurance",3, TRUE,0)
  - IF(AND(Z198="Yes", AI198="No"), 10, 0)
  - IF(AND(Z198="Yes", AM198="No"), 10, 0)
))</f>
        <v/>
      </c>
      <c r="AS198" s="5" t="n"/>
      <c r="AT198" s="5" t="n"/>
      <c r="AU198" s="5" t="n"/>
      <c r="AV198" s="5" t="n"/>
      <c r="AW198" s="5" t="n"/>
      <c r="AX198" s="5" t="n"/>
      <c r="AY198" s="5" t="n"/>
      <c r="AZ198" s="5" t="n"/>
      <c r="BA198" s="5" t="n"/>
      <c r="BB198" s="5" t="n"/>
      <c r="BC198" s="5" t="n"/>
      <c r="BD198" s="5" t="n"/>
      <c r="BE198" s="39">
        <f t="array" ref="BE198">MIN(100, MAX(0,
  IFERROR(_xlfn.XLOOKUP(AT198,'Lookup Tables'!$D$2:$D$6,'Lookup Tables'!$E$2:$E$6,0),0)
  + IFERROR(_xlfn.XLOOKUP(AV198,'Lookup Tables'!$G$2:$G$5,'Lookup Tables'!$H$2:$H$5,0),0)
  + IFERROR(_xlfn.XLOOKUP(AW198,'Lookup Tables'!$J$2:$J$5,'Lookup Tables'!$K$2:$K$5,0),0)
  + _xlfn.IFS(AX198="No Issues",10, AX198="Complaint Filed",3, AX198="Confirmed Breach",-15, TRUE,0)
  + IFERROR(_xlfn.XLOOKUP(AY198,'Lookup Tables'!$M$2:$M$6,'Lookup Tables'!$N$2:$N$6,0),0)
  + IFERROR(_xlfn.XLOOKUP(AZ198,'Lookup Tables'!$P$2:$P$6,'Lookup Tables'!$Q$2:$Q$6,0),0)
  + _xlfn.IFS(BA198="Formal Board Committee",5, BA198="Board Oversight Mentioned",2, TRUE,0)
  + _xlfn.IFS(BB198="Yes — Quantified Targets",5, BB198="Yes — Discretionary Only",2, TRUE,0)
  + _xlfn.IFS(BC198="Reasonable Assurance",5, BC198="Limited Assurance",3, BC198="Management Review Only",1, TRUE,0)
))</f>
        <v/>
      </c>
      <c r="BF198" s="5" t="n"/>
      <c r="BG198" s="5" t="n"/>
      <c r="BH198" s="5" t="n"/>
      <c r="BI198" s="5" t="n"/>
      <c r="BJ198" s="5" t="n"/>
      <c r="BK198" s="5" t="n"/>
      <c r="BL198" s="5" t="n"/>
      <c r="BM198" s="5" t="n"/>
      <c r="BN198" s="5" t="n"/>
      <c r="BO198" s="5" t="n"/>
      <c r="BP198" s="5" t="n"/>
      <c r="BQ198" s="5" t="n"/>
      <c r="BR198" s="5" t="n"/>
      <c r="BS198" s="41">
        <f t="array" ref="BS198">MIN(100, MAX(0,
  IFERROR(_xlfn.XLOOKUP(BG198,'Lookup Tables'!$A$11:$A$16,'Lookup Tables'!$B$11:$B$16,0),0)
  + IFERROR(_xlfn.XLOOKUP(BR198,'Lookup Tables'!$M$11:$M$14,'Lookup Tables'!$N$11:$N$14,0),0)
  + IFERROR(_xlfn.XLOOKUP(BQ198,'Lookup Tables'!$J$11:$J$15,'Lookup Tables'!$K$11:$K$15,0),0)
  + IFERROR(_xlfn.XLOOKUP(BH198,'Lookup Tables'!$D$11:$D$15,'Lookup Tables'!$E$11:$E$15,0),0)
  + IFERROR(_xlfn.XLOOKUP(BJ198,'Lookup Tables'!$G$11:$G$16,'Lookup Tables'!$H$11:$H$16,0),0)
  + IFERROR(_xlfn.XLOOKUP(BN198,'Lookup Tables'!$P$11:$P$15,'Lookup Tables'!$Q$11:$Q$15,0),0)
  + _xlfn.IFS(BM198="No Evidence",10, BM198="Unknown",3, BM198="Likely",0, BM198="Confirmed",-10, TRUE,3)
  + IFERROR(_xlfn.XLOOKUP(BP198,'Lookup Tables'!$J$21:$J$24,'Lookup Tables'!$K$21:$K$24,0),0)
))</f>
        <v/>
      </c>
      <c r="BT198" s="5" t="n"/>
      <c r="BU198" s="5" t="n"/>
      <c r="BV198" s="5" t="n"/>
      <c r="BW198" s="5" t="n"/>
      <c r="BX198" s="5" t="n"/>
      <c r="BY198" s="5" t="n"/>
      <c r="BZ198" s="5" t="n"/>
      <c r="CA198" s="5" t="n"/>
      <c r="CB198" s="5" t="n"/>
      <c r="CC198" s="5" t="n"/>
      <c r="CD198" s="5" t="n"/>
      <c r="CE198" s="43">
        <f t="array" ref="CE198">MIN(100, MAX(0,
  IF(ISNUMBER(BV198)*AND(BV198&gt;0), 10, 0)
  + _xlfn.IFS(BY198="Independently Verified",25, BY198="Yes",15, TRUE,0)
  + IFERROR(_xlfn.XLOOKUP(BZ198,'Lookup Tables'!$A$21:$A$24,'Lookup Tables'!$B$21:$B$24,0),0)
  + IFERROR(_xlfn.XLOOKUP(CA198,'Lookup Tables'!$D$21:$D$24,'Lookup Tables'!$E$21:$E$24,0),0)
  + _xlfn.IFS(ISNUMBER(CB198)*AND(CB198&gt;=11),15, ISNUMBER(CB198)*AND(CB198&gt;=6),10, ISNUMBER(CB198)*AND(CB198&gt;=1),5, TRUE,0)
  + IFERROR(_xlfn.XLOOKUP(CC198,'Lookup Tables'!$G$21:$G$25,'Lookup Tables'!$H$21:$H$25,0),0)
  - IF(ISNUMBER(BW198)*AND(ISNUMBER(BV198))*AND(BW198&gt;BV198), 20, 0)
  - IF(AND(BY198="Yes", ISNUMBER(BW198), BW198&gt;60), 10, 0)
))</f>
        <v/>
      </c>
      <c r="CF198" s="5" t="n"/>
      <c r="CG198" s="5" t="inlineStr">
        <is>
          <t>Commitment to decarbonise our own operations by 2030 and our customer [lending portfolio by 2050]</t>
        </is>
      </c>
      <c r="CH198" s="5" t="inlineStr">
        <is>
          <t>aib-climate-transition-plan-final.pdf</t>
        </is>
      </c>
      <c r="CI198" s="5" t="n">
        <v>6</v>
      </c>
      <c r="CJ198" s="5" t="inlineStr">
        <is>
          <t>PASS</t>
        </is>
      </c>
      <c r="CK198" s="5" t="inlineStr">
        <is>
          <t>PASS</t>
        </is>
      </c>
      <c r="CL198" s="5" t="inlineStr">
        <is>
          <t>PASS</t>
        </is>
      </c>
      <c r="CM198" s="5" t="inlineStr">
        <is>
          <t>PASS</t>
        </is>
      </c>
      <c r="CN198" s="5" t="inlineStr">
        <is>
          <t>PASS</t>
        </is>
      </c>
      <c r="CO198" s="5" t="inlineStr">
        <is>
          <t>PASS</t>
        </is>
      </c>
      <c r="CP198" s="5" t="inlineStr">
        <is>
          <t>PASS</t>
        </is>
      </c>
      <c r="CQ198" s="5" t="inlineStr">
        <is>
          <t>PASS</t>
        </is>
      </c>
      <c r="CR198" s="5">
        <f>COUNTIF(CJ198:CQ198,"FAIL")</f>
        <v/>
      </c>
      <c r="CS198" s="5">
        <f>COUNTIF(CJ198:CQ198,"PARTIAL")</f>
        <v/>
      </c>
      <c r="CT198" s="5">
        <f>COUNTIF(CJ198:CQ198,"MISSING")</f>
        <v/>
      </c>
      <c r="CU198" s="5">
        <f>MIN(100,
  CR198*15
  + CS198*6
  + CT198*3
  + IFERROR(_xlfn.XLOOKUP(CW198,'Lookup Tables'!$M$21:$M$25,'Lookup Tables'!$N$21:$N$25,0),0)
)</f>
        <v/>
      </c>
      <c r="CV198" s="5">
        <f>IFERROR(
CHOOSE(
MATCH("FAIL",CJ198:CQ198,0),
"1-Specificity","2-Metric","3-Baseline","4-Target",
"5-Time Horizon","6-Scope","7-Verification","8-Consistency"
),
IFERROR(
CHOOSE(
MATCH("PARTIAL",CJ198:CQ198,0),
"1-Specificity","2-Metric","3-Baseline","4-Target",
"5-Time Horizon","6-Scope","7-Verification","8-Consistency"
),
"No failures"
)
)</f>
        <v/>
      </c>
      <c r="CW198" s="5" t="n"/>
      <c r="CX198" s="5" t="n"/>
      <c r="CY198" s="5" t="n"/>
      <c r="CZ198" s="5" t="n"/>
      <c r="DA198" s="5">
        <f>IF(OR(CU198&gt;=50,CW198="Material",CW198="Severe",AS198="Material",AS198="Severe",BF198="Material",BF198="Severe — Exclusion Trigger",AND(ISNUMBER(BS198),BS198&lt;30)),"Yes","No")</f>
        <v/>
      </c>
      <c r="DB198" s="5">
        <f>IF(OR(CR198&gt;=6,AW198="Confirmed Violation",AX198="Confirmed Breach"),"Yes — Automatic",IF(CW198="Severe","Yes — Requires Captain Confirmation","No"))</f>
        <v/>
      </c>
      <c r="DC198" s="5" t="inlineStr">
        <is>
          <t>Commitment to decarbonise our own operations by 2030 and our customer [lending portfolio by 2050]</t>
        </is>
      </c>
      <c r="DD198" s="5" t="inlineStr">
        <is>
          <t>aib-climate-transition-plan-final.pdf</t>
        </is>
      </c>
      <c r="DE198" s="5" t="n">
        <v>6</v>
      </c>
      <c r="DF198" s="5" t="n">
        <v>4</v>
      </c>
      <c r="DG198" s="5" t="n">
        <v>4</v>
      </c>
      <c r="DH198" s="5" t="inlineStr">
        <is>
          <t>PENDING</t>
        </is>
      </c>
      <c r="DI198" s="5" t="n"/>
      <c r="DJ198" s="5" t="n"/>
      <c r="DK198" s="5" t="n"/>
      <c r="DL198" s="5">
        <f>IF(OR(IFERROR(VALUE(LEFT(DF198,1)),99)&lt;=2,IFERROR(VALUE(LEFT(DG198,1)),99)&lt;=2),"Flagged","Clear")</f>
        <v/>
      </c>
      <c r="DM198" s="5">
        <f>IF(OR(DA198="Yes",DB198&lt;&gt;"No",DH198="Unverified",DL198="Flagged"),"Yes","No")</f>
        <v/>
      </c>
      <c r="DN198" s="5">
        <f t="array" ref="DN198">MIN(100,
  IF(ISNUMBER(V198), _xlfn.IFS(V198&gt;=3,25, V198=2,15, V198=1,5, TRUE,0), 0)
  + IFERROR(_xlfn.IFS(VALUE(LEFT(DF198,1))=5,25, VALUE(LEFT(DF198,1))=4,20, VALUE(LEFT(DF198,1))=3,15, VALUE(LEFT(DF198,1))=2,8, TRUE,0), 15)
  + IFERROR(_xlfn.IFS(VALUE(LEFT(DG198,1))=5,25, VALUE(LEFT(DG198,1))=4,20, VALUE(LEFT(DG198,1))=3,15, VALUE(LEFT(DG198,1))=2,8, TRUE,0), 15)
  + _xlfn.IFS(DH198="Fully Verified",25, DH198="Partially Verified",12, TRUE,0)
)</f>
        <v/>
      </c>
      <c r="DO198" s="5">
        <f t="array" ref="DO198">_xlfn.IFS(
  ISBLANK(AR198), "Insufficient Evidence",
  AND(AR198&gt;=65, AJ198="Approved"), "Strong",
  AR198&gt;=65, "Adequate",
  AR198&gt;=40, "Adequate",
  AR198&gt;=20, "Weak",
  TRUE, "Insufficient Evidence"
)</f>
        <v/>
      </c>
      <c r="DP198" s="5">
        <f t="array" ref="DP198">_xlfn.IFS(
  ISBLANK(BS198), "Insufficient Evidence",
  BS198&gt;=65, "Strong",
  BS198&gt;=40, "Adequate",
  BS198&gt;=20, "Weak",
  TRUE, "Insufficient Evidence"
)</f>
        <v/>
      </c>
      <c r="DQ198" s="5">
        <f t="array" ref="DQ198">_xlfn.IFS(
  ISBLANK(BE198), "Insufficient Evidence",
  OR(AW198="Confirmed Violation", AX198="Confirmed Breach"), "Severe — Hard Trigger",
  BE198&gt;=65, "Strong",
  BE198&gt;=40, "Adequate",
  BE198&gt;=20, "Weak",
  TRUE, "Insufficient Evidence"
)</f>
        <v/>
      </c>
      <c r="DR198" s="5">
        <f t="array" ref="DR198">_xlfn.IFS(
  ISBLANK(CU198), "Insufficient Evidence",
  CU198&lt;=20, "Low Risk",
  CU198&lt;=50, "Moderate Risk",
  CU198&lt;=75, "High Risk",
  TRUE, "Very High Risk"
)</f>
        <v/>
      </c>
      <c r="DS198" s="5">
        <f t="array" ref="DS198">_xlfn.IFS(
  ISBLANK(CE198), "Insufficient Evidence",
  AND(ISNUMBER(BW198),ISNUMBER(BV198),BW198&gt;BV198), "Overclaiming Risk",
  CE198&gt;=65, "Strong",
  CE198&gt;=40, "Adequate",
  TRUE, "Weak"
)</f>
        <v/>
      </c>
      <c r="DT198" s="5">
        <f>IF(DB198="Yes — Automatic",0,ROUND((IF(ISNUMBER(AR198),AR198,0)*0.3+IF(ISNUMBER(BS198),BS198,0)*0.2+IF(ISNUMBER(BE198),BE198,0)*0.2+IF(ISNUMBER(CE198),CE198,0)*0.15+(100-IF(ISNUMBER(CU198),CU198,50))*0.15)*IF(DN198&gt;=75,1,IF(DN198&gt;=50,0.9,IF(DN198&gt;=25,0.75,0.6))),1))</f>
        <v/>
      </c>
      <c r="DU198" s="5">
        <f t="array" ref="DU198">_xlfn.IFS(
  DV198="Upgraded to Clear", "Clear",
  DV198="Downgraded to Watchlist", "Watchlist",
  DV198="Downgraded to Exclusion", "Exclusion Risk",
  DB198="Yes — Automatic", "Exclusion Risk",
  OR(AW198="Confirmed Violation", AX198="Confirmed Breach"), "Exclusion Risk",
  OR(V198=0, ISBLANK(V198), DN198&lt;20), "Insufficient Evidence",
  AND(DT198&gt;=65, DA198="No", DB198="No"), "Clear",
  OR(DT198&gt;=40, DA198="Yes"), "Watchlist",
  TRUE, "Exclusion Risk"
)</f>
        <v/>
      </c>
      <c r="DV198" s="5" t="n"/>
      <c r="DW198" s="5">
        <f t="array" ref="DW198">_xlfn.IFS(
  DU198="Exclusion Risk", "Exclude — Hard Trigger",
  DU198="Insufficient Evidence", "Watchlist — Further Evidence Needed",
  DU198="Watchlist", "Watchlist — Further Evidence Needed",
  AND(DU198="Clear", DT198&gt;=80), "Include — No Conditions",
  DU198="Clear", "Include — Monitor",
  TRUE, "Watchlist — Further Evidence Needed"
)</f>
        <v/>
      </c>
      <c r="DX198" s="5" t="inlineStr">
        <is>
          <t>Main claim: "Commitment to decarbonise our own operations by 2030 and our customer [lending portfolio by 2050]" (aib-climate-transition-plan-final.pdf, p6.0). SBTi: Targets set, 1.5°C near-term target (2026). 8-Test: 0 PARTIAL, 0 FAIL, 0 MISSING -&gt; PASS. Main claim: "Commitment to decarbonise our own operations by 2030 and our customer [lending portfolio by 2050]" (aib-climate-transition-plan-final.pdf, p6). SBTi: Targets set, 1.5°C near-term target (2026). 8-Test: 0 PARTIAL, 0 FAIL, 0...</t>
        </is>
      </c>
      <c r="DY198" s="5" t="n"/>
      <c r="DZ198" s="5" t="n"/>
      <c r="EA198" s="5" t="n"/>
      <c r="EB198" s="5">
        <f>IF(OR(V198=0, ISBLANK(V198)), "MISSING — No sources reviewed", "")</f>
        <v/>
      </c>
      <c r="EC198" s="5">
        <f>IF(AND(NOT(ISBLANK(DC198)), ISBLANK(DE198)), "PAGE REF MISSING", "")</f>
        <v/>
      </c>
    </row>
    <row r="199" ht="18" customHeight="1" s="60">
      <c r="A199" s="5" t="inlineStr">
        <is>
          <t>Aegon Ltd.</t>
        </is>
      </c>
      <c r="B199" s="5" t="inlineStr">
        <is>
          <t>AGN</t>
        </is>
      </c>
      <c r="C199" s="5" t="inlineStr">
        <is>
          <t>NL0000303709</t>
        </is>
      </c>
      <c r="D199" s="5" t="n"/>
      <c r="E199" s="5" t="n"/>
      <c r="F199" s="5">
        <f>IF(ISBLANK('Universe Tracker'!F174),"",'Universe Tracker'!F174)</f>
        <v/>
      </c>
      <c r="G199" s="5">
        <f>IF(ISBLANK('Universe Tracker'!G174),"",'Universe Tracker'!G174)</f>
        <v/>
      </c>
      <c r="H199" s="5" t="n"/>
      <c r="I199" s="5" t="n"/>
      <c r="J199" s="5">
        <f>IF(ISBLANK(B199),"",B199&amp;"_"&amp;C199)</f>
        <v/>
      </c>
      <c r="K199" s="5" t="n"/>
      <c r="L199" s="5" t="n"/>
      <c r="M199" s="5" t="n"/>
      <c r="N199" s="5" t="n"/>
      <c r="O199" s="5" t="inlineStr">
        <is>
          <t>Yes</t>
        </is>
      </c>
      <c r="P199" s="5" t="inlineStr">
        <is>
          <t>Yes</t>
        </is>
      </c>
      <c r="Q199" s="5" t="n"/>
      <c r="R199" s="5" t="n"/>
      <c r="S199" s="5" t="n"/>
      <c r="T199" s="5" t="n"/>
      <c r="U199" s="5" t="n"/>
      <c r="V199" s="5" t="n"/>
      <c r="W199" s="5" t="n"/>
      <c r="X199" s="5" t="n"/>
      <c r="Y199" s="5">
        <f>IF(AND(V199&gt;=2,K199="Yes",L199="Yes"),"Sufficient",IF(AND(V199&gt;=1,OR(K199="Yes",L199="Yes")),"Thin","Insufficient"))</f>
        <v/>
      </c>
      <c r="Z199" s="5" t="n"/>
      <c r="AA199" s="5" t="n"/>
      <c r="AB199" s="5" t="n"/>
      <c r="AC199" s="5" t="n"/>
      <c r="AD199" s="5" t="n"/>
      <c r="AE199" s="5" t="n"/>
      <c r="AF199" s="5" t="n"/>
      <c r="AG199" s="5" t="n"/>
      <c r="AH199" s="5" t="n"/>
      <c r="AI199" s="5" t="n"/>
      <c r="AJ199" s="5" t="inlineStr">
        <is>
          <t>Commitment removed</t>
        </is>
      </c>
      <c r="AK199" s="5" t="inlineStr"/>
      <c r="AL199" s="5" t="n"/>
      <c r="AM199" s="5" t="n"/>
      <c r="AN199" s="5" t="n"/>
      <c r="AO199" s="5" t="n"/>
      <c r="AP199" s="5" t="n"/>
      <c r="AQ199" s="5" t="n"/>
      <c r="AR199" s="40">
        <f t="array" ref="AR199">MIN(100, MAX(0,
  IFERROR(_xlfn.XLOOKUP(AJ199,'Lookup Tables'!$A$2:$A$7,'Lookup Tables'!$B$2:$B$7,0),0)
  + IF(Z199="Yes", IF(IFERROR(_xlfn.XLOOKUP(AJ199,'Lookup Tables'!$A$2:$A$7,'Lookup Tables'!$B$2:$B$7,0),0)&lt;20, 5, 0), 0)
  + _xlfn.IFS(AB199="Yes", IF(ISNUMBER(AC199)*AND(AC199&lt;=2030),15,10), AB199="Long-term Only", 5, AB199="No", 0, TRUE, 0)
  + _xlfn.IFS(AF199="Full",10, AF199="Partial",5, AF199="Scope 2 Only",3, TRUE,0)
  + _xlfn.IFS(AG199="Yes", IF(ISNUMBER(AH199)*AND(AH199&gt;=5),10,6), AG199="Partial",4, TRUE,0)
  + _xlfn.IFS(AI199="Yes",5, AI199="Partial (material categories only)",3, TRUE,0)
  + _xlfn.IFS(AL199="Yes — Detailed",10, AL199="Yes — High Level",5, TRUE,0)
  + _xlfn.IFS(AM199="Yes — Quantified",15, AM199="Yes — Directional Only",7, TRUE,0)
  + _xlfn.IFS(AP199="Formal",5, AP199="Referenced",2, TRUE,0)
  + _xlfn.IFS(AQ199="No Issues Found",5, AQ199="Concern Identified",-5, AQ199="Severe Contradiction",-15, TRUE,0)
  + _xlfn.IFS(BC199="Reasonable Assurance",5, BC199="Limited Assurance",3, TRUE,0)
  - IF(AND(Z199="Yes", AI199="No"), 10, 0)
  - IF(AND(Z199="Yes", AM199="No"), 10, 0)
))</f>
        <v/>
      </c>
      <c r="AS199" s="5" t="n"/>
      <c r="AT199" s="5" t="n"/>
      <c r="AU199" s="5" t="n"/>
      <c r="AV199" s="5" t="n"/>
      <c r="AW199" s="5" t="n"/>
      <c r="AX199" s="5" t="n"/>
      <c r="AY199" s="5" t="n"/>
      <c r="AZ199" s="5" t="n"/>
      <c r="BA199" s="5" t="n"/>
      <c r="BB199" s="5" t="n"/>
      <c r="BC199" s="5" t="n"/>
      <c r="BD199" s="5" t="n"/>
      <c r="BE199" s="39">
        <f t="array" ref="BE199">MIN(100, MAX(0,
  IFERROR(_xlfn.XLOOKUP(AT199,'Lookup Tables'!$D$2:$D$6,'Lookup Tables'!$E$2:$E$6,0),0)
  + IFERROR(_xlfn.XLOOKUP(AV199,'Lookup Tables'!$G$2:$G$5,'Lookup Tables'!$H$2:$H$5,0),0)
  + IFERROR(_xlfn.XLOOKUP(AW199,'Lookup Tables'!$J$2:$J$5,'Lookup Tables'!$K$2:$K$5,0),0)
  + _xlfn.IFS(AX199="No Issues",10, AX199="Complaint Filed",3, AX199="Confirmed Breach",-15, TRUE,0)
  + IFERROR(_xlfn.XLOOKUP(AY199,'Lookup Tables'!$M$2:$M$6,'Lookup Tables'!$N$2:$N$6,0),0)
  + IFERROR(_xlfn.XLOOKUP(AZ199,'Lookup Tables'!$P$2:$P$6,'Lookup Tables'!$Q$2:$Q$6,0),0)
  + _xlfn.IFS(BA199="Formal Board Committee",5, BA199="Board Oversight Mentioned",2, TRUE,0)
  + _xlfn.IFS(BB199="Yes — Quantified Targets",5, BB199="Yes — Discretionary Only",2, TRUE,0)
  + _xlfn.IFS(BC199="Reasonable Assurance",5, BC199="Limited Assurance",3, BC199="Management Review Only",1, TRUE,0)
))</f>
        <v/>
      </c>
      <c r="BF199" s="5" t="n"/>
      <c r="BG199" s="5" t="n"/>
      <c r="BH199" s="5" t="n"/>
      <c r="BI199" s="5" t="n"/>
      <c r="BJ199" s="5" t="n"/>
      <c r="BK199" s="5" t="n"/>
      <c r="BL199" s="5" t="n"/>
      <c r="BM199" s="5" t="n"/>
      <c r="BN199" s="5" t="n"/>
      <c r="BO199" s="5" t="n"/>
      <c r="BP199" s="5" t="n"/>
      <c r="BQ199" s="5" t="n"/>
      <c r="BR199" s="5" t="n"/>
      <c r="BS199" s="41">
        <f t="array" ref="BS199">MIN(100, MAX(0,
  IFERROR(_xlfn.XLOOKUP(BG199,'Lookup Tables'!$A$11:$A$16,'Lookup Tables'!$B$11:$B$16,0),0)
  + IFERROR(_xlfn.XLOOKUP(BR199,'Lookup Tables'!$M$11:$M$14,'Lookup Tables'!$N$11:$N$14,0),0)
  + IFERROR(_xlfn.XLOOKUP(BQ199,'Lookup Tables'!$J$11:$J$15,'Lookup Tables'!$K$11:$K$15,0),0)
  + IFERROR(_xlfn.XLOOKUP(BH199,'Lookup Tables'!$D$11:$D$15,'Lookup Tables'!$E$11:$E$15,0),0)
  + IFERROR(_xlfn.XLOOKUP(BJ199,'Lookup Tables'!$G$11:$G$16,'Lookup Tables'!$H$11:$H$16,0),0)
  + IFERROR(_xlfn.XLOOKUP(BN199,'Lookup Tables'!$P$11:$P$15,'Lookup Tables'!$Q$11:$Q$15,0),0)
  + _xlfn.IFS(BM199="No Evidence",10, BM199="Unknown",3, BM199="Likely",0, BM199="Confirmed",-10, TRUE,3)
  + IFERROR(_xlfn.XLOOKUP(BP199,'Lookup Tables'!$J$21:$J$24,'Lookup Tables'!$K$21:$K$24,0),0)
))</f>
        <v/>
      </c>
      <c r="BT199" s="5" t="n"/>
      <c r="BU199" s="5" t="n"/>
      <c r="BV199" s="5" t="n"/>
      <c r="BW199" s="5" t="n"/>
      <c r="BX199" s="5" t="n"/>
      <c r="BY199" s="5" t="n"/>
      <c r="BZ199" s="5" t="n"/>
      <c r="CA199" s="5" t="n"/>
      <c r="CB199" s="5" t="n"/>
      <c r="CC199" s="5" t="n"/>
      <c r="CD199" s="5" t="n"/>
      <c r="CE199" s="43">
        <f t="array" ref="CE199">MIN(100, MAX(0,
  IF(ISNUMBER(BV199)*AND(BV199&gt;0), 10, 0)
  + _xlfn.IFS(BY199="Independently Verified",25, BY199="Yes",15, TRUE,0)
  + IFERROR(_xlfn.XLOOKUP(BZ199,'Lookup Tables'!$A$21:$A$24,'Lookup Tables'!$B$21:$B$24,0),0)
  + IFERROR(_xlfn.XLOOKUP(CA199,'Lookup Tables'!$D$21:$D$24,'Lookup Tables'!$E$21:$E$24,0),0)
  + _xlfn.IFS(ISNUMBER(CB199)*AND(CB199&gt;=11),15, ISNUMBER(CB199)*AND(CB199&gt;=6),10, ISNUMBER(CB199)*AND(CB199&gt;=1),5, TRUE,0)
  + IFERROR(_xlfn.XLOOKUP(CC199,'Lookup Tables'!$G$21:$G$25,'Lookup Tables'!$H$21:$H$25,0),0)
  - IF(ISNUMBER(BW199)*AND(ISNUMBER(BV199))*AND(BW199&gt;BV199), 20, 0)
  - IF(AND(BY199="Yes", ISNUMBER(BW199), BW199&gt;60), 10, 0)
))</f>
        <v/>
      </c>
      <c r="CF199" s="5" t="n"/>
      <c r="CG199" s="5" t="inlineStr">
        <is>
          <t>the carbon footprint by 30% by 2030 and achieving net-zero</t>
        </is>
      </c>
      <c r="CH199" s="5" t="inlineStr">
        <is>
          <t>aegon-Integrated-annual-report-2025.pdf</t>
        </is>
      </c>
      <c r="CI199" s="5" t="n">
        <v>33</v>
      </c>
      <c r="CJ199" s="5" t="inlineStr">
        <is>
          <t>PASS</t>
        </is>
      </c>
      <c r="CK199" s="5" t="inlineStr">
        <is>
          <t>PASS</t>
        </is>
      </c>
      <c r="CL199" s="5" t="inlineStr">
        <is>
          <t>PASS</t>
        </is>
      </c>
      <c r="CM199" s="5" t="inlineStr">
        <is>
          <t>PARTIAL</t>
        </is>
      </c>
      <c r="CN199" s="5" t="inlineStr">
        <is>
          <t>PASS</t>
        </is>
      </c>
      <c r="CO199" s="5" t="inlineStr">
        <is>
          <t>PASS</t>
        </is>
      </c>
      <c r="CP199" s="5" t="inlineStr">
        <is>
          <t>PARTIAL</t>
        </is>
      </c>
      <c r="CQ199" s="5" t="inlineStr">
        <is>
          <t>PASS</t>
        </is>
      </c>
      <c r="CR199" s="5">
        <f>COUNTIF(CJ199:CQ199,"FAIL")</f>
        <v/>
      </c>
      <c r="CS199" s="5">
        <f>COUNTIF(CJ199:CQ199,"PARTIAL")</f>
        <v/>
      </c>
      <c r="CT199" s="5">
        <f>COUNTIF(CJ199:CQ199,"MISSING")</f>
        <v/>
      </c>
      <c r="CU199" s="5">
        <f>MIN(100,
  CR199*15
  + CS199*6
  + CT199*3
  + IFERROR(_xlfn.XLOOKUP(CW199,'Lookup Tables'!$M$21:$M$25,'Lookup Tables'!$N$21:$N$25,0),0)
)</f>
        <v/>
      </c>
      <c r="CV199" s="5">
        <f>IFERROR(
CHOOSE(
MATCH("FAIL",CJ199:CQ199,0),
"1-Specificity","2-Metric","3-Baseline","4-Target",
"5-Time Horizon","6-Scope","7-Verification","8-Consistency"
),
IFERROR(
CHOOSE(
MATCH("PARTIAL",CJ199:CQ199,0),
"1-Specificity","2-Metric","3-Baseline","4-Target",
"5-Time Horizon","6-Scope","7-Verification","8-Consistency"
),
"No failures"
)
)</f>
        <v/>
      </c>
      <c r="CW199" s="5" t="n"/>
      <c r="CX199" s="5" t="n"/>
      <c r="CY199" s="5" t="n"/>
      <c r="CZ199" s="5" t="n"/>
      <c r="DA199" s="5">
        <f>IF(OR(CU199&gt;=50,CW199="Material",CW199="Severe",AS199="Material",AS199="Severe",BF199="Material",BF199="Severe — Exclusion Trigger",AND(ISNUMBER(BS199),BS199&lt;30)),"Yes","No")</f>
        <v/>
      </c>
      <c r="DB199" s="5">
        <f>IF(OR(CR199&gt;=6,AW199="Confirmed Violation",AX199="Confirmed Breach"),"Yes — Automatic",IF(CW199="Severe","Yes — Requires Captain Confirmation","No"))</f>
        <v/>
      </c>
      <c r="DC199" s="5" t="inlineStr">
        <is>
          <t>the carbon footprint by 30% by 2030 and achieving net-zero</t>
        </is>
      </c>
      <c r="DD199" s="5" t="inlineStr">
        <is>
          <t>aegon-Integrated-annual-report-2025.pdf</t>
        </is>
      </c>
      <c r="DE199" s="5" t="n">
        <v>33</v>
      </c>
      <c r="DF199" s="5" t="n">
        <v>4</v>
      </c>
      <c r="DG199" s="5" t="n">
        <v>4</v>
      </c>
      <c r="DH199" s="5" t="inlineStr">
        <is>
          <t>PENDING</t>
        </is>
      </c>
      <c r="DI199" s="5" t="n"/>
      <c r="DJ199" s="5" t="n"/>
      <c r="DK199" s="5" t="n"/>
      <c r="DL199" s="5">
        <f>IF(OR(IFERROR(VALUE(LEFT(DF199,1)),99)&lt;=2,IFERROR(VALUE(LEFT(DG199,1)),99)&lt;=2),"Flagged","Clear")</f>
        <v/>
      </c>
      <c r="DM199" s="5">
        <f>IF(OR(DA199="Yes",DB199&lt;&gt;"No",DH199="Unverified",DL199="Flagged"),"Yes","No")</f>
        <v/>
      </c>
      <c r="DN199" s="5">
        <f t="array" ref="DN199">MIN(100,
  IF(ISNUMBER(V199), _xlfn.IFS(V199&gt;=3,25, V199=2,15, V199=1,5, TRUE,0), 0)
  + IFERROR(_xlfn.IFS(VALUE(LEFT(DF199,1))=5,25, VALUE(LEFT(DF199,1))=4,20, VALUE(LEFT(DF199,1))=3,15, VALUE(LEFT(DF199,1))=2,8, TRUE,0), 15)
  + IFERROR(_xlfn.IFS(VALUE(LEFT(DG199,1))=5,25, VALUE(LEFT(DG199,1))=4,20, VALUE(LEFT(DG199,1))=3,15, VALUE(LEFT(DG199,1))=2,8, TRUE,0), 15)
  + _xlfn.IFS(DH199="Fully Verified",25, DH199="Partially Verified",12, TRUE,0)
)</f>
        <v/>
      </c>
      <c r="DO199" s="5">
        <f t="array" ref="DO199">_xlfn.IFS(
  ISBLANK(AR199), "Insufficient Evidence",
  AND(AR199&gt;=65, AJ199="Approved"), "Strong",
  AR199&gt;=65, "Adequate",
  AR199&gt;=40, "Adequate",
  AR199&gt;=20, "Weak",
  TRUE, "Insufficient Evidence"
)</f>
        <v/>
      </c>
      <c r="DP199" s="5">
        <f t="array" ref="DP199">_xlfn.IFS(
  ISBLANK(BS199), "Insufficient Evidence",
  BS199&gt;=65, "Strong",
  BS199&gt;=40, "Adequate",
  BS199&gt;=20, "Weak",
  TRUE, "Insufficient Evidence"
)</f>
        <v/>
      </c>
      <c r="DQ199" s="5">
        <f t="array" ref="DQ199">_xlfn.IFS(
  ISBLANK(BE199), "Insufficient Evidence",
  OR(AW199="Confirmed Violation", AX199="Confirmed Breach"), "Severe — Hard Trigger",
  BE199&gt;=65, "Strong",
  BE199&gt;=40, "Adequate",
  BE199&gt;=20, "Weak",
  TRUE, "Insufficient Evidence"
)</f>
        <v/>
      </c>
      <c r="DR199" s="5">
        <f t="array" ref="DR199">_xlfn.IFS(
  ISBLANK(CU199), "Insufficient Evidence",
  CU199&lt;=20, "Low Risk",
  CU199&lt;=50, "Moderate Risk",
  CU199&lt;=75, "High Risk",
  TRUE, "Very High Risk"
)</f>
        <v/>
      </c>
      <c r="DS199" s="5">
        <f t="array" ref="DS199">_xlfn.IFS(
  ISBLANK(CE199), "Insufficient Evidence",
  AND(ISNUMBER(BW199),ISNUMBER(BV199),BW199&gt;BV199), "Overclaiming Risk",
  CE199&gt;=65, "Strong",
  CE199&gt;=40, "Adequate",
  TRUE, "Weak"
)</f>
        <v/>
      </c>
      <c r="DT199" s="5">
        <f>IF(DB199="Yes — Automatic",0,ROUND((IF(ISNUMBER(AR199),AR199,0)*0.3+IF(ISNUMBER(BS199),BS199,0)*0.2+IF(ISNUMBER(BE199),BE199,0)*0.2+IF(ISNUMBER(CE199),CE199,0)*0.15+(100-IF(ISNUMBER(CU199),CU199,50))*0.15)*IF(DN199&gt;=75,1,IF(DN199&gt;=50,0.9,IF(DN199&gt;=25,0.75,0.6))),1))</f>
        <v/>
      </c>
      <c r="DU199" s="5">
        <f t="array" ref="DU199">_xlfn.IFS(
  DV199="Upgraded to Clear", "Clear",
  DV199="Downgraded to Watchlist", "Watchlist",
  DV199="Downgraded to Exclusion", "Exclusion Risk",
  DB199="Yes — Automatic", "Exclusion Risk",
  OR(AW199="Confirmed Violation", AX199="Confirmed Breach"), "Exclusion Risk",
  OR(V199=0, ISBLANK(V199), DN199&lt;20), "Insufficient Evidence",
  AND(DT199&gt;=65, DA199="No", DB199="No"), "Clear",
  OR(DT199&gt;=40, DA199="Yes"), "Watchlist",
  TRUE, "Exclusion Risk"
)</f>
        <v/>
      </c>
      <c r="DV199" s="5" t="n"/>
      <c r="DW199" s="5">
        <f t="array" ref="DW199">_xlfn.IFS(
  DU199="Exclusion Risk", "Exclude — Hard Trigger",
  DU199="Insufficient Evidence", "Watchlist — Further Evidence Needed",
  DU199="Watchlist", "Watchlist — Further Evidence Needed",
  AND(DU199="Clear", DT199&gt;=80), "Include — No Conditions",
  DU199="Clear", "Include — Monitor",
  TRUE, "Watchlist — Further Evidence Needed"
)</f>
        <v/>
      </c>
      <c r="DX199" s="5" t="inlineStr">
        <is>
          <t>Main claim: "the carbon footprint by 30% by 2030 and achieving net-zero" (aegon-Integrated-annual-report-2025.pdf, p33.0). SBTi: Commitment removed. 8-Test: 2 PARTIAL, 0 FAIL, 0 MISSING -&gt; PASS. Main claim: "the carbon footprint by 30% by 2030 and achieving net-zero" (aegon-Integrated-annual-report-2025.pdf, p33). SBTi: Commitment removed. 8-Test: 2 PARTIAL, 0 FAIL, 0 MISSING -&gt; PASS. Asset-owner climate disclosure (NZAOA...</t>
        </is>
      </c>
      <c r="DY199" s="5" t="n"/>
      <c r="DZ199" s="5" t="n"/>
      <c r="EA199" s="5" t="n"/>
      <c r="EB199" s="5">
        <f>IF(OR(V199=0, ISBLANK(V199)), "MISSING — No sources reviewed", "")</f>
        <v/>
      </c>
      <c r="EC199" s="5">
        <f>IF(AND(NOT(ISBLANK(DC199)), ISBLANK(DE199)), "PAGE REF MISSING", "")</f>
        <v/>
      </c>
    </row>
    <row r="200" ht="18" customHeight="1" s="60">
      <c r="A200" s="5" t="inlineStr">
        <is>
          <t>Lloyds Banking Group plc</t>
        </is>
      </c>
      <c r="B200" s="5" t="inlineStr">
        <is>
          <t>LLOY</t>
        </is>
      </c>
      <c r="C200" s="5" t="inlineStr">
        <is>
          <t>GB0008706128</t>
        </is>
      </c>
      <c r="D200" s="5" t="n"/>
      <c r="E200" s="5" t="n"/>
      <c r="F200" s="5">
        <f>IF(ISBLANK('Universe Tracker'!F175),"",'Universe Tracker'!F175)</f>
        <v/>
      </c>
      <c r="G200" s="5">
        <f>IF(ISBLANK('Universe Tracker'!G175),"",'Universe Tracker'!G175)</f>
        <v/>
      </c>
      <c r="H200" s="5" t="n"/>
      <c r="I200" s="5" t="n"/>
      <c r="J200" s="5">
        <f>IF(ISBLANK(B200),"",B200&amp;"_"&amp;C200)</f>
        <v/>
      </c>
      <c r="K200" s="5" t="n"/>
      <c r="L200" s="5" t="n"/>
      <c r="M200" s="5" t="n"/>
      <c r="N200" s="5" t="n"/>
      <c r="O200" s="5" t="inlineStr">
        <is>
          <t>Yes</t>
        </is>
      </c>
      <c r="P200" s="5" t="inlineStr">
        <is>
          <t>Yes</t>
        </is>
      </c>
      <c r="Q200" s="5" t="n"/>
      <c r="R200" s="5" t="n"/>
      <c r="S200" s="5" t="n"/>
      <c r="T200" s="5" t="n"/>
      <c r="U200" s="5" t="n"/>
      <c r="V200" s="5" t="n"/>
      <c r="W200" s="5" t="n"/>
      <c r="X200" s="5" t="n"/>
      <c r="Y200" s="5">
        <f>IF(AND(V200&gt;=2,K200="Yes",L200="Yes"),"Sufficient",IF(AND(V200&gt;=1,OR(K200="Yes",L200="Yes")),"Thin","Insufficient"))</f>
        <v/>
      </c>
      <c r="Z200" s="5" t="n"/>
      <c r="AA200" s="5" t="n"/>
      <c r="AB200" s="5" t="n"/>
      <c r="AC200" s="5" t="n"/>
      <c r="AD200" s="5" t="n"/>
      <c r="AE200" s="5" t="n"/>
      <c r="AF200" s="5" t="n"/>
      <c r="AG200" s="5" t="n"/>
      <c r="AH200" s="5" t="n"/>
      <c r="AI200" s="5" t="n"/>
      <c r="AJ200" s="5" t="inlineStr">
        <is>
          <t>Not in SBTi database (checked 2026-05-21)</t>
        </is>
      </c>
      <c r="AK200" s="5" t="inlineStr"/>
      <c r="AL200" s="5" t="n"/>
      <c r="AM200" s="5" t="n"/>
      <c r="AN200" s="5" t="n"/>
      <c r="AO200" s="5" t="n"/>
      <c r="AP200" s="5" t="n"/>
      <c r="AQ200" s="5" t="n"/>
      <c r="AR200" s="40">
        <f t="array" ref="AR200">MIN(100, MAX(0,
  IFERROR(_xlfn.XLOOKUP(AJ200,'Lookup Tables'!$A$2:$A$7,'Lookup Tables'!$B$2:$B$7,0),0)
  + IF(Z200="Yes", IF(IFERROR(_xlfn.XLOOKUP(AJ200,'Lookup Tables'!$A$2:$A$7,'Lookup Tables'!$B$2:$B$7,0),0)&lt;20, 5, 0), 0)
  + _xlfn.IFS(AB200="Yes", IF(ISNUMBER(AC200)*AND(AC200&lt;=2030),15,10), AB200="Long-term Only", 5, AB200="No", 0, TRUE, 0)
  + _xlfn.IFS(AF200="Full",10, AF200="Partial",5, AF200="Scope 2 Only",3, TRUE,0)
  + _xlfn.IFS(AG200="Yes", IF(ISNUMBER(AH200)*AND(AH200&gt;=5),10,6), AG200="Partial",4, TRUE,0)
  + _xlfn.IFS(AI200="Yes",5, AI200="Partial (material categories only)",3, TRUE,0)
  + _xlfn.IFS(AL200="Yes — Detailed",10, AL200="Yes — High Level",5, TRUE,0)
  + _xlfn.IFS(AM200="Yes — Quantified",15, AM200="Yes — Directional Only",7, TRUE,0)
  + _xlfn.IFS(AP200="Formal",5, AP200="Referenced",2, TRUE,0)
  + _xlfn.IFS(AQ200="No Issues Found",5, AQ200="Concern Identified",-5, AQ200="Severe Contradiction",-15, TRUE,0)
  + _xlfn.IFS(BC200="Reasonable Assurance",5, BC200="Limited Assurance",3, TRUE,0)
  - IF(AND(Z200="Yes", AI200="No"), 10, 0)
  - IF(AND(Z200="Yes", AM200="No"), 10, 0)
))</f>
        <v/>
      </c>
      <c r="AS200" s="5" t="n"/>
      <c r="AT200" s="5" t="n"/>
      <c r="AU200" s="5" t="n"/>
      <c r="AV200" s="5" t="n"/>
      <c r="AW200" s="5" t="n"/>
      <c r="AX200" s="5" t="n"/>
      <c r="AY200" s="5" t="n"/>
      <c r="AZ200" s="5" t="n"/>
      <c r="BA200" s="5" t="n"/>
      <c r="BB200" s="5" t="n"/>
      <c r="BC200" s="5" t="n"/>
      <c r="BD200" s="5" t="n"/>
      <c r="BE200" s="39">
        <f t="array" ref="BE200">MIN(100, MAX(0,
  IFERROR(_xlfn.XLOOKUP(AT200,'Lookup Tables'!$D$2:$D$6,'Lookup Tables'!$E$2:$E$6,0),0)
  + IFERROR(_xlfn.XLOOKUP(AV200,'Lookup Tables'!$G$2:$G$5,'Lookup Tables'!$H$2:$H$5,0),0)
  + IFERROR(_xlfn.XLOOKUP(AW200,'Lookup Tables'!$J$2:$J$5,'Lookup Tables'!$K$2:$K$5,0),0)
  + _xlfn.IFS(AX200="No Issues",10, AX200="Complaint Filed",3, AX200="Confirmed Breach",-15, TRUE,0)
  + IFERROR(_xlfn.XLOOKUP(AY200,'Lookup Tables'!$M$2:$M$6,'Lookup Tables'!$N$2:$N$6,0),0)
  + IFERROR(_xlfn.XLOOKUP(AZ200,'Lookup Tables'!$P$2:$P$6,'Lookup Tables'!$Q$2:$Q$6,0),0)
  + _xlfn.IFS(BA200="Formal Board Committee",5, BA200="Board Oversight Mentioned",2, TRUE,0)
  + _xlfn.IFS(BB200="Yes — Quantified Targets",5, BB200="Yes — Discretionary Only",2, TRUE,0)
  + _xlfn.IFS(BC200="Reasonable Assurance",5, BC200="Limited Assurance",3, BC200="Management Review Only",1, TRUE,0)
))</f>
        <v/>
      </c>
      <c r="BF200" s="5" t="n"/>
      <c r="BG200" s="5" t="n"/>
      <c r="BH200" s="5" t="n"/>
      <c r="BI200" s="5" t="n"/>
      <c r="BJ200" s="5" t="n"/>
      <c r="BK200" s="5" t="n"/>
      <c r="BL200" s="5" t="n"/>
      <c r="BM200" s="5" t="n"/>
      <c r="BN200" s="5" t="n"/>
      <c r="BO200" s="5" t="n"/>
      <c r="BP200" s="5" t="n"/>
      <c r="BQ200" s="5" t="n"/>
      <c r="BR200" s="5" t="n"/>
      <c r="BS200" s="41">
        <f t="array" ref="BS200">MIN(100, MAX(0,
  IFERROR(_xlfn.XLOOKUP(BG200,'Lookup Tables'!$A$11:$A$16,'Lookup Tables'!$B$11:$B$16,0),0)
  + IFERROR(_xlfn.XLOOKUP(BR200,'Lookup Tables'!$M$11:$M$14,'Lookup Tables'!$N$11:$N$14,0),0)
  + IFERROR(_xlfn.XLOOKUP(BQ200,'Lookup Tables'!$J$11:$J$15,'Lookup Tables'!$K$11:$K$15,0),0)
  + IFERROR(_xlfn.XLOOKUP(BH200,'Lookup Tables'!$D$11:$D$15,'Lookup Tables'!$E$11:$E$15,0),0)
  + IFERROR(_xlfn.XLOOKUP(BJ200,'Lookup Tables'!$G$11:$G$16,'Lookup Tables'!$H$11:$H$16,0),0)
  + IFERROR(_xlfn.XLOOKUP(BN200,'Lookup Tables'!$P$11:$P$15,'Lookup Tables'!$Q$11:$Q$15,0),0)
  + _xlfn.IFS(BM200="No Evidence",10, BM200="Unknown",3, BM200="Likely",0, BM200="Confirmed",-10, TRUE,3)
  + IFERROR(_xlfn.XLOOKUP(BP200,'Lookup Tables'!$J$21:$J$24,'Lookup Tables'!$K$21:$K$24,0),0)
))</f>
        <v/>
      </c>
      <c r="BT200" s="5" t="n"/>
      <c r="BU200" s="5" t="n"/>
      <c r="BV200" s="5" t="n"/>
      <c r="BW200" s="5" t="n"/>
      <c r="BX200" s="5" t="n"/>
      <c r="BY200" s="5" t="n"/>
      <c r="BZ200" s="5" t="n"/>
      <c r="CA200" s="5" t="n"/>
      <c r="CB200" s="5" t="n"/>
      <c r="CC200" s="5" t="n"/>
      <c r="CD200" s="5" t="n"/>
      <c r="CE200" s="43">
        <f t="array" ref="CE200">MIN(100, MAX(0,
  IF(ISNUMBER(BV200)*AND(BV200&gt;0), 10, 0)
  + _xlfn.IFS(BY200="Independently Verified",25, BY200="Yes",15, TRUE,0)
  + IFERROR(_xlfn.XLOOKUP(BZ200,'Lookup Tables'!$A$21:$A$24,'Lookup Tables'!$B$21:$B$24,0),0)
  + IFERROR(_xlfn.XLOOKUP(CA200,'Lookup Tables'!$D$21:$D$24,'Lookup Tables'!$E$21:$E$24,0),0)
  + _xlfn.IFS(ISNUMBER(CB200)*AND(CB200&gt;=11),15, ISNUMBER(CB200)*AND(CB200&gt;=6),10, ISNUMBER(CB200)*AND(CB200&gt;=1),5, TRUE,0)
  + IFERROR(_xlfn.XLOOKUP(CC200,'Lookup Tables'!$G$21:$G$25,'Lookup Tables'!$H$21:$H$25,0),0)
  - IF(ISNUMBER(BW200)*AND(ISNUMBER(BV200))*AND(BW200&gt;BV200), 20, 0)
  - IF(AND(BY200="Yes", ISNUMBER(BW200), BW200&gt;60), 10, 0)
))</f>
        <v/>
      </c>
      <c r="CF200" s="5" t="n"/>
      <c r="CG200" s="5" t="inlineStr">
        <is>
          <t>a real-economy transition to net zero</t>
        </is>
      </c>
      <c r="CH200" s="5" t="inlineStr">
        <is>
          <t>2025-lbg-sustainability-report.pdf</t>
        </is>
      </c>
      <c r="CI200" s="5" t="n">
        <v>21</v>
      </c>
      <c r="CJ200" s="5" t="inlineStr">
        <is>
          <t>PASS</t>
        </is>
      </c>
      <c r="CK200" s="5" t="inlineStr">
        <is>
          <t>PASS</t>
        </is>
      </c>
      <c r="CL200" s="5" t="inlineStr">
        <is>
          <t>PASS</t>
        </is>
      </c>
      <c r="CM200" s="5" t="inlineStr">
        <is>
          <t>PARTIAL</t>
        </is>
      </c>
      <c r="CN200" s="5" t="inlineStr">
        <is>
          <t>PASS</t>
        </is>
      </c>
      <c r="CO200" s="5" t="inlineStr">
        <is>
          <t>PASS</t>
        </is>
      </c>
      <c r="CP200" s="5" t="inlineStr">
        <is>
          <t>PARTIAL</t>
        </is>
      </c>
      <c r="CQ200" s="5" t="inlineStr">
        <is>
          <t>PASS</t>
        </is>
      </c>
      <c r="CR200" s="5">
        <f>COUNTIF(CJ200:CQ200,"FAIL")</f>
        <v/>
      </c>
      <c r="CS200" s="5">
        <f>COUNTIF(CJ200:CQ200,"PARTIAL")</f>
        <v/>
      </c>
      <c r="CT200" s="5">
        <f>COUNTIF(CJ200:CQ200,"MISSING")</f>
        <v/>
      </c>
      <c r="CU200" s="5">
        <f>MIN(100,
  CR200*15
  + CS200*6
  + CT200*3
  + IFERROR(_xlfn.XLOOKUP(CW200,'Lookup Tables'!$M$21:$M$25,'Lookup Tables'!$N$21:$N$25,0),0)
)</f>
        <v/>
      </c>
      <c r="CV200" s="5">
        <f>IFERROR(
CHOOSE(
MATCH("FAIL",CJ200:CQ200,0),
"1-Specificity","2-Metric","3-Baseline","4-Target",
"5-Time Horizon","6-Scope","7-Verification","8-Consistency"
),
IFERROR(
CHOOSE(
MATCH("PARTIAL",CJ200:CQ200,0),
"1-Specificity","2-Metric","3-Baseline","4-Target",
"5-Time Horizon","6-Scope","7-Verification","8-Consistency"
),
"No failures"
)
)</f>
        <v/>
      </c>
      <c r="CW200" s="5" t="n"/>
      <c r="CX200" s="5" t="n"/>
      <c r="CY200" s="5" t="n"/>
      <c r="CZ200" s="5" t="n"/>
      <c r="DA200" s="5">
        <f>IF(OR(CU200&gt;=50,CW200="Material",CW200="Severe",AS200="Material",AS200="Severe",BF200="Material",BF200="Severe — Exclusion Trigger",AND(ISNUMBER(BS200),BS200&lt;30)),"Yes","No")</f>
        <v/>
      </c>
      <c r="DB200" s="5">
        <f>IF(OR(CR200&gt;=6,AW200="Confirmed Violation",AX200="Confirmed Breach"),"Yes — Automatic",IF(CW200="Severe","Yes — Requires Captain Confirmation","No"))</f>
        <v/>
      </c>
      <c r="DC200" s="5" t="inlineStr">
        <is>
          <t>a real-economy transition to net zero</t>
        </is>
      </c>
      <c r="DD200" s="5" t="inlineStr">
        <is>
          <t>2025-lbg-sustainability-report.pdf</t>
        </is>
      </c>
      <c r="DE200" s="5" t="n">
        <v>21</v>
      </c>
      <c r="DF200" s="5" t="n">
        <v>4</v>
      </c>
      <c r="DG200" s="5" t="n">
        <v>4</v>
      </c>
      <c r="DH200" s="5" t="inlineStr">
        <is>
          <t>PENDING</t>
        </is>
      </c>
      <c r="DI200" s="5" t="n"/>
      <c r="DJ200" s="5" t="n"/>
      <c r="DK200" s="5" t="n"/>
      <c r="DL200" s="5">
        <f>IF(OR(IFERROR(VALUE(LEFT(DF200,1)),99)&lt;=2,IFERROR(VALUE(LEFT(DG200,1)),99)&lt;=2),"Flagged","Clear")</f>
        <v/>
      </c>
      <c r="DM200" s="5">
        <f>IF(OR(DA200="Yes",DB200&lt;&gt;"No",DH200="Unverified",DL200="Flagged"),"Yes","No")</f>
        <v/>
      </c>
      <c r="DN200" s="5">
        <f t="array" ref="DN200">MIN(100,
  IF(ISNUMBER(V200), _xlfn.IFS(V200&gt;=3,25, V200=2,15, V200=1,5, TRUE,0), 0)
  + IFERROR(_xlfn.IFS(VALUE(LEFT(DF200,1))=5,25, VALUE(LEFT(DF200,1))=4,20, VALUE(LEFT(DF200,1))=3,15, VALUE(LEFT(DF200,1))=2,8, TRUE,0), 15)
  + IFERROR(_xlfn.IFS(VALUE(LEFT(DG200,1))=5,25, VALUE(LEFT(DG200,1))=4,20, VALUE(LEFT(DG200,1))=3,15, VALUE(LEFT(DG200,1))=2,8, TRUE,0), 15)
  + _xlfn.IFS(DH200="Fully Verified",25, DH200="Partially Verified",12, TRUE,0)
)</f>
        <v/>
      </c>
      <c r="DO200" s="5">
        <f t="array" ref="DO200">_xlfn.IFS(
  ISBLANK(AR200), "Insufficient Evidence",
  AND(AR200&gt;=65, AJ200="Approved"), "Strong",
  AR200&gt;=65, "Adequate",
  AR200&gt;=40, "Adequate",
  AR200&gt;=20, "Weak",
  TRUE, "Insufficient Evidence"
)</f>
        <v/>
      </c>
      <c r="DP200" s="5">
        <f t="array" ref="DP200">_xlfn.IFS(
  ISBLANK(BS200), "Insufficient Evidence",
  BS200&gt;=65, "Strong",
  BS200&gt;=40, "Adequate",
  BS200&gt;=20, "Weak",
  TRUE, "Insufficient Evidence"
)</f>
        <v/>
      </c>
      <c r="DQ200" s="5">
        <f t="array" ref="DQ200">_xlfn.IFS(
  ISBLANK(BE200), "Insufficient Evidence",
  OR(AW200="Confirmed Violation", AX200="Confirmed Breach"), "Severe — Hard Trigger",
  BE200&gt;=65, "Strong",
  BE200&gt;=40, "Adequate",
  BE200&gt;=20, "Weak",
  TRUE, "Insufficient Evidence"
)</f>
        <v/>
      </c>
      <c r="DR200" s="5">
        <f t="array" ref="DR200">_xlfn.IFS(
  ISBLANK(CU200), "Insufficient Evidence",
  CU200&lt;=20, "Low Risk",
  CU200&lt;=50, "Moderate Risk",
  CU200&lt;=75, "High Risk",
  TRUE, "Very High Risk"
)</f>
        <v/>
      </c>
      <c r="DS200" s="5">
        <f t="array" ref="DS200">_xlfn.IFS(
  ISBLANK(CE200), "Insufficient Evidence",
  AND(ISNUMBER(BW200),ISNUMBER(BV200),BW200&gt;BV200), "Overclaiming Risk",
  CE200&gt;=65, "Strong",
  CE200&gt;=40, "Adequate",
  TRUE, "Weak"
)</f>
        <v/>
      </c>
      <c r="DT200" s="5">
        <f>IF(DB200="Yes — Automatic",0,ROUND((IF(ISNUMBER(AR200),AR200,0)*0.3+IF(ISNUMBER(BS200),BS200,0)*0.2+IF(ISNUMBER(BE200),BE200,0)*0.2+IF(ISNUMBER(CE200),CE200,0)*0.15+(100-IF(ISNUMBER(CU200),CU200,50))*0.15)*IF(DN200&gt;=75,1,IF(DN200&gt;=50,0.9,IF(DN200&gt;=25,0.75,0.6))),1))</f>
        <v/>
      </c>
      <c r="DU200" s="5">
        <f t="array" ref="DU200">_xlfn.IFS(
  DV200="Upgraded to Clear", "Clear",
  DV200="Downgraded to Watchlist", "Watchlist",
  DV200="Downgraded to Exclusion", "Exclusion Risk",
  DB200="Yes — Automatic", "Exclusion Risk",
  OR(AW200="Confirmed Violation", AX200="Confirmed Breach"), "Exclusion Risk",
  OR(V200=0, ISBLANK(V200), DN200&lt;20), "Insufficient Evidence",
  AND(DT200&gt;=65, DA200="No", DB200="No"), "Clear",
  OR(DT200&gt;=40, DA200="Yes"), "Watchlist",
  TRUE, "Exclusion Risk"
)</f>
        <v/>
      </c>
      <c r="DV200" s="5" t="n"/>
      <c r="DW200" s="5">
        <f t="array" ref="DW200">_xlfn.IFS(
  DU200="Exclusion Risk", "Exclude — Hard Trigger",
  DU200="Insufficient Evidence", "Watchlist — Further Evidence Needed",
  DU200="Watchlist", "Watchlist — Further Evidence Needed",
  AND(DU200="Clear", DT200&gt;=80), "Include — No Conditions",
  DU200="Clear", "Include — Monitor",
  TRUE, "Watchlist — Further Evidence Needed"
)</f>
        <v/>
      </c>
      <c r="DX200" s="5" t="inlineStr">
        <is>
          <t>Main claim: "a real-economy transition to net zero" (2025-lbg-sustainability-report.pdf, p21.0). SBTi: no validated target in the SBTi database. 8-Test: 2 PARTIAL, 0 FAIL, 0 MISSING -&gt; PASS. Main claim: "a real-economy transition to net zero" (2025-lbg-sustainability-report.pdf, p21). SBTi: no validated target in the SBTi database. 8-Test: 2 PARTIAL, 0 FAIL, 0 MISSING -&gt; PASS. Detailed bank climate disclosure — absolute and...</t>
        </is>
      </c>
      <c r="DY200" s="5" t="n"/>
      <c r="DZ200" s="5" t="n"/>
      <c r="EA200" s="5" t="n"/>
      <c r="EB200" s="5">
        <f>IF(OR(V200=0, ISBLANK(V200)), "MISSING — No sources reviewed", "")</f>
        <v/>
      </c>
      <c r="EC200" s="5">
        <f>IF(AND(NOT(ISBLANK(DC200)), ISBLANK(DE200)), "PAGE REF MISSING", "")</f>
        <v/>
      </c>
    </row>
    <row r="201" ht="18" customHeight="1" s="60">
      <c r="A201" s="5" t="inlineStr">
        <is>
          <t>Industria de Diseno Textil, S.A.</t>
        </is>
      </c>
      <c r="B201" s="5" t="inlineStr">
        <is>
          <t>ITX</t>
        </is>
      </c>
      <c r="C201" s="5" t="inlineStr">
        <is>
          <t>ES0148396007</t>
        </is>
      </c>
      <c r="D201" s="5" t="n"/>
      <c r="E201" s="5" t="n"/>
      <c r="F201" s="5">
        <f>IF(ISBLANK('Universe Tracker'!F176),"",'Universe Tracker'!F176)</f>
        <v/>
      </c>
      <c r="G201" s="5">
        <f>IF(ISBLANK('Universe Tracker'!G176),"",'Universe Tracker'!G176)</f>
        <v/>
      </c>
      <c r="H201" s="5" t="n"/>
      <c r="I201" s="5" t="n"/>
      <c r="J201" s="5">
        <f>IF(ISBLANK(B201),"",B201&amp;"_"&amp;C201)</f>
        <v/>
      </c>
      <c r="K201" s="5" t="n"/>
      <c r="L201" s="5" t="n"/>
      <c r="M201" s="5" t="n"/>
      <c r="N201" s="5" t="n"/>
      <c r="O201" s="5" t="inlineStr">
        <is>
          <t>Yes</t>
        </is>
      </c>
      <c r="P201" s="5" t="inlineStr">
        <is>
          <t>Yes</t>
        </is>
      </c>
      <c r="Q201" s="5" t="n"/>
      <c r="R201" s="5" t="n"/>
      <c r="S201" s="5" t="n"/>
      <c r="T201" s="5" t="n"/>
      <c r="U201" s="5" t="n"/>
      <c r="V201" s="5" t="n"/>
      <c r="W201" s="5" t="n"/>
      <c r="X201" s="5" t="n"/>
      <c r="Y201" s="5">
        <f>IF(AND(V201&gt;=2,K201="Yes",L201="Yes"),"Sufficient",IF(AND(V201&gt;=1,OR(K201="Yes",L201="Yes")),"Thin","Insufficient"))</f>
        <v/>
      </c>
      <c r="Z201" s="5" t="n"/>
      <c r="AA201" s="5" t="n"/>
      <c r="AB201" s="5" t="n"/>
      <c r="AC201" s="5" t="n"/>
      <c r="AD201" s="5" t="n"/>
      <c r="AE201" s="5" t="n"/>
      <c r="AF201" s="5" t="n"/>
      <c r="AG201" s="5" t="n"/>
      <c r="AH201" s="5" t="n"/>
      <c r="AI201" s="5" t="n"/>
      <c r="AJ201" s="5" t="inlineStr">
        <is>
          <t>Targets set (1.5°C)</t>
        </is>
      </c>
      <c r="AK201" s="5" t="inlineStr">
        <is>
          <t>FY2030</t>
        </is>
      </c>
      <c r="AL201" s="5" t="n"/>
      <c r="AM201" s="5" t="n"/>
      <c r="AN201" s="5" t="n"/>
      <c r="AO201" s="5" t="n"/>
      <c r="AP201" s="5" t="n"/>
      <c r="AQ201" s="5" t="n"/>
      <c r="AR201" s="40">
        <f t="array" ref="AR201">MIN(100, MAX(0,
  IFERROR(_xlfn.XLOOKUP(AJ201,'Lookup Tables'!$A$2:$A$7,'Lookup Tables'!$B$2:$B$7,0),0)
  + IF(Z201="Yes", IF(IFERROR(_xlfn.XLOOKUP(AJ201,'Lookup Tables'!$A$2:$A$7,'Lookup Tables'!$B$2:$B$7,0),0)&lt;20, 5, 0), 0)
  + _xlfn.IFS(AB201="Yes", IF(ISNUMBER(AC201)*AND(AC201&lt;=2030),15,10), AB201="Long-term Only", 5, AB201="No", 0, TRUE, 0)
  + _xlfn.IFS(AF201="Full",10, AF201="Partial",5, AF201="Scope 2 Only",3, TRUE,0)
  + _xlfn.IFS(AG201="Yes", IF(ISNUMBER(AH201)*AND(AH201&gt;=5),10,6), AG201="Partial",4, TRUE,0)
  + _xlfn.IFS(AI201="Yes",5, AI201="Partial (material categories only)",3, TRUE,0)
  + _xlfn.IFS(AL201="Yes — Detailed",10, AL201="Yes — High Level",5, TRUE,0)
  + _xlfn.IFS(AM201="Yes — Quantified",15, AM201="Yes — Directional Only",7, TRUE,0)
  + _xlfn.IFS(AP201="Formal",5, AP201="Referenced",2, TRUE,0)
  + _xlfn.IFS(AQ201="No Issues Found",5, AQ201="Concern Identified",-5, AQ201="Severe Contradiction",-15, TRUE,0)
  + _xlfn.IFS(BC201="Reasonable Assurance",5, BC201="Limited Assurance",3, TRUE,0)
  - IF(AND(Z201="Yes", AI201="No"), 10, 0)
  - IF(AND(Z201="Yes", AM201="No"), 10, 0)
))</f>
        <v/>
      </c>
      <c r="AS201" s="5" t="n"/>
      <c r="AT201" s="5" t="n"/>
      <c r="AU201" s="5" t="n"/>
      <c r="AV201" s="5" t="n"/>
      <c r="AW201" s="5" t="n"/>
      <c r="AX201" s="5" t="n"/>
      <c r="AY201" s="5" t="n"/>
      <c r="AZ201" s="5" t="n"/>
      <c r="BA201" s="5" t="n"/>
      <c r="BB201" s="5" t="n"/>
      <c r="BC201" s="5" t="n"/>
      <c r="BD201" s="5" t="n"/>
      <c r="BE201" s="39">
        <f t="array" ref="BE201">MIN(100, MAX(0,
  IFERROR(_xlfn.XLOOKUP(AT201,'Lookup Tables'!$D$2:$D$6,'Lookup Tables'!$E$2:$E$6,0),0)
  + IFERROR(_xlfn.XLOOKUP(AV201,'Lookup Tables'!$G$2:$G$5,'Lookup Tables'!$H$2:$H$5,0),0)
  + IFERROR(_xlfn.XLOOKUP(AW201,'Lookup Tables'!$J$2:$J$5,'Lookup Tables'!$K$2:$K$5,0),0)
  + _xlfn.IFS(AX201="No Issues",10, AX201="Complaint Filed",3, AX201="Confirmed Breach",-15, TRUE,0)
  + IFERROR(_xlfn.XLOOKUP(AY201,'Lookup Tables'!$M$2:$M$6,'Lookup Tables'!$N$2:$N$6,0),0)
  + IFERROR(_xlfn.XLOOKUP(AZ201,'Lookup Tables'!$P$2:$P$6,'Lookup Tables'!$Q$2:$Q$6,0),0)
  + _xlfn.IFS(BA201="Formal Board Committee",5, BA201="Board Oversight Mentioned",2, TRUE,0)
  + _xlfn.IFS(BB201="Yes — Quantified Targets",5, BB201="Yes — Discretionary Only",2, TRUE,0)
  + _xlfn.IFS(BC201="Reasonable Assurance",5, BC201="Limited Assurance",3, BC201="Management Review Only",1, TRUE,0)
))</f>
        <v/>
      </c>
      <c r="BF201" s="5" t="n"/>
      <c r="BG201" s="5" t="n"/>
      <c r="BH201" s="5" t="n"/>
      <c r="BI201" s="5" t="n"/>
      <c r="BJ201" s="5" t="n"/>
      <c r="BK201" s="5" t="n"/>
      <c r="BL201" s="5" t="n"/>
      <c r="BM201" s="5" t="n"/>
      <c r="BN201" s="5" t="n"/>
      <c r="BO201" s="5" t="n"/>
      <c r="BP201" s="5" t="n"/>
      <c r="BQ201" s="5" t="n"/>
      <c r="BR201" s="5" t="n"/>
      <c r="BS201" s="41">
        <f t="array" ref="BS201">MIN(100, MAX(0,
  IFERROR(_xlfn.XLOOKUP(BG201,'Lookup Tables'!$A$11:$A$16,'Lookup Tables'!$B$11:$B$16,0),0)
  + IFERROR(_xlfn.XLOOKUP(BR201,'Lookup Tables'!$M$11:$M$14,'Lookup Tables'!$N$11:$N$14,0),0)
  + IFERROR(_xlfn.XLOOKUP(BQ201,'Lookup Tables'!$J$11:$J$15,'Lookup Tables'!$K$11:$K$15,0),0)
  + IFERROR(_xlfn.XLOOKUP(BH201,'Lookup Tables'!$D$11:$D$15,'Lookup Tables'!$E$11:$E$15,0),0)
  + IFERROR(_xlfn.XLOOKUP(BJ201,'Lookup Tables'!$G$11:$G$16,'Lookup Tables'!$H$11:$H$16,0),0)
  + IFERROR(_xlfn.XLOOKUP(BN201,'Lookup Tables'!$P$11:$P$15,'Lookup Tables'!$Q$11:$Q$15,0),0)
  + _xlfn.IFS(BM201="No Evidence",10, BM201="Unknown",3, BM201="Likely",0, BM201="Confirmed",-10, TRUE,3)
  + IFERROR(_xlfn.XLOOKUP(BP201,'Lookup Tables'!$J$21:$J$24,'Lookup Tables'!$K$21:$K$24,0),0)
))</f>
        <v/>
      </c>
      <c r="BT201" s="5" t="n"/>
      <c r="BU201" s="5" t="n"/>
      <c r="BV201" s="5" t="n"/>
      <c r="BW201" s="5" t="n"/>
      <c r="BX201" s="5" t="n"/>
      <c r="BY201" s="5" t="n"/>
      <c r="BZ201" s="5" t="n"/>
      <c r="CA201" s="5" t="n"/>
      <c r="CB201" s="5" t="n"/>
      <c r="CC201" s="5" t="n"/>
      <c r="CD201" s="5" t="n"/>
      <c r="CE201" s="43">
        <f t="array" ref="CE201">MIN(100, MAX(0,
  IF(ISNUMBER(BV201)*AND(BV201&gt;0), 10, 0)
  + _xlfn.IFS(BY201="Independently Verified",25, BY201="Yes",15, TRUE,0)
  + IFERROR(_xlfn.XLOOKUP(BZ201,'Lookup Tables'!$A$21:$A$24,'Lookup Tables'!$B$21:$B$24,0),0)
  + IFERROR(_xlfn.XLOOKUP(CA201,'Lookup Tables'!$D$21:$D$24,'Lookup Tables'!$E$21:$E$24,0),0)
  + _xlfn.IFS(ISNUMBER(CB201)*AND(CB201&gt;=11),15, ISNUMBER(CB201)*AND(CB201&gt;=6),10, ISNUMBER(CB201)*AND(CB201&gt;=1),5, TRUE,0)
  + IFERROR(_xlfn.XLOOKUP(CC201,'Lookup Tables'!$G$21:$G$25,'Lookup Tables'!$H$21:$H$25,0),0)
  - IF(ISNUMBER(BW201)*AND(ISNUMBER(BV201))*AND(BW201&gt;BV201), 20, 0)
  - IF(AND(BY201="Yes", ISNUMBER(BW201), BW201&gt;60), 10, 0)
))</f>
        <v/>
      </c>
      <c r="CF201" s="5" t="n"/>
      <c r="CG201" s="5" t="inlineStr">
        <is>
          <t>Achieve net-zero emissions, reducing at least 90% of our carbon [emissions]</t>
        </is>
      </c>
      <c r="CH201" s="5" t="inlineStr">
        <is>
          <t>SustainabilityReport.pdf</t>
        </is>
      </c>
      <c r="CI201" s="5" t="n">
        <v>26</v>
      </c>
      <c r="CJ201" s="5" t="inlineStr">
        <is>
          <t>PASS</t>
        </is>
      </c>
      <c r="CK201" s="5" t="inlineStr">
        <is>
          <t>PASS</t>
        </is>
      </c>
      <c r="CL201" s="5" t="inlineStr">
        <is>
          <t>PASS</t>
        </is>
      </c>
      <c r="CM201" s="5" t="inlineStr">
        <is>
          <t>PASS</t>
        </is>
      </c>
      <c r="CN201" s="5" t="inlineStr">
        <is>
          <t>PASS</t>
        </is>
      </c>
      <c r="CO201" s="5" t="inlineStr">
        <is>
          <t>PASS</t>
        </is>
      </c>
      <c r="CP201" s="5" t="inlineStr">
        <is>
          <t>PASS</t>
        </is>
      </c>
      <c r="CQ201" s="5" t="inlineStr">
        <is>
          <t>PASS</t>
        </is>
      </c>
      <c r="CR201" s="5">
        <f>COUNTIF(CJ201:CQ201,"FAIL")</f>
        <v/>
      </c>
      <c r="CS201" s="5">
        <f>COUNTIF(CJ201:CQ201,"PARTIAL")</f>
        <v/>
      </c>
      <c r="CT201" s="5">
        <f>COUNTIF(CJ201:CQ201,"MISSING")</f>
        <v/>
      </c>
      <c r="CU201" s="5">
        <f>MIN(100,
  CR201*15
  + CS201*6
  + CT201*3
  + IFERROR(_xlfn.XLOOKUP(CW201,'Lookup Tables'!$M$21:$M$25,'Lookup Tables'!$N$21:$N$25,0),0)
)</f>
        <v/>
      </c>
      <c r="CV201" s="5">
        <f>IFERROR(
CHOOSE(
MATCH("FAIL",CJ201:CQ201,0),
"1-Specificity","2-Metric","3-Baseline","4-Target",
"5-Time Horizon","6-Scope","7-Verification","8-Consistency"
),
IFERROR(
CHOOSE(
MATCH("PARTIAL",CJ201:CQ201,0),
"1-Specificity","2-Metric","3-Baseline","4-Target",
"5-Time Horizon","6-Scope","7-Verification","8-Consistency"
),
"No failures"
)
)</f>
        <v/>
      </c>
      <c r="CW201" s="5" t="n"/>
      <c r="CX201" s="5" t="n"/>
      <c r="CY201" s="5" t="n"/>
      <c r="CZ201" s="5" t="n"/>
      <c r="DA201" s="5">
        <f>IF(OR(CU201&gt;=50,CW201="Material",CW201="Severe",AS201="Material",AS201="Severe",BF201="Material",BF201="Severe — Exclusion Trigger",AND(ISNUMBER(BS201),BS201&lt;30)),"Yes","No")</f>
        <v/>
      </c>
      <c r="DB201" s="5">
        <f>IF(OR(CR201&gt;=6,AW201="Confirmed Violation",AX201="Confirmed Breach"),"Yes — Automatic",IF(CW201="Severe","Yes — Requires Captain Confirmation","No"))</f>
        <v/>
      </c>
      <c r="DC201" s="5" t="inlineStr">
        <is>
          <t>Achieve net-zero emissions, reducing at least 90% of our carbon [emissions]</t>
        </is>
      </c>
      <c r="DD201" s="5" t="inlineStr">
        <is>
          <t>SustainabilityReport.pdf</t>
        </is>
      </c>
      <c r="DE201" s="5" t="n">
        <v>26</v>
      </c>
      <c r="DF201" s="5" t="n">
        <v>4</v>
      </c>
      <c r="DG201" s="5" t="n">
        <v>4</v>
      </c>
      <c r="DH201" s="5" t="inlineStr">
        <is>
          <t>PENDING</t>
        </is>
      </c>
      <c r="DI201" s="5" t="n"/>
      <c r="DJ201" s="5" t="n"/>
      <c r="DK201" s="5" t="n"/>
      <c r="DL201" s="5">
        <f>IF(OR(IFERROR(VALUE(LEFT(DF201,1)),99)&lt;=2,IFERROR(VALUE(LEFT(DG201,1)),99)&lt;=2),"Flagged","Clear")</f>
        <v/>
      </c>
      <c r="DM201" s="5">
        <f>IF(OR(DA201="Yes",DB201&lt;&gt;"No",DH201="Unverified",DL201="Flagged"),"Yes","No")</f>
        <v/>
      </c>
      <c r="DN201" s="5">
        <f t="array" ref="DN201">MIN(100,
  IF(ISNUMBER(V201), _xlfn.IFS(V201&gt;=3,25, V201=2,15, V201=1,5, TRUE,0), 0)
  + IFERROR(_xlfn.IFS(VALUE(LEFT(DF201,1))=5,25, VALUE(LEFT(DF201,1))=4,20, VALUE(LEFT(DF201,1))=3,15, VALUE(LEFT(DF201,1))=2,8, TRUE,0), 15)
  + IFERROR(_xlfn.IFS(VALUE(LEFT(DG201,1))=5,25, VALUE(LEFT(DG201,1))=4,20, VALUE(LEFT(DG201,1))=3,15, VALUE(LEFT(DG201,1))=2,8, TRUE,0), 15)
  + _xlfn.IFS(DH201="Fully Verified",25, DH201="Partially Verified",12, TRUE,0)
)</f>
        <v/>
      </c>
      <c r="DO201" s="5">
        <f t="array" ref="DO201">_xlfn.IFS(
  ISBLANK(AR201), "Insufficient Evidence",
  AND(AR201&gt;=65, AJ201="Approved"), "Strong",
  AR201&gt;=65, "Adequate",
  AR201&gt;=40, "Adequate",
  AR201&gt;=20, "Weak",
  TRUE, "Insufficient Evidence"
)</f>
        <v/>
      </c>
      <c r="DP201" s="5">
        <f t="array" ref="DP201">_xlfn.IFS(
  ISBLANK(BS201), "Insufficient Evidence",
  BS201&gt;=65, "Strong",
  BS201&gt;=40, "Adequate",
  BS201&gt;=20, "Weak",
  TRUE, "Insufficient Evidence"
)</f>
        <v/>
      </c>
      <c r="DQ201" s="5">
        <f t="array" ref="DQ201">_xlfn.IFS(
  ISBLANK(BE201), "Insufficient Evidence",
  OR(AW201="Confirmed Violation", AX201="Confirmed Breach"), "Severe — Hard Trigger",
  BE201&gt;=65, "Strong",
  BE201&gt;=40, "Adequate",
  BE201&gt;=20, "Weak",
  TRUE, "Insufficient Evidence"
)</f>
        <v/>
      </c>
      <c r="DR201" s="5">
        <f t="array" ref="DR201">_xlfn.IFS(
  ISBLANK(CU201), "Insufficient Evidence",
  CU201&lt;=20, "Low Risk",
  CU201&lt;=50, "Moderate Risk",
  CU201&lt;=75, "High Risk",
  TRUE, "Very High Risk"
)</f>
        <v/>
      </c>
      <c r="DS201" s="5">
        <f t="array" ref="DS201">_xlfn.IFS(
  ISBLANK(CE201), "Insufficient Evidence",
  AND(ISNUMBER(BW201),ISNUMBER(BV201),BW201&gt;BV201), "Overclaiming Risk",
  CE201&gt;=65, "Strong",
  CE201&gt;=40, "Adequate",
  TRUE, "Weak"
)</f>
        <v/>
      </c>
      <c r="DT201" s="5">
        <f>IF(DB201="Yes — Automatic",0,ROUND((IF(ISNUMBER(AR201),AR201,0)*0.3+IF(ISNUMBER(BS201),BS201,0)*0.2+IF(ISNUMBER(BE201),BE201,0)*0.2+IF(ISNUMBER(CE201),CE201,0)*0.15+(100-IF(ISNUMBER(CU201),CU201,50))*0.15)*IF(DN201&gt;=75,1,IF(DN201&gt;=50,0.9,IF(DN201&gt;=25,0.75,0.6))),1))</f>
        <v/>
      </c>
      <c r="DU201" s="5">
        <f t="array" ref="DU201">_xlfn.IFS(
  DV201="Upgraded to Clear", "Clear",
  DV201="Downgraded to Watchlist", "Watchlist",
  DV201="Downgraded to Exclusion", "Exclusion Risk",
  DB201="Yes — Automatic", "Exclusion Risk",
  OR(AW201="Confirmed Violation", AX201="Confirmed Breach"), "Exclusion Risk",
  OR(V201=0, ISBLANK(V201), DN201&lt;20), "Insufficient Evidence",
  AND(DT201&gt;=65, DA201="No", DB201="No"), "Clear",
  OR(DT201&gt;=40, DA201="Yes"), "Watchlist",
  TRUE, "Exclusion Risk"
)</f>
        <v/>
      </c>
      <c r="DV201" s="5" t="n"/>
      <c r="DW201" s="5">
        <f t="array" ref="DW201">_xlfn.IFS(
  DU201="Exclusion Risk", "Exclude — Hard Trigger",
  DU201="Insufficient Evidence", "Watchlist — Further Evidence Needed",
  DU201="Watchlist", "Watchlist — Further Evidence Needed",
  AND(DU201="Clear", DT201&gt;=80), "Include — No Conditions",
  DU201="Clear", "Include — Monitor",
  TRUE, "Watchlist — Further Evidence Needed"
)</f>
        <v/>
      </c>
      <c r="DX201" s="5" t="inlineStr">
        <is>
          <t>Main claim: "Achieve net-zero emissions, reducing at least 90% of our carbon [emissions]" (SustainabilityReport.pdf, p26.0). SBTi: Targets set, 1.5°C near-term target (FY2030). 8-Test: 0 PARTIAL, 0 FAIL, 0 MISSING -&gt; PASS. Main claim: "Achieve net-zero emissions, reducing at least 90% of our carbon [emissions]" (SustainabilityReport.pdf, p26). SBTi: Targets set, 1.5°C near-term target (FY2030). 8-Test: 0 PARTIAL, 0 FAIL, 0 MISSING -&gt; PASS. Strong,...</t>
        </is>
      </c>
      <c r="DY201" s="5" t="n"/>
      <c r="DZ201" s="5" t="n"/>
      <c r="EA201" s="5" t="n"/>
      <c r="EB201" s="5">
        <f>IF(OR(V201=0, ISBLANK(V201)), "MISSING — No sources reviewed", "")</f>
        <v/>
      </c>
      <c r="EC201" s="5">
        <f>IF(AND(NOT(ISBLANK(DC201)), ISBLANK(DE201)), "PAGE REF MISSING", "")</f>
        <v/>
      </c>
    </row>
    <row r="202" ht="18" customHeight="1" s="60">
      <c r="A202" s="5" t="inlineStr"/>
      <c r="B202" s="5" t="inlineStr"/>
      <c r="C202" s="5">
        <f>IF(ISBLANK('Universe Tracker'!D177),"",'Universe Tracker'!D177)</f>
        <v/>
      </c>
      <c r="D202" s="5" t="n"/>
      <c r="E202" s="5" t="n"/>
      <c r="F202" s="5">
        <f>IF(ISBLANK('Universe Tracker'!F177),"",'Universe Tracker'!F177)</f>
        <v/>
      </c>
      <c r="G202" s="5">
        <f>IF(ISBLANK('Universe Tracker'!G177),"",'Universe Tracker'!G177)</f>
        <v/>
      </c>
      <c r="H202" s="5" t="n"/>
      <c r="I202" s="5" t="n"/>
      <c r="J202" s="5">
        <f>IF(ISBLANK(B202),"",B202&amp;"_"&amp;C202)</f>
        <v/>
      </c>
      <c r="K202" s="5" t="n"/>
      <c r="L202" s="5" t="n"/>
      <c r="M202" s="5" t="n"/>
      <c r="N202" s="5" t="n"/>
      <c r="O202" s="5" t="n"/>
      <c r="P202" s="5" t="n"/>
      <c r="Q202" s="5" t="n"/>
      <c r="R202" s="5" t="n"/>
      <c r="S202" s="5" t="n"/>
      <c r="T202" s="5" t="n"/>
      <c r="U202" s="5" t="n"/>
      <c r="V202" s="5" t="n"/>
      <c r="W202" s="5" t="n"/>
      <c r="X202" s="5" t="n"/>
      <c r="Y202" s="5">
        <f>IF(AND(V202&gt;=2,K202="Yes",L202="Yes"),"Sufficient",IF(AND(V202&gt;=1,OR(K202="Yes",L202="Yes")),"Thin","Insufficient"))</f>
        <v/>
      </c>
      <c r="Z202" s="5" t="n"/>
      <c r="AA202" s="5" t="n"/>
      <c r="AB202" s="5" t="n"/>
      <c r="AC202" s="5" t="n"/>
      <c r="AD202" s="5" t="n"/>
      <c r="AE202" s="5" t="n"/>
      <c r="AF202" s="5" t="n"/>
      <c r="AG202" s="5" t="n"/>
      <c r="AH202" s="5" t="n"/>
      <c r="AI202" s="5" t="n"/>
      <c r="AJ202" s="5" t="n"/>
      <c r="AK202" s="5" t="n"/>
      <c r="AL202" s="5" t="n"/>
      <c r="AM202" s="5" t="n"/>
      <c r="AN202" s="5" t="n"/>
      <c r="AO202" s="5" t="n"/>
      <c r="AP202" s="5" t="n"/>
      <c r="AQ202" s="5" t="n"/>
      <c r="AR202" s="40">
        <f t="array" ref="AR202">MIN(100, MAX(0,
  IFERROR(_xlfn.XLOOKUP(AJ202,'Lookup Tables'!$A$2:$A$7,'Lookup Tables'!$B$2:$B$7,0),0)
  + IF(Z202="Yes", IF(IFERROR(_xlfn.XLOOKUP(AJ202,'Lookup Tables'!$A$2:$A$7,'Lookup Tables'!$B$2:$B$7,0),0)&lt;20, 5, 0), 0)
  + _xlfn.IFS(AB202="Yes", IF(ISNUMBER(AC202)*AND(AC202&lt;=2030),15,10), AB202="Long-term Only", 5, AB202="No", 0, TRUE, 0)
  + _xlfn.IFS(AF202="Full",10, AF202="Partial",5, AF202="Scope 2 Only",3, TRUE,0)
  + _xlfn.IFS(AG202="Yes", IF(ISNUMBER(AH202)*AND(AH202&gt;=5),10,6), AG202="Partial",4, TRUE,0)
  + _xlfn.IFS(AI202="Yes",5, AI202="Partial (material categories only)",3, TRUE,0)
  + _xlfn.IFS(AL202="Yes — Detailed",10, AL202="Yes — High Level",5, TRUE,0)
  + _xlfn.IFS(AM202="Yes — Quantified",15, AM202="Yes — Directional Only",7, TRUE,0)
  + _xlfn.IFS(AP202="Formal",5, AP202="Referenced",2, TRUE,0)
  + _xlfn.IFS(AQ202="No Issues Found",5, AQ202="Concern Identified",-5, AQ202="Severe Contradiction",-15, TRUE,0)
  + _xlfn.IFS(BC202="Reasonable Assurance",5, BC202="Limited Assurance",3, TRUE,0)
  - IF(AND(Z202="Yes", AI202="No"), 10, 0)
  - IF(AND(Z202="Yes", AM202="No"), 10, 0)
))</f>
        <v/>
      </c>
      <c r="AS202" s="5" t="n"/>
      <c r="AT202" s="5" t="n"/>
      <c r="AU202" s="5" t="n"/>
      <c r="AV202" s="5" t="n"/>
      <c r="AW202" s="5" t="n"/>
      <c r="AX202" s="5" t="n"/>
      <c r="AY202" s="5" t="n"/>
      <c r="AZ202" s="5" t="n"/>
      <c r="BA202" s="5" t="n"/>
      <c r="BB202" s="5" t="n"/>
      <c r="BC202" s="5" t="n"/>
      <c r="BD202" s="5" t="n"/>
      <c r="BE202" s="39">
        <f t="array" ref="BE202">MIN(100, MAX(0,
  IFERROR(_xlfn.XLOOKUP(AT202,'Lookup Tables'!$D$2:$D$6,'Lookup Tables'!$E$2:$E$6,0),0)
  + IFERROR(_xlfn.XLOOKUP(AV202,'Lookup Tables'!$G$2:$G$5,'Lookup Tables'!$H$2:$H$5,0),0)
  + IFERROR(_xlfn.XLOOKUP(AW202,'Lookup Tables'!$J$2:$J$5,'Lookup Tables'!$K$2:$K$5,0),0)
  + _xlfn.IFS(AX202="No Issues",10, AX202="Complaint Filed",3, AX202="Confirmed Breach",-15, TRUE,0)
  + IFERROR(_xlfn.XLOOKUP(AY202,'Lookup Tables'!$M$2:$M$6,'Lookup Tables'!$N$2:$N$6,0),0)
  + IFERROR(_xlfn.XLOOKUP(AZ202,'Lookup Tables'!$P$2:$P$6,'Lookup Tables'!$Q$2:$Q$6,0),0)
  + _xlfn.IFS(BA202="Formal Board Committee",5, BA202="Board Oversight Mentioned",2, TRUE,0)
  + _xlfn.IFS(BB202="Yes — Quantified Targets",5, BB202="Yes — Discretionary Only",2, TRUE,0)
  + _xlfn.IFS(BC202="Reasonable Assurance",5, BC202="Limited Assurance",3, BC202="Management Review Only",1, TRUE,0)
))</f>
        <v/>
      </c>
      <c r="BF202" s="5" t="n"/>
      <c r="BG202" s="5" t="n"/>
      <c r="BH202" s="5" t="n"/>
      <c r="BI202" s="5" t="n"/>
      <c r="BJ202" s="5" t="n"/>
      <c r="BK202" s="5" t="n"/>
      <c r="BL202" s="5" t="n"/>
      <c r="BM202" s="5" t="n"/>
      <c r="BN202" s="5" t="n"/>
      <c r="BO202" s="5" t="n"/>
      <c r="BP202" s="5" t="n"/>
      <c r="BQ202" s="5" t="n"/>
      <c r="BR202" s="5" t="n"/>
      <c r="BS202" s="41">
        <f t="array" ref="BS202">MIN(100, MAX(0,
  IFERROR(_xlfn.XLOOKUP(BG202,'Lookup Tables'!$A$11:$A$16,'Lookup Tables'!$B$11:$B$16,0),0)
  + IFERROR(_xlfn.XLOOKUP(BR202,'Lookup Tables'!$M$11:$M$14,'Lookup Tables'!$N$11:$N$14,0),0)
  + IFERROR(_xlfn.XLOOKUP(BQ202,'Lookup Tables'!$J$11:$J$15,'Lookup Tables'!$K$11:$K$15,0),0)
  + IFERROR(_xlfn.XLOOKUP(BH202,'Lookup Tables'!$D$11:$D$15,'Lookup Tables'!$E$11:$E$15,0),0)
  + IFERROR(_xlfn.XLOOKUP(BJ202,'Lookup Tables'!$G$11:$G$16,'Lookup Tables'!$H$11:$H$16,0),0)
  + IFERROR(_xlfn.XLOOKUP(BN202,'Lookup Tables'!$P$11:$P$15,'Lookup Tables'!$Q$11:$Q$15,0),0)
  + _xlfn.IFS(BM202="No Evidence",10, BM202="Unknown",3, BM202="Likely",0, BM202="Confirmed",-10, TRUE,3)
  + IFERROR(_xlfn.XLOOKUP(BP202,'Lookup Tables'!$J$21:$J$24,'Lookup Tables'!$K$21:$K$24,0),0)
))</f>
        <v/>
      </c>
      <c r="BT202" s="5" t="n"/>
      <c r="BU202" s="5" t="n"/>
      <c r="BV202" s="5" t="n"/>
      <c r="BW202" s="5" t="n"/>
      <c r="BX202" s="5" t="n"/>
      <c r="BY202" s="5" t="n"/>
      <c r="BZ202" s="5" t="n"/>
      <c r="CA202" s="5" t="n"/>
      <c r="CB202" s="5" t="n"/>
      <c r="CC202" s="5" t="n"/>
      <c r="CD202" s="5" t="n"/>
      <c r="CE202" s="43">
        <f t="array" ref="CE202">MIN(100, MAX(0,
  IF(ISNUMBER(BV202)*AND(BV202&gt;0), 10, 0)
  + _xlfn.IFS(BY202="Independently Verified",25, BY202="Yes",15, TRUE,0)
  + IFERROR(_xlfn.XLOOKUP(BZ202,'Lookup Tables'!$A$21:$A$24,'Lookup Tables'!$B$21:$B$24,0),0)
  + IFERROR(_xlfn.XLOOKUP(CA202,'Lookup Tables'!$D$21:$D$24,'Lookup Tables'!$E$21:$E$24,0),0)
  + _xlfn.IFS(ISNUMBER(CB202)*AND(CB202&gt;=11),15, ISNUMBER(CB202)*AND(CB202&gt;=6),10, ISNUMBER(CB202)*AND(CB202&gt;=1),5, TRUE,0)
  + IFERROR(_xlfn.XLOOKUP(CC202,'Lookup Tables'!$G$21:$G$25,'Lookup Tables'!$H$21:$H$25,0),0)
  - IF(ISNUMBER(BW202)*AND(ISNUMBER(BV202))*AND(BW202&gt;BV202), 20, 0)
  - IF(AND(BY202="Yes", ISNUMBER(BW202), BW202&gt;60), 10, 0)
))</f>
        <v/>
      </c>
      <c r="CF202" s="5" t="n"/>
      <c r="CG202" s="5" t="n"/>
      <c r="CH202" s="5" t="n"/>
      <c r="CI202" s="5" t="n"/>
      <c r="CJ202" s="5" t="n"/>
      <c r="CK202" s="5" t="n"/>
      <c r="CL202" s="5" t="n"/>
      <c r="CM202" s="5" t="n"/>
      <c r="CN202" s="5" t="n"/>
      <c r="CO202" s="5" t="n"/>
      <c r="CP202" s="5" t="n"/>
      <c r="CQ202" s="5" t="n"/>
      <c r="CR202" s="5">
        <f>COUNTIF(CJ202:CQ202,"FAIL")</f>
        <v/>
      </c>
      <c r="CS202" s="5">
        <f>COUNTIF(CJ202:CQ202,"PARTIAL")</f>
        <v/>
      </c>
      <c r="CT202" s="5">
        <f>COUNTIF(CJ202:CQ202,"MISSING")</f>
        <v/>
      </c>
      <c r="CU202" s="5">
        <f>MIN(100,
  CR202*15
  + CS202*6
  + CT202*3
  + IFERROR(_xlfn.XLOOKUP(CW202,'Lookup Tables'!$M$21:$M$25,'Lookup Tables'!$N$21:$N$25,0),0)
)</f>
        <v/>
      </c>
      <c r="CV202" s="5">
        <f>IFERROR(
CHOOSE(
MATCH("FAIL",CJ202:CQ202,0),
"1-Specificity","2-Metric","3-Baseline","4-Target",
"5-Time Horizon","6-Scope","7-Verification","8-Consistency"
),
IFERROR(
CHOOSE(
MATCH("PARTIAL",CJ202:CQ202,0),
"1-Specificity","2-Metric","3-Baseline","4-Target",
"5-Time Horizon","6-Scope","7-Verification","8-Consistency"
),
"No failures"
)
)</f>
        <v/>
      </c>
      <c r="CW202" s="5" t="n"/>
      <c r="CX202" s="5" t="n"/>
      <c r="CY202" s="5" t="n"/>
      <c r="CZ202" s="5" t="n"/>
      <c r="DA202" s="5">
        <f>IF(OR(CU202&gt;=50,CW202="Material",CW202="Severe",AS202="Material",AS202="Severe",BF202="Material",BF202="Severe — Exclusion Trigger",AND(ISNUMBER(BS202),BS202&lt;30)),"Yes","No")</f>
        <v/>
      </c>
      <c r="DB202" s="5">
        <f>IF(OR(CR202&gt;=6,AW202="Confirmed Violation",AX202="Confirmed Breach"),"Yes — Automatic",IF(CW202="Severe","Yes — Requires Captain Confirmation","No"))</f>
        <v/>
      </c>
      <c r="DC202" s="5" t="n"/>
      <c r="DD202" s="5" t="n"/>
      <c r="DE202" s="5" t="n"/>
      <c r="DF202" s="5" t="n"/>
      <c r="DG202" s="5" t="n"/>
      <c r="DH202" s="5" t="n"/>
      <c r="DI202" s="5" t="n"/>
      <c r="DJ202" s="5" t="n"/>
      <c r="DK202" s="5" t="n"/>
      <c r="DL202" s="5">
        <f>IF(OR(IFERROR(VALUE(LEFT(DF202,1)),99)&lt;=2,IFERROR(VALUE(LEFT(DG202,1)),99)&lt;=2),"Flagged","Clear")</f>
        <v/>
      </c>
      <c r="DM202" s="5">
        <f>IF(OR(DA202="Yes",DB202&lt;&gt;"No",DH202="Unverified",DL202="Flagged"),"Yes","No")</f>
        <v/>
      </c>
      <c r="DN202" s="5">
        <f t="array" ref="DN202">MIN(100,
  IF(ISNUMBER(V202), _xlfn.IFS(V202&gt;=3,25, V202=2,15, V202=1,5, TRUE,0), 0)
  + IFERROR(_xlfn.IFS(VALUE(LEFT(DF202,1))=5,25, VALUE(LEFT(DF202,1))=4,20, VALUE(LEFT(DF202,1))=3,15, VALUE(LEFT(DF202,1))=2,8, TRUE,0), 15)
  + IFERROR(_xlfn.IFS(VALUE(LEFT(DG202,1))=5,25, VALUE(LEFT(DG202,1))=4,20, VALUE(LEFT(DG202,1))=3,15, VALUE(LEFT(DG202,1))=2,8, TRUE,0), 15)
  + _xlfn.IFS(DH202="Fully Verified",25, DH202="Partially Verified",12, TRUE,0)
)</f>
        <v/>
      </c>
      <c r="DO202" s="5">
        <f t="array" ref="DO202">_xlfn.IFS(
  ISBLANK(AR202), "Insufficient Evidence",
  AND(AR202&gt;=65, AJ202="Approved"), "Strong",
  AR202&gt;=65, "Adequate",
  AR202&gt;=40, "Adequate",
  AR202&gt;=20, "Weak",
  TRUE, "Insufficient Evidence"
)</f>
        <v/>
      </c>
      <c r="DP202" s="5">
        <f t="array" ref="DP202">_xlfn.IFS(
  ISBLANK(BS202), "Insufficient Evidence",
  BS202&gt;=65, "Strong",
  BS202&gt;=40, "Adequate",
  BS202&gt;=20, "Weak",
  TRUE, "Insufficient Evidence"
)</f>
        <v/>
      </c>
      <c r="DQ202" s="5">
        <f t="array" ref="DQ202">_xlfn.IFS(
  ISBLANK(BE202), "Insufficient Evidence",
  OR(AW202="Confirmed Violation", AX202="Confirmed Breach"), "Severe — Hard Trigger",
  BE202&gt;=65, "Strong",
  BE202&gt;=40, "Adequate",
  BE202&gt;=20, "Weak",
  TRUE, "Insufficient Evidence"
)</f>
        <v/>
      </c>
      <c r="DR202" s="5">
        <f t="array" ref="DR202">_xlfn.IFS(
  ISBLANK(CU202), "Insufficient Evidence",
  CU202&lt;=20, "Low Risk",
  CU202&lt;=50, "Moderate Risk",
  CU202&lt;=75, "High Risk",
  TRUE, "Very High Risk"
)</f>
        <v/>
      </c>
      <c r="DS202" s="5">
        <f t="array" ref="DS202">_xlfn.IFS(
  ISBLANK(CE202), "Insufficient Evidence",
  AND(ISNUMBER(BW202),ISNUMBER(BV202),BW202&gt;BV202), "Overclaiming Risk",
  CE202&gt;=65, "Strong",
  CE202&gt;=40, "Adequate",
  TRUE, "Weak"
)</f>
        <v/>
      </c>
      <c r="DT202" s="5">
        <f>IF(DB202="Yes — Automatic",0,ROUND((IF(ISNUMBER(AR202),AR202,0)*0.3+IF(ISNUMBER(BS202),BS202,0)*0.2+IF(ISNUMBER(BE202),BE202,0)*0.2+IF(ISNUMBER(CE202),CE202,0)*0.15+(100-IF(ISNUMBER(CU202),CU202,50))*0.15)*IF(DN202&gt;=75,1,IF(DN202&gt;=50,0.9,IF(DN202&gt;=25,0.75,0.6))),1))</f>
        <v/>
      </c>
      <c r="DU202" s="5">
        <f t="array" ref="DU202">_xlfn.IFS(
  DV202="Upgraded to Clear", "Clear",
  DV202="Downgraded to Watchlist", "Watchlist",
  DV202="Downgraded to Exclusion", "Exclusion Risk",
  DB202="Yes — Automatic", "Exclusion Risk",
  OR(AW202="Confirmed Violation", AX202="Confirmed Breach"), "Exclusion Risk",
  OR(V202=0, ISBLANK(V202), DN202&lt;20), "Insufficient Evidence",
  AND(DT202&gt;=65, DA202="No", DB202="No"), "Clear",
  OR(DT202&gt;=40, DA202="Yes"), "Watchlist",
  TRUE, "Exclusion Risk"
)</f>
        <v/>
      </c>
      <c r="DV202" s="5" t="n"/>
      <c r="DW202" s="5">
        <f t="array" ref="DW202">_xlfn.IFS(
  DU202="Exclusion Risk", "Exclude — Hard Trigger",
  DU202="Insufficient Evidence", "Watchlist — Further Evidence Needed",
  DU202="Watchlist", "Watchlist — Further Evidence Needed",
  AND(DU202="Clear", DT202&gt;=80), "Include — No Conditions",
  DU202="Clear", "Include — Monitor",
  TRUE, "Watchlist — Further Evidence Needed"
)</f>
        <v/>
      </c>
      <c r="DX202" s="5" t="n"/>
      <c r="DY202" s="5" t="n"/>
      <c r="DZ202" s="5" t="n"/>
      <c r="EA202" s="5" t="n"/>
      <c r="EB202" s="5">
        <f>IF(OR(V202=0, ISBLANK(V202)), "MISSING — No sources reviewed", "")</f>
        <v/>
      </c>
      <c r="EC202" s="5">
        <f>IF(AND(NOT(ISBLANK(DC202)), ISBLANK(DE202)), "PAGE REF MISSING", "")</f>
        <v/>
      </c>
    </row>
    <row r="203" ht="18" customHeight="1" s="60">
      <c r="A203" s="5" t="inlineStr"/>
      <c r="B203" s="5" t="inlineStr"/>
      <c r="C203" s="5">
        <f>IF(ISBLANK('Universe Tracker'!D178),"",'Universe Tracker'!D178)</f>
        <v/>
      </c>
      <c r="D203" s="5" t="n"/>
      <c r="E203" s="5" t="n"/>
      <c r="F203" s="5">
        <f>IF(ISBLANK('Universe Tracker'!F178),"",'Universe Tracker'!F178)</f>
        <v/>
      </c>
      <c r="G203" s="5">
        <f>IF(ISBLANK('Universe Tracker'!G178),"",'Universe Tracker'!G178)</f>
        <v/>
      </c>
      <c r="H203" s="5" t="n"/>
      <c r="I203" s="5" t="n"/>
      <c r="J203" s="5">
        <f>IF(ISBLANK(B203),"",B203&amp;"_"&amp;C203)</f>
        <v/>
      </c>
      <c r="K203" s="5" t="n"/>
      <c r="L203" s="5" t="n"/>
      <c r="M203" s="5" t="n"/>
      <c r="N203" s="5" t="n"/>
      <c r="O203" s="5" t="n"/>
      <c r="P203" s="5" t="n"/>
      <c r="Q203" s="5" t="n"/>
      <c r="R203" s="5" t="n"/>
      <c r="S203" s="5" t="n"/>
      <c r="T203" s="5" t="n"/>
      <c r="U203" s="5" t="n"/>
      <c r="V203" s="5" t="n"/>
      <c r="W203" s="5" t="n"/>
      <c r="X203" s="5" t="n"/>
      <c r="Y203" s="5">
        <f>IF(AND(V203&gt;=2,K203="Yes",L203="Yes"),"Sufficient",IF(AND(V203&gt;=1,OR(K203="Yes",L203="Yes")),"Thin","Insufficient"))</f>
        <v/>
      </c>
      <c r="Z203" s="5" t="n"/>
      <c r="AA203" s="5" t="n"/>
      <c r="AB203" s="5" t="n"/>
      <c r="AC203" s="5" t="n"/>
      <c r="AD203" s="5" t="n"/>
      <c r="AE203" s="5" t="n"/>
      <c r="AF203" s="5" t="n"/>
      <c r="AG203" s="5" t="n"/>
      <c r="AH203" s="5" t="n"/>
      <c r="AI203" s="5" t="n"/>
      <c r="AJ203" s="5" t="n"/>
      <c r="AK203" s="5" t="n"/>
      <c r="AL203" s="5" t="n"/>
      <c r="AM203" s="5" t="n"/>
      <c r="AN203" s="5" t="n"/>
      <c r="AO203" s="5" t="n"/>
      <c r="AP203" s="5" t="n"/>
      <c r="AQ203" s="5" t="n"/>
      <c r="AR203" s="40">
        <f t="array" ref="AR203">MIN(100, MAX(0,
  IFERROR(_xlfn.XLOOKUP(AJ203,'Lookup Tables'!$A$2:$A$7,'Lookup Tables'!$B$2:$B$7,0),0)
  + IF(Z203="Yes", IF(IFERROR(_xlfn.XLOOKUP(AJ203,'Lookup Tables'!$A$2:$A$7,'Lookup Tables'!$B$2:$B$7,0),0)&lt;20, 5, 0), 0)
  + _xlfn.IFS(AB203="Yes", IF(ISNUMBER(AC203)*AND(AC203&lt;=2030),15,10), AB203="Long-term Only", 5, AB203="No", 0, TRUE, 0)
  + _xlfn.IFS(AF203="Full",10, AF203="Partial",5, AF203="Scope 2 Only",3, TRUE,0)
  + _xlfn.IFS(AG203="Yes", IF(ISNUMBER(AH203)*AND(AH203&gt;=5),10,6), AG203="Partial",4, TRUE,0)
  + _xlfn.IFS(AI203="Yes",5, AI203="Partial (material categories only)",3, TRUE,0)
  + _xlfn.IFS(AL203="Yes — Detailed",10, AL203="Yes — High Level",5, TRUE,0)
  + _xlfn.IFS(AM203="Yes — Quantified",15, AM203="Yes — Directional Only",7, TRUE,0)
  + _xlfn.IFS(AP203="Formal",5, AP203="Referenced",2, TRUE,0)
  + _xlfn.IFS(AQ203="No Issues Found",5, AQ203="Concern Identified",-5, AQ203="Severe Contradiction",-15, TRUE,0)
  + _xlfn.IFS(BC203="Reasonable Assurance",5, BC203="Limited Assurance",3, TRUE,0)
  - IF(AND(Z203="Yes", AI203="No"), 10, 0)
  - IF(AND(Z203="Yes", AM203="No"), 10, 0)
))</f>
        <v/>
      </c>
      <c r="AS203" s="5" t="n"/>
      <c r="AT203" s="5" t="n"/>
      <c r="AU203" s="5" t="n"/>
      <c r="AV203" s="5" t="n"/>
      <c r="AW203" s="5" t="n"/>
      <c r="AX203" s="5" t="n"/>
      <c r="AY203" s="5" t="n"/>
      <c r="AZ203" s="5" t="n"/>
      <c r="BA203" s="5" t="n"/>
      <c r="BB203" s="5" t="n"/>
      <c r="BC203" s="5" t="n"/>
      <c r="BD203" s="5" t="n"/>
      <c r="BE203" s="39">
        <f t="array" ref="BE203">MIN(100, MAX(0,
  IFERROR(_xlfn.XLOOKUP(AT203,'Lookup Tables'!$D$2:$D$6,'Lookup Tables'!$E$2:$E$6,0),0)
  + IFERROR(_xlfn.XLOOKUP(AV203,'Lookup Tables'!$G$2:$G$5,'Lookup Tables'!$H$2:$H$5,0),0)
  + IFERROR(_xlfn.XLOOKUP(AW203,'Lookup Tables'!$J$2:$J$5,'Lookup Tables'!$K$2:$K$5,0),0)
  + _xlfn.IFS(AX203="No Issues",10, AX203="Complaint Filed",3, AX203="Confirmed Breach",-15, TRUE,0)
  + IFERROR(_xlfn.XLOOKUP(AY203,'Lookup Tables'!$M$2:$M$6,'Lookup Tables'!$N$2:$N$6,0),0)
  + IFERROR(_xlfn.XLOOKUP(AZ203,'Lookup Tables'!$P$2:$P$6,'Lookup Tables'!$Q$2:$Q$6,0),0)
  + _xlfn.IFS(BA203="Formal Board Committee",5, BA203="Board Oversight Mentioned",2, TRUE,0)
  + _xlfn.IFS(BB203="Yes — Quantified Targets",5, BB203="Yes — Discretionary Only",2, TRUE,0)
  + _xlfn.IFS(BC203="Reasonable Assurance",5, BC203="Limited Assurance",3, BC203="Management Review Only",1, TRUE,0)
))</f>
        <v/>
      </c>
      <c r="BF203" s="5" t="n"/>
      <c r="BG203" s="5" t="n"/>
      <c r="BH203" s="5" t="n"/>
      <c r="BI203" s="5" t="n"/>
      <c r="BJ203" s="5" t="n"/>
      <c r="BK203" s="5" t="n"/>
      <c r="BL203" s="5" t="n"/>
      <c r="BM203" s="5" t="n"/>
      <c r="BN203" s="5" t="n"/>
      <c r="BO203" s="5" t="n"/>
      <c r="BP203" s="5" t="n"/>
      <c r="BQ203" s="5" t="n"/>
      <c r="BR203" s="5" t="n"/>
      <c r="BS203" s="41">
        <f t="array" ref="BS203">MIN(100, MAX(0,
  IFERROR(_xlfn.XLOOKUP(BG203,'Lookup Tables'!$A$11:$A$16,'Lookup Tables'!$B$11:$B$16,0),0)
  + IFERROR(_xlfn.XLOOKUP(BR203,'Lookup Tables'!$M$11:$M$14,'Lookup Tables'!$N$11:$N$14,0),0)
  + IFERROR(_xlfn.XLOOKUP(BQ203,'Lookup Tables'!$J$11:$J$15,'Lookup Tables'!$K$11:$K$15,0),0)
  + IFERROR(_xlfn.XLOOKUP(BH203,'Lookup Tables'!$D$11:$D$15,'Lookup Tables'!$E$11:$E$15,0),0)
  + IFERROR(_xlfn.XLOOKUP(BJ203,'Lookup Tables'!$G$11:$G$16,'Lookup Tables'!$H$11:$H$16,0),0)
  + IFERROR(_xlfn.XLOOKUP(BN203,'Lookup Tables'!$P$11:$P$15,'Lookup Tables'!$Q$11:$Q$15,0),0)
  + _xlfn.IFS(BM203="No Evidence",10, BM203="Unknown",3, BM203="Likely",0, BM203="Confirmed",-10, TRUE,3)
  + IFERROR(_xlfn.XLOOKUP(BP203,'Lookup Tables'!$J$21:$J$24,'Lookup Tables'!$K$21:$K$24,0),0)
))</f>
        <v/>
      </c>
      <c r="BT203" s="5" t="n"/>
      <c r="BU203" s="5" t="n"/>
      <c r="BV203" s="5" t="n"/>
      <c r="BW203" s="5" t="n"/>
      <c r="BX203" s="5" t="n"/>
      <c r="BY203" s="5" t="n"/>
      <c r="BZ203" s="5" t="n"/>
      <c r="CA203" s="5" t="n"/>
      <c r="CB203" s="5" t="n"/>
      <c r="CC203" s="5" t="n"/>
      <c r="CD203" s="5" t="n"/>
      <c r="CE203" s="43">
        <f t="array" ref="CE203">MIN(100, MAX(0,
  IF(ISNUMBER(BV203)*AND(BV203&gt;0), 10, 0)
  + _xlfn.IFS(BY203="Independently Verified",25, BY203="Yes",15, TRUE,0)
  + IFERROR(_xlfn.XLOOKUP(BZ203,'Lookup Tables'!$A$21:$A$24,'Lookup Tables'!$B$21:$B$24,0),0)
  + IFERROR(_xlfn.XLOOKUP(CA203,'Lookup Tables'!$D$21:$D$24,'Lookup Tables'!$E$21:$E$24,0),0)
  + _xlfn.IFS(ISNUMBER(CB203)*AND(CB203&gt;=11),15, ISNUMBER(CB203)*AND(CB203&gt;=6),10, ISNUMBER(CB203)*AND(CB203&gt;=1),5, TRUE,0)
  + IFERROR(_xlfn.XLOOKUP(CC203,'Lookup Tables'!$G$21:$G$25,'Lookup Tables'!$H$21:$H$25,0),0)
  - IF(ISNUMBER(BW203)*AND(ISNUMBER(BV203))*AND(BW203&gt;BV203), 20, 0)
  - IF(AND(BY203="Yes", ISNUMBER(BW203), BW203&gt;60), 10, 0)
))</f>
        <v/>
      </c>
      <c r="CF203" s="5" t="n"/>
      <c r="CG203" s="5" t="n"/>
      <c r="CH203" s="5" t="n"/>
      <c r="CI203" s="5" t="n"/>
      <c r="CJ203" s="5" t="n"/>
      <c r="CK203" s="5" t="n"/>
      <c r="CL203" s="5" t="n"/>
      <c r="CM203" s="5" t="n"/>
      <c r="CN203" s="5" t="n"/>
      <c r="CO203" s="5" t="n"/>
      <c r="CP203" s="5" t="n"/>
      <c r="CQ203" s="5" t="n"/>
      <c r="CR203" s="5">
        <f>COUNTIF(CJ203:CQ203,"FAIL")</f>
        <v/>
      </c>
      <c r="CS203" s="5">
        <f>COUNTIF(CJ203:CQ203,"PARTIAL")</f>
        <v/>
      </c>
      <c r="CT203" s="5">
        <f>COUNTIF(CJ203:CQ203,"MISSING")</f>
        <v/>
      </c>
      <c r="CU203" s="5">
        <f>MIN(100,
  CR203*15
  + CS203*6
  + CT203*3
  + IFERROR(_xlfn.XLOOKUP(CW203,'Lookup Tables'!$M$21:$M$25,'Lookup Tables'!$N$21:$N$25,0),0)
)</f>
        <v/>
      </c>
      <c r="CV203" s="5">
        <f>IFERROR(
CHOOSE(
MATCH("FAIL",CJ203:CQ203,0),
"1-Specificity","2-Metric","3-Baseline","4-Target",
"5-Time Horizon","6-Scope","7-Verification","8-Consistency"
),
IFERROR(
CHOOSE(
MATCH("PARTIAL",CJ203:CQ203,0),
"1-Specificity","2-Metric","3-Baseline","4-Target",
"5-Time Horizon","6-Scope","7-Verification","8-Consistency"
),
"No failures"
)
)</f>
        <v/>
      </c>
      <c r="CW203" s="5" t="n"/>
      <c r="CX203" s="5" t="n"/>
      <c r="CY203" s="5" t="n"/>
      <c r="CZ203" s="5" t="n"/>
      <c r="DA203" s="5">
        <f>IF(OR(CU203&gt;=50,CW203="Material",CW203="Severe",AS203="Material",AS203="Severe",BF203="Material",BF203="Severe — Exclusion Trigger",AND(ISNUMBER(BS203),BS203&lt;30)),"Yes","No")</f>
        <v/>
      </c>
      <c r="DB203" s="5">
        <f>IF(OR(CR203&gt;=6,AW203="Confirmed Violation",AX203="Confirmed Breach"),"Yes — Automatic",IF(CW203="Severe","Yes — Requires Captain Confirmation","No"))</f>
        <v/>
      </c>
      <c r="DC203" s="5" t="n"/>
      <c r="DD203" s="5" t="n"/>
      <c r="DE203" s="5" t="n"/>
      <c r="DF203" s="5" t="n"/>
      <c r="DG203" s="5" t="n"/>
      <c r="DH203" s="5" t="n"/>
      <c r="DI203" s="5" t="n"/>
      <c r="DJ203" s="5" t="n"/>
      <c r="DK203" s="5" t="n"/>
      <c r="DL203" s="5">
        <f>IF(OR(IFERROR(VALUE(LEFT(DF203,1)),99)&lt;=2,IFERROR(VALUE(LEFT(DG203,1)),99)&lt;=2),"Flagged","Clear")</f>
        <v/>
      </c>
      <c r="DM203" s="5">
        <f>IF(OR(DA203="Yes",DB203&lt;&gt;"No",DH203="Unverified",DL203="Flagged"),"Yes","No")</f>
        <v/>
      </c>
      <c r="DN203" s="5">
        <f t="array" ref="DN203">MIN(100,
  IF(ISNUMBER(V203), _xlfn.IFS(V203&gt;=3,25, V203=2,15, V203=1,5, TRUE,0), 0)
  + IFERROR(_xlfn.IFS(VALUE(LEFT(DF203,1))=5,25, VALUE(LEFT(DF203,1))=4,20, VALUE(LEFT(DF203,1))=3,15, VALUE(LEFT(DF203,1))=2,8, TRUE,0), 15)
  + IFERROR(_xlfn.IFS(VALUE(LEFT(DG203,1))=5,25, VALUE(LEFT(DG203,1))=4,20, VALUE(LEFT(DG203,1))=3,15, VALUE(LEFT(DG203,1))=2,8, TRUE,0), 15)
  + _xlfn.IFS(DH203="Fully Verified",25, DH203="Partially Verified",12, TRUE,0)
)</f>
        <v/>
      </c>
      <c r="DO203" s="5">
        <f t="array" ref="DO203">_xlfn.IFS(
  ISBLANK(AR203), "Insufficient Evidence",
  AND(AR203&gt;=65, AJ203="Approved"), "Strong",
  AR203&gt;=65, "Adequate",
  AR203&gt;=40, "Adequate",
  AR203&gt;=20, "Weak",
  TRUE, "Insufficient Evidence"
)</f>
        <v/>
      </c>
      <c r="DP203" s="5">
        <f t="array" ref="DP203">_xlfn.IFS(
  ISBLANK(BS203), "Insufficient Evidence",
  BS203&gt;=65, "Strong",
  BS203&gt;=40, "Adequate",
  BS203&gt;=20, "Weak",
  TRUE, "Insufficient Evidence"
)</f>
        <v/>
      </c>
      <c r="DQ203" s="5">
        <f t="array" ref="DQ203">_xlfn.IFS(
  ISBLANK(BE203), "Insufficient Evidence",
  OR(AW203="Confirmed Violation", AX203="Confirmed Breach"), "Severe — Hard Trigger",
  BE203&gt;=65, "Strong",
  BE203&gt;=40, "Adequate",
  BE203&gt;=20, "Weak",
  TRUE, "Insufficient Evidence"
)</f>
        <v/>
      </c>
      <c r="DR203" s="5">
        <f t="array" ref="DR203">_xlfn.IFS(
  ISBLANK(CU203), "Insufficient Evidence",
  CU203&lt;=20, "Low Risk",
  CU203&lt;=50, "Moderate Risk",
  CU203&lt;=75, "High Risk",
  TRUE, "Very High Risk"
)</f>
        <v/>
      </c>
      <c r="DS203" s="5">
        <f t="array" ref="DS203">_xlfn.IFS(
  ISBLANK(CE203), "Insufficient Evidence",
  AND(ISNUMBER(BW203),ISNUMBER(BV203),BW203&gt;BV203), "Overclaiming Risk",
  CE203&gt;=65, "Strong",
  CE203&gt;=40, "Adequate",
  TRUE, "Weak"
)</f>
        <v/>
      </c>
      <c r="DT203" s="5">
        <f>IF(DB203="Yes — Automatic",0,ROUND((IF(ISNUMBER(AR203),AR203,0)*0.3+IF(ISNUMBER(BS203),BS203,0)*0.2+IF(ISNUMBER(BE203),BE203,0)*0.2+IF(ISNUMBER(CE203),CE203,0)*0.15+(100-IF(ISNUMBER(CU203),CU203,50))*0.15)*IF(DN203&gt;=75,1,IF(DN203&gt;=50,0.9,IF(DN203&gt;=25,0.75,0.6))),1))</f>
        <v/>
      </c>
      <c r="DU203" s="5">
        <f t="array" ref="DU203">_xlfn.IFS(
  DV203="Upgraded to Clear", "Clear",
  DV203="Downgraded to Watchlist", "Watchlist",
  DV203="Downgraded to Exclusion", "Exclusion Risk",
  DB203="Yes — Automatic", "Exclusion Risk",
  OR(AW203="Confirmed Violation", AX203="Confirmed Breach"), "Exclusion Risk",
  OR(V203=0, ISBLANK(V203), DN203&lt;20), "Insufficient Evidence",
  AND(DT203&gt;=65, DA203="No", DB203="No"), "Clear",
  OR(DT203&gt;=40, DA203="Yes"), "Watchlist",
  TRUE, "Exclusion Risk"
)</f>
        <v/>
      </c>
      <c r="DV203" s="5" t="n"/>
      <c r="DW203" s="5">
        <f t="array" ref="DW203">_xlfn.IFS(
  DU203="Exclusion Risk", "Exclude — Hard Trigger",
  DU203="Insufficient Evidence", "Watchlist — Further Evidence Needed",
  DU203="Watchlist", "Watchlist — Further Evidence Needed",
  AND(DU203="Clear", DT203&gt;=80), "Include — No Conditions",
  DU203="Clear", "Include — Monitor",
  TRUE, "Watchlist — Further Evidence Needed"
)</f>
        <v/>
      </c>
      <c r="DX203" s="5" t="n"/>
      <c r="DY203" s="5" t="n"/>
      <c r="DZ203" s="5" t="n"/>
      <c r="EA203" s="5" t="n"/>
      <c r="EB203" s="5">
        <f>IF(OR(V203=0, ISBLANK(V203)), "MISSING — No sources reviewed", "")</f>
        <v/>
      </c>
      <c r="EC203" s="5">
        <f>IF(AND(NOT(ISBLANK(DC203)), ISBLANK(DE203)), "PAGE REF MISSING", "")</f>
        <v/>
      </c>
    </row>
    <row r="204" ht="18" customHeight="1" s="60">
      <c r="A204" s="5" t="inlineStr"/>
      <c r="B204" s="5" t="inlineStr"/>
      <c r="C204" s="5">
        <f>IF(ISBLANK('Universe Tracker'!D179),"",'Universe Tracker'!D179)</f>
        <v/>
      </c>
      <c r="D204" s="5" t="n"/>
      <c r="E204" s="5" t="n"/>
      <c r="F204" s="5">
        <f>IF(ISBLANK('Universe Tracker'!F179),"",'Universe Tracker'!F179)</f>
        <v/>
      </c>
      <c r="G204" s="5">
        <f>IF(ISBLANK('Universe Tracker'!G179),"",'Universe Tracker'!G179)</f>
        <v/>
      </c>
      <c r="H204" s="5" t="n"/>
      <c r="I204" s="5" t="n"/>
      <c r="J204" s="5">
        <f>IF(ISBLANK(B204),"",B204&amp;"_"&amp;C204)</f>
        <v/>
      </c>
      <c r="K204" s="5" t="n"/>
      <c r="L204" s="5" t="n"/>
      <c r="M204" s="5" t="n"/>
      <c r="N204" s="5" t="n"/>
      <c r="O204" s="5" t="n"/>
      <c r="P204" s="5" t="n"/>
      <c r="Q204" s="5" t="n"/>
      <c r="R204" s="5" t="n"/>
      <c r="S204" s="5" t="n"/>
      <c r="T204" s="5" t="n"/>
      <c r="U204" s="5" t="n"/>
      <c r="V204" s="5" t="n"/>
      <c r="W204" s="5" t="n"/>
      <c r="X204" s="5" t="n"/>
      <c r="Y204" s="5">
        <f>IF(AND(V204&gt;=2,K204="Yes",L204="Yes"),"Sufficient",IF(AND(V204&gt;=1,OR(K204="Yes",L204="Yes")),"Thin","Insufficient"))</f>
        <v/>
      </c>
      <c r="Z204" s="5" t="n"/>
      <c r="AA204" s="5" t="n"/>
      <c r="AB204" s="5" t="n"/>
      <c r="AC204" s="5" t="n"/>
      <c r="AD204" s="5" t="n"/>
      <c r="AE204" s="5" t="n"/>
      <c r="AF204" s="5" t="n"/>
      <c r="AG204" s="5" t="n"/>
      <c r="AH204" s="5" t="n"/>
      <c r="AI204" s="5" t="n"/>
      <c r="AJ204" s="5" t="n"/>
      <c r="AK204" s="5" t="n"/>
      <c r="AL204" s="5" t="n"/>
      <c r="AM204" s="5" t="n"/>
      <c r="AN204" s="5" t="n"/>
      <c r="AO204" s="5" t="n"/>
      <c r="AP204" s="5" t="n"/>
      <c r="AQ204" s="5" t="n"/>
      <c r="AR204" s="40">
        <f t="array" ref="AR204">MIN(100, MAX(0,
  IFERROR(_xlfn.XLOOKUP(AJ204,'Lookup Tables'!$A$2:$A$7,'Lookup Tables'!$B$2:$B$7,0),0)
  + IF(Z204="Yes", IF(IFERROR(_xlfn.XLOOKUP(AJ204,'Lookup Tables'!$A$2:$A$7,'Lookup Tables'!$B$2:$B$7,0),0)&lt;20, 5, 0), 0)
  + _xlfn.IFS(AB204="Yes", IF(ISNUMBER(AC204)*AND(AC204&lt;=2030),15,10), AB204="Long-term Only", 5, AB204="No", 0, TRUE, 0)
  + _xlfn.IFS(AF204="Full",10, AF204="Partial",5, AF204="Scope 2 Only",3, TRUE,0)
  + _xlfn.IFS(AG204="Yes", IF(ISNUMBER(AH204)*AND(AH204&gt;=5),10,6), AG204="Partial",4, TRUE,0)
  + _xlfn.IFS(AI204="Yes",5, AI204="Partial (material categories only)",3, TRUE,0)
  + _xlfn.IFS(AL204="Yes — Detailed",10, AL204="Yes — High Level",5, TRUE,0)
  + _xlfn.IFS(AM204="Yes — Quantified",15, AM204="Yes — Directional Only",7, TRUE,0)
  + _xlfn.IFS(AP204="Formal",5, AP204="Referenced",2, TRUE,0)
  + _xlfn.IFS(AQ204="No Issues Found",5, AQ204="Concern Identified",-5, AQ204="Severe Contradiction",-15, TRUE,0)
  + _xlfn.IFS(BC204="Reasonable Assurance",5, BC204="Limited Assurance",3, TRUE,0)
  - IF(AND(Z204="Yes", AI204="No"), 10, 0)
  - IF(AND(Z204="Yes", AM204="No"), 10, 0)
))</f>
        <v/>
      </c>
      <c r="AS204" s="5" t="n"/>
      <c r="AT204" s="5" t="n"/>
      <c r="AU204" s="5" t="n"/>
      <c r="AV204" s="5" t="n"/>
      <c r="AW204" s="5" t="n"/>
      <c r="AX204" s="5" t="n"/>
      <c r="AY204" s="5" t="n"/>
      <c r="AZ204" s="5" t="n"/>
      <c r="BA204" s="5" t="n"/>
      <c r="BB204" s="5" t="n"/>
      <c r="BC204" s="5" t="n"/>
      <c r="BD204" s="5" t="n"/>
      <c r="BE204" s="39">
        <f t="array" ref="BE204">MIN(100, MAX(0,
  IFERROR(_xlfn.XLOOKUP(AT204,'Lookup Tables'!$D$2:$D$6,'Lookup Tables'!$E$2:$E$6,0),0)
  + IFERROR(_xlfn.XLOOKUP(AV204,'Lookup Tables'!$G$2:$G$5,'Lookup Tables'!$H$2:$H$5,0),0)
  + IFERROR(_xlfn.XLOOKUP(AW204,'Lookup Tables'!$J$2:$J$5,'Lookup Tables'!$K$2:$K$5,0),0)
  + _xlfn.IFS(AX204="No Issues",10, AX204="Complaint Filed",3, AX204="Confirmed Breach",-15, TRUE,0)
  + IFERROR(_xlfn.XLOOKUP(AY204,'Lookup Tables'!$M$2:$M$6,'Lookup Tables'!$N$2:$N$6,0),0)
  + IFERROR(_xlfn.XLOOKUP(AZ204,'Lookup Tables'!$P$2:$P$6,'Lookup Tables'!$Q$2:$Q$6,0),0)
  + _xlfn.IFS(BA204="Formal Board Committee",5, BA204="Board Oversight Mentioned",2, TRUE,0)
  + _xlfn.IFS(BB204="Yes — Quantified Targets",5, BB204="Yes — Discretionary Only",2, TRUE,0)
  + _xlfn.IFS(BC204="Reasonable Assurance",5, BC204="Limited Assurance",3, BC204="Management Review Only",1, TRUE,0)
))</f>
        <v/>
      </c>
      <c r="BF204" s="5" t="n"/>
      <c r="BG204" s="5" t="n"/>
      <c r="BH204" s="5" t="n"/>
      <c r="BI204" s="5" t="n"/>
      <c r="BJ204" s="5" t="n"/>
      <c r="BK204" s="5" t="n"/>
      <c r="BL204" s="5" t="n"/>
      <c r="BM204" s="5" t="n"/>
      <c r="BN204" s="5" t="n"/>
      <c r="BO204" s="5" t="n"/>
      <c r="BP204" s="5" t="n"/>
      <c r="BQ204" s="5" t="n"/>
      <c r="BR204" s="5" t="n"/>
      <c r="BS204" s="41">
        <f t="array" ref="BS204">MIN(100, MAX(0,
  IFERROR(_xlfn.XLOOKUP(BG204,'Lookup Tables'!$A$11:$A$16,'Lookup Tables'!$B$11:$B$16,0),0)
  + IFERROR(_xlfn.XLOOKUP(BR204,'Lookup Tables'!$M$11:$M$14,'Lookup Tables'!$N$11:$N$14,0),0)
  + IFERROR(_xlfn.XLOOKUP(BQ204,'Lookup Tables'!$J$11:$J$15,'Lookup Tables'!$K$11:$K$15,0),0)
  + IFERROR(_xlfn.XLOOKUP(BH204,'Lookup Tables'!$D$11:$D$15,'Lookup Tables'!$E$11:$E$15,0),0)
  + IFERROR(_xlfn.XLOOKUP(BJ204,'Lookup Tables'!$G$11:$G$16,'Lookup Tables'!$H$11:$H$16,0),0)
  + IFERROR(_xlfn.XLOOKUP(BN204,'Lookup Tables'!$P$11:$P$15,'Lookup Tables'!$Q$11:$Q$15,0),0)
  + _xlfn.IFS(BM204="No Evidence",10, BM204="Unknown",3, BM204="Likely",0, BM204="Confirmed",-10, TRUE,3)
  + IFERROR(_xlfn.XLOOKUP(BP204,'Lookup Tables'!$J$21:$J$24,'Lookup Tables'!$K$21:$K$24,0),0)
))</f>
        <v/>
      </c>
      <c r="BT204" s="5" t="n"/>
      <c r="BU204" s="5" t="n"/>
      <c r="BV204" s="5" t="n"/>
      <c r="BW204" s="5" t="n"/>
      <c r="BX204" s="5" t="n"/>
      <c r="BY204" s="5" t="n"/>
      <c r="BZ204" s="5" t="n"/>
      <c r="CA204" s="5" t="n"/>
      <c r="CB204" s="5" t="n"/>
      <c r="CC204" s="5" t="n"/>
      <c r="CD204" s="5" t="n"/>
      <c r="CE204" s="43">
        <f t="array" ref="CE204">MIN(100, MAX(0,
  IF(ISNUMBER(BV204)*AND(BV204&gt;0), 10, 0)
  + _xlfn.IFS(BY204="Independently Verified",25, BY204="Yes",15, TRUE,0)
  + IFERROR(_xlfn.XLOOKUP(BZ204,'Lookup Tables'!$A$21:$A$24,'Lookup Tables'!$B$21:$B$24,0),0)
  + IFERROR(_xlfn.XLOOKUP(CA204,'Lookup Tables'!$D$21:$D$24,'Lookup Tables'!$E$21:$E$24,0),0)
  + _xlfn.IFS(ISNUMBER(CB204)*AND(CB204&gt;=11),15, ISNUMBER(CB204)*AND(CB204&gt;=6),10, ISNUMBER(CB204)*AND(CB204&gt;=1),5, TRUE,0)
  + IFERROR(_xlfn.XLOOKUP(CC204,'Lookup Tables'!$G$21:$G$25,'Lookup Tables'!$H$21:$H$25,0),0)
  - IF(ISNUMBER(BW204)*AND(ISNUMBER(BV204))*AND(BW204&gt;BV204), 20, 0)
  - IF(AND(BY204="Yes", ISNUMBER(BW204), BW204&gt;60), 10, 0)
))</f>
        <v/>
      </c>
      <c r="CF204" s="5" t="n"/>
      <c r="CG204" s="5" t="n"/>
      <c r="CH204" s="5" t="n"/>
      <c r="CI204" s="5" t="n"/>
      <c r="CJ204" s="5" t="n"/>
      <c r="CK204" s="5" t="n"/>
      <c r="CL204" s="5" t="n"/>
      <c r="CM204" s="5" t="n"/>
      <c r="CN204" s="5" t="n"/>
      <c r="CO204" s="5" t="n"/>
      <c r="CP204" s="5" t="n"/>
      <c r="CQ204" s="5" t="n"/>
      <c r="CR204" s="5">
        <f>COUNTIF(CJ204:CQ204,"FAIL")</f>
        <v/>
      </c>
      <c r="CS204" s="5">
        <f>COUNTIF(CJ204:CQ204,"PARTIAL")</f>
        <v/>
      </c>
      <c r="CT204" s="5">
        <f>COUNTIF(CJ204:CQ204,"MISSING")</f>
        <v/>
      </c>
      <c r="CU204" s="5">
        <f>MIN(100,
  CR204*15
  + CS204*6
  + CT204*3
  + IFERROR(_xlfn.XLOOKUP(CW204,'Lookup Tables'!$M$21:$M$25,'Lookup Tables'!$N$21:$N$25,0),0)
)</f>
        <v/>
      </c>
      <c r="CV204" s="5">
        <f>IFERROR(
CHOOSE(
MATCH("FAIL",CJ204:CQ204,0),
"1-Specificity","2-Metric","3-Baseline","4-Target",
"5-Time Horizon","6-Scope","7-Verification","8-Consistency"
),
IFERROR(
CHOOSE(
MATCH("PARTIAL",CJ204:CQ204,0),
"1-Specificity","2-Metric","3-Baseline","4-Target",
"5-Time Horizon","6-Scope","7-Verification","8-Consistency"
),
"No failures"
)
)</f>
        <v/>
      </c>
      <c r="CW204" s="5" t="n"/>
      <c r="CX204" s="5" t="n"/>
      <c r="CY204" s="5" t="n"/>
      <c r="CZ204" s="5" t="n"/>
      <c r="DA204" s="5">
        <f>IF(OR(CU204&gt;=50,CW204="Material",CW204="Severe",AS204="Material",AS204="Severe",BF204="Material",BF204="Severe — Exclusion Trigger",AND(ISNUMBER(BS204),BS204&lt;30)),"Yes","No")</f>
        <v/>
      </c>
      <c r="DB204" s="5">
        <f>IF(OR(CR204&gt;=6,AW204="Confirmed Violation",AX204="Confirmed Breach"),"Yes — Automatic",IF(CW204="Severe","Yes — Requires Captain Confirmation","No"))</f>
        <v/>
      </c>
      <c r="DC204" s="5" t="n"/>
      <c r="DD204" s="5" t="n"/>
      <c r="DE204" s="5" t="n"/>
      <c r="DF204" s="5" t="n"/>
      <c r="DG204" s="5" t="n"/>
      <c r="DH204" s="5" t="n"/>
      <c r="DI204" s="5" t="n"/>
      <c r="DJ204" s="5" t="n"/>
      <c r="DK204" s="5" t="n"/>
      <c r="DL204" s="5">
        <f>IF(OR(IFERROR(VALUE(LEFT(DF204,1)),99)&lt;=2,IFERROR(VALUE(LEFT(DG204,1)),99)&lt;=2),"Flagged","Clear")</f>
        <v/>
      </c>
      <c r="DM204" s="5">
        <f>IF(OR(DA204="Yes",DB204&lt;&gt;"No",DH204="Unverified",DL204="Flagged"),"Yes","No")</f>
        <v/>
      </c>
      <c r="DN204" s="5">
        <f t="array" ref="DN204">MIN(100,
  IF(ISNUMBER(V204), _xlfn.IFS(V204&gt;=3,25, V204=2,15, V204=1,5, TRUE,0), 0)
  + IFERROR(_xlfn.IFS(VALUE(LEFT(DF204,1))=5,25, VALUE(LEFT(DF204,1))=4,20, VALUE(LEFT(DF204,1))=3,15, VALUE(LEFT(DF204,1))=2,8, TRUE,0), 15)
  + IFERROR(_xlfn.IFS(VALUE(LEFT(DG204,1))=5,25, VALUE(LEFT(DG204,1))=4,20, VALUE(LEFT(DG204,1))=3,15, VALUE(LEFT(DG204,1))=2,8, TRUE,0), 15)
  + _xlfn.IFS(DH204="Fully Verified",25, DH204="Partially Verified",12, TRUE,0)
)</f>
        <v/>
      </c>
      <c r="DO204" s="5">
        <f t="array" ref="DO204">_xlfn.IFS(
  ISBLANK(AR204), "Insufficient Evidence",
  AND(AR204&gt;=65, AJ204="Approved"), "Strong",
  AR204&gt;=65, "Adequate",
  AR204&gt;=40, "Adequate",
  AR204&gt;=20, "Weak",
  TRUE, "Insufficient Evidence"
)</f>
        <v/>
      </c>
      <c r="DP204" s="5">
        <f t="array" ref="DP204">_xlfn.IFS(
  ISBLANK(BS204), "Insufficient Evidence",
  BS204&gt;=65, "Strong",
  BS204&gt;=40, "Adequate",
  BS204&gt;=20, "Weak",
  TRUE, "Insufficient Evidence"
)</f>
        <v/>
      </c>
      <c r="DQ204" s="5">
        <f t="array" ref="DQ204">_xlfn.IFS(
  ISBLANK(BE204), "Insufficient Evidence",
  OR(AW204="Confirmed Violation", AX204="Confirmed Breach"), "Severe — Hard Trigger",
  BE204&gt;=65, "Strong",
  BE204&gt;=40, "Adequate",
  BE204&gt;=20, "Weak",
  TRUE, "Insufficient Evidence"
)</f>
        <v/>
      </c>
      <c r="DR204" s="5">
        <f t="array" ref="DR204">_xlfn.IFS(
  ISBLANK(CU204), "Insufficient Evidence",
  CU204&lt;=20, "Low Risk",
  CU204&lt;=50, "Moderate Risk",
  CU204&lt;=75, "High Risk",
  TRUE, "Very High Risk"
)</f>
        <v/>
      </c>
      <c r="DS204" s="5">
        <f t="array" ref="DS204">_xlfn.IFS(
  ISBLANK(CE204), "Insufficient Evidence",
  AND(ISNUMBER(BW204),ISNUMBER(BV204),BW204&gt;BV204), "Overclaiming Risk",
  CE204&gt;=65, "Strong",
  CE204&gt;=40, "Adequate",
  TRUE, "Weak"
)</f>
        <v/>
      </c>
      <c r="DT204" s="5">
        <f>IF(DB204="Yes — Automatic",0,ROUND((IF(ISNUMBER(AR204),AR204,0)*0.3+IF(ISNUMBER(BS204),BS204,0)*0.2+IF(ISNUMBER(BE204),BE204,0)*0.2+IF(ISNUMBER(CE204),CE204,0)*0.15+(100-IF(ISNUMBER(CU204),CU204,50))*0.15)*IF(DN204&gt;=75,1,IF(DN204&gt;=50,0.9,IF(DN204&gt;=25,0.75,0.6))),1))</f>
        <v/>
      </c>
      <c r="DU204" s="5">
        <f t="array" ref="DU204">_xlfn.IFS(
  DV204="Upgraded to Clear", "Clear",
  DV204="Downgraded to Watchlist", "Watchlist",
  DV204="Downgraded to Exclusion", "Exclusion Risk",
  DB204="Yes — Automatic", "Exclusion Risk",
  OR(AW204="Confirmed Violation", AX204="Confirmed Breach"), "Exclusion Risk",
  OR(V204=0, ISBLANK(V204), DN204&lt;20), "Insufficient Evidence",
  AND(DT204&gt;=65, DA204="No", DB204="No"), "Clear",
  OR(DT204&gt;=40, DA204="Yes"), "Watchlist",
  TRUE, "Exclusion Risk"
)</f>
        <v/>
      </c>
      <c r="DV204" s="5" t="n"/>
      <c r="DW204" s="5">
        <f t="array" ref="DW204">_xlfn.IFS(
  DU204="Exclusion Risk", "Exclude — Hard Trigger",
  DU204="Insufficient Evidence", "Watchlist — Further Evidence Needed",
  DU204="Watchlist", "Watchlist — Further Evidence Needed",
  AND(DU204="Clear", DT204&gt;=80), "Include — No Conditions",
  DU204="Clear", "Include — Monitor",
  TRUE, "Watchlist — Further Evidence Needed"
)</f>
        <v/>
      </c>
      <c r="DX204" s="5" t="n"/>
      <c r="DY204" s="5" t="n"/>
      <c r="DZ204" s="5" t="n"/>
      <c r="EA204" s="5" t="n"/>
      <c r="EB204" s="5">
        <f>IF(OR(V204=0, ISBLANK(V204)), "MISSING — No sources reviewed", "")</f>
        <v/>
      </c>
      <c r="EC204" s="5">
        <f>IF(AND(NOT(ISBLANK(DC204)), ISBLANK(DE204)), "PAGE REF MISSING", "")</f>
        <v/>
      </c>
    </row>
    <row r="205" ht="18" customHeight="1" s="60">
      <c r="A205" s="5" t="inlineStr"/>
      <c r="B205" s="5" t="inlineStr"/>
      <c r="C205" s="5">
        <f>IF(ISBLANK('Universe Tracker'!D180),"",'Universe Tracker'!D180)</f>
        <v/>
      </c>
      <c r="D205" s="5" t="n"/>
      <c r="E205" s="5" t="n"/>
      <c r="F205" s="5">
        <f>IF(ISBLANK('Universe Tracker'!F180),"",'Universe Tracker'!F180)</f>
        <v/>
      </c>
      <c r="G205" s="5">
        <f>IF(ISBLANK('Universe Tracker'!G180),"",'Universe Tracker'!G180)</f>
        <v/>
      </c>
      <c r="H205" s="5" t="n"/>
      <c r="I205" s="5" t="n"/>
      <c r="J205" s="5">
        <f>IF(ISBLANK(B205),"",B205&amp;"_"&amp;C205)</f>
        <v/>
      </c>
      <c r="K205" s="5" t="n"/>
      <c r="L205" s="5" t="n"/>
      <c r="M205" s="5" t="n"/>
      <c r="N205" s="5" t="n"/>
      <c r="O205" s="5" t="n"/>
      <c r="P205" s="5" t="n"/>
      <c r="Q205" s="5" t="n"/>
      <c r="R205" s="5" t="n"/>
      <c r="S205" s="5" t="n"/>
      <c r="T205" s="5" t="n"/>
      <c r="U205" s="5" t="n"/>
      <c r="V205" s="5" t="n"/>
      <c r="W205" s="5" t="n"/>
      <c r="X205" s="5" t="n"/>
      <c r="Y205" s="5">
        <f>IF(AND(V205&gt;=2,K205="Yes",L205="Yes"),"Sufficient",IF(AND(V205&gt;=1,OR(K205="Yes",L205="Yes")),"Thin","Insufficient"))</f>
        <v/>
      </c>
      <c r="Z205" s="5" t="n"/>
      <c r="AA205" s="5" t="n"/>
      <c r="AB205" s="5" t="n"/>
      <c r="AC205" s="5" t="n"/>
      <c r="AD205" s="5" t="n"/>
      <c r="AE205" s="5" t="n"/>
      <c r="AF205" s="5" t="n"/>
      <c r="AG205" s="5" t="n"/>
      <c r="AH205" s="5" t="n"/>
      <c r="AI205" s="5" t="n"/>
      <c r="AJ205" s="5" t="n"/>
      <c r="AK205" s="5" t="n"/>
      <c r="AL205" s="5" t="n"/>
      <c r="AM205" s="5" t="n"/>
      <c r="AN205" s="5" t="n"/>
      <c r="AO205" s="5" t="n"/>
      <c r="AP205" s="5" t="n"/>
      <c r="AQ205" s="5" t="n"/>
      <c r="AR205" s="40">
        <f t="array" ref="AR205">MIN(100, MAX(0,
  IFERROR(_xlfn.XLOOKUP(AJ205,'Lookup Tables'!$A$2:$A$7,'Lookup Tables'!$B$2:$B$7,0),0)
  + IF(Z205="Yes", IF(IFERROR(_xlfn.XLOOKUP(AJ205,'Lookup Tables'!$A$2:$A$7,'Lookup Tables'!$B$2:$B$7,0),0)&lt;20, 5, 0), 0)
  + _xlfn.IFS(AB205="Yes", IF(ISNUMBER(AC205)*AND(AC205&lt;=2030),15,10), AB205="Long-term Only", 5, AB205="No", 0, TRUE, 0)
  + _xlfn.IFS(AF205="Full",10, AF205="Partial",5, AF205="Scope 2 Only",3, TRUE,0)
  + _xlfn.IFS(AG205="Yes", IF(ISNUMBER(AH205)*AND(AH205&gt;=5),10,6), AG205="Partial",4, TRUE,0)
  + _xlfn.IFS(AI205="Yes",5, AI205="Partial (material categories only)",3, TRUE,0)
  + _xlfn.IFS(AL205="Yes — Detailed",10, AL205="Yes — High Level",5, TRUE,0)
  + _xlfn.IFS(AM205="Yes — Quantified",15, AM205="Yes — Directional Only",7, TRUE,0)
  + _xlfn.IFS(AP205="Formal",5, AP205="Referenced",2, TRUE,0)
  + _xlfn.IFS(AQ205="No Issues Found",5, AQ205="Concern Identified",-5, AQ205="Severe Contradiction",-15, TRUE,0)
  + _xlfn.IFS(BC205="Reasonable Assurance",5, BC205="Limited Assurance",3, TRUE,0)
  - IF(AND(Z205="Yes", AI205="No"), 10, 0)
  - IF(AND(Z205="Yes", AM205="No"), 10, 0)
))</f>
        <v/>
      </c>
      <c r="AS205" s="5" t="n"/>
      <c r="AT205" s="5" t="n"/>
      <c r="AU205" s="5" t="n"/>
      <c r="AV205" s="5" t="n"/>
      <c r="AW205" s="5" t="n"/>
      <c r="AX205" s="5" t="n"/>
      <c r="AY205" s="5" t="n"/>
      <c r="AZ205" s="5" t="n"/>
      <c r="BA205" s="5" t="n"/>
      <c r="BB205" s="5" t="n"/>
      <c r="BC205" s="5" t="n"/>
      <c r="BD205" s="5" t="n"/>
      <c r="BE205" s="39">
        <f t="array" ref="BE205">MIN(100, MAX(0,
  IFERROR(_xlfn.XLOOKUP(AT205,'Lookup Tables'!$D$2:$D$6,'Lookup Tables'!$E$2:$E$6,0),0)
  + IFERROR(_xlfn.XLOOKUP(AV205,'Lookup Tables'!$G$2:$G$5,'Lookup Tables'!$H$2:$H$5,0),0)
  + IFERROR(_xlfn.XLOOKUP(AW205,'Lookup Tables'!$J$2:$J$5,'Lookup Tables'!$K$2:$K$5,0),0)
  + _xlfn.IFS(AX205="No Issues",10, AX205="Complaint Filed",3, AX205="Confirmed Breach",-15, TRUE,0)
  + IFERROR(_xlfn.XLOOKUP(AY205,'Lookup Tables'!$M$2:$M$6,'Lookup Tables'!$N$2:$N$6,0),0)
  + IFERROR(_xlfn.XLOOKUP(AZ205,'Lookup Tables'!$P$2:$P$6,'Lookup Tables'!$Q$2:$Q$6,0),0)
  + _xlfn.IFS(BA205="Formal Board Committee",5, BA205="Board Oversight Mentioned",2, TRUE,0)
  + _xlfn.IFS(BB205="Yes — Quantified Targets",5, BB205="Yes — Discretionary Only",2, TRUE,0)
  + _xlfn.IFS(BC205="Reasonable Assurance",5, BC205="Limited Assurance",3, BC205="Management Review Only",1, TRUE,0)
))</f>
        <v/>
      </c>
      <c r="BF205" s="5" t="n"/>
      <c r="BG205" s="5" t="n"/>
      <c r="BH205" s="5" t="n"/>
      <c r="BI205" s="5" t="n"/>
      <c r="BJ205" s="5" t="n"/>
      <c r="BK205" s="5" t="n"/>
      <c r="BL205" s="5" t="n"/>
      <c r="BM205" s="5" t="n"/>
      <c r="BN205" s="5" t="n"/>
      <c r="BO205" s="5" t="n"/>
      <c r="BP205" s="5" t="n"/>
      <c r="BQ205" s="5" t="n"/>
      <c r="BR205" s="5" t="n"/>
      <c r="BS205" s="41">
        <f t="array" ref="BS205">MIN(100, MAX(0,
  IFERROR(_xlfn.XLOOKUP(BG205,'Lookup Tables'!$A$11:$A$16,'Lookup Tables'!$B$11:$B$16,0),0)
  + IFERROR(_xlfn.XLOOKUP(BR205,'Lookup Tables'!$M$11:$M$14,'Lookup Tables'!$N$11:$N$14,0),0)
  + IFERROR(_xlfn.XLOOKUP(BQ205,'Lookup Tables'!$J$11:$J$15,'Lookup Tables'!$K$11:$K$15,0),0)
  + IFERROR(_xlfn.XLOOKUP(BH205,'Lookup Tables'!$D$11:$D$15,'Lookup Tables'!$E$11:$E$15,0),0)
  + IFERROR(_xlfn.XLOOKUP(BJ205,'Lookup Tables'!$G$11:$G$16,'Lookup Tables'!$H$11:$H$16,0),0)
  + IFERROR(_xlfn.XLOOKUP(BN205,'Lookup Tables'!$P$11:$P$15,'Lookup Tables'!$Q$11:$Q$15,0),0)
  + _xlfn.IFS(BM205="No Evidence",10, BM205="Unknown",3, BM205="Likely",0, BM205="Confirmed",-10, TRUE,3)
  + IFERROR(_xlfn.XLOOKUP(BP205,'Lookup Tables'!$J$21:$J$24,'Lookup Tables'!$K$21:$K$24,0),0)
))</f>
        <v/>
      </c>
      <c r="BT205" s="5" t="n"/>
      <c r="BU205" s="5" t="n"/>
      <c r="BV205" s="5" t="n"/>
      <c r="BW205" s="5" t="n"/>
      <c r="BX205" s="5" t="n"/>
      <c r="BY205" s="5" t="n"/>
      <c r="BZ205" s="5" t="n"/>
      <c r="CA205" s="5" t="n"/>
      <c r="CB205" s="5" t="n"/>
      <c r="CC205" s="5" t="n"/>
      <c r="CD205" s="5" t="n"/>
      <c r="CE205" s="43">
        <f t="array" ref="CE205">MIN(100, MAX(0,
  IF(ISNUMBER(BV205)*AND(BV205&gt;0), 10, 0)
  + _xlfn.IFS(BY205="Independently Verified",25, BY205="Yes",15, TRUE,0)
  + IFERROR(_xlfn.XLOOKUP(BZ205,'Lookup Tables'!$A$21:$A$24,'Lookup Tables'!$B$21:$B$24,0),0)
  + IFERROR(_xlfn.XLOOKUP(CA205,'Lookup Tables'!$D$21:$D$24,'Lookup Tables'!$E$21:$E$24,0),0)
  + _xlfn.IFS(ISNUMBER(CB205)*AND(CB205&gt;=11),15, ISNUMBER(CB205)*AND(CB205&gt;=6),10, ISNUMBER(CB205)*AND(CB205&gt;=1),5, TRUE,0)
  + IFERROR(_xlfn.XLOOKUP(CC205,'Lookup Tables'!$G$21:$G$25,'Lookup Tables'!$H$21:$H$25,0),0)
  - IF(ISNUMBER(BW205)*AND(ISNUMBER(BV205))*AND(BW205&gt;BV205), 20, 0)
  - IF(AND(BY205="Yes", ISNUMBER(BW205), BW205&gt;60), 10, 0)
))</f>
        <v/>
      </c>
      <c r="CF205" s="5" t="n"/>
      <c r="CG205" s="5" t="n"/>
      <c r="CH205" s="5" t="n"/>
      <c r="CI205" s="5" t="n"/>
      <c r="CJ205" s="5" t="n"/>
      <c r="CK205" s="5" t="n"/>
      <c r="CL205" s="5" t="n"/>
      <c r="CM205" s="5" t="n"/>
      <c r="CN205" s="5" t="n"/>
      <c r="CO205" s="5" t="n"/>
      <c r="CP205" s="5" t="n"/>
      <c r="CQ205" s="5" t="n"/>
      <c r="CR205" s="5">
        <f>COUNTIF(CJ205:CQ205,"FAIL")</f>
        <v/>
      </c>
      <c r="CS205" s="5">
        <f>COUNTIF(CJ205:CQ205,"PARTIAL")</f>
        <v/>
      </c>
      <c r="CT205" s="5">
        <f>COUNTIF(CJ205:CQ205,"MISSING")</f>
        <v/>
      </c>
      <c r="CU205" s="5">
        <f>MIN(100,
  CR205*15
  + CS205*6
  + CT205*3
  + IFERROR(_xlfn.XLOOKUP(CW205,'Lookup Tables'!$M$21:$M$25,'Lookup Tables'!$N$21:$N$25,0),0)
)</f>
        <v/>
      </c>
      <c r="CV205" s="5">
        <f>IFERROR(
CHOOSE(
MATCH("FAIL",CJ205:CQ205,0),
"1-Specificity","2-Metric","3-Baseline","4-Target",
"5-Time Horizon","6-Scope","7-Verification","8-Consistency"
),
IFERROR(
CHOOSE(
MATCH("PARTIAL",CJ205:CQ205,0),
"1-Specificity","2-Metric","3-Baseline","4-Target",
"5-Time Horizon","6-Scope","7-Verification","8-Consistency"
),
"No failures"
)
)</f>
        <v/>
      </c>
      <c r="CW205" s="5" t="n"/>
      <c r="CX205" s="5" t="n"/>
      <c r="CY205" s="5" t="n"/>
      <c r="CZ205" s="5" t="n"/>
      <c r="DA205" s="5">
        <f>IF(OR(CU205&gt;=50,CW205="Material",CW205="Severe",AS205="Material",AS205="Severe",BF205="Material",BF205="Severe — Exclusion Trigger",AND(ISNUMBER(BS205),BS205&lt;30)),"Yes","No")</f>
        <v/>
      </c>
      <c r="DB205" s="5">
        <f>IF(OR(CR205&gt;=6,AW205="Confirmed Violation",AX205="Confirmed Breach"),"Yes — Automatic",IF(CW205="Severe","Yes — Requires Captain Confirmation","No"))</f>
        <v/>
      </c>
      <c r="DC205" s="5" t="n"/>
      <c r="DD205" s="5" t="n"/>
      <c r="DE205" s="5" t="n"/>
      <c r="DF205" s="5" t="n"/>
      <c r="DG205" s="5" t="n"/>
      <c r="DH205" s="5" t="n"/>
      <c r="DI205" s="5" t="n"/>
      <c r="DJ205" s="5" t="n"/>
      <c r="DK205" s="5" t="n"/>
      <c r="DL205" s="5">
        <f>IF(OR(IFERROR(VALUE(LEFT(DF205,1)),99)&lt;=2,IFERROR(VALUE(LEFT(DG205,1)),99)&lt;=2),"Flagged","Clear")</f>
        <v/>
      </c>
      <c r="DM205" s="5">
        <f>IF(OR(DA205="Yes",DB205&lt;&gt;"No",DH205="Unverified",DL205="Flagged"),"Yes","No")</f>
        <v/>
      </c>
      <c r="DN205" s="5">
        <f t="array" ref="DN205">MIN(100,
  IF(ISNUMBER(V205), _xlfn.IFS(V205&gt;=3,25, V205=2,15, V205=1,5, TRUE,0), 0)
  + IFERROR(_xlfn.IFS(VALUE(LEFT(DF205,1))=5,25, VALUE(LEFT(DF205,1))=4,20, VALUE(LEFT(DF205,1))=3,15, VALUE(LEFT(DF205,1))=2,8, TRUE,0), 15)
  + IFERROR(_xlfn.IFS(VALUE(LEFT(DG205,1))=5,25, VALUE(LEFT(DG205,1))=4,20, VALUE(LEFT(DG205,1))=3,15, VALUE(LEFT(DG205,1))=2,8, TRUE,0), 15)
  + _xlfn.IFS(DH205="Fully Verified",25, DH205="Partially Verified",12, TRUE,0)
)</f>
        <v/>
      </c>
      <c r="DO205" s="5">
        <f t="array" ref="DO205">_xlfn.IFS(
  ISBLANK(AR205), "Insufficient Evidence",
  AND(AR205&gt;=65, AJ205="Approved"), "Strong",
  AR205&gt;=65, "Adequate",
  AR205&gt;=40, "Adequate",
  AR205&gt;=20, "Weak",
  TRUE, "Insufficient Evidence"
)</f>
        <v/>
      </c>
      <c r="DP205" s="5">
        <f t="array" ref="DP205">_xlfn.IFS(
  ISBLANK(BS205), "Insufficient Evidence",
  BS205&gt;=65, "Strong",
  BS205&gt;=40, "Adequate",
  BS205&gt;=20, "Weak",
  TRUE, "Insufficient Evidence"
)</f>
        <v/>
      </c>
      <c r="DQ205" s="5">
        <f t="array" ref="DQ205">_xlfn.IFS(
  ISBLANK(BE205), "Insufficient Evidence",
  OR(AW205="Confirmed Violation", AX205="Confirmed Breach"), "Severe — Hard Trigger",
  BE205&gt;=65, "Strong",
  BE205&gt;=40, "Adequate",
  BE205&gt;=20, "Weak",
  TRUE, "Insufficient Evidence"
)</f>
        <v/>
      </c>
      <c r="DR205" s="5">
        <f t="array" ref="DR205">_xlfn.IFS(
  ISBLANK(CU205), "Insufficient Evidence",
  CU205&lt;=20, "Low Risk",
  CU205&lt;=50, "Moderate Risk",
  CU205&lt;=75, "High Risk",
  TRUE, "Very High Risk"
)</f>
        <v/>
      </c>
      <c r="DS205" s="5">
        <f t="array" ref="DS205">_xlfn.IFS(
  ISBLANK(CE205), "Insufficient Evidence",
  AND(ISNUMBER(BW205),ISNUMBER(BV205),BW205&gt;BV205), "Overclaiming Risk",
  CE205&gt;=65, "Strong",
  CE205&gt;=40, "Adequate",
  TRUE, "Weak"
)</f>
        <v/>
      </c>
      <c r="DT205" s="5">
        <f>IF(DB205="Yes — Automatic",0,ROUND((IF(ISNUMBER(AR205),AR205,0)*0.3+IF(ISNUMBER(BS205),BS205,0)*0.2+IF(ISNUMBER(BE205),BE205,0)*0.2+IF(ISNUMBER(CE205),CE205,0)*0.15+(100-IF(ISNUMBER(CU205),CU205,50))*0.15)*IF(DN205&gt;=75,1,IF(DN205&gt;=50,0.9,IF(DN205&gt;=25,0.75,0.6))),1))</f>
        <v/>
      </c>
      <c r="DU205" s="5">
        <f t="array" ref="DU205">_xlfn.IFS(
  DV205="Upgraded to Clear", "Clear",
  DV205="Downgraded to Watchlist", "Watchlist",
  DV205="Downgraded to Exclusion", "Exclusion Risk",
  DB205="Yes — Automatic", "Exclusion Risk",
  OR(AW205="Confirmed Violation", AX205="Confirmed Breach"), "Exclusion Risk",
  OR(V205=0, ISBLANK(V205), DN205&lt;20), "Insufficient Evidence",
  AND(DT205&gt;=65, DA205="No", DB205="No"), "Clear",
  OR(DT205&gt;=40, DA205="Yes"), "Watchlist",
  TRUE, "Exclusion Risk"
)</f>
        <v/>
      </c>
      <c r="DV205" s="5" t="n"/>
      <c r="DW205" s="5">
        <f t="array" ref="DW205">_xlfn.IFS(
  DU205="Exclusion Risk", "Exclude — Hard Trigger",
  DU205="Insufficient Evidence", "Watchlist — Further Evidence Needed",
  DU205="Watchlist", "Watchlist — Further Evidence Needed",
  AND(DU205="Clear", DT205&gt;=80), "Include — No Conditions",
  DU205="Clear", "Include — Monitor",
  TRUE, "Watchlist — Further Evidence Needed"
)</f>
        <v/>
      </c>
      <c r="DX205" s="5" t="n"/>
      <c r="DY205" s="5" t="n"/>
      <c r="DZ205" s="5" t="n"/>
      <c r="EA205" s="5" t="n"/>
      <c r="EB205" s="5">
        <f>IF(OR(V205=0, ISBLANK(V205)), "MISSING — No sources reviewed", "")</f>
        <v/>
      </c>
      <c r="EC205" s="5">
        <f>IF(AND(NOT(ISBLANK(DC205)), ISBLANK(DE205)), "PAGE REF MISSING", "")</f>
        <v/>
      </c>
    </row>
    <row r="206" ht="18" customHeight="1" s="60">
      <c r="A206" s="5" t="inlineStr"/>
      <c r="B206" s="5" t="inlineStr"/>
      <c r="C206" s="5">
        <f>IF(ISBLANK('Universe Tracker'!D181),"",'Universe Tracker'!D181)</f>
        <v/>
      </c>
      <c r="D206" s="5" t="n"/>
      <c r="E206" s="5" t="n"/>
      <c r="F206" s="5">
        <f>IF(ISBLANK('Universe Tracker'!F181),"",'Universe Tracker'!F181)</f>
        <v/>
      </c>
      <c r="G206" s="5">
        <f>IF(ISBLANK('Universe Tracker'!G181),"",'Universe Tracker'!G181)</f>
        <v/>
      </c>
      <c r="H206" s="5" t="n"/>
      <c r="I206" s="5" t="n"/>
      <c r="J206" s="5">
        <f>IF(ISBLANK(B206),"",B206&amp;"_"&amp;C206)</f>
        <v/>
      </c>
      <c r="K206" s="5" t="n"/>
      <c r="L206" s="5" t="n"/>
      <c r="M206" s="5" t="n"/>
      <c r="N206" s="5" t="n"/>
      <c r="O206" s="5" t="n"/>
      <c r="P206" s="5" t="n"/>
      <c r="Q206" s="5" t="n"/>
      <c r="R206" s="5" t="n"/>
      <c r="S206" s="5" t="n"/>
      <c r="T206" s="5" t="n"/>
      <c r="U206" s="5" t="n"/>
      <c r="V206" s="5" t="n"/>
      <c r="W206" s="5" t="n"/>
      <c r="X206" s="5" t="n"/>
      <c r="Y206" s="5">
        <f>IF(AND(V206&gt;=2,K206="Yes",L206="Yes"),"Sufficient",IF(AND(V206&gt;=1,OR(K206="Yes",L206="Yes")),"Thin","Insufficient"))</f>
        <v/>
      </c>
      <c r="Z206" s="5" t="n"/>
      <c r="AA206" s="5" t="n"/>
      <c r="AB206" s="5" t="n"/>
      <c r="AC206" s="5" t="n"/>
      <c r="AD206" s="5" t="n"/>
      <c r="AE206" s="5" t="n"/>
      <c r="AF206" s="5" t="n"/>
      <c r="AG206" s="5" t="n"/>
      <c r="AH206" s="5" t="n"/>
      <c r="AI206" s="5" t="n"/>
      <c r="AJ206" s="5" t="n"/>
      <c r="AK206" s="5" t="n"/>
      <c r="AL206" s="5" t="n"/>
      <c r="AM206" s="5" t="n"/>
      <c r="AN206" s="5" t="n"/>
      <c r="AO206" s="5" t="n"/>
      <c r="AP206" s="5" t="n"/>
      <c r="AQ206" s="5" t="n"/>
      <c r="AR206" s="40">
        <f t="array" ref="AR206">MIN(100, MAX(0,
  IFERROR(_xlfn.XLOOKUP(AJ206,'Lookup Tables'!$A$2:$A$7,'Lookup Tables'!$B$2:$B$7,0),0)
  + IF(Z206="Yes", IF(IFERROR(_xlfn.XLOOKUP(AJ206,'Lookup Tables'!$A$2:$A$7,'Lookup Tables'!$B$2:$B$7,0),0)&lt;20, 5, 0), 0)
  + _xlfn.IFS(AB206="Yes", IF(ISNUMBER(AC206)*AND(AC206&lt;=2030),15,10), AB206="Long-term Only", 5, AB206="No", 0, TRUE, 0)
  + _xlfn.IFS(AF206="Full",10, AF206="Partial",5, AF206="Scope 2 Only",3, TRUE,0)
  + _xlfn.IFS(AG206="Yes", IF(ISNUMBER(AH206)*AND(AH206&gt;=5),10,6), AG206="Partial",4, TRUE,0)
  + _xlfn.IFS(AI206="Yes",5, AI206="Partial (material categories only)",3, TRUE,0)
  + _xlfn.IFS(AL206="Yes — Detailed",10, AL206="Yes — High Level",5, TRUE,0)
  + _xlfn.IFS(AM206="Yes — Quantified",15, AM206="Yes — Directional Only",7, TRUE,0)
  + _xlfn.IFS(AP206="Formal",5, AP206="Referenced",2, TRUE,0)
  + _xlfn.IFS(AQ206="No Issues Found",5, AQ206="Concern Identified",-5, AQ206="Severe Contradiction",-15, TRUE,0)
  + _xlfn.IFS(BC206="Reasonable Assurance",5, BC206="Limited Assurance",3, TRUE,0)
  - IF(AND(Z206="Yes", AI206="No"), 10, 0)
  - IF(AND(Z206="Yes", AM206="No"), 10, 0)
))</f>
        <v/>
      </c>
      <c r="AS206" s="5" t="n"/>
      <c r="AT206" s="5" t="n"/>
      <c r="AU206" s="5" t="n"/>
      <c r="AV206" s="5" t="n"/>
      <c r="AW206" s="5" t="n"/>
      <c r="AX206" s="5" t="n"/>
      <c r="AY206" s="5" t="n"/>
      <c r="AZ206" s="5" t="n"/>
      <c r="BA206" s="5" t="n"/>
      <c r="BB206" s="5" t="n"/>
      <c r="BC206" s="5" t="n"/>
      <c r="BD206" s="5" t="n"/>
      <c r="BE206" s="39">
        <f t="array" ref="BE206">MIN(100, MAX(0,
  IFERROR(_xlfn.XLOOKUP(AT206,'Lookup Tables'!$D$2:$D$6,'Lookup Tables'!$E$2:$E$6,0),0)
  + IFERROR(_xlfn.XLOOKUP(AV206,'Lookup Tables'!$G$2:$G$5,'Lookup Tables'!$H$2:$H$5,0),0)
  + IFERROR(_xlfn.XLOOKUP(AW206,'Lookup Tables'!$J$2:$J$5,'Lookup Tables'!$K$2:$K$5,0),0)
  + _xlfn.IFS(AX206="No Issues",10, AX206="Complaint Filed",3, AX206="Confirmed Breach",-15, TRUE,0)
  + IFERROR(_xlfn.XLOOKUP(AY206,'Lookup Tables'!$M$2:$M$6,'Lookup Tables'!$N$2:$N$6,0),0)
  + IFERROR(_xlfn.XLOOKUP(AZ206,'Lookup Tables'!$P$2:$P$6,'Lookup Tables'!$Q$2:$Q$6,0),0)
  + _xlfn.IFS(BA206="Formal Board Committee",5, BA206="Board Oversight Mentioned",2, TRUE,0)
  + _xlfn.IFS(BB206="Yes — Quantified Targets",5, BB206="Yes — Discretionary Only",2, TRUE,0)
  + _xlfn.IFS(BC206="Reasonable Assurance",5, BC206="Limited Assurance",3, BC206="Management Review Only",1, TRUE,0)
))</f>
        <v/>
      </c>
      <c r="BF206" s="5" t="n"/>
      <c r="BG206" s="5" t="n"/>
      <c r="BH206" s="5" t="n"/>
      <c r="BI206" s="5" t="n"/>
      <c r="BJ206" s="5" t="n"/>
      <c r="BK206" s="5" t="n"/>
      <c r="BL206" s="5" t="n"/>
      <c r="BM206" s="5" t="n"/>
      <c r="BN206" s="5" t="n"/>
      <c r="BO206" s="5" t="n"/>
      <c r="BP206" s="5" t="n"/>
      <c r="BQ206" s="5" t="n"/>
      <c r="BR206" s="5" t="n"/>
      <c r="BS206" s="41">
        <f t="array" ref="BS206">MIN(100, MAX(0,
  IFERROR(_xlfn.XLOOKUP(BG206,'Lookup Tables'!$A$11:$A$16,'Lookup Tables'!$B$11:$B$16,0),0)
  + IFERROR(_xlfn.XLOOKUP(BR206,'Lookup Tables'!$M$11:$M$14,'Lookup Tables'!$N$11:$N$14,0),0)
  + IFERROR(_xlfn.XLOOKUP(BQ206,'Lookup Tables'!$J$11:$J$15,'Lookup Tables'!$K$11:$K$15,0),0)
  + IFERROR(_xlfn.XLOOKUP(BH206,'Lookup Tables'!$D$11:$D$15,'Lookup Tables'!$E$11:$E$15,0),0)
  + IFERROR(_xlfn.XLOOKUP(BJ206,'Lookup Tables'!$G$11:$G$16,'Lookup Tables'!$H$11:$H$16,0),0)
  + IFERROR(_xlfn.XLOOKUP(BN206,'Lookup Tables'!$P$11:$P$15,'Lookup Tables'!$Q$11:$Q$15,0),0)
  + _xlfn.IFS(BM206="No Evidence",10, BM206="Unknown",3, BM206="Likely",0, BM206="Confirmed",-10, TRUE,3)
  + IFERROR(_xlfn.XLOOKUP(BP206,'Lookup Tables'!$J$21:$J$24,'Lookup Tables'!$K$21:$K$24,0),0)
))</f>
        <v/>
      </c>
      <c r="BT206" s="5" t="n"/>
      <c r="BU206" s="5" t="n"/>
      <c r="BV206" s="5" t="n"/>
      <c r="BW206" s="5" t="n"/>
      <c r="BX206" s="5" t="n"/>
      <c r="BY206" s="5" t="n"/>
      <c r="BZ206" s="5" t="n"/>
      <c r="CA206" s="5" t="n"/>
      <c r="CB206" s="5" t="n"/>
      <c r="CC206" s="5" t="n"/>
      <c r="CD206" s="5" t="n"/>
      <c r="CE206" s="43">
        <f t="array" ref="CE206">MIN(100, MAX(0,
  IF(ISNUMBER(BV206)*AND(BV206&gt;0), 10, 0)
  + _xlfn.IFS(BY206="Independently Verified",25, BY206="Yes",15, TRUE,0)
  + IFERROR(_xlfn.XLOOKUP(BZ206,'Lookup Tables'!$A$21:$A$24,'Lookup Tables'!$B$21:$B$24,0),0)
  + IFERROR(_xlfn.XLOOKUP(CA206,'Lookup Tables'!$D$21:$D$24,'Lookup Tables'!$E$21:$E$24,0),0)
  + _xlfn.IFS(ISNUMBER(CB206)*AND(CB206&gt;=11),15, ISNUMBER(CB206)*AND(CB206&gt;=6),10, ISNUMBER(CB206)*AND(CB206&gt;=1),5, TRUE,0)
  + IFERROR(_xlfn.XLOOKUP(CC206,'Lookup Tables'!$G$21:$G$25,'Lookup Tables'!$H$21:$H$25,0),0)
  - IF(ISNUMBER(BW206)*AND(ISNUMBER(BV206))*AND(BW206&gt;BV206), 20, 0)
  - IF(AND(BY206="Yes", ISNUMBER(BW206), BW206&gt;60), 10, 0)
))</f>
        <v/>
      </c>
      <c r="CF206" s="5" t="n"/>
      <c r="CG206" s="5" t="n"/>
      <c r="CH206" s="5" t="n"/>
      <c r="CI206" s="5" t="n"/>
      <c r="CJ206" s="5" t="n"/>
      <c r="CK206" s="5" t="n"/>
      <c r="CL206" s="5" t="n"/>
      <c r="CM206" s="5" t="n"/>
      <c r="CN206" s="5" t="n"/>
      <c r="CO206" s="5" t="n"/>
      <c r="CP206" s="5" t="n"/>
      <c r="CQ206" s="5" t="n"/>
      <c r="CR206" s="5">
        <f>COUNTIF(CJ206:CQ206,"FAIL")</f>
        <v/>
      </c>
      <c r="CS206" s="5">
        <f>COUNTIF(CJ206:CQ206,"PARTIAL")</f>
        <v/>
      </c>
      <c r="CT206" s="5">
        <f>COUNTIF(CJ206:CQ206,"MISSING")</f>
        <v/>
      </c>
      <c r="CU206" s="5">
        <f>MIN(100,
  CR206*15
  + CS206*6
  + CT206*3
  + IFERROR(_xlfn.XLOOKUP(CW206,'Lookup Tables'!$M$21:$M$25,'Lookup Tables'!$N$21:$N$25,0),0)
)</f>
        <v/>
      </c>
      <c r="CV206" s="5">
        <f>IFERROR(
CHOOSE(
MATCH("FAIL",CJ206:CQ206,0),
"1-Specificity","2-Metric","3-Baseline","4-Target",
"5-Time Horizon","6-Scope","7-Verification","8-Consistency"
),
IFERROR(
CHOOSE(
MATCH("PARTIAL",CJ206:CQ206,0),
"1-Specificity","2-Metric","3-Baseline","4-Target",
"5-Time Horizon","6-Scope","7-Verification","8-Consistency"
),
"No failures"
)
)</f>
        <v/>
      </c>
      <c r="CW206" s="5" t="n"/>
      <c r="CX206" s="5" t="n"/>
      <c r="CY206" s="5" t="n"/>
      <c r="CZ206" s="5" t="n"/>
      <c r="DA206" s="5">
        <f>IF(OR(CU206&gt;=50,CW206="Material",CW206="Severe",AS206="Material",AS206="Severe",BF206="Material",BF206="Severe — Exclusion Trigger",AND(ISNUMBER(BS206),BS206&lt;30)),"Yes","No")</f>
        <v/>
      </c>
      <c r="DB206" s="5">
        <f>IF(OR(CR206&gt;=6,AW206="Confirmed Violation",AX206="Confirmed Breach"),"Yes — Automatic",IF(CW206="Severe","Yes — Requires Captain Confirmation","No"))</f>
        <v/>
      </c>
      <c r="DC206" s="5" t="n"/>
      <c r="DD206" s="5" t="n"/>
      <c r="DE206" s="5" t="n"/>
      <c r="DF206" s="5" t="n"/>
      <c r="DG206" s="5" t="n"/>
      <c r="DH206" s="5" t="n"/>
      <c r="DI206" s="5" t="n"/>
      <c r="DJ206" s="5" t="n"/>
      <c r="DK206" s="5" t="n"/>
      <c r="DL206" s="5">
        <f>IF(OR(IFERROR(VALUE(LEFT(DF206,1)),99)&lt;=2,IFERROR(VALUE(LEFT(DG206,1)),99)&lt;=2),"Flagged","Clear")</f>
        <v/>
      </c>
      <c r="DM206" s="5">
        <f>IF(OR(DA206="Yes",DB206&lt;&gt;"No",DH206="Unverified",DL206="Flagged"),"Yes","No")</f>
        <v/>
      </c>
      <c r="DN206" s="5">
        <f t="array" ref="DN206">MIN(100,
  IF(ISNUMBER(V206), _xlfn.IFS(V206&gt;=3,25, V206=2,15, V206=1,5, TRUE,0), 0)
  + IFERROR(_xlfn.IFS(VALUE(LEFT(DF206,1))=5,25, VALUE(LEFT(DF206,1))=4,20, VALUE(LEFT(DF206,1))=3,15, VALUE(LEFT(DF206,1))=2,8, TRUE,0), 15)
  + IFERROR(_xlfn.IFS(VALUE(LEFT(DG206,1))=5,25, VALUE(LEFT(DG206,1))=4,20, VALUE(LEFT(DG206,1))=3,15, VALUE(LEFT(DG206,1))=2,8, TRUE,0), 15)
  + _xlfn.IFS(DH206="Fully Verified",25, DH206="Partially Verified",12, TRUE,0)
)</f>
        <v/>
      </c>
      <c r="DO206" s="5">
        <f t="array" ref="DO206">_xlfn.IFS(
  ISBLANK(AR206), "Insufficient Evidence",
  AND(AR206&gt;=65, AJ206="Approved"), "Strong",
  AR206&gt;=65, "Adequate",
  AR206&gt;=40, "Adequate",
  AR206&gt;=20, "Weak",
  TRUE, "Insufficient Evidence"
)</f>
        <v/>
      </c>
      <c r="DP206" s="5">
        <f t="array" ref="DP206">_xlfn.IFS(
  ISBLANK(BS206), "Insufficient Evidence",
  BS206&gt;=65, "Strong",
  BS206&gt;=40, "Adequate",
  BS206&gt;=20, "Weak",
  TRUE, "Insufficient Evidence"
)</f>
        <v/>
      </c>
      <c r="DQ206" s="5">
        <f t="array" ref="DQ206">_xlfn.IFS(
  ISBLANK(BE206), "Insufficient Evidence",
  OR(AW206="Confirmed Violation", AX206="Confirmed Breach"), "Severe — Hard Trigger",
  BE206&gt;=65, "Strong",
  BE206&gt;=40, "Adequate",
  BE206&gt;=20, "Weak",
  TRUE, "Insufficient Evidence"
)</f>
        <v/>
      </c>
      <c r="DR206" s="5">
        <f t="array" ref="DR206">_xlfn.IFS(
  ISBLANK(CU206), "Insufficient Evidence",
  CU206&lt;=20, "Low Risk",
  CU206&lt;=50, "Moderate Risk",
  CU206&lt;=75, "High Risk",
  TRUE, "Very High Risk"
)</f>
        <v/>
      </c>
      <c r="DS206" s="5">
        <f t="array" ref="DS206">_xlfn.IFS(
  ISBLANK(CE206), "Insufficient Evidence",
  AND(ISNUMBER(BW206),ISNUMBER(BV206),BW206&gt;BV206), "Overclaiming Risk",
  CE206&gt;=65, "Strong",
  CE206&gt;=40, "Adequate",
  TRUE, "Weak"
)</f>
        <v/>
      </c>
      <c r="DT206" s="5">
        <f>IF(DB206="Yes — Automatic",0,ROUND((IF(ISNUMBER(AR206),AR206,0)*0.3+IF(ISNUMBER(BS206),BS206,0)*0.2+IF(ISNUMBER(BE206),BE206,0)*0.2+IF(ISNUMBER(CE206),CE206,0)*0.15+(100-IF(ISNUMBER(CU206),CU206,50))*0.15)*IF(DN206&gt;=75,1,IF(DN206&gt;=50,0.9,IF(DN206&gt;=25,0.75,0.6))),1))</f>
        <v/>
      </c>
      <c r="DU206" s="5">
        <f t="array" ref="DU206">_xlfn.IFS(
  DV206="Upgraded to Clear", "Clear",
  DV206="Downgraded to Watchlist", "Watchlist",
  DV206="Downgraded to Exclusion", "Exclusion Risk",
  DB206="Yes — Automatic", "Exclusion Risk",
  OR(AW206="Confirmed Violation", AX206="Confirmed Breach"), "Exclusion Risk",
  OR(V206=0, ISBLANK(V206), DN206&lt;20), "Insufficient Evidence",
  AND(DT206&gt;=65, DA206="No", DB206="No"), "Clear",
  OR(DT206&gt;=40, DA206="Yes"), "Watchlist",
  TRUE, "Exclusion Risk"
)</f>
        <v/>
      </c>
      <c r="DV206" s="5" t="n"/>
      <c r="DW206" s="5">
        <f t="array" ref="DW206">_xlfn.IFS(
  DU206="Exclusion Risk", "Exclude — Hard Trigger",
  DU206="Insufficient Evidence", "Watchlist — Further Evidence Needed",
  DU206="Watchlist", "Watchlist — Further Evidence Needed",
  AND(DU206="Clear", DT206&gt;=80), "Include — No Conditions",
  DU206="Clear", "Include — Monitor",
  TRUE, "Watchlist — Further Evidence Needed"
)</f>
        <v/>
      </c>
      <c r="DX206" s="5" t="n"/>
      <c r="DY206" s="5" t="n"/>
      <c r="DZ206" s="5" t="n"/>
      <c r="EA206" s="5" t="n"/>
      <c r="EB206" s="5">
        <f>IF(OR(V206=0, ISBLANK(V206)), "MISSING — No sources reviewed", "")</f>
        <v/>
      </c>
      <c r="EC206" s="5">
        <f>IF(AND(NOT(ISBLANK(DC206)), ISBLANK(DE206)), "PAGE REF MISSING", "")</f>
        <v/>
      </c>
    </row>
    <row r="207" ht="18" customHeight="1" s="60">
      <c r="A207" s="5" t="inlineStr"/>
      <c r="B207" s="5" t="inlineStr"/>
      <c r="C207" s="5">
        <f>IF(ISBLANK('Universe Tracker'!D182),"",'Universe Tracker'!D182)</f>
        <v/>
      </c>
      <c r="D207" s="5" t="n"/>
      <c r="E207" s="5" t="n"/>
      <c r="F207" s="5">
        <f>IF(ISBLANK('Universe Tracker'!F182),"",'Universe Tracker'!F182)</f>
        <v/>
      </c>
      <c r="G207" s="5">
        <f>IF(ISBLANK('Universe Tracker'!G182),"",'Universe Tracker'!G182)</f>
        <v/>
      </c>
      <c r="H207" s="5" t="n"/>
      <c r="I207" s="5" t="n"/>
      <c r="J207" s="5">
        <f>IF(ISBLANK(B207),"",B207&amp;"_"&amp;C207)</f>
        <v/>
      </c>
      <c r="K207" s="5" t="n"/>
      <c r="L207" s="5" t="n"/>
      <c r="M207" s="5" t="n"/>
      <c r="N207" s="5" t="n"/>
      <c r="O207" s="5" t="n"/>
      <c r="P207" s="5" t="n"/>
      <c r="Q207" s="5" t="n"/>
      <c r="R207" s="5" t="n"/>
      <c r="S207" s="5" t="n"/>
      <c r="T207" s="5" t="n"/>
      <c r="U207" s="5" t="n"/>
      <c r="V207" s="5" t="n"/>
      <c r="W207" s="5" t="n"/>
      <c r="X207" s="5" t="n"/>
      <c r="Y207" s="5">
        <f>IF(AND(V207&gt;=2,K207="Yes",L207="Yes"),"Sufficient",IF(AND(V207&gt;=1,OR(K207="Yes",L207="Yes")),"Thin","Insufficient"))</f>
        <v/>
      </c>
      <c r="Z207" s="5" t="n"/>
      <c r="AA207" s="5" t="n"/>
      <c r="AB207" s="5" t="n"/>
      <c r="AC207" s="5" t="n"/>
      <c r="AD207" s="5" t="n"/>
      <c r="AE207" s="5" t="n"/>
      <c r="AF207" s="5" t="n"/>
      <c r="AG207" s="5" t="n"/>
      <c r="AH207" s="5" t="n"/>
      <c r="AI207" s="5" t="n"/>
      <c r="AJ207" s="5" t="n"/>
      <c r="AK207" s="5" t="n"/>
      <c r="AL207" s="5" t="n"/>
      <c r="AM207" s="5" t="n"/>
      <c r="AN207" s="5" t="n"/>
      <c r="AO207" s="5" t="n"/>
      <c r="AP207" s="5" t="n"/>
      <c r="AQ207" s="5" t="n"/>
      <c r="AR207" s="40">
        <f t="array" ref="AR207">MIN(100, MAX(0,
  IFERROR(_xlfn.XLOOKUP(AJ207,'Lookup Tables'!$A$2:$A$7,'Lookup Tables'!$B$2:$B$7,0),0)
  + IF(Z207="Yes", IF(IFERROR(_xlfn.XLOOKUP(AJ207,'Lookup Tables'!$A$2:$A$7,'Lookup Tables'!$B$2:$B$7,0),0)&lt;20, 5, 0), 0)
  + _xlfn.IFS(AB207="Yes", IF(ISNUMBER(AC207)*AND(AC207&lt;=2030),15,10), AB207="Long-term Only", 5, AB207="No", 0, TRUE, 0)
  + _xlfn.IFS(AF207="Full",10, AF207="Partial",5, AF207="Scope 2 Only",3, TRUE,0)
  + _xlfn.IFS(AG207="Yes", IF(ISNUMBER(AH207)*AND(AH207&gt;=5),10,6), AG207="Partial",4, TRUE,0)
  + _xlfn.IFS(AI207="Yes",5, AI207="Partial (material categories only)",3, TRUE,0)
  + _xlfn.IFS(AL207="Yes — Detailed",10, AL207="Yes — High Level",5, TRUE,0)
  + _xlfn.IFS(AM207="Yes — Quantified",15, AM207="Yes — Directional Only",7, TRUE,0)
  + _xlfn.IFS(AP207="Formal",5, AP207="Referenced",2, TRUE,0)
  + _xlfn.IFS(AQ207="No Issues Found",5, AQ207="Concern Identified",-5, AQ207="Severe Contradiction",-15, TRUE,0)
  + _xlfn.IFS(BC207="Reasonable Assurance",5, BC207="Limited Assurance",3, TRUE,0)
  - IF(AND(Z207="Yes", AI207="No"), 10, 0)
  - IF(AND(Z207="Yes", AM207="No"), 10, 0)
))</f>
        <v/>
      </c>
      <c r="AS207" s="5" t="n"/>
      <c r="AT207" s="5" t="n"/>
      <c r="AU207" s="5" t="n"/>
      <c r="AV207" s="5" t="n"/>
      <c r="AW207" s="5" t="n"/>
      <c r="AX207" s="5" t="n"/>
      <c r="AY207" s="5" t="n"/>
      <c r="AZ207" s="5" t="n"/>
      <c r="BA207" s="5" t="n"/>
      <c r="BB207" s="5" t="n"/>
      <c r="BC207" s="5" t="n"/>
      <c r="BD207" s="5" t="n"/>
      <c r="BE207" s="39">
        <f t="array" ref="BE207">MIN(100, MAX(0,
  IFERROR(_xlfn.XLOOKUP(AT207,'Lookup Tables'!$D$2:$D$6,'Lookup Tables'!$E$2:$E$6,0),0)
  + IFERROR(_xlfn.XLOOKUP(AV207,'Lookup Tables'!$G$2:$G$5,'Lookup Tables'!$H$2:$H$5,0),0)
  + IFERROR(_xlfn.XLOOKUP(AW207,'Lookup Tables'!$J$2:$J$5,'Lookup Tables'!$K$2:$K$5,0),0)
  + _xlfn.IFS(AX207="No Issues",10, AX207="Complaint Filed",3, AX207="Confirmed Breach",-15, TRUE,0)
  + IFERROR(_xlfn.XLOOKUP(AY207,'Lookup Tables'!$M$2:$M$6,'Lookup Tables'!$N$2:$N$6,0),0)
  + IFERROR(_xlfn.XLOOKUP(AZ207,'Lookup Tables'!$P$2:$P$6,'Lookup Tables'!$Q$2:$Q$6,0),0)
  + _xlfn.IFS(BA207="Formal Board Committee",5, BA207="Board Oversight Mentioned",2, TRUE,0)
  + _xlfn.IFS(BB207="Yes — Quantified Targets",5, BB207="Yes — Discretionary Only",2, TRUE,0)
  + _xlfn.IFS(BC207="Reasonable Assurance",5, BC207="Limited Assurance",3, BC207="Management Review Only",1, TRUE,0)
))</f>
        <v/>
      </c>
      <c r="BF207" s="5" t="n"/>
      <c r="BG207" s="5" t="n"/>
      <c r="BH207" s="5" t="n"/>
      <c r="BI207" s="5" t="n"/>
      <c r="BJ207" s="5" t="n"/>
      <c r="BK207" s="5" t="n"/>
      <c r="BL207" s="5" t="n"/>
      <c r="BM207" s="5" t="n"/>
      <c r="BN207" s="5" t="n"/>
      <c r="BO207" s="5" t="n"/>
      <c r="BP207" s="5" t="n"/>
      <c r="BQ207" s="5" t="n"/>
      <c r="BR207" s="5" t="n"/>
      <c r="BS207" s="41">
        <f t="array" ref="BS207">MIN(100, MAX(0,
  IFERROR(_xlfn.XLOOKUP(BG207,'Lookup Tables'!$A$11:$A$16,'Lookup Tables'!$B$11:$B$16,0),0)
  + IFERROR(_xlfn.XLOOKUP(BR207,'Lookup Tables'!$M$11:$M$14,'Lookup Tables'!$N$11:$N$14,0),0)
  + IFERROR(_xlfn.XLOOKUP(BQ207,'Lookup Tables'!$J$11:$J$15,'Lookup Tables'!$K$11:$K$15,0),0)
  + IFERROR(_xlfn.XLOOKUP(BH207,'Lookup Tables'!$D$11:$D$15,'Lookup Tables'!$E$11:$E$15,0),0)
  + IFERROR(_xlfn.XLOOKUP(BJ207,'Lookup Tables'!$G$11:$G$16,'Lookup Tables'!$H$11:$H$16,0),0)
  + IFERROR(_xlfn.XLOOKUP(BN207,'Lookup Tables'!$P$11:$P$15,'Lookup Tables'!$Q$11:$Q$15,0),0)
  + _xlfn.IFS(BM207="No Evidence",10, BM207="Unknown",3, BM207="Likely",0, BM207="Confirmed",-10, TRUE,3)
  + IFERROR(_xlfn.XLOOKUP(BP207,'Lookup Tables'!$J$21:$J$24,'Lookup Tables'!$K$21:$K$24,0),0)
))</f>
        <v/>
      </c>
      <c r="BT207" s="5" t="n"/>
      <c r="BU207" s="5" t="n"/>
      <c r="BV207" s="5" t="n"/>
      <c r="BW207" s="5" t="n"/>
      <c r="BX207" s="5" t="n"/>
      <c r="BY207" s="5" t="n"/>
      <c r="BZ207" s="5" t="n"/>
      <c r="CA207" s="5" t="n"/>
      <c r="CB207" s="5" t="n"/>
      <c r="CC207" s="5" t="n"/>
      <c r="CD207" s="5" t="n"/>
      <c r="CE207" s="43">
        <f t="array" ref="CE207">MIN(100, MAX(0,
  IF(ISNUMBER(BV207)*AND(BV207&gt;0), 10, 0)
  + _xlfn.IFS(BY207="Independently Verified",25, BY207="Yes",15, TRUE,0)
  + IFERROR(_xlfn.XLOOKUP(BZ207,'Lookup Tables'!$A$21:$A$24,'Lookup Tables'!$B$21:$B$24,0),0)
  + IFERROR(_xlfn.XLOOKUP(CA207,'Lookup Tables'!$D$21:$D$24,'Lookup Tables'!$E$21:$E$24,0),0)
  + _xlfn.IFS(ISNUMBER(CB207)*AND(CB207&gt;=11),15, ISNUMBER(CB207)*AND(CB207&gt;=6),10, ISNUMBER(CB207)*AND(CB207&gt;=1),5, TRUE,0)
  + IFERROR(_xlfn.XLOOKUP(CC207,'Lookup Tables'!$G$21:$G$25,'Lookup Tables'!$H$21:$H$25,0),0)
  - IF(ISNUMBER(BW207)*AND(ISNUMBER(BV207))*AND(BW207&gt;BV207), 20, 0)
  - IF(AND(BY207="Yes", ISNUMBER(BW207), BW207&gt;60), 10, 0)
))</f>
        <v/>
      </c>
      <c r="CF207" s="5" t="n"/>
      <c r="CG207" s="5" t="n"/>
      <c r="CH207" s="5" t="n"/>
      <c r="CI207" s="5" t="n"/>
      <c r="CJ207" s="5" t="n"/>
      <c r="CK207" s="5" t="n"/>
      <c r="CL207" s="5" t="n"/>
      <c r="CM207" s="5" t="n"/>
      <c r="CN207" s="5" t="n"/>
      <c r="CO207" s="5" t="n"/>
      <c r="CP207" s="5" t="n"/>
      <c r="CQ207" s="5" t="n"/>
      <c r="CR207" s="5">
        <f>COUNTIF(CJ207:CQ207,"FAIL")</f>
        <v/>
      </c>
      <c r="CS207" s="5">
        <f>COUNTIF(CJ207:CQ207,"PARTIAL")</f>
        <v/>
      </c>
      <c r="CT207" s="5">
        <f>COUNTIF(CJ207:CQ207,"MISSING")</f>
        <v/>
      </c>
      <c r="CU207" s="5">
        <f>MIN(100,
  CR207*15
  + CS207*6
  + CT207*3
  + IFERROR(_xlfn.XLOOKUP(CW207,'Lookup Tables'!$M$21:$M$25,'Lookup Tables'!$N$21:$N$25,0),0)
)</f>
        <v/>
      </c>
      <c r="CV207" s="5">
        <f>IFERROR(
CHOOSE(
MATCH("FAIL",CJ207:CQ207,0),
"1-Specificity","2-Metric","3-Baseline","4-Target",
"5-Time Horizon","6-Scope","7-Verification","8-Consistency"
),
IFERROR(
CHOOSE(
MATCH("PARTIAL",CJ207:CQ207,0),
"1-Specificity","2-Metric","3-Baseline","4-Target",
"5-Time Horizon","6-Scope","7-Verification","8-Consistency"
),
"No failures"
)
)</f>
        <v/>
      </c>
      <c r="CW207" s="5" t="n"/>
      <c r="CX207" s="5" t="n"/>
      <c r="CY207" s="5" t="n"/>
      <c r="CZ207" s="5" t="n"/>
      <c r="DA207" s="5">
        <f>IF(OR(CU207&gt;=50,CW207="Material",CW207="Severe",AS207="Material",AS207="Severe",BF207="Material",BF207="Severe — Exclusion Trigger",AND(ISNUMBER(BS207),BS207&lt;30)),"Yes","No")</f>
        <v/>
      </c>
      <c r="DB207" s="5">
        <f>IF(OR(CR207&gt;=6,AW207="Confirmed Violation",AX207="Confirmed Breach"),"Yes — Automatic",IF(CW207="Severe","Yes — Requires Captain Confirmation","No"))</f>
        <v/>
      </c>
      <c r="DC207" s="5" t="n"/>
      <c r="DD207" s="5" t="n"/>
      <c r="DE207" s="5" t="n"/>
      <c r="DF207" s="5" t="n"/>
      <c r="DG207" s="5" t="n"/>
      <c r="DH207" s="5" t="n"/>
      <c r="DI207" s="5" t="n"/>
      <c r="DJ207" s="5" t="n"/>
      <c r="DK207" s="5" t="n"/>
      <c r="DL207" s="5">
        <f>IF(OR(IFERROR(VALUE(LEFT(DF207,1)),99)&lt;=2,IFERROR(VALUE(LEFT(DG207,1)),99)&lt;=2),"Flagged","Clear")</f>
        <v/>
      </c>
      <c r="DM207" s="5">
        <f>IF(OR(DA207="Yes",DB207&lt;&gt;"No",DH207="Unverified",DL207="Flagged"),"Yes","No")</f>
        <v/>
      </c>
      <c r="DN207" s="5">
        <f t="array" ref="DN207">MIN(100,
  IF(ISNUMBER(V207), _xlfn.IFS(V207&gt;=3,25, V207=2,15, V207=1,5, TRUE,0), 0)
  + IFERROR(_xlfn.IFS(VALUE(LEFT(DF207,1))=5,25, VALUE(LEFT(DF207,1))=4,20, VALUE(LEFT(DF207,1))=3,15, VALUE(LEFT(DF207,1))=2,8, TRUE,0), 15)
  + IFERROR(_xlfn.IFS(VALUE(LEFT(DG207,1))=5,25, VALUE(LEFT(DG207,1))=4,20, VALUE(LEFT(DG207,1))=3,15, VALUE(LEFT(DG207,1))=2,8, TRUE,0), 15)
  + _xlfn.IFS(DH207="Fully Verified",25, DH207="Partially Verified",12, TRUE,0)
)</f>
        <v/>
      </c>
      <c r="DO207" s="5">
        <f t="array" ref="DO207">_xlfn.IFS(
  ISBLANK(AR207), "Insufficient Evidence",
  AND(AR207&gt;=65, AJ207="Approved"), "Strong",
  AR207&gt;=65, "Adequate",
  AR207&gt;=40, "Adequate",
  AR207&gt;=20, "Weak",
  TRUE, "Insufficient Evidence"
)</f>
        <v/>
      </c>
      <c r="DP207" s="5">
        <f t="array" ref="DP207">_xlfn.IFS(
  ISBLANK(BS207), "Insufficient Evidence",
  BS207&gt;=65, "Strong",
  BS207&gt;=40, "Adequate",
  BS207&gt;=20, "Weak",
  TRUE, "Insufficient Evidence"
)</f>
        <v/>
      </c>
      <c r="DQ207" s="5">
        <f t="array" ref="DQ207">_xlfn.IFS(
  ISBLANK(BE207), "Insufficient Evidence",
  OR(AW207="Confirmed Violation", AX207="Confirmed Breach"), "Severe — Hard Trigger",
  BE207&gt;=65, "Strong",
  BE207&gt;=40, "Adequate",
  BE207&gt;=20, "Weak",
  TRUE, "Insufficient Evidence"
)</f>
        <v/>
      </c>
      <c r="DR207" s="5">
        <f t="array" ref="DR207">_xlfn.IFS(
  ISBLANK(CU207), "Insufficient Evidence",
  CU207&lt;=20, "Low Risk",
  CU207&lt;=50, "Moderate Risk",
  CU207&lt;=75, "High Risk",
  TRUE, "Very High Risk"
)</f>
        <v/>
      </c>
      <c r="DS207" s="5">
        <f t="array" ref="DS207">_xlfn.IFS(
  ISBLANK(CE207), "Insufficient Evidence",
  AND(ISNUMBER(BW207),ISNUMBER(BV207),BW207&gt;BV207), "Overclaiming Risk",
  CE207&gt;=65, "Strong",
  CE207&gt;=40, "Adequate",
  TRUE, "Weak"
)</f>
        <v/>
      </c>
      <c r="DT207" s="5">
        <f>IF(DB207="Yes — Automatic",0,ROUND((IF(ISNUMBER(AR207),AR207,0)*0.3+IF(ISNUMBER(BS207),BS207,0)*0.2+IF(ISNUMBER(BE207),BE207,0)*0.2+IF(ISNUMBER(CE207),CE207,0)*0.15+(100-IF(ISNUMBER(CU207),CU207,50))*0.15)*IF(DN207&gt;=75,1,IF(DN207&gt;=50,0.9,IF(DN207&gt;=25,0.75,0.6))),1))</f>
        <v/>
      </c>
      <c r="DU207" s="5">
        <f t="array" ref="DU207">_xlfn.IFS(
  DV207="Upgraded to Clear", "Clear",
  DV207="Downgraded to Watchlist", "Watchlist",
  DV207="Downgraded to Exclusion", "Exclusion Risk",
  DB207="Yes — Automatic", "Exclusion Risk",
  OR(AW207="Confirmed Violation", AX207="Confirmed Breach"), "Exclusion Risk",
  OR(V207=0, ISBLANK(V207), DN207&lt;20), "Insufficient Evidence",
  AND(DT207&gt;=65, DA207="No", DB207="No"), "Clear",
  OR(DT207&gt;=40, DA207="Yes"), "Watchlist",
  TRUE, "Exclusion Risk"
)</f>
        <v/>
      </c>
      <c r="DV207" s="5" t="n"/>
      <c r="DW207" s="5">
        <f t="array" ref="DW207">_xlfn.IFS(
  DU207="Exclusion Risk", "Exclude — Hard Trigger",
  DU207="Insufficient Evidence", "Watchlist — Further Evidence Needed",
  DU207="Watchlist", "Watchlist — Further Evidence Needed",
  AND(DU207="Clear", DT207&gt;=80), "Include — No Conditions",
  DU207="Clear", "Include — Monitor",
  TRUE, "Watchlist — Further Evidence Needed"
)</f>
        <v/>
      </c>
      <c r="DX207" s="5" t="n"/>
      <c r="DY207" s="5" t="n"/>
      <c r="DZ207" s="5" t="n"/>
      <c r="EA207" s="5" t="n"/>
      <c r="EB207" s="5">
        <f>IF(OR(V207=0, ISBLANK(V207)), "MISSING — No sources reviewed", "")</f>
        <v/>
      </c>
      <c r="EC207" s="5">
        <f>IF(AND(NOT(ISBLANK(DC207)), ISBLANK(DE207)), "PAGE REF MISSING", "")</f>
        <v/>
      </c>
    </row>
    <row r="208" ht="18" customHeight="1" s="60">
      <c r="A208" s="5" t="inlineStr"/>
      <c r="B208" s="5" t="inlineStr"/>
      <c r="C208" s="5">
        <f>IF(ISBLANK('Universe Tracker'!D183),"",'Universe Tracker'!D183)</f>
        <v/>
      </c>
      <c r="D208" s="5" t="n"/>
      <c r="E208" s="5" t="n"/>
      <c r="F208" s="5">
        <f>IF(ISBLANK('Universe Tracker'!F183),"",'Universe Tracker'!F183)</f>
        <v/>
      </c>
      <c r="G208" s="5">
        <f>IF(ISBLANK('Universe Tracker'!G183),"",'Universe Tracker'!G183)</f>
        <v/>
      </c>
      <c r="H208" s="5" t="n"/>
      <c r="I208" s="5" t="n"/>
      <c r="J208" s="5">
        <f>IF(ISBLANK(B208),"",B208&amp;"_"&amp;C208)</f>
        <v/>
      </c>
      <c r="K208" s="5" t="n"/>
      <c r="L208" s="5" t="n"/>
      <c r="M208" s="5" t="n"/>
      <c r="N208" s="5" t="n"/>
      <c r="O208" s="5" t="n"/>
      <c r="P208" s="5" t="n"/>
      <c r="Q208" s="5" t="n"/>
      <c r="R208" s="5" t="n"/>
      <c r="S208" s="5" t="n"/>
      <c r="T208" s="5" t="n"/>
      <c r="U208" s="5" t="n"/>
      <c r="V208" s="5" t="n"/>
      <c r="W208" s="5" t="n"/>
      <c r="X208" s="5" t="n"/>
      <c r="Y208" s="5">
        <f>IF(AND(V208&gt;=2,K208="Yes",L208="Yes"),"Sufficient",IF(AND(V208&gt;=1,OR(K208="Yes",L208="Yes")),"Thin","Insufficient"))</f>
        <v/>
      </c>
      <c r="Z208" s="5" t="n"/>
      <c r="AA208" s="5" t="n"/>
      <c r="AB208" s="5" t="n"/>
      <c r="AC208" s="5" t="n"/>
      <c r="AD208" s="5" t="n"/>
      <c r="AE208" s="5" t="n"/>
      <c r="AF208" s="5" t="n"/>
      <c r="AG208" s="5" t="n"/>
      <c r="AH208" s="5" t="n"/>
      <c r="AI208" s="5" t="n"/>
      <c r="AJ208" s="5" t="n"/>
      <c r="AK208" s="5" t="n"/>
      <c r="AL208" s="5" t="n"/>
      <c r="AM208" s="5" t="n"/>
      <c r="AN208" s="5" t="n"/>
      <c r="AO208" s="5" t="n"/>
      <c r="AP208" s="5" t="n"/>
      <c r="AQ208" s="5" t="n"/>
      <c r="AR208" s="40">
        <f t="array" ref="AR208">MIN(100, MAX(0,
  IFERROR(_xlfn.XLOOKUP(AJ208,'Lookup Tables'!$A$2:$A$7,'Lookup Tables'!$B$2:$B$7,0),0)
  + IF(Z208="Yes", IF(IFERROR(_xlfn.XLOOKUP(AJ208,'Lookup Tables'!$A$2:$A$7,'Lookup Tables'!$B$2:$B$7,0),0)&lt;20, 5, 0), 0)
  + _xlfn.IFS(AB208="Yes", IF(ISNUMBER(AC208)*AND(AC208&lt;=2030),15,10), AB208="Long-term Only", 5, AB208="No", 0, TRUE, 0)
  + _xlfn.IFS(AF208="Full",10, AF208="Partial",5, AF208="Scope 2 Only",3, TRUE,0)
  + _xlfn.IFS(AG208="Yes", IF(ISNUMBER(AH208)*AND(AH208&gt;=5),10,6), AG208="Partial",4, TRUE,0)
  + _xlfn.IFS(AI208="Yes",5, AI208="Partial (material categories only)",3, TRUE,0)
  + _xlfn.IFS(AL208="Yes — Detailed",10, AL208="Yes — High Level",5, TRUE,0)
  + _xlfn.IFS(AM208="Yes — Quantified",15, AM208="Yes — Directional Only",7, TRUE,0)
  + _xlfn.IFS(AP208="Formal",5, AP208="Referenced",2, TRUE,0)
  + _xlfn.IFS(AQ208="No Issues Found",5, AQ208="Concern Identified",-5, AQ208="Severe Contradiction",-15, TRUE,0)
  + _xlfn.IFS(BC208="Reasonable Assurance",5, BC208="Limited Assurance",3, TRUE,0)
  - IF(AND(Z208="Yes", AI208="No"), 10, 0)
  - IF(AND(Z208="Yes", AM208="No"), 10, 0)
))</f>
        <v/>
      </c>
      <c r="AS208" s="5" t="n"/>
      <c r="AT208" s="5" t="n"/>
      <c r="AU208" s="5" t="n"/>
      <c r="AV208" s="5" t="n"/>
      <c r="AW208" s="5" t="n"/>
      <c r="AX208" s="5" t="n"/>
      <c r="AY208" s="5" t="n"/>
      <c r="AZ208" s="5" t="n"/>
      <c r="BA208" s="5" t="n"/>
      <c r="BB208" s="5" t="n"/>
      <c r="BC208" s="5" t="n"/>
      <c r="BD208" s="5" t="n"/>
      <c r="BE208" s="39">
        <f t="array" ref="BE208">MIN(100, MAX(0,
  IFERROR(_xlfn.XLOOKUP(AT208,'Lookup Tables'!$D$2:$D$6,'Lookup Tables'!$E$2:$E$6,0),0)
  + IFERROR(_xlfn.XLOOKUP(AV208,'Lookup Tables'!$G$2:$G$5,'Lookup Tables'!$H$2:$H$5,0),0)
  + IFERROR(_xlfn.XLOOKUP(AW208,'Lookup Tables'!$J$2:$J$5,'Lookup Tables'!$K$2:$K$5,0),0)
  + _xlfn.IFS(AX208="No Issues",10, AX208="Complaint Filed",3, AX208="Confirmed Breach",-15, TRUE,0)
  + IFERROR(_xlfn.XLOOKUP(AY208,'Lookup Tables'!$M$2:$M$6,'Lookup Tables'!$N$2:$N$6,0),0)
  + IFERROR(_xlfn.XLOOKUP(AZ208,'Lookup Tables'!$P$2:$P$6,'Lookup Tables'!$Q$2:$Q$6,0),0)
  + _xlfn.IFS(BA208="Formal Board Committee",5, BA208="Board Oversight Mentioned",2, TRUE,0)
  + _xlfn.IFS(BB208="Yes — Quantified Targets",5, BB208="Yes — Discretionary Only",2, TRUE,0)
  + _xlfn.IFS(BC208="Reasonable Assurance",5, BC208="Limited Assurance",3, BC208="Management Review Only",1, TRUE,0)
))</f>
        <v/>
      </c>
      <c r="BF208" s="5" t="n"/>
      <c r="BG208" s="5" t="n"/>
      <c r="BH208" s="5" t="n"/>
      <c r="BI208" s="5" t="n"/>
      <c r="BJ208" s="5" t="n"/>
      <c r="BK208" s="5" t="n"/>
      <c r="BL208" s="5" t="n"/>
      <c r="BM208" s="5" t="n"/>
      <c r="BN208" s="5" t="n"/>
      <c r="BO208" s="5" t="n"/>
      <c r="BP208" s="5" t="n"/>
      <c r="BQ208" s="5" t="n"/>
      <c r="BR208" s="5" t="n"/>
      <c r="BS208" s="41">
        <f t="array" ref="BS208">MIN(100, MAX(0,
  IFERROR(_xlfn.XLOOKUP(BG208,'Lookup Tables'!$A$11:$A$16,'Lookup Tables'!$B$11:$B$16,0),0)
  + IFERROR(_xlfn.XLOOKUP(BR208,'Lookup Tables'!$M$11:$M$14,'Lookup Tables'!$N$11:$N$14,0),0)
  + IFERROR(_xlfn.XLOOKUP(BQ208,'Lookup Tables'!$J$11:$J$15,'Lookup Tables'!$K$11:$K$15,0),0)
  + IFERROR(_xlfn.XLOOKUP(BH208,'Lookup Tables'!$D$11:$D$15,'Lookup Tables'!$E$11:$E$15,0),0)
  + IFERROR(_xlfn.XLOOKUP(BJ208,'Lookup Tables'!$G$11:$G$16,'Lookup Tables'!$H$11:$H$16,0),0)
  + IFERROR(_xlfn.XLOOKUP(BN208,'Lookup Tables'!$P$11:$P$15,'Lookup Tables'!$Q$11:$Q$15,0),0)
  + _xlfn.IFS(BM208="No Evidence",10, BM208="Unknown",3, BM208="Likely",0, BM208="Confirmed",-10, TRUE,3)
  + IFERROR(_xlfn.XLOOKUP(BP208,'Lookup Tables'!$J$21:$J$24,'Lookup Tables'!$K$21:$K$24,0),0)
))</f>
        <v/>
      </c>
      <c r="BT208" s="5" t="n"/>
      <c r="BU208" s="5" t="n"/>
      <c r="BV208" s="5" t="n"/>
      <c r="BW208" s="5" t="n"/>
      <c r="BX208" s="5" t="n"/>
      <c r="BY208" s="5" t="n"/>
      <c r="BZ208" s="5" t="n"/>
      <c r="CA208" s="5" t="n"/>
      <c r="CB208" s="5" t="n"/>
      <c r="CC208" s="5" t="n"/>
      <c r="CD208" s="5" t="n"/>
      <c r="CE208" s="43">
        <f t="array" ref="CE208">MIN(100, MAX(0,
  IF(ISNUMBER(BV208)*AND(BV208&gt;0), 10, 0)
  + _xlfn.IFS(BY208="Independently Verified",25, BY208="Yes",15, TRUE,0)
  + IFERROR(_xlfn.XLOOKUP(BZ208,'Lookup Tables'!$A$21:$A$24,'Lookup Tables'!$B$21:$B$24,0),0)
  + IFERROR(_xlfn.XLOOKUP(CA208,'Lookup Tables'!$D$21:$D$24,'Lookup Tables'!$E$21:$E$24,0),0)
  + _xlfn.IFS(ISNUMBER(CB208)*AND(CB208&gt;=11),15, ISNUMBER(CB208)*AND(CB208&gt;=6),10, ISNUMBER(CB208)*AND(CB208&gt;=1),5, TRUE,0)
  + IFERROR(_xlfn.XLOOKUP(CC208,'Lookup Tables'!$G$21:$G$25,'Lookup Tables'!$H$21:$H$25,0),0)
  - IF(ISNUMBER(BW208)*AND(ISNUMBER(BV208))*AND(BW208&gt;BV208), 20, 0)
  - IF(AND(BY208="Yes", ISNUMBER(BW208), BW208&gt;60), 10, 0)
))</f>
        <v/>
      </c>
      <c r="CF208" s="5" t="n"/>
      <c r="CG208" s="5" t="n"/>
      <c r="CH208" s="5" t="n"/>
      <c r="CI208" s="5" t="n"/>
      <c r="CJ208" s="5" t="n"/>
      <c r="CK208" s="5" t="n"/>
      <c r="CL208" s="5" t="n"/>
      <c r="CM208" s="5" t="n"/>
      <c r="CN208" s="5" t="n"/>
      <c r="CO208" s="5" t="n"/>
      <c r="CP208" s="5" t="n"/>
      <c r="CQ208" s="5" t="n"/>
      <c r="CR208" s="5">
        <f>COUNTIF(CJ208:CQ208,"FAIL")</f>
        <v/>
      </c>
      <c r="CS208" s="5">
        <f>COUNTIF(CJ208:CQ208,"PARTIAL")</f>
        <v/>
      </c>
      <c r="CT208" s="5">
        <f>COUNTIF(CJ208:CQ208,"MISSING")</f>
        <v/>
      </c>
      <c r="CU208" s="5">
        <f>MIN(100,
  CR208*15
  + CS208*6
  + CT208*3
  + IFERROR(_xlfn.XLOOKUP(CW208,'Lookup Tables'!$M$21:$M$25,'Lookup Tables'!$N$21:$N$25,0),0)
)</f>
        <v/>
      </c>
      <c r="CV208" s="5">
        <f>IFERROR(
CHOOSE(
MATCH("FAIL",CJ208:CQ208,0),
"1-Specificity","2-Metric","3-Baseline","4-Target",
"5-Time Horizon","6-Scope","7-Verification","8-Consistency"
),
IFERROR(
CHOOSE(
MATCH("PARTIAL",CJ208:CQ208,0),
"1-Specificity","2-Metric","3-Baseline","4-Target",
"5-Time Horizon","6-Scope","7-Verification","8-Consistency"
),
"No failures"
)
)</f>
        <v/>
      </c>
      <c r="CW208" s="5" t="n"/>
      <c r="CX208" s="5" t="n"/>
      <c r="CY208" s="5" t="n"/>
      <c r="CZ208" s="5" t="n"/>
      <c r="DA208" s="5">
        <f>IF(OR(CU208&gt;=50,CW208="Material",CW208="Severe",AS208="Material",AS208="Severe",BF208="Material",BF208="Severe — Exclusion Trigger",AND(ISNUMBER(BS208),BS208&lt;30)),"Yes","No")</f>
        <v/>
      </c>
      <c r="DB208" s="5">
        <f>IF(OR(CR208&gt;=6,AW208="Confirmed Violation",AX208="Confirmed Breach"),"Yes — Automatic",IF(CW208="Severe","Yes — Requires Captain Confirmation","No"))</f>
        <v/>
      </c>
      <c r="DC208" s="5" t="n"/>
      <c r="DD208" s="5" t="n"/>
      <c r="DE208" s="5" t="n"/>
      <c r="DF208" s="5" t="n"/>
      <c r="DG208" s="5" t="n"/>
      <c r="DH208" s="5" t="n"/>
      <c r="DI208" s="5" t="n"/>
      <c r="DJ208" s="5" t="n"/>
      <c r="DK208" s="5" t="n"/>
      <c r="DL208" s="5">
        <f>IF(OR(IFERROR(VALUE(LEFT(DF208,1)),99)&lt;=2,IFERROR(VALUE(LEFT(DG208,1)),99)&lt;=2),"Flagged","Clear")</f>
        <v/>
      </c>
      <c r="DM208" s="5">
        <f>IF(OR(DA208="Yes",DB208&lt;&gt;"No",DH208="Unverified",DL208="Flagged"),"Yes","No")</f>
        <v/>
      </c>
      <c r="DN208" s="5">
        <f t="array" ref="DN208">MIN(100,
  IF(ISNUMBER(V208), _xlfn.IFS(V208&gt;=3,25, V208=2,15, V208=1,5, TRUE,0), 0)
  + IFERROR(_xlfn.IFS(VALUE(LEFT(DF208,1))=5,25, VALUE(LEFT(DF208,1))=4,20, VALUE(LEFT(DF208,1))=3,15, VALUE(LEFT(DF208,1))=2,8, TRUE,0), 15)
  + IFERROR(_xlfn.IFS(VALUE(LEFT(DG208,1))=5,25, VALUE(LEFT(DG208,1))=4,20, VALUE(LEFT(DG208,1))=3,15, VALUE(LEFT(DG208,1))=2,8, TRUE,0), 15)
  + _xlfn.IFS(DH208="Fully Verified",25, DH208="Partially Verified",12, TRUE,0)
)</f>
        <v/>
      </c>
      <c r="DO208" s="5">
        <f t="array" ref="DO208">_xlfn.IFS(
  ISBLANK(AR208), "Insufficient Evidence",
  AND(AR208&gt;=65, AJ208="Approved"), "Strong",
  AR208&gt;=65, "Adequate",
  AR208&gt;=40, "Adequate",
  AR208&gt;=20, "Weak",
  TRUE, "Insufficient Evidence"
)</f>
        <v/>
      </c>
      <c r="DP208" s="5">
        <f t="array" ref="DP208">_xlfn.IFS(
  ISBLANK(BS208), "Insufficient Evidence",
  BS208&gt;=65, "Strong",
  BS208&gt;=40, "Adequate",
  BS208&gt;=20, "Weak",
  TRUE, "Insufficient Evidence"
)</f>
        <v/>
      </c>
      <c r="DQ208" s="5">
        <f t="array" ref="DQ208">_xlfn.IFS(
  ISBLANK(BE208), "Insufficient Evidence",
  OR(AW208="Confirmed Violation", AX208="Confirmed Breach"), "Severe — Hard Trigger",
  BE208&gt;=65, "Strong",
  BE208&gt;=40, "Adequate",
  BE208&gt;=20, "Weak",
  TRUE, "Insufficient Evidence"
)</f>
        <v/>
      </c>
      <c r="DR208" s="5">
        <f t="array" ref="DR208">_xlfn.IFS(
  ISBLANK(CU208), "Insufficient Evidence",
  CU208&lt;=20, "Low Risk",
  CU208&lt;=50, "Moderate Risk",
  CU208&lt;=75, "High Risk",
  TRUE, "Very High Risk"
)</f>
        <v/>
      </c>
      <c r="DS208" s="5">
        <f t="array" ref="DS208">_xlfn.IFS(
  ISBLANK(CE208), "Insufficient Evidence",
  AND(ISNUMBER(BW208),ISNUMBER(BV208),BW208&gt;BV208), "Overclaiming Risk",
  CE208&gt;=65, "Strong",
  CE208&gt;=40, "Adequate",
  TRUE, "Weak"
)</f>
        <v/>
      </c>
      <c r="DT208" s="5">
        <f>IF(DB208="Yes — Automatic",0,ROUND((IF(ISNUMBER(AR208),AR208,0)*0.3+IF(ISNUMBER(BS208),BS208,0)*0.2+IF(ISNUMBER(BE208),BE208,0)*0.2+IF(ISNUMBER(CE208),CE208,0)*0.15+(100-IF(ISNUMBER(CU208),CU208,50))*0.15)*IF(DN208&gt;=75,1,IF(DN208&gt;=50,0.9,IF(DN208&gt;=25,0.75,0.6))),1))</f>
        <v/>
      </c>
      <c r="DU208" s="5">
        <f t="array" ref="DU208">_xlfn.IFS(
  DV208="Upgraded to Clear", "Clear",
  DV208="Downgraded to Watchlist", "Watchlist",
  DV208="Downgraded to Exclusion", "Exclusion Risk",
  DB208="Yes — Automatic", "Exclusion Risk",
  OR(AW208="Confirmed Violation", AX208="Confirmed Breach"), "Exclusion Risk",
  OR(V208=0, ISBLANK(V208), DN208&lt;20), "Insufficient Evidence",
  AND(DT208&gt;=65, DA208="No", DB208="No"), "Clear",
  OR(DT208&gt;=40, DA208="Yes"), "Watchlist",
  TRUE, "Exclusion Risk"
)</f>
        <v/>
      </c>
      <c r="DV208" s="5" t="n"/>
      <c r="DW208" s="5">
        <f t="array" ref="DW208">_xlfn.IFS(
  DU208="Exclusion Risk", "Exclude — Hard Trigger",
  DU208="Insufficient Evidence", "Watchlist — Further Evidence Needed",
  DU208="Watchlist", "Watchlist — Further Evidence Needed",
  AND(DU208="Clear", DT208&gt;=80), "Include — No Conditions",
  DU208="Clear", "Include — Monitor",
  TRUE, "Watchlist — Further Evidence Needed"
)</f>
        <v/>
      </c>
      <c r="DX208" s="5" t="n"/>
      <c r="DY208" s="5" t="n"/>
      <c r="DZ208" s="5" t="n"/>
      <c r="EA208" s="5" t="n"/>
      <c r="EB208" s="5">
        <f>IF(OR(V208=0, ISBLANK(V208)), "MISSING — No sources reviewed", "")</f>
        <v/>
      </c>
      <c r="EC208" s="5">
        <f>IF(AND(NOT(ISBLANK(DC208)), ISBLANK(DE208)), "PAGE REF MISSING", "")</f>
        <v/>
      </c>
    </row>
    <row r="209" ht="18" customHeight="1" s="60">
      <c r="A209" s="5" t="inlineStr"/>
      <c r="B209" s="5" t="inlineStr"/>
      <c r="C209" s="5">
        <f>IF(ISBLANK('Universe Tracker'!D184),"",'Universe Tracker'!D184)</f>
        <v/>
      </c>
      <c r="D209" s="5" t="n"/>
      <c r="E209" s="5" t="n"/>
      <c r="F209" s="5">
        <f>IF(ISBLANK('Universe Tracker'!F184),"",'Universe Tracker'!F184)</f>
        <v/>
      </c>
      <c r="G209" s="5">
        <f>IF(ISBLANK('Universe Tracker'!G184),"",'Universe Tracker'!G184)</f>
        <v/>
      </c>
      <c r="H209" s="5" t="n"/>
      <c r="I209" s="5" t="n"/>
      <c r="J209" s="5">
        <f>IF(ISBLANK(B209),"",B209&amp;"_"&amp;C209)</f>
        <v/>
      </c>
      <c r="K209" s="5" t="n"/>
      <c r="L209" s="5" t="n"/>
      <c r="M209" s="5" t="n"/>
      <c r="N209" s="5" t="n"/>
      <c r="O209" s="5" t="n"/>
      <c r="P209" s="5" t="n"/>
      <c r="Q209" s="5" t="n"/>
      <c r="R209" s="5" t="n"/>
      <c r="S209" s="5" t="n"/>
      <c r="T209" s="5" t="n"/>
      <c r="U209" s="5" t="n"/>
      <c r="V209" s="5" t="n"/>
      <c r="W209" s="5" t="n"/>
      <c r="X209" s="5" t="n"/>
      <c r="Y209" s="5">
        <f>IF(AND(V209&gt;=2,K209="Yes",L209="Yes"),"Sufficient",IF(AND(V209&gt;=1,OR(K209="Yes",L209="Yes")),"Thin","Insufficient"))</f>
        <v/>
      </c>
      <c r="Z209" s="5" t="n"/>
      <c r="AA209" s="5" t="n"/>
      <c r="AB209" s="5" t="n"/>
      <c r="AC209" s="5" t="n"/>
      <c r="AD209" s="5" t="n"/>
      <c r="AE209" s="5" t="n"/>
      <c r="AF209" s="5" t="n"/>
      <c r="AG209" s="5" t="n"/>
      <c r="AH209" s="5" t="n"/>
      <c r="AI209" s="5" t="n"/>
      <c r="AJ209" s="5" t="n"/>
      <c r="AK209" s="5" t="n"/>
      <c r="AL209" s="5" t="n"/>
      <c r="AM209" s="5" t="n"/>
      <c r="AN209" s="5" t="n"/>
      <c r="AO209" s="5" t="n"/>
      <c r="AP209" s="5" t="n"/>
      <c r="AQ209" s="5" t="n"/>
      <c r="AR209" s="40">
        <f t="array" ref="AR209">MIN(100, MAX(0,
  IFERROR(_xlfn.XLOOKUP(AJ209,'Lookup Tables'!$A$2:$A$7,'Lookup Tables'!$B$2:$B$7,0),0)
  + IF(Z209="Yes", IF(IFERROR(_xlfn.XLOOKUP(AJ209,'Lookup Tables'!$A$2:$A$7,'Lookup Tables'!$B$2:$B$7,0),0)&lt;20, 5, 0), 0)
  + _xlfn.IFS(AB209="Yes", IF(ISNUMBER(AC209)*AND(AC209&lt;=2030),15,10), AB209="Long-term Only", 5, AB209="No", 0, TRUE, 0)
  + _xlfn.IFS(AF209="Full",10, AF209="Partial",5, AF209="Scope 2 Only",3, TRUE,0)
  + _xlfn.IFS(AG209="Yes", IF(ISNUMBER(AH209)*AND(AH209&gt;=5),10,6), AG209="Partial",4, TRUE,0)
  + _xlfn.IFS(AI209="Yes",5, AI209="Partial (material categories only)",3, TRUE,0)
  + _xlfn.IFS(AL209="Yes — Detailed",10, AL209="Yes — High Level",5, TRUE,0)
  + _xlfn.IFS(AM209="Yes — Quantified",15, AM209="Yes — Directional Only",7, TRUE,0)
  + _xlfn.IFS(AP209="Formal",5, AP209="Referenced",2, TRUE,0)
  + _xlfn.IFS(AQ209="No Issues Found",5, AQ209="Concern Identified",-5, AQ209="Severe Contradiction",-15, TRUE,0)
  + _xlfn.IFS(BC209="Reasonable Assurance",5, BC209="Limited Assurance",3, TRUE,0)
  - IF(AND(Z209="Yes", AI209="No"), 10, 0)
  - IF(AND(Z209="Yes", AM209="No"), 10, 0)
))</f>
        <v/>
      </c>
      <c r="AS209" s="5" t="n"/>
      <c r="AT209" s="5" t="n"/>
      <c r="AU209" s="5" t="n"/>
      <c r="AV209" s="5" t="n"/>
      <c r="AW209" s="5" t="n"/>
      <c r="AX209" s="5" t="n"/>
      <c r="AY209" s="5" t="n"/>
      <c r="AZ209" s="5" t="n"/>
      <c r="BA209" s="5" t="n"/>
      <c r="BB209" s="5" t="n"/>
      <c r="BC209" s="5" t="n"/>
      <c r="BD209" s="5" t="n"/>
      <c r="BE209" s="39">
        <f t="array" ref="BE209">MIN(100, MAX(0,
  IFERROR(_xlfn.XLOOKUP(AT209,'Lookup Tables'!$D$2:$D$6,'Lookup Tables'!$E$2:$E$6,0),0)
  + IFERROR(_xlfn.XLOOKUP(AV209,'Lookup Tables'!$G$2:$G$5,'Lookup Tables'!$H$2:$H$5,0),0)
  + IFERROR(_xlfn.XLOOKUP(AW209,'Lookup Tables'!$J$2:$J$5,'Lookup Tables'!$K$2:$K$5,0),0)
  + _xlfn.IFS(AX209="No Issues",10, AX209="Complaint Filed",3, AX209="Confirmed Breach",-15, TRUE,0)
  + IFERROR(_xlfn.XLOOKUP(AY209,'Lookup Tables'!$M$2:$M$6,'Lookup Tables'!$N$2:$N$6,0),0)
  + IFERROR(_xlfn.XLOOKUP(AZ209,'Lookup Tables'!$P$2:$P$6,'Lookup Tables'!$Q$2:$Q$6,0),0)
  + _xlfn.IFS(BA209="Formal Board Committee",5, BA209="Board Oversight Mentioned",2, TRUE,0)
  + _xlfn.IFS(BB209="Yes — Quantified Targets",5, BB209="Yes — Discretionary Only",2, TRUE,0)
  + _xlfn.IFS(BC209="Reasonable Assurance",5, BC209="Limited Assurance",3, BC209="Management Review Only",1, TRUE,0)
))</f>
        <v/>
      </c>
      <c r="BF209" s="5" t="n"/>
      <c r="BG209" s="5" t="n"/>
      <c r="BH209" s="5" t="n"/>
      <c r="BI209" s="5" t="n"/>
      <c r="BJ209" s="5" t="n"/>
      <c r="BK209" s="5" t="n"/>
      <c r="BL209" s="5" t="n"/>
      <c r="BM209" s="5" t="n"/>
      <c r="BN209" s="5" t="n"/>
      <c r="BO209" s="5" t="n"/>
      <c r="BP209" s="5" t="n"/>
      <c r="BQ209" s="5" t="n"/>
      <c r="BR209" s="5" t="n"/>
      <c r="BS209" s="41">
        <f t="array" ref="BS209">MIN(100, MAX(0,
  IFERROR(_xlfn.XLOOKUP(BG209,'Lookup Tables'!$A$11:$A$16,'Lookup Tables'!$B$11:$B$16,0),0)
  + IFERROR(_xlfn.XLOOKUP(BR209,'Lookup Tables'!$M$11:$M$14,'Lookup Tables'!$N$11:$N$14,0),0)
  + IFERROR(_xlfn.XLOOKUP(BQ209,'Lookup Tables'!$J$11:$J$15,'Lookup Tables'!$K$11:$K$15,0),0)
  + IFERROR(_xlfn.XLOOKUP(BH209,'Lookup Tables'!$D$11:$D$15,'Lookup Tables'!$E$11:$E$15,0),0)
  + IFERROR(_xlfn.XLOOKUP(BJ209,'Lookup Tables'!$G$11:$G$16,'Lookup Tables'!$H$11:$H$16,0),0)
  + IFERROR(_xlfn.XLOOKUP(BN209,'Lookup Tables'!$P$11:$P$15,'Lookup Tables'!$Q$11:$Q$15,0),0)
  + _xlfn.IFS(BM209="No Evidence",10, BM209="Unknown",3, BM209="Likely",0, BM209="Confirmed",-10, TRUE,3)
  + IFERROR(_xlfn.XLOOKUP(BP209,'Lookup Tables'!$J$21:$J$24,'Lookup Tables'!$K$21:$K$24,0),0)
))</f>
        <v/>
      </c>
      <c r="BT209" s="5" t="n"/>
      <c r="BU209" s="5" t="n"/>
      <c r="BV209" s="5" t="n"/>
      <c r="BW209" s="5" t="n"/>
      <c r="BX209" s="5" t="n"/>
      <c r="BY209" s="5" t="n"/>
      <c r="BZ209" s="5" t="n"/>
      <c r="CA209" s="5" t="n"/>
      <c r="CB209" s="5" t="n"/>
      <c r="CC209" s="5" t="n"/>
      <c r="CD209" s="5" t="n"/>
      <c r="CE209" s="43">
        <f t="array" ref="CE209">MIN(100, MAX(0,
  IF(ISNUMBER(BV209)*AND(BV209&gt;0), 10, 0)
  + _xlfn.IFS(BY209="Independently Verified",25, BY209="Yes",15, TRUE,0)
  + IFERROR(_xlfn.XLOOKUP(BZ209,'Lookup Tables'!$A$21:$A$24,'Lookup Tables'!$B$21:$B$24,0),0)
  + IFERROR(_xlfn.XLOOKUP(CA209,'Lookup Tables'!$D$21:$D$24,'Lookup Tables'!$E$21:$E$24,0),0)
  + _xlfn.IFS(ISNUMBER(CB209)*AND(CB209&gt;=11),15, ISNUMBER(CB209)*AND(CB209&gt;=6),10, ISNUMBER(CB209)*AND(CB209&gt;=1),5, TRUE,0)
  + IFERROR(_xlfn.XLOOKUP(CC209,'Lookup Tables'!$G$21:$G$25,'Lookup Tables'!$H$21:$H$25,0),0)
  - IF(ISNUMBER(BW209)*AND(ISNUMBER(BV209))*AND(BW209&gt;BV209), 20, 0)
  - IF(AND(BY209="Yes", ISNUMBER(BW209), BW209&gt;60), 10, 0)
))</f>
        <v/>
      </c>
      <c r="CF209" s="5" t="n"/>
      <c r="CG209" s="5" t="n"/>
      <c r="CH209" s="5" t="n"/>
      <c r="CI209" s="5" t="n"/>
      <c r="CJ209" s="5" t="n"/>
      <c r="CK209" s="5" t="n"/>
      <c r="CL209" s="5" t="n"/>
      <c r="CM209" s="5" t="n"/>
      <c r="CN209" s="5" t="n"/>
      <c r="CO209" s="5" t="n"/>
      <c r="CP209" s="5" t="n"/>
      <c r="CQ209" s="5" t="n"/>
      <c r="CR209" s="5">
        <f>COUNTIF(CJ209:CQ209,"FAIL")</f>
        <v/>
      </c>
      <c r="CS209" s="5">
        <f>COUNTIF(CJ209:CQ209,"PARTIAL")</f>
        <v/>
      </c>
      <c r="CT209" s="5">
        <f>COUNTIF(CJ209:CQ209,"MISSING")</f>
        <v/>
      </c>
      <c r="CU209" s="5">
        <f>MIN(100,
  CR209*15
  + CS209*6
  + CT209*3
  + IFERROR(_xlfn.XLOOKUP(CW209,'Lookup Tables'!$M$21:$M$25,'Lookup Tables'!$N$21:$N$25,0),0)
)</f>
        <v/>
      </c>
      <c r="CV209" s="5">
        <f>IFERROR(
CHOOSE(
MATCH("FAIL",CJ209:CQ209,0),
"1-Specificity","2-Metric","3-Baseline","4-Target",
"5-Time Horizon","6-Scope","7-Verification","8-Consistency"
),
IFERROR(
CHOOSE(
MATCH("PARTIAL",CJ209:CQ209,0),
"1-Specificity","2-Metric","3-Baseline","4-Target",
"5-Time Horizon","6-Scope","7-Verification","8-Consistency"
),
"No failures"
)
)</f>
        <v/>
      </c>
      <c r="CW209" s="5" t="n"/>
      <c r="CX209" s="5" t="n"/>
      <c r="CY209" s="5" t="n"/>
      <c r="CZ209" s="5" t="n"/>
      <c r="DA209" s="5">
        <f>IF(OR(CU209&gt;=50,CW209="Material",CW209="Severe",AS209="Material",AS209="Severe",BF209="Material",BF209="Severe — Exclusion Trigger",AND(ISNUMBER(BS209),BS209&lt;30)),"Yes","No")</f>
        <v/>
      </c>
      <c r="DB209" s="5">
        <f>IF(OR(CR209&gt;=6,AW209="Confirmed Violation",AX209="Confirmed Breach"),"Yes — Automatic",IF(CW209="Severe","Yes — Requires Captain Confirmation","No"))</f>
        <v/>
      </c>
      <c r="DC209" s="5" t="n"/>
      <c r="DD209" s="5" t="n"/>
      <c r="DE209" s="5" t="n"/>
      <c r="DF209" s="5" t="n"/>
      <c r="DG209" s="5" t="n"/>
      <c r="DH209" s="5" t="n"/>
      <c r="DI209" s="5" t="n"/>
      <c r="DJ209" s="5" t="n"/>
      <c r="DK209" s="5" t="n"/>
      <c r="DL209" s="5">
        <f>IF(OR(IFERROR(VALUE(LEFT(DF209,1)),99)&lt;=2,IFERROR(VALUE(LEFT(DG209,1)),99)&lt;=2),"Flagged","Clear")</f>
        <v/>
      </c>
      <c r="DM209" s="5">
        <f>IF(OR(DA209="Yes",DB209&lt;&gt;"No",DH209="Unverified",DL209="Flagged"),"Yes","No")</f>
        <v/>
      </c>
      <c r="DN209" s="5">
        <f t="array" ref="DN209">MIN(100,
  IF(ISNUMBER(V209), _xlfn.IFS(V209&gt;=3,25, V209=2,15, V209=1,5, TRUE,0), 0)
  + IFERROR(_xlfn.IFS(VALUE(LEFT(DF209,1))=5,25, VALUE(LEFT(DF209,1))=4,20, VALUE(LEFT(DF209,1))=3,15, VALUE(LEFT(DF209,1))=2,8, TRUE,0), 15)
  + IFERROR(_xlfn.IFS(VALUE(LEFT(DG209,1))=5,25, VALUE(LEFT(DG209,1))=4,20, VALUE(LEFT(DG209,1))=3,15, VALUE(LEFT(DG209,1))=2,8, TRUE,0), 15)
  + _xlfn.IFS(DH209="Fully Verified",25, DH209="Partially Verified",12, TRUE,0)
)</f>
        <v/>
      </c>
      <c r="DO209" s="5">
        <f t="array" ref="DO209">_xlfn.IFS(
  ISBLANK(AR209), "Insufficient Evidence",
  AND(AR209&gt;=65, AJ209="Approved"), "Strong",
  AR209&gt;=65, "Adequate",
  AR209&gt;=40, "Adequate",
  AR209&gt;=20, "Weak",
  TRUE, "Insufficient Evidence"
)</f>
        <v/>
      </c>
      <c r="DP209" s="5">
        <f t="array" ref="DP209">_xlfn.IFS(
  ISBLANK(BS209), "Insufficient Evidence",
  BS209&gt;=65, "Strong",
  BS209&gt;=40, "Adequate",
  BS209&gt;=20, "Weak",
  TRUE, "Insufficient Evidence"
)</f>
        <v/>
      </c>
      <c r="DQ209" s="5">
        <f t="array" ref="DQ209">_xlfn.IFS(
  ISBLANK(BE209), "Insufficient Evidence",
  OR(AW209="Confirmed Violation", AX209="Confirmed Breach"), "Severe — Hard Trigger",
  BE209&gt;=65, "Strong",
  BE209&gt;=40, "Adequate",
  BE209&gt;=20, "Weak",
  TRUE, "Insufficient Evidence"
)</f>
        <v/>
      </c>
      <c r="DR209" s="5">
        <f t="array" ref="DR209">_xlfn.IFS(
  ISBLANK(CU209), "Insufficient Evidence",
  CU209&lt;=20, "Low Risk",
  CU209&lt;=50, "Moderate Risk",
  CU209&lt;=75, "High Risk",
  TRUE, "Very High Risk"
)</f>
        <v/>
      </c>
      <c r="DS209" s="5">
        <f t="array" ref="DS209">_xlfn.IFS(
  ISBLANK(CE209), "Insufficient Evidence",
  AND(ISNUMBER(BW209),ISNUMBER(BV209),BW209&gt;BV209), "Overclaiming Risk",
  CE209&gt;=65, "Strong",
  CE209&gt;=40, "Adequate",
  TRUE, "Weak"
)</f>
        <v/>
      </c>
      <c r="DT209" s="5">
        <f>IF(DB209="Yes — Automatic",0,ROUND((IF(ISNUMBER(AR209),AR209,0)*0.3+IF(ISNUMBER(BS209),BS209,0)*0.2+IF(ISNUMBER(BE209),BE209,0)*0.2+IF(ISNUMBER(CE209),CE209,0)*0.15+(100-IF(ISNUMBER(CU209),CU209,50))*0.15)*IF(DN209&gt;=75,1,IF(DN209&gt;=50,0.9,IF(DN209&gt;=25,0.75,0.6))),1))</f>
        <v/>
      </c>
      <c r="DU209" s="5">
        <f t="array" ref="DU209">_xlfn.IFS(
  DV209="Upgraded to Clear", "Clear",
  DV209="Downgraded to Watchlist", "Watchlist",
  DV209="Downgraded to Exclusion", "Exclusion Risk",
  DB209="Yes — Automatic", "Exclusion Risk",
  OR(AW209="Confirmed Violation", AX209="Confirmed Breach"), "Exclusion Risk",
  OR(V209=0, ISBLANK(V209), DN209&lt;20), "Insufficient Evidence",
  AND(DT209&gt;=65, DA209="No", DB209="No"), "Clear",
  OR(DT209&gt;=40, DA209="Yes"), "Watchlist",
  TRUE, "Exclusion Risk"
)</f>
        <v/>
      </c>
      <c r="DV209" s="5" t="n"/>
      <c r="DW209" s="5">
        <f t="array" ref="DW209">_xlfn.IFS(
  DU209="Exclusion Risk", "Exclude — Hard Trigger",
  DU209="Insufficient Evidence", "Watchlist — Further Evidence Needed",
  DU209="Watchlist", "Watchlist — Further Evidence Needed",
  AND(DU209="Clear", DT209&gt;=80), "Include — No Conditions",
  DU209="Clear", "Include — Monitor",
  TRUE, "Watchlist — Further Evidence Needed"
)</f>
        <v/>
      </c>
      <c r="DX209" s="5" t="n"/>
      <c r="DY209" s="5" t="n"/>
      <c r="DZ209" s="5" t="n"/>
      <c r="EA209" s="5" t="n"/>
      <c r="EB209" s="5">
        <f>IF(OR(V209=0, ISBLANK(V209)), "MISSING — No sources reviewed", "")</f>
        <v/>
      </c>
      <c r="EC209" s="5">
        <f>IF(AND(NOT(ISBLANK(DC209)), ISBLANK(DE209)), "PAGE REF MISSING", "")</f>
        <v/>
      </c>
    </row>
    <row r="210" ht="18" customHeight="1" s="60">
      <c r="A210" s="5" t="inlineStr"/>
      <c r="B210" s="5" t="inlineStr"/>
      <c r="C210" s="5">
        <f>IF(ISBLANK('Universe Tracker'!D185),"",'Universe Tracker'!D185)</f>
        <v/>
      </c>
      <c r="D210" s="5" t="n"/>
      <c r="E210" s="5" t="n"/>
      <c r="F210" s="5">
        <f>IF(ISBLANK('Universe Tracker'!F185),"",'Universe Tracker'!F185)</f>
        <v/>
      </c>
      <c r="G210" s="5">
        <f>IF(ISBLANK('Universe Tracker'!G185),"",'Universe Tracker'!G185)</f>
        <v/>
      </c>
      <c r="H210" s="5" t="n"/>
      <c r="I210" s="5" t="n"/>
      <c r="J210" s="5">
        <f>IF(ISBLANK(B210),"",B210&amp;"_"&amp;C210)</f>
        <v/>
      </c>
      <c r="K210" s="5" t="n"/>
      <c r="L210" s="5" t="n"/>
      <c r="M210" s="5" t="n"/>
      <c r="N210" s="5" t="n"/>
      <c r="O210" s="5" t="n"/>
      <c r="P210" s="5" t="n"/>
      <c r="Q210" s="5" t="n"/>
      <c r="R210" s="5" t="n"/>
      <c r="S210" s="5" t="n"/>
      <c r="T210" s="5" t="n"/>
      <c r="U210" s="5" t="n"/>
      <c r="V210" s="5" t="n"/>
      <c r="W210" s="5" t="n"/>
      <c r="X210" s="5" t="n"/>
      <c r="Y210" s="5">
        <f>IF(AND(V210&gt;=2,K210="Yes",L210="Yes"),"Sufficient",IF(AND(V210&gt;=1,OR(K210="Yes",L210="Yes")),"Thin","Insufficient"))</f>
        <v/>
      </c>
      <c r="Z210" s="5" t="n"/>
      <c r="AA210" s="5" t="n"/>
      <c r="AB210" s="5" t="n"/>
      <c r="AC210" s="5" t="n"/>
      <c r="AD210" s="5" t="n"/>
      <c r="AE210" s="5" t="n"/>
      <c r="AF210" s="5" t="n"/>
      <c r="AG210" s="5" t="n"/>
      <c r="AH210" s="5" t="n"/>
      <c r="AI210" s="5" t="n"/>
      <c r="AJ210" s="5" t="n"/>
      <c r="AK210" s="5" t="n"/>
      <c r="AL210" s="5" t="n"/>
      <c r="AM210" s="5" t="n"/>
      <c r="AN210" s="5" t="n"/>
      <c r="AO210" s="5" t="n"/>
      <c r="AP210" s="5" t="n"/>
      <c r="AQ210" s="5" t="n"/>
      <c r="AR210" s="40">
        <f t="array" ref="AR210">MIN(100, MAX(0,
  IFERROR(_xlfn.XLOOKUP(AJ210,'Lookup Tables'!$A$2:$A$7,'Lookup Tables'!$B$2:$B$7,0),0)
  + IF(Z210="Yes", IF(IFERROR(_xlfn.XLOOKUP(AJ210,'Lookup Tables'!$A$2:$A$7,'Lookup Tables'!$B$2:$B$7,0),0)&lt;20, 5, 0), 0)
  + _xlfn.IFS(AB210="Yes", IF(ISNUMBER(AC210)*AND(AC210&lt;=2030),15,10), AB210="Long-term Only", 5, AB210="No", 0, TRUE, 0)
  + _xlfn.IFS(AF210="Full",10, AF210="Partial",5, AF210="Scope 2 Only",3, TRUE,0)
  + _xlfn.IFS(AG210="Yes", IF(ISNUMBER(AH210)*AND(AH210&gt;=5),10,6), AG210="Partial",4, TRUE,0)
  + _xlfn.IFS(AI210="Yes",5, AI210="Partial (material categories only)",3, TRUE,0)
  + _xlfn.IFS(AL210="Yes — Detailed",10, AL210="Yes — High Level",5, TRUE,0)
  + _xlfn.IFS(AM210="Yes — Quantified",15, AM210="Yes — Directional Only",7, TRUE,0)
  + _xlfn.IFS(AP210="Formal",5, AP210="Referenced",2, TRUE,0)
  + _xlfn.IFS(AQ210="No Issues Found",5, AQ210="Concern Identified",-5, AQ210="Severe Contradiction",-15, TRUE,0)
  + _xlfn.IFS(BC210="Reasonable Assurance",5, BC210="Limited Assurance",3, TRUE,0)
  - IF(AND(Z210="Yes", AI210="No"), 10, 0)
  - IF(AND(Z210="Yes", AM210="No"), 10, 0)
))</f>
        <v/>
      </c>
      <c r="AS210" s="5" t="n"/>
      <c r="AT210" s="5" t="n"/>
      <c r="AU210" s="5" t="n"/>
      <c r="AV210" s="5" t="n"/>
      <c r="AW210" s="5" t="n"/>
      <c r="AX210" s="5" t="n"/>
      <c r="AY210" s="5" t="n"/>
      <c r="AZ210" s="5" t="n"/>
      <c r="BA210" s="5" t="n"/>
      <c r="BB210" s="5" t="n"/>
      <c r="BC210" s="5" t="n"/>
      <c r="BD210" s="5" t="n"/>
      <c r="BE210" s="39">
        <f t="array" ref="BE210">MIN(100, MAX(0,
  IFERROR(_xlfn.XLOOKUP(AT210,'Lookup Tables'!$D$2:$D$6,'Lookup Tables'!$E$2:$E$6,0),0)
  + IFERROR(_xlfn.XLOOKUP(AV210,'Lookup Tables'!$G$2:$G$5,'Lookup Tables'!$H$2:$H$5,0),0)
  + IFERROR(_xlfn.XLOOKUP(AW210,'Lookup Tables'!$J$2:$J$5,'Lookup Tables'!$K$2:$K$5,0),0)
  + _xlfn.IFS(AX210="No Issues",10, AX210="Complaint Filed",3, AX210="Confirmed Breach",-15, TRUE,0)
  + IFERROR(_xlfn.XLOOKUP(AY210,'Lookup Tables'!$M$2:$M$6,'Lookup Tables'!$N$2:$N$6,0),0)
  + IFERROR(_xlfn.XLOOKUP(AZ210,'Lookup Tables'!$P$2:$P$6,'Lookup Tables'!$Q$2:$Q$6,0),0)
  + _xlfn.IFS(BA210="Formal Board Committee",5, BA210="Board Oversight Mentioned",2, TRUE,0)
  + _xlfn.IFS(BB210="Yes — Quantified Targets",5, BB210="Yes — Discretionary Only",2, TRUE,0)
  + _xlfn.IFS(BC210="Reasonable Assurance",5, BC210="Limited Assurance",3, BC210="Management Review Only",1, TRUE,0)
))</f>
        <v/>
      </c>
      <c r="BF210" s="5" t="n"/>
      <c r="BG210" s="5" t="n"/>
      <c r="BH210" s="5" t="n"/>
      <c r="BI210" s="5" t="n"/>
      <c r="BJ210" s="5" t="n"/>
      <c r="BK210" s="5" t="n"/>
      <c r="BL210" s="5" t="n"/>
      <c r="BM210" s="5" t="n"/>
      <c r="BN210" s="5" t="n"/>
      <c r="BO210" s="5" t="n"/>
      <c r="BP210" s="5" t="n"/>
      <c r="BQ210" s="5" t="n"/>
      <c r="BR210" s="5" t="n"/>
      <c r="BS210" s="41">
        <f t="array" ref="BS210">MIN(100, MAX(0,
  IFERROR(_xlfn.XLOOKUP(BG210,'Lookup Tables'!$A$11:$A$16,'Lookup Tables'!$B$11:$B$16,0),0)
  + IFERROR(_xlfn.XLOOKUP(BR210,'Lookup Tables'!$M$11:$M$14,'Lookup Tables'!$N$11:$N$14,0),0)
  + IFERROR(_xlfn.XLOOKUP(BQ210,'Lookup Tables'!$J$11:$J$15,'Lookup Tables'!$K$11:$K$15,0),0)
  + IFERROR(_xlfn.XLOOKUP(BH210,'Lookup Tables'!$D$11:$D$15,'Lookup Tables'!$E$11:$E$15,0),0)
  + IFERROR(_xlfn.XLOOKUP(BJ210,'Lookup Tables'!$G$11:$G$16,'Lookup Tables'!$H$11:$H$16,0),0)
  + IFERROR(_xlfn.XLOOKUP(BN210,'Lookup Tables'!$P$11:$P$15,'Lookup Tables'!$Q$11:$Q$15,0),0)
  + _xlfn.IFS(BM210="No Evidence",10, BM210="Unknown",3, BM210="Likely",0, BM210="Confirmed",-10, TRUE,3)
  + IFERROR(_xlfn.XLOOKUP(BP210,'Lookup Tables'!$J$21:$J$24,'Lookup Tables'!$K$21:$K$24,0),0)
))</f>
        <v/>
      </c>
      <c r="BT210" s="5" t="n"/>
      <c r="BU210" s="5" t="n"/>
      <c r="BV210" s="5" t="n"/>
      <c r="BW210" s="5" t="n"/>
      <c r="BX210" s="5" t="n"/>
      <c r="BY210" s="5" t="n"/>
      <c r="BZ210" s="5" t="n"/>
      <c r="CA210" s="5" t="n"/>
      <c r="CB210" s="5" t="n"/>
      <c r="CC210" s="5" t="n"/>
      <c r="CD210" s="5" t="n"/>
      <c r="CE210" s="43">
        <f t="array" ref="CE210">MIN(100, MAX(0,
  IF(ISNUMBER(BV210)*AND(BV210&gt;0), 10, 0)
  + _xlfn.IFS(BY210="Independently Verified",25, BY210="Yes",15, TRUE,0)
  + IFERROR(_xlfn.XLOOKUP(BZ210,'Lookup Tables'!$A$21:$A$24,'Lookup Tables'!$B$21:$B$24,0),0)
  + IFERROR(_xlfn.XLOOKUP(CA210,'Lookup Tables'!$D$21:$D$24,'Lookup Tables'!$E$21:$E$24,0),0)
  + _xlfn.IFS(ISNUMBER(CB210)*AND(CB210&gt;=11),15, ISNUMBER(CB210)*AND(CB210&gt;=6),10, ISNUMBER(CB210)*AND(CB210&gt;=1),5, TRUE,0)
  + IFERROR(_xlfn.XLOOKUP(CC210,'Lookup Tables'!$G$21:$G$25,'Lookup Tables'!$H$21:$H$25,0),0)
  - IF(ISNUMBER(BW210)*AND(ISNUMBER(BV210))*AND(BW210&gt;BV210), 20, 0)
  - IF(AND(BY210="Yes", ISNUMBER(BW210), BW210&gt;60), 10, 0)
))</f>
        <v/>
      </c>
      <c r="CF210" s="5" t="n"/>
      <c r="CG210" s="5" t="n"/>
      <c r="CH210" s="5" t="n"/>
      <c r="CI210" s="5" t="n"/>
      <c r="CJ210" s="5" t="n"/>
      <c r="CK210" s="5" t="n"/>
      <c r="CL210" s="5" t="n"/>
      <c r="CM210" s="5" t="n"/>
      <c r="CN210" s="5" t="n"/>
      <c r="CO210" s="5" t="n"/>
      <c r="CP210" s="5" t="n"/>
      <c r="CQ210" s="5" t="n"/>
      <c r="CR210" s="5">
        <f>COUNTIF(CJ210:CQ210,"FAIL")</f>
        <v/>
      </c>
      <c r="CS210" s="5">
        <f>COUNTIF(CJ210:CQ210,"PARTIAL")</f>
        <v/>
      </c>
      <c r="CT210" s="5">
        <f>COUNTIF(CJ210:CQ210,"MISSING")</f>
        <v/>
      </c>
      <c r="CU210" s="5">
        <f>MIN(100,
  CR210*15
  + CS210*6
  + CT210*3
  + IFERROR(_xlfn.XLOOKUP(CW210,'Lookup Tables'!$M$21:$M$25,'Lookup Tables'!$N$21:$N$25,0),0)
)</f>
        <v/>
      </c>
      <c r="CV210" s="5">
        <f>IFERROR(
CHOOSE(
MATCH("FAIL",CJ210:CQ210,0),
"1-Specificity","2-Metric","3-Baseline","4-Target",
"5-Time Horizon","6-Scope","7-Verification","8-Consistency"
),
IFERROR(
CHOOSE(
MATCH("PARTIAL",CJ210:CQ210,0),
"1-Specificity","2-Metric","3-Baseline","4-Target",
"5-Time Horizon","6-Scope","7-Verification","8-Consistency"
),
"No failures"
)
)</f>
        <v/>
      </c>
      <c r="CW210" s="5" t="n"/>
      <c r="CX210" s="5" t="n"/>
      <c r="CY210" s="5" t="n"/>
      <c r="CZ210" s="5" t="n"/>
      <c r="DA210" s="5">
        <f>IF(OR(CU210&gt;=50,CW210="Material",CW210="Severe",AS210="Material",AS210="Severe",BF210="Material",BF210="Severe — Exclusion Trigger",AND(ISNUMBER(BS210),BS210&lt;30)),"Yes","No")</f>
        <v/>
      </c>
      <c r="DB210" s="5">
        <f>IF(OR(CR210&gt;=6,AW210="Confirmed Violation",AX210="Confirmed Breach"),"Yes — Automatic",IF(CW210="Severe","Yes — Requires Captain Confirmation","No"))</f>
        <v/>
      </c>
      <c r="DC210" s="5" t="n"/>
      <c r="DD210" s="5" t="n"/>
      <c r="DE210" s="5" t="n"/>
      <c r="DF210" s="5" t="n"/>
      <c r="DG210" s="5" t="n"/>
      <c r="DH210" s="5" t="n"/>
      <c r="DI210" s="5" t="n"/>
      <c r="DJ210" s="5" t="n"/>
      <c r="DK210" s="5" t="n"/>
      <c r="DL210" s="5">
        <f>IF(OR(IFERROR(VALUE(LEFT(DF210,1)),99)&lt;=2,IFERROR(VALUE(LEFT(DG210,1)),99)&lt;=2),"Flagged","Clear")</f>
        <v/>
      </c>
      <c r="DM210" s="5">
        <f>IF(OR(DA210="Yes",DB210&lt;&gt;"No",DH210="Unverified",DL210="Flagged"),"Yes","No")</f>
        <v/>
      </c>
      <c r="DN210" s="5">
        <f t="array" ref="DN210">MIN(100,
  IF(ISNUMBER(V210), _xlfn.IFS(V210&gt;=3,25, V210=2,15, V210=1,5, TRUE,0), 0)
  + IFERROR(_xlfn.IFS(VALUE(LEFT(DF210,1))=5,25, VALUE(LEFT(DF210,1))=4,20, VALUE(LEFT(DF210,1))=3,15, VALUE(LEFT(DF210,1))=2,8, TRUE,0), 15)
  + IFERROR(_xlfn.IFS(VALUE(LEFT(DG210,1))=5,25, VALUE(LEFT(DG210,1))=4,20, VALUE(LEFT(DG210,1))=3,15, VALUE(LEFT(DG210,1))=2,8, TRUE,0), 15)
  + _xlfn.IFS(DH210="Fully Verified",25, DH210="Partially Verified",12, TRUE,0)
)</f>
        <v/>
      </c>
      <c r="DO210" s="5">
        <f t="array" ref="DO210">_xlfn.IFS(
  ISBLANK(AR210), "Insufficient Evidence",
  AND(AR210&gt;=65, AJ210="Approved"), "Strong",
  AR210&gt;=65, "Adequate",
  AR210&gt;=40, "Adequate",
  AR210&gt;=20, "Weak",
  TRUE, "Insufficient Evidence"
)</f>
        <v/>
      </c>
      <c r="DP210" s="5">
        <f t="array" ref="DP210">_xlfn.IFS(
  ISBLANK(BS210), "Insufficient Evidence",
  BS210&gt;=65, "Strong",
  BS210&gt;=40, "Adequate",
  BS210&gt;=20, "Weak",
  TRUE, "Insufficient Evidence"
)</f>
        <v/>
      </c>
      <c r="DQ210" s="5">
        <f t="array" ref="DQ210">_xlfn.IFS(
  ISBLANK(BE210), "Insufficient Evidence",
  OR(AW210="Confirmed Violation", AX210="Confirmed Breach"), "Severe — Hard Trigger",
  BE210&gt;=65, "Strong",
  BE210&gt;=40, "Adequate",
  BE210&gt;=20, "Weak",
  TRUE, "Insufficient Evidence"
)</f>
        <v/>
      </c>
      <c r="DR210" s="5">
        <f t="array" ref="DR210">_xlfn.IFS(
  ISBLANK(CU210), "Insufficient Evidence",
  CU210&lt;=20, "Low Risk",
  CU210&lt;=50, "Moderate Risk",
  CU210&lt;=75, "High Risk",
  TRUE, "Very High Risk"
)</f>
        <v/>
      </c>
      <c r="DS210" s="5">
        <f t="array" ref="DS210">_xlfn.IFS(
  ISBLANK(CE210), "Insufficient Evidence",
  AND(ISNUMBER(BW210),ISNUMBER(BV210),BW210&gt;BV210), "Overclaiming Risk",
  CE210&gt;=65, "Strong",
  CE210&gt;=40, "Adequate",
  TRUE, "Weak"
)</f>
        <v/>
      </c>
      <c r="DT210" s="5">
        <f>IF(DB210="Yes — Automatic",0,ROUND((IF(ISNUMBER(AR210),AR210,0)*0.3+IF(ISNUMBER(BS210),BS210,0)*0.2+IF(ISNUMBER(BE210),BE210,0)*0.2+IF(ISNUMBER(CE210),CE210,0)*0.15+(100-IF(ISNUMBER(CU210),CU210,50))*0.15)*IF(DN210&gt;=75,1,IF(DN210&gt;=50,0.9,IF(DN210&gt;=25,0.75,0.6))),1))</f>
        <v/>
      </c>
      <c r="DU210" s="5">
        <f t="array" ref="DU210">_xlfn.IFS(
  DV210="Upgraded to Clear", "Clear",
  DV210="Downgraded to Watchlist", "Watchlist",
  DV210="Downgraded to Exclusion", "Exclusion Risk",
  DB210="Yes — Automatic", "Exclusion Risk",
  OR(AW210="Confirmed Violation", AX210="Confirmed Breach"), "Exclusion Risk",
  OR(V210=0, ISBLANK(V210), DN210&lt;20), "Insufficient Evidence",
  AND(DT210&gt;=65, DA210="No", DB210="No"), "Clear",
  OR(DT210&gt;=40, DA210="Yes"), "Watchlist",
  TRUE, "Exclusion Risk"
)</f>
        <v/>
      </c>
      <c r="DV210" s="5" t="n"/>
      <c r="DW210" s="5">
        <f t="array" ref="DW210">_xlfn.IFS(
  DU210="Exclusion Risk", "Exclude — Hard Trigger",
  DU210="Insufficient Evidence", "Watchlist — Further Evidence Needed",
  DU210="Watchlist", "Watchlist — Further Evidence Needed",
  AND(DU210="Clear", DT210&gt;=80), "Include — No Conditions",
  DU210="Clear", "Include — Monitor",
  TRUE, "Watchlist — Further Evidence Needed"
)</f>
        <v/>
      </c>
      <c r="DX210" s="5" t="n"/>
      <c r="DY210" s="5" t="n"/>
      <c r="DZ210" s="5" t="n"/>
      <c r="EA210" s="5" t="n"/>
      <c r="EB210" s="5">
        <f>IF(OR(V210=0, ISBLANK(V210)), "MISSING — No sources reviewed", "")</f>
        <v/>
      </c>
      <c r="EC210" s="5">
        <f>IF(AND(NOT(ISBLANK(DC210)), ISBLANK(DE210)), "PAGE REF MISSING", "")</f>
        <v/>
      </c>
    </row>
    <row r="211" ht="18" customHeight="1" s="60">
      <c r="A211" s="5" t="inlineStr"/>
      <c r="B211" s="5" t="inlineStr"/>
      <c r="C211" s="5">
        <f>IF(ISBLANK('Universe Tracker'!D186),"",'Universe Tracker'!D186)</f>
        <v/>
      </c>
      <c r="D211" s="5" t="n"/>
      <c r="E211" s="5" t="n"/>
      <c r="F211" s="5">
        <f>IF(ISBLANK('Universe Tracker'!F186),"",'Universe Tracker'!F186)</f>
        <v/>
      </c>
      <c r="G211" s="5">
        <f>IF(ISBLANK('Universe Tracker'!G186),"",'Universe Tracker'!G186)</f>
        <v/>
      </c>
      <c r="H211" s="5" t="n"/>
      <c r="I211" s="5" t="n"/>
      <c r="J211" s="5">
        <f>IF(ISBLANK(B211),"",B211&amp;"_"&amp;C211)</f>
        <v/>
      </c>
      <c r="K211" s="5" t="n"/>
      <c r="L211" s="5" t="n"/>
      <c r="M211" s="5" t="n"/>
      <c r="N211" s="5" t="n"/>
      <c r="O211" s="5" t="n"/>
      <c r="P211" s="5" t="n"/>
      <c r="Q211" s="5" t="n"/>
      <c r="R211" s="5" t="n"/>
      <c r="S211" s="5" t="n"/>
      <c r="T211" s="5" t="n"/>
      <c r="U211" s="5" t="n"/>
      <c r="V211" s="5" t="n"/>
      <c r="W211" s="5" t="n"/>
      <c r="X211" s="5" t="n"/>
      <c r="Y211" s="5">
        <f>IF(AND(V211&gt;=2,K211="Yes",L211="Yes"),"Sufficient",IF(AND(V211&gt;=1,OR(K211="Yes",L211="Yes")),"Thin","Insufficient"))</f>
        <v/>
      </c>
      <c r="Z211" s="5" t="n"/>
      <c r="AA211" s="5" t="n"/>
      <c r="AB211" s="5" t="n"/>
      <c r="AC211" s="5" t="n"/>
      <c r="AD211" s="5" t="n"/>
      <c r="AE211" s="5" t="n"/>
      <c r="AF211" s="5" t="n"/>
      <c r="AG211" s="5" t="n"/>
      <c r="AH211" s="5" t="n"/>
      <c r="AI211" s="5" t="n"/>
      <c r="AJ211" s="5" t="n"/>
      <c r="AK211" s="5" t="n"/>
      <c r="AL211" s="5" t="n"/>
      <c r="AM211" s="5" t="n"/>
      <c r="AN211" s="5" t="n"/>
      <c r="AO211" s="5" t="n"/>
      <c r="AP211" s="5" t="n"/>
      <c r="AQ211" s="5" t="n"/>
      <c r="AR211" s="40">
        <f t="array" ref="AR211">MIN(100, MAX(0,
  IFERROR(_xlfn.XLOOKUP(AJ211,'Lookup Tables'!$A$2:$A$7,'Lookup Tables'!$B$2:$B$7,0),0)
  + IF(Z211="Yes", IF(IFERROR(_xlfn.XLOOKUP(AJ211,'Lookup Tables'!$A$2:$A$7,'Lookup Tables'!$B$2:$B$7,0),0)&lt;20, 5, 0), 0)
  + _xlfn.IFS(AB211="Yes", IF(ISNUMBER(AC211)*AND(AC211&lt;=2030),15,10), AB211="Long-term Only", 5, AB211="No", 0, TRUE, 0)
  + _xlfn.IFS(AF211="Full",10, AF211="Partial",5, AF211="Scope 2 Only",3, TRUE,0)
  + _xlfn.IFS(AG211="Yes", IF(ISNUMBER(AH211)*AND(AH211&gt;=5),10,6), AG211="Partial",4, TRUE,0)
  + _xlfn.IFS(AI211="Yes",5, AI211="Partial (material categories only)",3, TRUE,0)
  + _xlfn.IFS(AL211="Yes — Detailed",10, AL211="Yes — High Level",5, TRUE,0)
  + _xlfn.IFS(AM211="Yes — Quantified",15, AM211="Yes — Directional Only",7, TRUE,0)
  + _xlfn.IFS(AP211="Formal",5, AP211="Referenced",2, TRUE,0)
  + _xlfn.IFS(AQ211="No Issues Found",5, AQ211="Concern Identified",-5, AQ211="Severe Contradiction",-15, TRUE,0)
  + _xlfn.IFS(BC211="Reasonable Assurance",5, BC211="Limited Assurance",3, TRUE,0)
  - IF(AND(Z211="Yes", AI211="No"), 10, 0)
  - IF(AND(Z211="Yes", AM211="No"), 10, 0)
))</f>
        <v/>
      </c>
      <c r="AS211" s="5" t="n"/>
      <c r="AT211" s="5" t="n"/>
      <c r="AU211" s="5" t="n"/>
      <c r="AV211" s="5" t="n"/>
      <c r="AW211" s="5" t="n"/>
      <c r="AX211" s="5" t="n"/>
      <c r="AY211" s="5" t="n"/>
      <c r="AZ211" s="5" t="n"/>
      <c r="BA211" s="5" t="n"/>
      <c r="BB211" s="5" t="n"/>
      <c r="BC211" s="5" t="n"/>
      <c r="BD211" s="5" t="n"/>
      <c r="BE211" s="39">
        <f t="array" ref="BE211">MIN(100, MAX(0,
  IFERROR(_xlfn.XLOOKUP(AT211,'Lookup Tables'!$D$2:$D$6,'Lookup Tables'!$E$2:$E$6,0),0)
  + IFERROR(_xlfn.XLOOKUP(AV211,'Lookup Tables'!$G$2:$G$5,'Lookup Tables'!$H$2:$H$5,0),0)
  + IFERROR(_xlfn.XLOOKUP(AW211,'Lookup Tables'!$J$2:$J$5,'Lookup Tables'!$K$2:$K$5,0),0)
  + _xlfn.IFS(AX211="No Issues",10, AX211="Complaint Filed",3, AX211="Confirmed Breach",-15, TRUE,0)
  + IFERROR(_xlfn.XLOOKUP(AY211,'Lookup Tables'!$M$2:$M$6,'Lookup Tables'!$N$2:$N$6,0),0)
  + IFERROR(_xlfn.XLOOKUP(AZ211,'Lookup Tables'!$P$2:$P$6,'Lookup Tables'!$Q$2:$Q$6,0),0)
  + _xlfn.IFS(BA211="Formal Board Committee",5, BA211="Board Oversight Mentioned",2, TRUE,0)
  + _xlfn.IFS(BB211="Yes — Quantified Targets",5, BB211="Yes — Discretionary Only",2, TRUE,0)
  + _xlfn.IFS(BC211="Reasonable Assurance",5, BC211="Limited Assurance",3, BC211="Management Review Only",1, TRUE,0)
))</f>
        <v/>
      </c>
      <c r="BF211" s="5" t="n"/>
      <c r="BG211" s="5" t="n"/>
      <c r="BH211" s="5" t="n"/>
      <c r="BI211" s="5" t="n"/>
      <c r="BJ211" s="5" t="n"/>
      <c r="BK211" s="5" t="n"/>
      <c r="BL211" s="5" t="n"/>
      <c r="BM211" s="5" t="n"/>
      <c r="BN211" s="5" t="n"/>
      <c r="BO211" s="5" t="n"/>
      <c r="BP211" s="5" t="n"/>
      <c r="BQ211" s="5" t="n"/>
      <c r="BR211" s="5" t="n"/>
      <c r="BS211" s="41">
        <f t="array" ref="BS211">MIN(100, MAX(0,
  IFERROR(_xlfn.XLOOKUP(BG211,'Lookup Tables'!$A$11:$A$16,'Lookup Tables'!$B$11:$B$16,0),0)
  + IFERROR(_xlfn.XLOOKUP(BR211,'Lookup Tables'!$M$11:$M$14,'Lookup Tables'!$N$11:$N$14,0),0)
  + IFERROR(_xlfn.XLOOKUP(BQ211,'Lookup Tables'!$J$11:$J$15,'Lookup Tables'!$K$11:$K$15,0),0)
  + IFERROR(_xlfn.XLOOKUP(BH211,'Lookup Tables'!$D$11:$D$15,'Lookup Tables'!$E$11:$E$15,0),0)
  + IFERROR(_xlfn.XLOOKUP(BJ211,'Lookup Tables'!$G$11:$G$16,'Lookup Tables'!$H$11:$H$16,0),0)
  + IFERROR(_xlfn.XLOOKUP(BN211,'Lookup Tables'!$P$11:$P$15,'Lookup Tables'!$Q$11:$Q$15,0),0)
  + _xlfn.IFS(BM211="No Evidence",10, BM211="Unknown",3, BM211="Likely",0, BM211="Confirmed",-10, TRUE,3)
  + IFERROR(_xlfn.XLOOKUP(BP211,'Lookup Tables'!$J$21:$J$24,'Lookup Tables'!$K$21:$K$24,0),0)
))</f>
        <v/>
      </c>
      <c r="BT211" s="5" t="n"/>
      <c r="BU211" s="5" t="n"/>
      <c r="BV211" s="5" t="n"/>
      <c r="BW211" s="5" t="n"/>
      <c r="BX211" s="5" t="n"/>
      <c r="BY211" s="5" t="n"/>
      <c r="BZ211" s="5" t="n"/>
      <c r="CA211" s="5" t="n"/>
      <c r="CB211" s="5" t="n"/>
      <c r="CC211" s="5" t="n"/>
      <c r="CD211" s="5" t="n"/>
      <c r="CE211" s="43">
        <f t="array" ref="CE211">MIN(100, MAX(0,
  IF(ISNUMBER(BV211)*AND(BV211&gt;0), 10, 0)
  + _xlfn.IFS(BY211="Independently Verified",25, BY211="Yes",15, TRUE,0)
  + IFERROR(_xlfn.XLOOKUP(BZ211,'Lookup Tables'!$A$21:$A$24,'Lookup Tables'!$B$21:$B$24,0),0)
  + IFERROR(_xlfn.XLOOKUP(CA211,'Lookup Tables'!$D$21:$D$24,'Lookup Tables'!$E$21:$E$24,0),0)
  + _xlfn.IFS(ISNUMBER(CB211)*AND(CB211&gt;=11),15, ISNUMBER(CB211)*AND(CB211&gt;=6),10, ISNUMBER(CB211)*AND(CB211&gt;=1),5, TRUE,0)
  + IFERROR(_xlfn.XLOOKUP(CC211,'Lookup Tables'!$G$21:$G$25,'Lookup Tables'!$H$21:$H$25,0),0)
  - IF(ISNUMBER(BW211)*AND(ISNUMBER(BV211))*AND(BW211&gt;BV211), 20, 0)
  - IF(AND(BY211="Yes", ISNUMBER(BW211), BW211&gt;60), 10, 0)
))</f>
        <v/>
      </c>
      <c r="CF211" s="5" t="n"/>
      <c r="CG211" s="5" t="n"/>
      <c r="CH211" s="5" t="n"/>
      <c r="CI211" s="5" t="n"/>
      <c r="CJ211" s="5" t="n"/>
      <c r="CK211" s="5" t="n"/>
      <c r="CL211" s="5" t="n"/>
      <c r="CM211" s="5" t="n"/>
      <c r="CN211" s="5" t="n"/>
      <c r="CO211" s="5" t="n"/>
      <c r="CP211" s="5" t="n"/>
      <c r="CQ211" s="5" t="n"/>
      <c r="CR211" s="5">
        <f>COUNTIF(CJ211:CQ211,"FAIL")</f>
        <v/>
      </c>
      <c r="CS211" s="5">
        <f>COUNTIF(CJ211:CQ211,"PARTIAL")</f>
        <v/>
      </c>
      <c r="CT211" s="5">
        <f>COUNTIF(CJ211:CQ211,"MISSING")</f>
        <v/>
      </c>
      <c r="CU211" s="5">
        <f>MIN(100,
  CR211*15
  + CS211*6
  + CT211*3
  + IFERROR(_xlfn.XLOOKUP(CW211,'Lookup Tables'!$M$21:$M$25,'Lookup Tables'!$N$21:$N$25,0),0)
)</f>
        <v/>
      </c>
      <c r="CV211" s="5">
        <f>IFERROR(
CHOOSE(
MATCH("FAIL",CJ211:CQ211,0),
"1-Specificity","2-Metric","3-Baseline","4-Target",
"5-Time Horizon","6-Scope","7-Verification","8-Consistency"
),
IFERROR(
CHOOSE(
MATCH("PARTIAL",CJ211:CQ211,0),
"1-Specificity","2-Metric","3-Baseline","4-Target",
"5-Time Horizon","6-Scope","7-Verification","8-Consistency"
),
"No failures"
)
)</f>
        <v/>
      </c>
      <c r="CW211" s="5" t="n"/>
      <c r="CX211" s="5" t="n"/>
      <c r="CY211" s="5" t="n"/>
      <c r="CZ211" s="5" t="n"/>
      <c r="DA211" s="5">
        <f>IF(OR(CU211&gt;=50,CW211="Material",CW211="Severe",AS211="Material",AS211="Severe",BF211="Material",BF211="Severe — Exclusion Trigger",AND(ISNUMBER(BS211),BS211&lt;30)),"Yes","No")</f>
        <v/>
      </c>
      <c r="DB211" s="5">
        <f>IF(OR(CR211&gt;=6,AW211="Confirmed Violation",AX211="Confirmed Breach"),"Yes — Automatic",IF(CW211="Severe","Yes — Requires Captain Confirmation","No"))</f>
        <v/>
      </c>
      <c r="DC211" s="5" t="n"/>
      <c r="DD211" s="5" t="n"/>
      <c r="DE211" s="5" t="n"/>
      <c r="DF211" s="5" t="n"/>
      <c r="DG211" s="5" t="n"/>
      <c r="DH211" s="5" t="n"/>
      <c r="DI211" s="5" t="n"/>
      <c r="DJ211" s="5" t="n"/>
      <c r="DK211" s="5" t="n"/>
      <c r="DL211" s="5">
        <f>IF(OR(IFERROR(VALUE(LEFT(DF211,1)),99)&lt;=2,IFERROR(VALUE(LEFT(DG211,1)),99)&lt;=2),"Flagged","Clear")</f>
        <v/>
      </c>
      <c r="DM211" s="5">
        <f>IF(OR(DA211="Yes",DB211&lt;&gt;"No",DH211="Unverified",DL211="Flagged"),"Yes","No")</f>
        <v/>
      </c>
      <c r="DN211" s="5">
        <f t="array" ref="DN211">MIN(100,
  IF(ISNUMBER(V211), _xlfn.IFS(V211&gt;=3,25, V211=2,15, V211=1,5, TRUE,0), 0)
  + IFERROR(_xlfn.IFS(VALUE(LEFT(DF211,1))=5,25, VALUE(LEFT(DF211,1))=4,20, VALUE(LEFT(DF211,1))=3,15, VALUE(LEFT(DF211,1))=2,8, TRUE,0), 15)
  + IFERROR(_xlfn.IFS(VALUE(LEFT(DG211,1))=5,25, VALUE(LEFT(DG211,1))=4,20, VALUE(LEFT(DG211,1))=3,15, VALUE(LEFT(DG211,1))=2,8, TRUE,0), 15)
  + _xlfn.IFS(DH211="Fully Verified",25, DH211="Partially Verified",12, TRUE,0)
)</f>
        <v/>
      </c>
      <c r="DO211" s="5">
        <f t="array" ref="DO211">_xlfn.IFS(
  ISBLANK(AR211), "Insufficient Evidence",
  AND(AR211&gt;=65, AJ211="Approved"), "Strong",
  AR211&gt;=65, "Adequate",
  AR211&gt;=40, "Adequate",
  AR211&gt;=20, "Weak",
  TRUE, "Insufficient Evidence"
)</f>
        <v/>
      </c>
      <c r="DP211" s="5">
        <f t="array" ref="DP211">_xlfn.IFS(
  ISBLANK(BS211), "Insufficient Evidence",
  BS211&gt;=65, "Strong",
  BS211&gt;=40, "Adequate",
  BS211&gt;=20, "Weak",
  TRUE, "Insufficient Evidence"
)</f>
        <v/>
      </c>
      <c r="DQ211" s="5">
        <f t="array" ref="DQ211">_xlfn.IFS(
  ISBLANK(BE211), "Insufficient Evidence",
  OR(AW211="Confirmed Violation", AX211="Confirmed Breach"), "Severe — Hard Trigger",
  BE211&gt;=65, "Strong",
  BE211&gt;=40, "Adequate",
  BE211&gt;=20, "Weak",
  TRUE, "Insufficient Evidence"
)</f>
        <v/>
      </c>
      <c r="DR211" s="5">
        <f t="array" ref="DR211">_xlfn.IFS(
  ISBLANK(CU211), "Insufficient Evidence",
  CU211&lt;=20, "Low Risk",
  CU211&lt;=50, "Moderate Risk",
  CU211&lt;=75, "High Risk",
  TRUE, "Very High Risk"
)</f>
        <v/>
      </c>
      <c r="DS211" s="5">
        <f t="array" ref="DS211">_xlfn.IFS(
  ISBLANK(CE211), "Insufficient Evidence",
  AND(ISNUMBER(BW211),ISNUMBER(BV211),BW211&gt;BV211), "Overclaiming Risk",
  CE211&gt;=65, "Strong",
  CE211&gt;=40, "Adequate",
  TRUE, "Weak"
)</f>
        <v/>
      </c>
      <c r="DT211" s="5">
        <f>IF(DB211="Yes — Automatic",0,ROUND((IF(ISNUMBER(AR211),AR211,0)*0.3+IF(ISNUMBER(BS211),BS211,0)*0.2+IF(ISNUMBER(BE211),BE211,0)*0.2+IF(ISNUMBER(CE211),CE211,0)*0.15+(100-IF(ISNUMBER(CU211),CU211,50))*0.15)*IF(DN211&gt;=75,1,IF(DN211&gt;=50,0.9,IF(DN211&gt;=25,0.75,0.6))),1))</f>
        <v/>
      </c>
      <c r="DU211" s="5">
        <f t="array" ref="DU211">_xlfn.IFS(
  DV211="Upgraded to Clear", "Clear",
  DV211="Downgraded to Watchlist", "Watchlist",
  DV211="Downgraded to Exclusion", "Exclusion Risk",
  DB211="Yes — Automatic", "Exclusion Risk",
  OR(AW211="Confirmed Violation", AX211="Confirmed Breach"), "Exclusion Risk",
  OR(V211=0, ISBLANK(V211), DN211&lt;20), "Insufficient Evidence",
  AND(DT211&gt;=65, DA211="No", DB211="No"), "Clear",
  OR(DT211&gt;=40, DA211="Yes"), "Watchlist",
  TRUE, "Exclusion Risk"
)</f>
        <v/>
      </c>
      <c r="DV211" s="5" t="n"/>
      <c r="DW211" s="5">
        <f t="array" ref="DW211">_xlfn.IFS(
  DU211="Exclusion Risk", "Exclude — Hard Trigger",
  DU211="Insufficient Evidence", "Watchlist — Further Evidence Needed",
  DU211="Watchlist", "Watchlist — Further Evidence Needed",
  AND(DU211="Clear", DT211&gt;=80), "Include — No Conditions",
  DU211="Clear", "Include — Monitor",
  TRUE, "Watchlist — Further Evidence Needed"
)</f>
        <v/>
      </c>
      <c r="DX211" s="5" t="n"/>
      <c r="DY211" s="5" t="n"/>
      <c r="DZ211" s="5" t="n"/>
      <c r="EA211" s="5" t="n"/>
      <c r="EB211" s="5">
        <f>IF(OR(V211=0, ISBLANK(V211)), "MISSING — No sources reviewed", "")</f>
        <v/>
      </c>
      <c r="EC211" s="5">
        <f>IF(AND(NOT(ISBLANK(DC211)), ISBLANK(DE211)), "PAGE REF MISSING", "")</f>
        <v/>
      </c>
    </row>
    <row r="212" ht="18" customHeight="1" s="60">
      <c r="A212" s="5" t="inlineStr"/>
      <c r="B212" s="5" t="inlineStr"/>
      <c r="C212" s="5">
        <f>IF(ISBLANK('Universe Tracker'!D187),"",'Universe Tracker'!D187)</f>
        <v/>
      </c>
      <c r="D212" s="5" t="n"/>
      <c r="E212" s="5" t="n"/>
      <c r="F212" s="5">
        <f>IF(ISBLANK('Universe Tracker'!F187),"",'Universe Tracker'!F187)</f>
        <v/>
      </c>
      <c r="G212" s="5">
        <f>IF(ISBLANK('Universe Tracker'!G187),"",'Universe Tracker'!G187)</f>
        <v/>
      </c>
      <c r="H212" s="5" t="n"/>
      <c r="I212" s="5" t="n"/>
      <c r="J212" s="5">
        <f>IF(ISBLANK(B212),"",B212&amp;"_"&amp;C212)</f>
        <v/>
      </c>
      <c r="K212" s="5" t="n"/>
      <c r="L212" s="5" t="n"/>
      <c r="M212" s="5" t="n"/>
      <c r="N212" s="5" t="n"/>
      <c r="O212" s="5" t="n"/>
      <c r="P212" s="5" t="n"/>
      <c r="Q212" s="5" t="n"/>
      <c r="R212" s="5" t="n"/>
      <c r="S212" s="5" t="n"/>
      <c r="T212" s="5" t="n"/>
      <c r="U212" s="5" t="n"/>
      <c r="V212" s="5" t="n"/>
      <c r="W212" s="5" t="n"/>
      <c r="X212" s="5" t="n"/>
      <c r="Y212" s="5">
        <f>IF(AND(V212&gt;=2,K212="Yes",L212="Yes"),"Sufficient",IF(AND(V212&gt;=1,OR(K212="Yes",L212="Yes")),"Thin","Insufficient"))</f>
        <v/>
      </c>
      <c r="Z212" s="5" t="n"/>
      <c r="AA212" s="5" t="n"/>
      <c r="AB212" s="5" t="n"/>
      <c r="AC212" s="5" t="n"/>
      <c r="AD212" s="5" t="n"/>
      <c r="AE212" s="5" t="n"/>
      <c r="AF212" s="5" t="n"/>
      <c r="AG212" s="5" t="n"/>
      <c r="AH212" s="5" t="n"/>
      <c r="AI212" s="5" t="n"/>
      <c r="AJ212" s="5" t="n"/>
      <c r="AK212" s="5" t="n"/>
      <c r="AL212" s="5" t="n"/>
      <c r="AM212" s="5" t="n"/>
      <c r="AN212" s="5" t="n"/>
      <c r="AO212" s="5" t="n"/>
      <c r="AP212" s="5" t="n"/>
      <c r="AQ212" s="5" t="n"/>
      <c r="AR212" s="40">
        <f t="array" ref="AR212">MIN(100, MAX(0,
  IFERROR(_xlfn.XLOOKUP(AJ212,'Lookup Tables'!$A$2:$A$7,'Lookup Tables'!$B$2:$B$7,0),0)
  + IF(Z212="Yes", IF(IFERROR(_xlfn.XLOOKUP(AJ212,'Lookup Tables'!$A$2:$A$7,'Lookup Tables'!$B$2:$B$7,0),0)&lt;20, 5, 0), 0)
  + _xlfn.IFS(AB212="Yes", IF(ISNUMBER(AC212)*AND(AC212&lt;=2030),15,10), AB212="Long-term Only", 5, AB212="No", 0, TRUE, 0)
  + _xlfn.IFS(AF212="Full",10, AF212="Partial",5, AF212="Scope 2 Only",3, TRUE,0)
  + _xlfn.IFS(AG212="Yes", IF(ISNUMBER(AH212)*AND(AH212&gt;=5),10,6), AG212="Partial",4, TRUE,0)
  + _xlfn.IFS(AI212="Yes",5, AI212="Partial (material categories only)",3, TRUE,0)
  + _xlfn.IFS(AL212="Yes — Detailed",10, AL212="Yes — High Level",5, TRUE,0)
  + _xlfn.IFS(AM212="Yes — Quantified",15, AM212="Yes — Directional Only",7, TRUE,0)
  + _xlfn.IFS(AP212="Formal",5, AP212="Referenced",2, TRUE,0)
  + _xlfn.IFS(AQ212="No Issues Found",5, AQ212="Concern Identified",-5, AQ212="Severe Contradiction",-15, TRUE,0)
  + _xlfn.IFS(BC212="Reasonable Assurance",5, BC212="Limited Assurance",3, TRUE,0)
  - IF(AND(Z212="Yes", AI212="No"), 10, 0)
  - IF(AND(Z212="Yes", AM212="No"), 10, 0)
))</f>
        <v/>
      </c>
      <c r="AS212" s="5" t="n"/>
      <c r="AT212" s="5" t="n"/>
      <c r="AU212" s="5" t="n"/>
      <c r="AV212" s="5" t="n"/>
      <c r="AW212" s="5" t="n"/>
      <c r="AX212" s="5" t="n"/>
      <c r="AY212" s="5" t="n"/>
      <c r="AZ212" s="5" t="n"/>
      <c r="BA212" s="5" t="n"/>
      <c r="BB212" s="5" t="n"/>
      <c r="BC212" s="5" t="n"/>
      <c r="BD212" s="5" t="n"/>
      <c r="BE212" s="39">
        <f t="array" ref="BE212">MIN(100, MAX(0,
  IFERROR(_xlfn.XLOOKUP(AT212,'Lookup Tables'!$D$2:$D$6,'Lookup Tables'!$E$2:$E$6,0),0)
  + IFERROR(_xlfn.XLOOKUP(AV212,'Lookup Tables'!$G$2:$G$5,'Lookup Tables'!$H$2:$H$5,0),0)
  + IFERROR(_xlfn.XLOOKUP(AW212,'Lookup Tables'!$J$2:$J$5,'Lookup Tables'!$K$2:$K$5,0),0)
  + _xlfn.IFS(AX212="No Issues",10, AX212="Complaint Filed",3, AX212="Confirmed Breach",-15, TRUE,0)
  + IFERROR(_xlfn.XLOOKUP(AY212,'Lookup Tables'!$M$2:$M$6,'Lookup Tables'!$N$2:$N$6,0),0)
  + IFERROR(_xlfn.XLOOKUP(AZ212,'Lookup Tables'!$P$2:$P$6,'Lookup Tables'!$Q$2:$Q$6,0),0)
  + _xlfn.IFS(BA212="Formal Board Committee",5, BA212="Board Oversight Mentioned",2, TRUE,0)
  + _xlfn.IFS(BB212="Yes — Quantified Targets",5, BB212="Yes — Discretionary Only",2, TRUE,0)
  + _xlfn.IFS(BC212="Reasonable Assurance",5, BC212="Limited Assurance",3, BC212="Management Review Only",1, TRUE,0)
))</f>
        <v/>
      </c>
      <c r="BF212" s="5" t="n"/>
      <c r="BG212" s="5" t="n"/>
      <c r="BH212" s="5" t="n"/>
      <c r="BI212" s="5" t="n"/>
      <c r="BJ212" s="5" t="n"/>
      <c r="BK212" s="5" t="n"/>
      <c r="BL212" s="5" t="n"/>
      <c r="BM212" s="5" t="n"/>
      <c r="BN212" s="5" t="n"/>
      <c r="BO212" s="5" t="n"/>
      <c r="BP212" s="5" t="n"/>
      <c r="BQ212" s="5" t="n"/>
      <c r="BR212" s="5" t="n"/>
      <c r="BS212" s="41">
        <f t="array" ref="BS212">MIN(100, MAX(0,
  IFERROR(_xlfn.XLOOKUP(BG212,'Lookup Tables'!$A$11:$A$16,'Lookup Tables'!$B$11:$B$16,0),0)
  + IFERROR(_xlfn.XLOOKUP(BR212,'Lookup Tables'!$M$11:$M$14,'Lookup Tables'!$N$11:$N$14,0),0)
  + IFERROR(_xlfn.XLOOKUP(BQ212,'Lookup Tables'!$J$11:$J$15,'Lookup Tables'!$K$11:$K$15,0),0)
  + IFERROR(_xlfn.XLOOKUP(BH212,'Lookup Tables'!$D$11:$D$15,'Lookup Tables'!$E$11:$E$15,0),0)
  + IFERROR(_xlfn.XLOOKUP(BJ212,'Lookup Tables'!$G$11:$G$16,'Lookup Tables'!$H$11:$H$16,0),0)
  + IFERROR(_xlfn.XLOOKUP(BN212,'Lookup Tables'!$P$11:$P$15,'Lookup Tables'!$Q$11:$Q$15,0),0)
  + _xlfn.IFS(BM212="No Evidence",10, BM212="Unknown",3, BM212="Likely",0, BM212="Confirmed",-10, TRUE,3)
  + IFERROR(_xlfn.XLOOKUP(BP212,'Lookup Tables'!$J$21:$J$24,'Lookup Tables'!$K$21:$K$24,0),0)
))</f>
        <v/>
      </c>
      <c r="BT212" s="5" t="n"/>
      <c r="BU212" s="5" t="n"/>
      <c r="BV212" s="5" t="n"/>
      <c r="BW212" s="5" t="n"/>
      <c r="BX212" s="5" t="n"/>
      <c r="BY212" s="5" t="n"/>
      <c r="BZ212" s="5" t="n"/>
      <c r="CA212" s="5" t="n"/>
      <c r="CB212" s="5" t="n"/>
      <c r="CC212" s="5" t="n"/>
      <c r="CD212" s="5" t="n"/>
      <c r="CE212" s="43">
        <f t="array" ref="CE212">MIN(100, MAX(0,
  IF(ISNUMBER(BV212)*AND(BV212&gt;0), 10, 0)
  + _xlfn.IFS(BY212="Independently Verified",25, BY212="Yes",15, TRUE,0)
  + IFERROR(_xlfn.XLOOKUP(BZ212,'Lookup Tables'!$A$21:$A$24,'Lookup Tables'!$B$21:$B$24,0),0)
  + IFERROR(_xlfn.XLOOKUP(CA212,'Lookup Tables'!$D$21:$D$24,'Lookup Tables'!$E$21:$E$24,0),0)
  + _xlfn.IFS(ISNUMBER(CB212)*AND(CB212&gt;=11),15, ISNUMBER(CB212)*AND(CB212&gt;=6),10, ISNUMBER(CB212)*AND(CB212&gt;=1),5, TRUE,0)
  + IFERROR(_xlfn.XLOOKUP(CC212,'Lookup Tables'!$G$21:$G$25,'Lookup Tables'!$H$21:$H$25,0),0)
  - IF(ISNUMBER(BW212)*AND(ISNUMBER(BV212))*AND(BW212&gt;BV212), 20, 0)
  - IF(AND(BY212="Yes", ISNUMBER(BW212), BW212&gt;60), 10, 0)
))</f>
        <v/>
      </c>
      <c r="CF212" s="5" t="n"/>
      <c r="CG212" s="5" t="n"/>
      <c r="CH212" s="5" t="n"/>
      <c r="CI212" s="5" t="n"/>
      <c r="CJ212" s="5" t="n"/>
      <c r="CK212" s="5" t="n"/>
      <c r="CL212" s="5" t="n"/>
      <c r="CM212" s="5" t="n"/>
      <c r="CN212" s="5" t="n"/>
      <c r="CO212" s="5" t="n"/>
      <c r="CP212" s="5" t="n"/>
      <c r="CQ212" s="5" t="n"/>
      <c r="CR212" s="5">
        <f>COUNTIF(CJ212:CQ212,"FAIL")</f>
        <v/>
      </c>
      <c r="CS212" s="5">
        <f>COUNTIF(CJ212:CQ212,"PARTIAL")</f>
        <v/>
      </c>
      <c r="CT212" s="5">
        <f>COUNTIF(CJ212:CQ212,"MISSING")</f>
        <v/>
      </c>
      <c r="CU212" s="5">
        <f>MIN(100,
  CR212*15
  + CS212*6
  + CT212*3
  + IFERROR(_xlfn.XLOOKUP(CW212,'Lookup Tables'!$M$21:$M$25,'Lookup Tables'!$N$21:$N$25,0),0)
)</f>
        <v/>
      </c>
      <c r="CV212" s="5">
        <f>IFERROR(
CHOOSE(
MATCH("FAIL",CJ212:CQ212,0),
"1-Specificity","2-Metric","3-Baseline","4-Target",
"5-Time Horizon","6-Scope","7-Verification","8-Consistency"
),
IFERROR(
CHOOSE(
MATCH("PARTIAL",CJ212:CQ212,0),
"1-Specificity","2-Metric","3-Baseline","4-Target",
"5-Time Horizon","6-Scope","7-Verification","8-Consistency"
),
"No failures"
)
)</f>
        <v/>
      </c>
      <c r="CW212" s="5" t="n"/>
      <c r="CX212" s="5" t="n"/>
      <c r="CY212" s="5" t="n"/>
      <c r="CZ212" s="5" t="n"/>
      <c r="DA212" s="5">
        <f>IF(OR(CU212&gt;=50,CW212="Material",CW212="Severe",AS212="Material",AS212="Severe",BF212="Material",BF212="Severe — Exclusion Trigger",AND(ISNUMBER(BS212),BS212&lt;30)),"Yes","No")</f>
        <v/>
      </c>
      <c r="DB212" s="5">
        <f>IF(OR(CR212&gt;=6,AW212="Confirmed Violation",AX212="Confirmed Breach"),"Yes — Automatic",IF(CW212="Severe","Yes — Requires Captain Confirmation","No"))</f>
        <v/>
      </c>
      <c r="DC212" s="5" t="n"/>
      <c r="DD212" s="5" t="n"/>
      <c r="DE212" s="5" t="n"/>
      <c r="DF212" s="5" t="n"/>
      <c r="DG212" s="5" t="n"/>
      <c r="DH212" s="5" t="n"/>
      <c r="DI212" s="5" t="n"/>
      <c r="DJ212" s="5" t="n"/>
      <c r="DK212" s="5" t="n"/>
      <c r="DL212" s="5">
        <f>IF(OR(IFERROR(VALUE(LEFT(DF212,1)),99)&lt;=2,IFERROR(VALUE(LEFT(DG212,1)),99)&lt;=2),"Flagged","Clear")</f>
        <v/>
      </c>
      <c r="DM212" s="5">
        <f>IF(OR(DA212="Yes",DB212&lt;&gt;"No",DH212="Unverified",DL212="Flagged"),"Yes","No")</f>
        <v/>
      </c>
      <c r="DN212" s="5">
        <f t="array" ref="DN212">MIN(100,
  IF(ISNUMBER(V212), _xlfn.IFS(V212&gt;=3,25, V212=2,15, V212=1,5, TRUE,0), 0)
  + IFERROR(_xlfn.IFS(VALUE(LEFT(DF212,1))=5,25, VALUE(LEFT(DF212,1))=4,20, VALUE(LEFT(DF212,1))=3,15, VALUE(LEFT(DF212,1))=2,8, TRUE,0), 15)
  + IFERROR(_xlfn.IFS(VALUE(LEFT(DG212,1))=5,25, VALUE(LEFT(DG212,1))=4,20, VALUE(LEFT(DG212,1))=3,15, VALUE(LEFT(DG212,1))=2,8, TRUE,0), 15)
  + _xlfn.IFS(DH212="Fully Verified",25, DH212="Partially Verified",12, TRUE,0)
)</f>
        <v/>
      </c>
      <c r="DO212" s="5">
        <f t="array" ref="DO212">_xlfn.IFS(
  ISBLANK(AR212), "Insufficient Evidence",
  AND(AR212&gt;=65, AJ212="Approved"), "Strong",
  AR212&gt;=65, "Adequate",
  AR212&gt;=40, "Adequate",
  AR212&gt;=20, "Weak",
  TRUE, "Insufficient Evidence"
)</f>
        <v/>
      </c>
      <c r="DP212" s="5">
        <f t="array" ref="DP212">_xlfn.IFS(
  ISBLANK(BS212), "Insufficient Evidence",
  BS212&gt;=65, "Strong",
  BS212&gt;=40, "Adequate",
  BS212&gt;=20, "Weak",
  TRUE, "Insufficient Evidence"
)</f>
        <v/>
      </c>
      <c r="DQ212" s="5">
        <f t="array" ref="DQ212">_xlfn.IFS(
  ISBLANK(BE212), "Insufficient Evidence",
  OR(AW212="Confirmed Violation", AX212="Confirmed Breach"), "Severe — Hard Trigger",
  BE212&gt;=65, "Strong",
  BE212&gt;=40, "Adequate",
  BE212&gt;=20, "Weak",
  TRUE, "Insufficient Evidence"
)</f>
        <v/>
      </c>
      <c r="DR212" s="5">
        <f t="array" ref="DR212">_xlfn.IFS(
  ISBLANK(CU212), "Insufficient Evidence",
  CU212&lt;=20, "Low Risk",
  CU212&lt;=50, "Moderate Risk",
  CU212&lt;=75, "High Risk",
  TRUE, "Very High Risk"
)</f>
        <v/>
      </c>
      <c r="DS212" s="5">
        <f t="array" ref="DS212">_xlfn.IFS(
  ISBLANK(CE212), "Insufficient Evidence",
  AND(ISNUMBER(BW212),ISNUMBER(BV212),BW212&gt;BV212), "Overclaiming Risk",
  CE212&gt;=65, "Strong",
  CE212&gt;=40, "Adequate",
  TRUE, "Weak"
)</f>
        <v/>
      </c>
      <c r="DT212" s="5">
        <f>IF(DB212="Yes — Automatic",0,ROUND((IF(ISNUMBER(AR212),AR212,0)*0.3+IF(ISNUMBER(BS212),BS212,0)*0.2+IF(ISNUMBER(BE212),BE212,0)*0.2+IF(ISNUMBER(CE212),CE212,0)*0.15+(100-IF(ISNUMBER(CU212),CU212,50))*0.15)*IF(DN212&gt;=75,1,IF(DN212&gt;=50,0.9,IF(DN212&gt;=25,0.75,0.6))),1))</f>
        <v/>
      </c>
      <c r="DU212" s="5">
        <f t="array" ref="DU212">_xlfn.IFS(
  DV212="Upgraded to Clear", "Clear",
  DV212="Downgraded to Watchlist", "Watchlist",
  DV212="Downgraded to Exclusion", "Exclusion Risk",
  DB212="Yes — Automatic", "Exclusion Risk",
  OR(AW212="Confirmed Violation", AX212="Confirmed Breach"), "Exclusion Risk",
  OR(V212=0, ISBLANK(V212), DN212&lt;20), "Insufficient Evidence",
  AND(DT212&gt;=65, DA212="No", DB212="No"), "Clear",
  OR(DT212&gt;=40, DA212="Yes"), "Watchlist",
  TRUE, "Exclusion Risk"
)</f>
        <v/>
      </c>
      <c r="DV212" s="5" t="n"/>
      <c r="DW212" s="5">
        <f t="array" ref="DW212">_xlfn.IFS(
  DU212="Exclusion Risk", "Exclude — Hard Trigger",
  DU212="Insufficient Evidence", "Watchlist — Further Evidence Needed",
  DU212="Watchlist", "Watchlist — Further Evidence Needed",
  AND(DU212="Clear", DT212&gt;=80), "Include — No Conditions",
  DU212="Clear", "Include — Monitor",
  TRUE, "Watchlist — Further Evidence Needed"
)</f>
        <v/>
      </c>
      <c r="DX212" s="5" t="n"/>
      <c r="DY212" s="5" t="n"/>
      <c r="DZ212" s="5" t="n"/>
      <c r="EA212" s="5" t="n"/>
      <c r="EB212" s="5">
        <f>IF(OR(V212=0, ISBLANK(V212)), "MISSING — No sources reviewed", "")</f>
        <v/>
      </c>
      <c r="EC212" s="5">
        <f>IF(AND(NOT(ISBLANK(DC212)), ISBLANK(DE212)), "PAGE REF MISSING", "")</f>
        <v/>
      </c>
    </row>
    <row r="213" ht="18" customHeight="1" s="60">
      <c r="A213" s="5" t="inlineStr"/>
      <c r="B213" s="5" t="inlineStr"/>
      <c r="C213" s="5">
        <f>IF(ISBLANK('Universe Tracker'!D188),"",'Universe Tracker'!D188)</f>
        <v/>
      </c>
      <c r="D213" s="5" t="n"/>
      <c r="E213" s="5" t="n"/>
      <c r="F213" s="5">
        <f>IF(ISBLANK('Universe Tracker'!F188),"",'Universe Tracker'!F188)</f>
        <v/>
      </c>
      <c r="G213" s="5">
        <f>IF(ISBLANK('Universe Tracker'!G188),"",'Universe Tracker'!G188)</f>
        <v/>
      </c>
      <c r="H213" s="5" t="n"/>
      <c r="I213" s="5" t="n"/>
      <c r="J213" s="5">
        <f>IF(ISBLANK(B213),"",B213&amp;"_"&amp;C213)</f>
        <v/>
      </c>
      <c r="K213" s="5" t="n"/>
      <c r="L213" s="5" t="n"/>
      <c r="M213" s="5" t="n"/>
      <c r="N213" s="5" t="n"/>
      <c r="O213" s="5" t="n"/>
      <c r="P213" s="5" t="n"/>
      <c r="Q213" s="5" t="n"/>
      <c r="R213" s="5" t="n"/>
      <c r="S213" s="5" t="n"/>
      <c r="T213" s="5" t="n"/>
      <c r="U213" s="5" t="n"/>
      <c r="V213" s="5" t="n"/>
      <c r="W213" s="5" t="n"/>
      <c r="X213" s="5" t="n"/>
      <c r="Y213" s="5">
        <f>IF(AND(V213&gt;=2,K213="Yes",L213="Yes"),"Sufficient",IF(AND(V213&gt;=1,OR(K213="Yes",L213="Yes")),"Thin","Insufficient"))</f>
        <v/>
      </c>
      <c r="Z213" s="5" t="n"/>
      <c r="AA213" s="5" t="n"/>
      <c r="AB213" s="5" t="n"/>
      <c r="AC213" s="5" t="n"/>
      <c r="AD213" s="5" t="n"/>
      <c r="AE213" s="5" t="n"/>
      <c r="AF213" s="5" t="n"/>
      <c r="AG213" s="5" t="n"/>
      <c r="AH213" s="5" t="n"/>
      <c r="AI213" s="5" t="n"/>
      <c r="AJ213" s="5" t="n"/>
      <c r="AK213" s="5" t="n"/>
      <c r="AL213" s="5" t="n"/>
      <c r="AM213" s="5" t="n"/>
      <c r="AN213" s="5" t="n"/>
      <c r="AO213" s="5" t="n"/>
      <c r="AP213" s="5" t="n"/>
      <c r="AQ213" s="5" t="n"/>
      <c r="AR213" s="40">
        <f t="array" ref="AR213">MIN(100, MAX(0,
  IFERROR(_xlfn.XLOOKUP(AJ213,'Lookup Tables'!$A$2:$A$7,'Lookup Tables'!$B$2:$B$7,0),0)
  + IF(Z213="Yes", IF(IFERROR(_xlfn.XLOOKUP(AJ213,'Lookup Tables'!$A$2:$A$7,'Lookup Tables'!$B$2:$B$7,0),0)&lt;20, 5, 0), 0)
  + _xlfn.IFS(AB213="Yes", IF(ISNUMBER(AC213)*AND(AC213&lt;=2030),15,10), AB213="Long-term Only", 5, AB213="No", 0, TRUE, 0)
  + _xlfn.IFS(AF213="Full",10, AF213="Partial",5, AF213="Scope 2 Only",3, TRUE,0)
  + _xlfn.IFS(AG213="Yes", IF(ISNUMBER(AH213)*AND(AH213&gt;=5),10,6), AG213="Partial",4, TRUE,0)
  + _xlfn.IFS(AI213="Yes",5, AI213="Partial (material categories only)",3, TRUE,0)
  + _xlfn.IFS(AL213="Yes — Detailed",10, AL213="Yes — High Level",5, TRUE,0)
  + _xlfn.IFS(AM213="Yes — Quantified",15, AM213="Yes — Directional Only",7, TRUE,0)
  + _xlfn.IFS(AP213="Formal",5, AP213="Referenced",2, TRUE,0)
  + _xlfn.IFS(AQ213="No Issues Found",5, AQ213="Concern Identified",-5, AQ213="Severe Contradiction",-15, TRUE,0)
  + _xlfn.IFS(BC213="Reasonable Assurance",5, BC213="Limited Assurance",3, TRUE,0)
  - IF(AND(Z213="Yes", AI213="No"), 10, 0)
  - IF(AND(Z213="Yes", AM213="No"), 10, 0)
))</f>
        <v/>
      </c>
      <c r="AS213" s="5" t="n"/>
      <c r="AT213" s="5" t="n"/>
      <c r="AU213" s="5" t="n"/>
      <c r="AV213" s="5" t="n"/>
      <c r="AW213" s="5" t="n"/>
      <c r="AX213" s="5" t="n"/>
      <c r="AY213" s="5" t="n"/>
      <c r="AZ213" s="5" t="n"/>
      <c r="BA213" s="5" t="n"/>
      <c r="BB213" s="5" t="n"/>
      <c r="BC213" s="5" t="n"/>
      <c r="BD213" s="5" t="n"/>
      <c r="BE213" s="39">
        <f t="array" ref="BE213">MIN(100, MAX(0,
  IFERROR(_xlfn.XLOOKUP(AT213,'Lookup Tables'!$D$2:$D$6,'Lookup Tables'!$E$2:$E$6,0),0)
  + IFERROR(_xlfn.XLOOKUP(AV213,'Lookup Tables'!$G$2:$G$5,'Lookup Tables'!$H$2:$H$5,0),0)
  + IFERROR(_xlfn.XLOOKUP(AW213,'Lookup Tables'!$J$2:$J$5,'Lookup Tables'!$K$2:$K$5,0),0)
  + _xlfn.IFS(AX213="No Issues",10, AX213="Complaint Filed",3, AX213="Confirmed Breach",-15, TRUE,0)
  + IFERROR(_xlfn.XLOOKUP(AY213,'Lookup Tables'!$M$2:$M$6,'Lookup Tables'!$N$2:$N$6,0),0)
  + IFERROR(_xlfn.XLOOKUP(AZ213,'Lookup Tables'!$P$2:$P$6,'Lookup Tables'!$Q$2:$Q$6,0),0)
  + _xlfn.IFS(BA213="Formal Board Committee",5, BA213="Board Oversight Mentioned",2, TRUE,0)
  + _xlfn.IFS(BB213="Yes — Quantified Targets",5, BB213="Yes — Discretionary Only",2, TRUE,0)
  + _xlfn.IFS(BC213="Reasonable Assurance",5, BC213="Limited Assurance",3, BC213="Management Review Only",1, TRUE,0)
))</f>
        <v/>
      </c>
      <c r="BF213" s="5" t="n"/>
      <c r="BG213" s="5" t="n"/>
      <c r="BH213" s="5" t="n"/>
      <c r="BI213" s="5" t="n"/>
      <c r="BJ213" s="5" t="n"/>
      <c r="BK213" s="5" t="n"/>
      <c r="BL213" s="5" t="n"/>
      <c r="BM213" s="5" t="n"/>
      <c r="BN213" s="5" t="n"/>
      <c r="BO213" s="5" t="n"/>
      <c r="BP213" s="5" t="n"/>
      <c r="BQ213" s="5" t="n"/>
      <c r="BR213" s="5" t="n"/>
      <c r="BS213" s="41">
        <f t="array" ref="BS213">MIN(100, MAX(0,
  IFERROR(_xlfn.XLOOKUP(BG213,'Lookup Tables'!$A$11:$A$16,'Lookup Tables'!$B$11:$B$16,0),0)
  + IFERROR(_xlfn.XLOOKUP(BR213,'Lookup Tables'!$M$11:$M$14,'Lookup Tables'!$N$11:$N$14,0),0)
  + IFERROR(_xlfn.XLOOKUP(BQ213,'Lookup Tables'!$J$11:$J$15,'Lookup Tables'!$K$11:$K$15,0),0)
  + IFERROR(_xlfn.XLOOKUP(BH213,'Lookup Tables'!$D$11:$D$15,'Lookup Tables'!$E$11:$E$15,0),0)
  + IFERROR(_xlfn.XLOOKUP(BJ213,'Lookup Tables'!$G$11:$G$16,'Lookup Tables'!$H$11:$H$16,0),0)
  + IFERROR(_xlfn.XLOOKUP(BN213,'Lookup Tables'!$P$11:$P$15,'Lookup Tables'!$Q$11:$Q$15,0),0)
  + _xlfn.IFS(BM213="No Evidence",10, BM213="Unknown",3, BM213="Likely",0, BM213="Confirmed",-10, TRUE,3)
  + IFERROR(_xlfn.XLOOKUP(BP213,'Lookup Tables'!$J$21:$J$24,'Lookup Tables'!$K$21:$K$24,0),0)
))</f>
        <v/>
      </c>
      <c r="BT213" s="5" t="n"/>
      <c r="BU213" s="5" t="n"/>
      <c r="BV213" s="5" t="n"/>
      <c r="BW213" s="5" t="n"/>
      <c r="BX213" s="5" t="n"/>
      <c r="BY213" s="5" t="n"/>
      <c r="BZ213" s="5" t="n"/>
      <c r="CA213" s="5" t="n"/>
      <c r="CB213" s="5" t="n"/>
      <c r="CC213" s="5" t="n"/>
      <c r="CD213" s="5" t="n"/>
      <c r="CE213" s="43">
        <f t="array" ref="CE213">MIN(100, MAX(0,
  IF(ISNUMBER(BV213)*AND(BV213&gt;0), 10, 0)
  + _xlfn.IFS(BY213="Independently Verified",25, BY213="Yes",15, TRUE,0)
  + IFERROR(_xlfn.XLOOKUP(BZ213,'Lookup Tables'!$A$21:$A$24,'Lookup Tables'!$B$21:$B$24,0),0)
  + IFERROR(_xlfn.XLOOKUP(CA213,'Lookup Tables'!$D$21:$D$24,'Lookup Tables'!$E$21:$E$24,0),0)
  + _xlfn.IFS(ISNUMBER(CB213)*AND(CB213&gt;=11),15, ISNUMBER(CB213)*AND(CB213&gt;=6),10, ISNUMBER(CB213)*AND(CB213&gt;=1),5, TRUE,0)
  + IFERROR(_xlfn.XLOOKUP(CC213,'Lookup Tables'!$G$21:$G$25,'Lookup Tables'!$H$21:$H$25,0),0)
  - IF(ISNUMBER(BW213)*AND(ISNUMBER(BV213))*AND(BW213&gt;BV213), 20, 0)
  - IF(AND(BY213="Yes", ISNUMBER(BW213), BW213&gt;60), 10, 0)
))</f>
        <v/>
      </c>
      <c r="CF213" s="5" t="n"/>
      <c r="CG213" s="5" t="n"/>
      <c r="CH213" s="5" t="n"/>
      <c r="CI213" s="5" t="n"/>
      <c r="CJ213" s="5" t="n"/>
      <c r="CK213" s="5" t="n"/>
      <c r="CL213" s="5" t="n"/>
      <c r="CM213" s="5" t="n"/>
      <c r="CN213" s="5" t="n"/>
      <c r="CO213" s="5" t="n"/>
      <c r="CP213" s="5" t="n"/>
      <c r="CQ213" s="5" t="n"/>
      <c r="CR213" s="5">
        <f>COUNTIF(CJ213:CQ213,"FAIL")</f>
        <v/>
      </c>
      <c r="CS213" s="5">
        <f>COUNTIF(CJ213:CQ213,"PARTIAL")</f>
        <v/>
      </c>
      <c r="CT213" s="5">
        <f>COUNTIF(CJ213:CQ213,"MISSING")</f>
        <v/>
      </c>
      <c r="CU213" s="5">
        <f>MIN(100,
  CR213*15
  + CS213*6
  + CT213*3
  + IFERROR(_xlfn.XLOOKUP(CW213,'Lookup Tables'!$M$21:$M$25,'Lookup Tables'!$N$21:$N$25,0),0)
)</f>
        <v/>
      </c>
      <c r="CV213" s="5">
        <f>IFERROR(
CHOOSE(
MATCH("FAIL",CJ213:CQ213,0),
"1-Specificity","2-Metric","3-Baseline","4-Target",
"5-Time Horizon","6-Scope","7-Verification","8-Consistency"
),
IFERROR(
CHOOSE(
MATCH("PARTIAL",CJ213:CQ213,0),
"1-Specificity","2-Metric","3-Baseline","4-Target",
"5-Time Horizon","6-Scope","7-Verification","8-Consistency"
),
"No failures"
)
)</f>
        <v/>
      </c>
      <c r="CW213" s="5" t="n"/>
      <c r="CX213" s="5" t="n"/>
      <c r="CY213" s="5" t="n"/>
      <c r="CZ213" s="5" t="n"/>
      <c r="DA213" s="5">
        <f>IF(OR(CU213&gt;=50,CW213="Material",CW213="Severe",AS213="Material",AS213="Severe",BF213="Material",BF213="Severe — Exclusion Trigger",AND(ISNUMBER(BS213),BS213&lt;30)),"Yes","No")</f>
        <v/>
      </c>
      <c r="DB213" s="5">
        <f>IF(OR(CR213&gt;=6,AW213="Confirmed Violation",AX213="Confirmed Breach"),"Yes — Automatic",IF(CW213="Severe","Yes — Requires Captain Confirmation","No"))</f>
        <v/>
      </c>
      <c r="DC213" s="5" t="n"/>
      <c r="DD213" s="5" t="n"/>
      <c r="DE213" s="5" t="n"/>
      <c r="DF213" s="5" t="n"/>
      <c r="DG213" s="5" t="n"/>
      <c r="DH213" s="5" t="n"/>
      <c r="DI213" s="5" t="n"/>
      <c r="DJ213" s="5" t="n"/>
      <c r="DK213" s="5" t="n"/>
      <c r="DL213" s="5">
        <f>IF(OR(IFERROR(VALUE(LEFT(DF213,1)),99)&lt;=2,IFERROR(VALUE(LEFT(DG213,1)),99)&lt;=2),"Flagged","Clear")</f>
        <v/>
      </c>
      <c r="DM213" s="5">
        <f>IF(OR(DA213="Yes",DB213&lt;&gt;"No",DH213="Unverified",DL213="Flagged"),"Yes","No")</f>
        <v/>
      </c>
      <c r="DN213" s="5">
        <f t="array" ref="DN213">MIN(100,
  IF(ISNUMBER(V213), _xlfn.IFS(V213&gt;=3,25, V213=2,15, V213=1,5, TRUE,0), 0)
  + IFERROR(_xlfn.IFS(VALUE(LEFT(DF213,1))=5,25, VALUE(LEFT(DF213,1))=4,20, VALUE(LEFT(DF213,1))=3,15, VALUE(LEFT(DF213,1))=2,8, TRUE,0), 15)
  + IFERROR(_xlfn.IFS(VALUE(LEFT(DG213,1))=5,25, VALUE(LEFT(DG213,1))=4,20, VALUE(LEFT(DG213,1))=3,15, VALUE(LEFT(DG213,1))=2,8, TRUE,0), 15)
  + _xlfn.IFS(DH213="Fully Verified",25, DH213="Partially Verified",12, TRUE,0)
)</f>
        <v/>
      </c>
      <c r="DO213" s="5">
        <f t="array" ref="DO213">_xlfn.IFS(
  ISBLANK(AR213), "Insufficient Evidence",
  AND(AR213&gt;=65, AJ213="Approved"), "Strong",
  AR213&gt;=65, "Adequate",
  AR213&gt;=40, "Adequate",
  AR213&gt;=20, "Weak",
  TRUE, "Insufficient Evidence"
)</f>
        <v/>
      </c>
      <c r="DP213" s="5">
        <f t="array" ref="DP213">_xlfn.IFS(
  ISBLANK(BS213), "Insufficient Evidence",
  BS213&gt;=65, "Strong",
  BS213&gt;=40, "Adequate",
  BS213&gt;=20, "Weak",
  TRUE, "Insufficient Evidence"
)</f>
        <v/>
      </c>
      <c r="DQ213" s="5">
        <f t="array" ref="DQ213">_xlfn.IFS(
  ISBLANK(BE213), "Insufficient Evidence",
  OR(AW213="Confirmed Violation", AX213="Confirmed Breach"), "Severe — Hard Trigger",
  BE213&gt;=65, "Strong",
  BE213&gt;=40, "Adequate",
  BE213&gt;=20, "Weak",
  TRUE, "Insufficient Evidence"
)</f>
        <v/>
      </c>
      <c r="DR213" s="5">
        <f t="array" ref="DR213">_xlfn.IFS(
  ISBLANK(CU213), "Insufficient Evidence",
  CU213&lt;=20, "Low Risk",
  CU213&lt;=50, "Moderate Risk",
  CU213&lt;=75, "High Risk",
  TRUE, "Very High Risk"
)</f>
        <v/>
      </c>
      <c r="DS213" s="5">
        <f t="array" ref="DS213">_xlfn.IFS(
  ISBLANK(CE213), "Insufficient Evidence",
  AND(ISNUMBER(BW213),ISNUMBER(BV213),BW213&gt;BV213), "Overclaiming Risk",
  CE213&gt;=65, "Strong",
  CE213&gt;=40, "Adequate",
  TRUE, "Weak"
)</f>
        <v/>
      </c>
      <c r="DT213" s="5">
        <f>IF(DB213="Yes — Automatic",0,ROUND((IF(ISNUMBER(AR213),AR213,0)*0.3+IF(ISNUMBER(BS213),BS213,0)*0.2+IF(ISNUMBER(BE213),BE213,0)*0.2+IF(ISNUMBER(CE213),CE213,0)*0.15+(100-IF(ISNUMBER(CU213),CU213,50))*0.15)*IF(DN213&gt;=75,1,IF(DN213&gt;=50,0.9,IF(DN213&gt;=25,0.75,0.6))),1))</f>
        <v/>
      </c>
      <c r="DU213" s="5">
        <f t="array" ref="DU213">_xlfn.IFS(
  DV213="Upgraded to Clear", "Clear",
  DV213="Downgraded to Watchlist", "Watchlist",
  DV213="Downgraded to Exclusion", "Exclusion Risk",
  DB213="Yes — Automatic", "Exclusion Risk",
  OR(AW213="Confirmed Violation", AX213="Confirmed Breach"), "Exclusion Risk",
  OR(V213=0, ISBLANK(V213), DN213&lt;20), "Insufficient Evidence",
  AND(DT213&gt;=65, DA213="No", DB213="No"), "Clear",
  OR(DT213&gt;=40, DA213="Yes"), "Watchlist",
  TRUE, "Exclusion Risk"
)</f>
        <v/>
      </c>
      <c r="DV213" s="5" t="n"/>
      <c r="DW213" s="5">
        <f t="array" ref="DW213">_xlfn.IFS(
  DU213="Exclusion Risk", "Exclude — Hard Trigger",
  DU213="Insufficient Evidence", "Watchlist — Further Evidence Needed",
  DU213="Watchlist", "Watchlist — Further Evidence Needed",
  AND(DU213="Clear", DT213&gt;=80), "Include — No Conditions",
  DU213="Clear", "Include — Monitor",
  TRUE, "Watchlist — Further Evidence Needed"
)</f>
        <v/>
      </c>
      <c r="DX213" s="5" t="n"/>
      <c r="DY213" s="5" t="n"/>
      <c r="DZ213" s="5" t="n"/>
      <c r="EA213" s="5" t="n"/>
      <c r="EB213" s="5">
        <f>IF(OR(V213=0, ISBLANK(V213)), "MISSING — No sources reviewed", "")</f>
        <v/>
      </c>
      <c r="EC213" s="5">
        <f>IF(AND(NOT(ISBLANK(DC213)), ISBLANK(DE213)), "PAGE REF MISSING", "")</f>
        <v/>
      </c>
    </row>
    <row r="214" ht="18" customHeight="1" s="60">
      <c r="A214" s="5" t="inlineStr"/>
      <c r="B214" s="5" t="inlineStr"/>
      <c r="C214" s="5">
        <f>IF(ISBLANK('Universe Tracker'!D189),"",'Universe Tracker'!D189)</f>
        <v/>
      </c>
      <c r="D214" s="5" t="n"/>
      <c r="E214" s="5" t="n"/>
      <c r="F214" s="5">
        <f>IF(ISBLANK('Universe Tracker'!F189),"",'Universe Tracker'!F189)</f>
        <v/>
      </c>
      <c r="G214" s="5">
        <f>IF(ISBLANK('Universe Tracker'!G189),"",'Universe Tracker'!G189)</f>
        <v/>
      </c>
      <c r="H214" s="5" t="n"/>
      <c r="I214" s="5" t="n"/>
      <c r="J214" s="5">
        <f>IF(ISBLANK(B214),"",B214&amp;"_"&amp;C214)</f>
        <v/>
      </c>
      <c r="K214" s="5" t="n"/>
      <c r="L214" s="5" t="n"/>
      <c r="M214" s="5" t="n"/>
      <c r="N214" s="5" t="n"/>
      <c r="O214" s="5" t="n"/>
      <c r="P214" s="5" t="n"/>
      <c r="Q214" s="5" t="n"/>
      <c r="R214" s="5" t="n"/>
      <c r="S214" s="5" t="n"/>
      <c r="T214" s="5" t="n"/>
      <c r="U214" s="5" t="n"/>
      <c r="V214" s="5" t="n"/>
      <c r="W214" s="5" t="n"/>
      <c r="X214" s="5" t="n"/>
      <c r="Y214" s="5">
        <f>IF(AND(V214&gt;=2,K214="Yes",L214="Yes"),"Sufficient",IF(AND(V214&gt;=1,OR(K214="Yes",L214="Yes")),"Thin","Insufficient"))</f>
        <v/>
      </c>
      <c r="Z214" s="5" t="n"/>
      <c r="AA214" s="5" t="n"/>
      <c r="AB214" s="5" t="n"/>
      <c r="AC214" s="5" t="n"/>
      <c r="AD214" s="5" t="n"/>
      <c r="AE214" s="5" t="n"/>
      <c r="AF214" s="5" t="n"/>
      <c r="AG214" s="5" t="n"/>
      <c r="AH214" s="5" t="n"/>
      <c r="AI214" s="5" t="n"/>
      <c r="AJ214" s="5" t="n"/>
      <c r="AK214" s="5" t="n"/>
      <c r="AL214" s="5" t="n"/>
      <c r="AM214" s="5" t="n"/>
      <c r="AN214" s="5" t="n"/>
      <c r="AO214" s="5" t="n"/>
      <c r="AP214" s="5" t="n"/>
      <c r="AQ214" s="5" t="n"/>
      <c r="AR214" s="40">
        <f t="array" ref="AR214">MIN(100, MAX(0,
  IFERROR(_xlfn.XLOOKUP(AJ214,'Lookup Tables'!$A$2:$A$7,'Lookup Tables'!$B$2:$B$7,0),0)
  + IF(Z214="Yes", IF(IFERROR(_xlfn.XLOOKUP(AJ214,'Lookup Tables'!$A$2:$A$7,'Lookup Tables'!$B$2:$B$7,0),0)&lt;20, 5, 0), 0)
  + _xlfn.IFS(AB214="Yes", IF(ISNUMBER(AC214)*AND(AC214&lt;=2030),15,10), AB214="Long-term Only", 5, AB214="No", 0, TRUE, 0)
  + _xlfn.IFS(AF214="Full",10, AF214="Partial",5, AF214="Scope 2 Only",3, TRUE,0)
  + _xlfn.IFS(AG214="Yes", IF(ISNUMBER(AH214)*AND(AH214&gt;=5),10,6), AG214="Partial",4, TRUE,0)
  + _xlfn.IFS(AI214="Yes",5, AI214="Partial (material categories only)",3, TRUE,0)
  + _xlfn.IFS(AL214="Yes — Detailed",10, AL214="Yes — High Level",5, TRUE,0)
  + _xlfn.IFS(AM214="Yes — Quantified",15, AM214="Yes — Directional Only",7, TRUE,0)
  + _xlfn.IFS(AP214="Formal",5, AP214="Referenced",2, TRUE,0)
  + _xlfn.IFS(AQ214="No Issues Found",5, AQ214="Concern Identified",-5, AQ214="Severe Contradiction",-15, TRUE,0)
  + _xlfn.IFS(BC214="Reasonable Assurance",5, BC214="Limited Assurance",3, TRUE,0)
  - IF(AND(Z214="Yes", AI214="No"), 10, 0)
  - IF(AND(Z214="Yes", AM214="No"), 10, 0)
))</f>
        <v/>
      </c>
      <c r="AS214" s="5" t="n"/>
      <c r="AT214" s="5" t="n"/>
      <c r="AU214" s="5" t="n"/>
      <c r="AV214" s="5" t="n"/>
      <c r="AW214" s="5" t="n"/>
      <c r="AX214" s="5" t="n"/>
      <c r="AY214" s="5" t="n"/>
      <c r="AZ214" s="5" t="n"/>
      <c r="BA214" s="5" t="n"/>
      <c r="BB214" s="5" t="n"/>
      <c r="BC214" s="5" t="n"/>
      <c r="BD214" s="5" t="n"/>
      <c r="BE214" s="39">
        <f t="array" ref="BE214">MIN(100, MAX(0,
  IFERROR(_xlfn.XLOOKUP(AT214,'Lookup Tables'!$D$2:$D$6,'Lookup Tables'!$E$2:$E$6,0),0)
  + IFERROR(_xlfn.XLOOKUP(AV214,'Lookup Tables'!$G$2:$G$5,'Lookup Tables'!$H$2:$H$5,0),0)
  + IFERROR(_xlfn.XLOOKUP(AW214,'Lookup Tables'!$J$2:$J$5,'Lookup Tables'!$K$2:$K$5,0),0)
  + _xlfn.IFS(AX214="No Issues",10, AX214="Complaint Filed",3, AX214="Confirmed Breach",-15, TRUE,0)
  + IFERROR(_xlfn.XLOOKUP(AY214,'Lookup Tables'!$M$2:$M$6,'Lookup Tables'!$N$2:$N$6,0),0)
  + IFERROR(_xlfn.XLOOKUP(AZ214,'Lookup Tables'!$P$2:$P$6,'Lookup Tables'!$Q$2:$Q$6,0),0)
  + _xlfn.IFS(BA214="Formal Board Committee",5, BA214="Board Oversight Mentioned",2, TRUE,0)
  + _xlfn.IFS(BB214="Yes — Quantified Targets",5, BB214="Yes — Discretionary Only",2, TRUE,0)
  + _xlfn.IFS(BC214="Reasonable Assurance",5, BC214="Limited Assurance",3, BC214="Management Review Only",1, TRUE,0)
))</f>
        <v/>
      </c>
      <c r="BF214" s="5" t="n"/>
      <c r="BG214" s="5" t="n"/>
      <c r="BH214" s="5" t="n"/>
      <c r="BI214" s="5" t="n"/>
      <c r="BJ214" s="5" t="n"/>
      <c r="BK214" s="5" t="n"/>
      <c r="BL214" s="5" t="n"/>
      <c r="BM214" s="5" t="n"/>
      <c r="BN214" s="5" t="n"/>
      <c r="BO214" s="5" t="n"/>
      <c r="BP214" s="5" t="n"/>
      <c r="BQ214" s="5" t="n"/>
      <c r="BR214" s="5" t="n"/>
      <c r="BS214" s="41">
        <f t="array" ref="BS214">MIN(100, MAX(0,
  IFERROR(_xlfn.XLOOKUP(BG214,'Lookup Tables'!$A$11:$A$16,'Lookup Tables'!$B$11:$B$16,0),0)
  + IFERROR(_xlfn.XLOOKUP(BR214,'Lookup Tables'!$M$11:$M$14,'Lookup Tables'!$N$11:$N$14,0),0)
  + IFERROR(_xlfn.XLOOKUP(BQ214,'Lookup Tables'!$J$11:$J$15,'Lookup Tables'!$K$11:$K$15,0),0)
  + IFERROR(_xlfn.XLOOKUP(BH214,'Lookup Tables'!$D$11:$D$15,'Lookup Tables'!$E$11:$E$15,0),0)
  + IFERROR(_xlfn.XLOOKUP(BJ214,'Lookup Tables'!$G$11:$G$16,'Lookup Tables'!$H$11:$H$16,0),0)
  + IFERROR(_xlfn.XLOOKUP(BN214,'Lookup Tables'!$P$11:$P$15,'Lookup Tables'!$Q$11:$Q$15,0),0)
  + _xlfn.IFS(BM214="No Evidence",10, BM214="Unknown",3, BM214="Likely",0, BM214="Confirmed",-10, TRUE,3)
  + IFERROR(_xlfn.XLOOKUP(BP214,'Lookup Tables'!$J$21:$J$24,'Lookup Tables'!$K$21:$K$24,0),0)
))</f>
        <v/>
      </c>
      <c r="BT214" s="5" t="n"/>
      <c r="BU214" s="5" t="n"/>
      <c r="BV214" s="5" t="n"/>
      <c r="BW214" s="5" t="n"/>
      <c r="BX214" s="5" t="n"/>
      <c r="BY214" s="5" t="n"/>
      <c r="BZ214" s="5" t="n"/>
      <c r="CA214" s="5" t="n"/>
      <c r="CB214" s="5" t="n"/>
      <c r="CC214" s="5" t="n"/>
      <c r="CD214" s="5" t="n"/>
      <c r="CE214" s="43">
        <f t="array" ref="CE214">MIN(100, MAX(0,
  IF(ISNUMBER(BV214)*AND(BV214&gt;0), 10, 0)
  + _xlfn.IFS(BY214="Independently Verified",25, BY214="Yes",15, TRUE,0)
  + IFERROR(_xlfn.XLOOKUP(BZ214,'Lookup Tables'!$A$21:$A$24,'Lookup Tables'!$B$21:$B$24,0),0)
  + IFERROR(_xlfn.XLOOKUP(CA214,'Lookup Tables'!$D$21:$D$24,'Lookup Tables'!$E$21:$E$24,0),0)
  + _xlfn.IFS(ISNUMBER(CB214)*AND(CB214&gt;=11),15, ISNUMBER(CB214)*AND(CB214&gt;=6),10, ISNUMBER(CB214)*AND(CB214&gt;=1),5, TRUE,0)
  + IFERROR(_xlfn.XLOOKUP(CC214,'Lookup Tables'!$G$21:$G$25,'Lookup Tables'!$H$21:$H$25,0),0)
  - IF(ISNUMBER(BW214)*AND(ISNUMBER(BV214))*AND(BW214&gt;BV214), 20, 0)
  - IF(AND(BY214="Yes", ISNUMBER(BW214), BW214&gt;60), 10, 0)
))</f>
        <v/>
      </c>
      <c r="CF214" s="5" t="n"/>
      <c r="CG214" s="5" t="n"/>
      <c r="CH214" s="5" t="n"/>
      <c r="CI214" s="5" t="n"/>
      <c r="CJ214" s="5" t="n"/>
      <c r="CK214" s="5" t="n"/>
      <c r="CL214" s="5" t="n"/>
      <c r="CM214" s="5" t="n"/>
      <c r="CN214" s="5" t="n"/>
      <c r="CO214" s="5" t="n"/>
      <c r="CP214" s="5" t="n"/>
      <c r="CQ214" s="5" t="n"/>
      <c r="CR214" s="5">
        <f>COUNTIF(CJ214:CQ214,"FAIL")</f>
        <v/>
      </c>
      <c r="CS214" s="5">
        <f>COUNTIF(CJ214:CQ214,"PARTIAL")</f>
        <v/>
      </c>
      <c r="CT214" s="5">
        <f>COUNTIF(CJ214:CQ214,"MISSING")</f>
        <v/>
      </c>
      <c r="CU214" s="5">
        <f>MIN(100,
  CR214*15
  + CS214*6
  + CT214*3
  + IFERROR(_xlfn.XLOOKUP(CW214,'Lookup Tables'!$M$21:$M$25,'Lookup Tables'!$N$21:$N$25,0),0)
)</f>
        <v/>
      </c>
      <c r="CV214" s="5">
        <f>IFERROR(
CHOOSE(
MATCH("FAIL",CJ214:CQ214,0),
"1-Specificity","2-Metric","3-Baseline","4-Target",
"5-Time Horizon","6-Scope","7-Verification","8-Consistency"
),
IFERROR(
CHOOSE(
MATCH("PARTIAL",CJ214:CQ214,0),
"1-Specificity","2-Metric","3-Baseline","4-Target",
"5-Time Horizon","6-Scope","7-Verification","8-Consistency"
),
"No failures"
)
)</f>
        <v/>
      </c>
      <c r="CW214" s="5" t="n"/>
      <c r="CX214" s="5" t="n"/>
      <c r="CY214" s="5" t="n"/>
      <c r="CZ214" s="5" t="n"/>
      <c r="DA214" s="5">
        <f>IF(OR(CU214&gt;=50,CW214="Material",CW214="Severe",AS214="Material",AS214="Severe",BF214="Material",BF214="Severe — Exclusion Trigger",AND(ISNUMBER(BS214),BS214&lt;30)),"Yes","No")</f>
        <v/>
      </c>
      <c r="DB214" s="5">
        <f>IF(OR(CR214&gt;=6,AW214="Confirmed Violation",AX214="Confirmed Breach"),"Yes — Automatic",IF(CW214="Severe","Yes — Requires Captain Confirmation","No"))</f>
        <v/>
      </c>
      <c r="DC214" s="5" t="n"/>
      <c r="DD214" s="5" t="n"/>
      <c r="DE214" s="5" t="n"/>
      <c r="DF214" s="5" t="n"/>
      <c r="DG214" s="5" t="n"/>
      <c r="DH214" s="5" t="n"/>
      <c r="DI214" s="5" t="n"/>
      <c r="DJ214" s="5" t="n"/>
      <c r="DK214" s="5" t="n"/>
      <c r="DL214" s="5">
        <f>IF(OR(IFERROR(VALUE(LEFT(DF214,1)),99)&lt;=2,IFERROR(VALUE(LEFT(DG214,1)),99)&lt;=2),"Flagged","Clear")</f>
        <v/>
      </c>
      <c r="DM214" s="5">
        <f>IF(OR(DA214="Yes",DB214&lt;&gt;"No",DH214="Unverified",DL214="Flagged"),"Yes","No")</f>
        <v/>
      </c>
      <c r="DN214" s="5">
        <f t="array" ref="DN214">MIN(100,
  IF(ISNUMBER(V214), _xlfn.IFS(V214&gt;=3,25, V214=2,15, V214=1,5, TRUE,0), 0)
  + IFERROR(_xlfn.IFS(VALUE(LEFT(DF214,1))=5,25, VALUE(LEFT(DF214,1))=4,20, VALUE(LEFT(DF214,1))=3,15, VALUE(LEFT(DF214,1))=2,8, TRUE,0), 15)
  + IFERROR(_xlfn.IFS(VALUE(LEFT(DG214,1))=5,25, VALUE(LEFT(DG214,1))=4,20, VALUE(LEFT(DG214,1))=3,15, VALUE(LEFT(DG214,1))=2,8, TRUE,0), 15)
  + _xlfn.IFS(DH214="Fully Verified",25, DH214="Partially Verified",12, TRUE,0)
)</f>
        <v/>
      </c>
      <c r="DO214" s="5">
        <f t="array" ref="DO214">_xlfn.IFS(
  ISBLANK(AR214), "Insufficient Evidence",
  AND(AR214&gt;=65, AJ214="Approved"), "Strong",
  AR214&gt;=65, "Adequate",
  AR214&gt;=40, "Adequate",
  AR214&gt;=20, "Weak",
  TRUE, "Insufficient Evidence"
)</f>
        <v/>
      </c>
      <c r="DP214" s="5">
        <f t="array" ref="DP214">_xlfn.IFS(
  ISBLANK(BS214), "Insufficient Evidence",
  BS214&gt;=65, "Strong",
  BS214&gt;=40, "Adequate",
  BS214&gt;=20, "Weak",
  TRUE, "Insufficient Evidence"
)</f>
        <v/>
      </c>
      <c r="DQ214" s="5">
        <f t="array" ref="DQ214">_xlfn.IFS(
  ISBLANK(BE214), "Insufficient Evidence",
  OR(AW214="Confirmed Violation", AX214="Confirmed Breach"), "Severe — Hard Trigger",
  BE214&gt;=65, "Strong",
  BE214&gt;=40, "Adequate",
  BE214&gt;=20, "Weak",
  TRUE, "Insufficient Evidence"
)</f>
        <v/>
      </c>
      <c r="DR214" s="5">
        <f t="array" ref="DR214">_xlfn.IFS(
  ISBLANK(CU214), "Insufficient Evidence",
  CU214&lt;=20, "Low Risk",
  CU214&lt;=50, "Moderate Risk",
  CU214&lt;=75, "High Risk",
  TRUE, "Very High Risk"
)</f>
        <v/>
      </c>
      <c r="DS214" s="5">
        <f t="array" ref="DS214">_xlfn.IFS(
  ISBLANK(CE214), "Insufficient Evidence",
  AND(ISNUMBER(BW214),ISNUMBER(BV214),BW214&gt;BV214), "Overclaiming Risk",
  CE214&gt;=65, "Strong",
  CE214&gt;=40, "Adequate",
  TRUE, "Weak"
)</f>
        <v/>
      </c>
      <c r="DT214" s="5">
        <f>IF(DB214="Yes — Automatic",0,ROUND((IF(ISNUMBER(AR214),AR214,0)*0.3+IF(ISNUMBER(BS214),BS214,0)*0.2+IF(ISNUMBER(BE214),BE214,0)*0.2+IF(ISNUMBER(CE214),CE214,0)*0.15+(100-IF(ISNUMBER(CU214),CU214,50))*0.15)*IF(DN214&gt;=75,1,IF(DN214&gt;=50,0.9,IF(DN214&gt;=25,0.75,0.6))),1))</f>
        <v/>
      </c>
      <c r="DU214" s="5">
        <f t="array" ref="DU214">_xlfn.IFS(
  DV214="Upgraded to Clear", "Clear",
  DV214="Downgraded to Watchlist", "Watchlist",
  DV214="Downgraded to Exclusion", "Exclusion Risk",
  DB214="Yes — Automatic", "Exclusion Risk",
  OR(AW214="Confirmed Violation", AX214="Confirmed Breach"), "Exclusion Risk",
  OR(V214=0, ISBLANK(V214), DN214&lt;20), "Insufficient Evidence",
  AND(DT214&gt;=65, DA214="No", DB214="No"), "Clear",
  OR(DT214&gt;=40, DA214="Yes"), "Watchlist",
  TRUE, "Exclusion Risk"
)</f>
        <v/>
      </c>
      <c r="DV214" s="5" t="n"/>
      <c r="DW214" s="5">
        <f t="array" ref="DW214">_xlfn.IFS(
  DU214="Exclusion Risk", "Exclude — Hard Trigger",
  DU214="Insufficient Evidence", "Watchlist — Further Evidence Needed",
  DU214="Watchlist", "Watchlist — Further Evidence Needed",
  AND(DU214="Clear", DT214&gt;=80), "Include — No Conditions",
  DU214="Clear", "Include — Monitor",
  TRUE, "Watchlist — Further Evidence Needed"
)</f>
        <v/>
      </c>
      <c r="DX214" s="5" t="n"/>
      <c r="DY214" s="5" t="n"/>
      <c r="DZ214" s="5" t="n"/>
      <c r="EA214" s="5" t="n"/>
      <c r="EB214" s="5">
        <f>IF(OR(V214=0, ISBLANK(V214)), "MISSING — No sources reviewed", "")</f>
        <v/>
      </c>
      <c r="EC214" s="5">
        <f>IF(AND(NOT(ISBLANK(DC214)), ISBLANK(DE214)), "PAGE REF MISSING", "")</f>
        <v/>
      </c>
    </row>
    <row r="215" ht="18" customHeight="1" s="60">
      <c r="A215" s="5" t="inlineStr"/>
      <c r="B215" s="5" t="inlineStr"/>
      <c r="C215" s="5">
        <f>IF(ISBLANK('Universe Tracker'!D190),"",'Universe Tracker'!D190)</f>
        <v/>
      </c>
      <c r="D215" s="5" t="n"/>
      <c r="E215" s="5" t="n"/>
      <c r="F215" s="5">
        <f>IF(ISBLANK('Universe Tracker'!F190),"",'Universe Tracker'!F190)</f>
        <v/>
      </c>
      <c r="G215" s="5">
        <f>IF(ISBLANK('Universe Tracker'!G190),"",'Universe Tracker'!G190)</f>
        <v/>
      </c>
      <c r="H215" s="5" t="n"/>
      <c r="I215" s="5" t="n"/>
      <c r="J215" s="5">
        <f>IF(ISBLANK(B215),"",B215&amp;"_"&amp;C215)</f>
        <v/>
      </c>
      <c r="K215" s="5" t="n"/>
      <c r="L215" s="5" t="n"/>
      <c r="M215" s="5" t="n"/>
      <c r="N215" s="5" t="n"/>
      <c r="O215" s="5" t="n"/>
      <c r="P215" s="5" t="n"/>
      <c r="Q215" s="5" t="n"/>
      <c r="R215" s="5" t="n"/>
      <c r="S215" s="5" t="n"/>
      <c r="T215" s="5" t="n"/>
      <c r="U215" s="5" t="n"/>
      <c r="V215" s="5" t="n"/>
      <c r="W215" s="5" t="n"/>
      <c r="X215" s="5" t="n"/>
      <c r="Y215" s="5">
        <f>IF(AND(V215&gt;=2,K215="Yes",L215="Yes"),"Sufficient",IF(AND(V215&gt;=1,OR(K215="Yes",L215="Yes")),"Thin","Insufficient"))</f>
        <v/>
      </c>
      <c r="Z215" s="5" t="n"/>
      <c r="AA215" s="5" t="n"/>
      <c r="AB215" s="5" t="n"/>
      <c r="AC215" s="5" t="n"/>
      <c r="AD215" s="5" t="n"/>
      <c r="AE215" s="5" t="n"/>
      <c r="AF215" s="5" t="n"/>
      <c r="AG215" s="5" t="n"/>
      <c r="AH215" s="5" t="n"/>
      <c r="AI215" s="5" t="n"/>
      <c r="AJ215" s="5" t="n"/>
      <c r="AK215" s="5" t="n"/>
      <c r="AL215" s="5" t="n"/>
      <c r="AM215" s="5" t="n"/>
      <c r="AN215" s="5" t="n"/>
      <c r="AO215" s="5" t="n"/>
      <c r="AP215" s="5" t="n"/>
      <c r="AQ215" s="5" t="n"/>
      <c r="AR215" s="40">
        <f t="array" ref="AR215">MIN(100, MAX(0,
  IFERROR(_xlfn.XLOOKUP(AJ215,'Lookup Tables'!$A$2:$A$7,'Lookup Tables'!$B$2:$B$7,0),0)
  + IF(Z215="Yes", IF(IFERROR(_xlfn.XLOOKUP(AJ215,'Lookup Tables'!$A$2:$A$7,'Lookup Tables'!$B$2:$B$7,0),0)&lt;20, 5, 0), 0)
  + _xlfn.IFS(AB215="Yes", IF(ISNUMBER(AC215)*AND(AC215&lt;=2030),15,10), AB215="Long-term Only", 5, AB215="No", 0, TRUE, 0)
  + _xlfn.IFS(AF215="Full",10, AF215="Partial",5, AF215="Scope 2 Only",3, TRUE,0)
  + _xlfn.IFS(AG215="Yes", IF(ISNUMBER(AH215)*AND(AH215&gt;=5),10,6), AG215="Partial",4, TRUE,0)
  + _xlfn.IFS(AI215="Yes",5, AI215="Partial (material categories only)",3, TRUE,0)
  + _xlfn.IFS(AL215="Yes — Detailed",10, AL215="Yes — High Level",5, TRUE,0)
  + _xlfn.IFS(AM215="Yes — Quantified",15, AM215="Yes — Directional Only",7, TRUE,0)
  + _xlfn.IFS(AP215="Formal",5, AP215="Referenced",2, TRUE,0)
  + _xlfn.IFS(AQ215="No Issues Found",5, AQ215="Concern Identified",-5, AQ215="Severe Contradiction",-15, TRUE,0)
  + _xlfn.IFS(BC215="Reasonable Assurance",5, BC215="Limited Assurance",3, TRUE,0)
  - IF(AND(Z215="Yes", AI215="No"), 10, 0)
  - IF(AND(Z215="Yes", AM215="No"), 10, 0)
))</f>
        <v/>
      </c>
      <c r="AS215" s="5" t="n"/>
      <c r="AT215" s="5" t="n"/>
      <c r="AU215" s="5" t="n"/>
      <c r="AV215" s="5" t="n"/>
      <c r="AW215" s="5" t="n"/>
      <c r="AX215" s="5" t="n"/>
      <c r="AY215" s="5" t="n"/>
      <c r="AZ215" s="5" t="n"/>
      <c r="BA215" s="5" t="n"/>
      <c r="BB215" s="5" t="n"/>
      <c r="BC215" s="5" t="n"/>
      <c r="BD215" s="5" t="n"/>
      <c r="BE215" s="39">
        <f t="array" ref="BE215">MIN(100, MAX(0,
  IFERROR(_xlfn.XLOOKUP(AT215,'Lookup Tables'!$D$2:$D$6,'Lookup Tables'!$E$2:$E$6,0),0)
  + IFERROR(_xlfn.XLOOKUP(AV215,'Lookup Tables'!$G$2:$G$5,'Lookup Tables'!$H$2:$H$5,0),0)
  + IFERROR(_xlfn.XLOOKUP(AW215,'Lookup Tables'!$J$2:$J$5,'Lookup Tables'!$K$2:$K$5,0),0)
  + _xlfn.IFS(AX215="No Issues",10, AX215="Complaint Filed",3, AX215="Confirmed Breach",-15, TRUE,0)
  + IFERROR(_xlfn.XLOOKUP(AY215,'Lookup Tables'!$M$2:$M$6,'Lookup Tables'!$N$2:$N$6,0),0)
  + IFERROR(_xlfn.XLOOKUP(AZ215,'Lookup Tables'!$P$2:$P$6,'Lookup Tables'!$Q$2:$Q$6,0),0)
  + _xlfn.IFS(BA215="Formal Board Committee",5, BA215="Board Oversight Mentioned",2, TRUE,0)
  + _xlfn.IFS(BB215="Yes — Quantified Targets",5, BB215="Yes — Discretionary Only",2, TRUE,0)
  + _xlfn.IFS(BC215="Reasonable Assurance",5, BC215="Limited Assurance",3, BC215="Management Review Only",1, TRUE,0)
))</f>
        <v/>
      </c>
      <c r="BF215" s="5" t="n"/>
      <c r="BG215" s="5" t="n"/>
      <c r="BH215" s="5" t="n"/>
      <c r="BI215" s="5" t="n"/>
      <c r="BJ215" s="5" t="n"/>
      <c r="BK215" s="5" t="n"/>
      <c r="BL215" s="5" t="n"/>
      <c r="BM215" s="5" t="n"/>
      <c r="BN215" s="5" t="n"/>
      <c r="BO215" s="5" t="n"/>
      <c r="BP215" s="5" t="n"/>
      <c r="BQ215" s="5" t="n"/>
      <c r="BR215" s="5" t="n"/>
      <c r="BS215" s="41">
        <f t="array" ref="BS215">MIN(100, MAX(0,
  IFERROR(_xlfn.XLOOKUP(BG215,'Lookup Tables'!$A$11:$A$16,'Lookup Tables'!$B$11:$B$16,0),0)
  + IFERROR(_xlfn.XLOOKUP(BR215,'Lookup Tables'!$M$11:$M$14,'Lookup Tables'!$N$11:$N$14,0),0)
  + IFERROR(_xlfn.XLOOKUP(BQ215,'Lookup Tables'!$J$11:$J$15,'Lookup Tables'!$K$11:$K$15,0),0)
  + IFERROR(_xlfn.XLOOKUP(BH215,'Lookup Tables'!$D$11:$D$15,'Lookup Tables'!$E$11:$E$15,0),0)
  + IFERROR(_xlfn.XLOOKUP(BJ215,'Lookup Tables'!$G$11:$G$16,'Lookup Tables'!$H$11:$H$16,0),0)
  + IFERROR(_xlfn.XLOOKUP(BN215,'Lookup Tables'!$P$11:$P$15,'Lookup Tables'!$Q$11:$Q$15,0),0)
  + _xlfn.IFS(BM215="No Evidence",10, BM215="Unknown",3, BM215="Likely",0, BM215="Confirmed",-10, TRUE,3)
  + IFERROR(_xlfn.XLOOKUP(BP215,'Lookup Tables'!$J$21:$J$24,'Lookup Tables'!$K$21:$K$24,0),0)
))</f>
        <v/>
      </c>
      <c r="BT215" s="5" t="n"/>
      <c r="BU215" s="5" t="n"/>
      <c r="BV215" s="5" t="n"/>
      <c r="BW215" s="5" t="n"/>
      <c r="BX215" s="5" t="n"/>
      <c r="BY215" s="5" t="n"/>
      <c r="BZ215" s="5" t="n"/>
      <c r="CA215" s="5" t="n"/>
      <c r="CB215" s="5" t="n"/>
      <c r="CC215" s="5" t="n"/>
      <c r="CD215" s="5" t="n"/>
      <c r="CE215" s="43">
        <f t="array" ref="CE215">MIN(100, MAX(0,
  IF(ISNUMBER(BV215)*AND(BV215&gt;0), 10, 0)
  + _xlfn.IFS(BY215="Independently Verified",25, BY215="Yes",15, TRUE,0)
  + IFERROR(_xlfn.XLOOKUP(BZ215,'Lookup Tables'!$A$21:$A$24,'Lookup Tables'!$B$21:$B$24,0),0)
  + IFERROR(_xlfn.XLOOKUP(CA215,'Lookup Tables'!$D$21:$D$24,'Lookup Tables'!$E$21:$E$24,0),0)
  + _xlfn.IFS(ISNUMBER(CB215)*AND(CB215&gt;=11),15, ISNUMBER(CB215)*AND(CB215&gt;=6),10, ISNUMBER(CB215)*AND(CB215&gt;=1),5, TRUE,0)
  + IFERROR(_xlfn.XLOOKUP(CC215,'Lookup Tables'!$G$21:$G$25,'Lookup Tables'!$H$21:$H$25,0),0)
  - IF(ISNUMBER(BW215)*AND(ISNUMBER(BV215))*AND(BW215&gt;BV215), 20, 0)
  - IF(AND(BY215="Yes", ISNUMBER(BW215), BW215&gt;60), 10, 0)
))</f>
        <v/>
      </c>
      <c r="CF215" s="5" t="n"/>
      <c r="CG215" s="5" t="n"/>
      <c r="CH215" s="5" t="n"/>
      <c r="CI215" s="5" t="n"/>
      <c r="CJ215" s="5" t="n"/>
      <c r="CK215" s="5" t="n"/>
      <c r="CL215" s="5" t="n"/>
      <c r="CM215" s="5" t="n"/>
      <c r="CN215" s="5" t="n"/>
      <c r="CO215" s="5" t="n"/>
      <c r="CP215" s="5" t="n"/>
      <c r="CQ215" s="5" t="n"/>
      <c r="CR215" s="5">
        <f>COUNTIF(CJ215:CQ215,"FAIL")</f>
        <v/>
      </c>
      <c r="CS215" s="5">
        <f>COUNTIF(CJ215:CQ215,"PARTIAL")</f>
        <v/>
      </c>
      <c r="CT215" s="5">
        <f>COUNTIF(CJ215:CQ215,"MISSING")</f>
        <v/>
      </c>
      <c r="CU215" s="5">
        <f>MIN(100,
  CR215*15
  + CS215*6
  + CT215*3
  + IFERROR(_xlfn.XLOOKUP(CW215,'Lookup Tables'!$M$21:$M$25,'Lookup Tables'!$N$21:$N$25,0),0)
)</f>
        <v/>
      </c>
      <c r="CV215" s="5">
        <f>IFERROR(
CHOOSE(
MATCH("FAIL",CJ215:CQ215,0),
"1-Specificity","2-Metric","3-Baseline","4-Target",
"5-Time Horizon","6-Scope","7-Verification","8-Consistency"
),
IFERROR(
CHOOSE(
MATCH("PARTIAL",CJ215:CQ215,0),
"1-Specificity","2-Metric","3-Baseline","4-Target",
"5-Time Horizon","6-Scope","7-Verification","8-Consistency"
),
"No failures"
)
)</f>
        <v/>
      </c>
      <c r="CW215" s="5" t="n"/>
      <c r="CX215" s="5" t="n"/>
      <c r="CY215" s="5" t="n"/>
      <c r="CZ215" s="5" t="n"/>
      <c r="DA215" s="5">
        <f>IF(OR(CU215&gt;=50,CW215="Material",CW215="Severe",AS215="Material",AS215="Severe",BF215="Material",BF215="Severe — Exclusion Trigger",AND(ISNUMBER(BS215),BS215&lt;30)),"Yes","No")</f>
        <v/>
      </c>
      <c r="DB215" s="5">
        <f>IF(OR(CR215&gt;=6,AW215="Confirmed Violation",AX215="Confirmed Breach"),"Yes — Automatic",IF(CW215="Severe","Yes — Requires Captain Confirmation","No"))</f>
        <v/>
      </c>
      <c r="DC215" s="5" t="n"/>
      <c r="DD215" s="5" t="n"/>
      <c r="DE215" s="5" t="n"/>
      <c r="DF215" s="5" t="n"/>
      <c r="DG215" s="5" t="n"/>
      <c r="DH215" s="5" t="n"/>
      <c r="DI215" s="5" t="n"/>
      <c r="DJ215" s="5" t="n"/>
      <c r="DK215" s="5" t="n"/>
      <c r="DL215" s="5">
        <f>IF(OR(IFERROR(VALUE(LEFT(DF215,1)),99)&lt;=2,IFERROR(VALUE(LEFT(DG215,1)),99)&lt;=2),"Flagged","Clear")</f>
        <v/>
      </c>
      <c r="DM215" s="5">
        <f>IF(OR(DA215="Yes",DB215&lt;&gt;"No",DH215="Unverified",DL215="Flagged"),"Yes","No")</f>
        <v/>
      </c>
      <c r="DN215" s="5">
        <f t="array" ref="DN215">MIN(100,
  IF(ISNUMBER(V215), _xlfn.IFS(V215&gt;=3,25, V215=2,15, V215=1,5, TRUE,0), 0)
  + IFERROR(_xlfn.IFS(VALUE(LEFT(DF215,1))=5,25, VALUE(LEFT(DF215,1))=4,20, VALUE(LEFT(DF215,1))=3,15, VALUE(LEFT(DF215,1))=2,8, TRUE,0), 15)
  + IFERROR(_xlfn.IFS(VALUE(LEFT(DG215,1))=5,25, VALUE(LEFT(DG215,1))=4,20, VALUE(LEFT(DG215,1))=3,15, VALUE(LEFT(DG215,1))=2,8, TRUE,0), 15)
  + _xlfn.IFS(DH215="Fully Verified",25, DH215="Partially Verified",12, TRUE,0)
)</f>
        <v/>
      </c>
      <c r="DO215" s="5">
        <f t="array" ref="DO215">_xlfn.IFS(
  ISBLANK(AR215), "Insufficient Evidence",
  AND(AR215&gt;=65, AJ215="Approved"), "Strong",
  AR215&gt;=65, "Adequate",
  AR215&gt;=40, "Adequate",
  AR215&gt;=20, "Weak",
  TRUE, "Insufficient Evidence"
)</f>
        <v/>
      </c>
      <c r="DP215" s="5">
        <f t="array" ref="DP215">_xlfn.IFS(
  ISBLANK(BS215), "Insufficient Evidence",
  BS215&gt;=65, "Strong",
  BS215&gt;=40, "Adequate",
  BS215&gt;=20, "Weak",
  TRUE, "Insufficient Evidence"
)</f>
        <v/>
      </c>
      <c r="DQ215" s="5">
        <f t="array" ref="DQ215">_xlfn.IFS(
  ISBLANK(BE215), "Insufficient Evidence",
  OR(AW215="Confirmed Violation", AX215="Confirmed Breach"), "Severe — Hard Trigger",
  BE215&gt;=65, "Strong",
  BE215&gt;=40, "Adequate",
  BE215&gt;=20, "Weak",
  TRUE, "Insufficient Evidence"
)</f>
        <v/>
      </c>
      <c r="DR215" s="5">
        <f t="array" ref="DR215">_xlfn.IFS(
  ISBLANK(CU215), "Insufficient Evidence",
  CU215&lt;=20, "Low Risk",
  CU215&lt;=50, "Moderate Risk",
  CU215&lt;=75, "High Risk",
  TRUE, "Very High Risk"
)</f>
        <v/>
      </c>
      <c r="DS215" s="5">
        <f t="array" ref="DS215">_xlfn.IFS(
  ISBLANK(CE215), "Insufficient Evidence",
  AND(ISNUMBER(BW215),ISNUMBER(BV215),BW215&gt;BV215), "Overclaiming Risk",
  CE215&gt;=65, "Strong",
  CE215&gt;=40, "Adequate",
  TRUE, "Weak"
)</f>
        <v/>
      </c>
      <c r="DT215" s="5">
        <f>IF(DB215="Yes — Automatic",0,ROUND((IF(ISNUMBER(AR215),AR215,0)*0.3+IF(ISNUMBER(BS215),BS215,0)*0.2+IF(ISNUMBER(BE215),BE215,0)*0.2+IF(ISNUMBER(CE215),CE215,0)*0.15+(100-IF(ISNUMBER(CU215),CU215,50))*0.15)*IF(DN215&gt;=75,1,IF(DN215&gt;=50,0.9,IF(DN215&gt;=25,0.75,0.6))),1))</f>
        <v/>
      </c>
      <c r="DU215" s="5">
        <f t="array" ref="DU215">_xlfn.IFS(
  DV215="Upgraded to Clear", "Clear",
  DV215="Downgraded to Watchlist", "Watchlist",
  DV215="Downgraded to Exclusion", "Exclusion Risk",
  DB215="Yes — Automatic", "Exclusion Risk",
  OR(AW215="Confirmed Violation", AX215="Confirmed Breach"), "Exclusion Risk",
  OR(V215=0, ISBLANK(V215), DN215&lt;20), "Insufficient Evidence",
  AND(DT215&gt;=65, DA215="No", DB215="No"), "Clear",
  OR(DT215&gt;=40, DA215="Yes"), "Watchlist",
  TRUE, "Exclusion Risk"
)</f>
        <v/>
      </c>
      <c r="DV215" s="5" t="n"/>
      <c r="DW215" s="5">
        <f t="array" ref="DW215">_xlfn.IFS(
  DU215="Exclusion Risk", "Exclude — Hard Trigger",
  DU215="Insufficient Evidence", "Watchlist — Further Evidence Needed",
  DU215="Watchlist", "Watchlist — Further Evidence Needed",
  AND(DU215="Clear", DT215&gt;=80), "Include — No Conditions",
  DU215="Clear", "Include — Monitor",
  TRUE, "Watchlist — Further Evidence Needed"
)</f>
        <v/>
      </c>
      <c r="DX215" s="5" t="n"/>
      <c r="DY215" s="5" t="n"/>
      <c r="DZ215" s="5" t="n"/>
      <c r="EA215" s="5" t="n"/>
      <c r="EB215" s="5">
        <f>IF(OR(V215=0, ISBLANK(V215)), "MISSING — No sources reviewed", "")</f>
        <v/>
      </c>
      <c r="EC215" s="5">
        <f>IF(AND(NOT(ISBLANK(DC215)), ISBLANK(DE215)), "PAGE REF MISSING", "")</f>
        <v/>
      </c>
    </row>
    <row r="216" ht="18" customHeight="1" s="60">
      <c r="A216" s="5" t="inlineStr"/>
      <c r="B216" s="5" t="inlineStr"/>
      <c r="C216" s="5">
        <f>IF(ISBLANK('Universe Tracker'!D191),"",'Universe Tracker'!D191)</f>
        <v/>
      </c>
      <c r="D216" s="5" t="n"/>
      <c r="E216" s="5" t="n"/>
      <c r="F216" s="5">
        <f>IF(ISBLANK('Universe Tracker'!F191),"",'Universe Tracker'!F191)</f>
        <v/>
      </c>
      <c r="G216" s="5">
        <f>IF(ISBLANK('Universe Tracker'!G191),"",'Universe Tracker'!G191)</f>
        <v/>
      </c>
      <c r="H216" s="5" t="n"/>
      <c r="I216" s="5" t="n"/>
      <c r="J216" s="5">
        <f>IF(ISBLANK(B216),"",B216&amp;"_"&amp;C216)</f>
        <v/>
      </c>
      <c r="K216" s="5" t="n"/>
      <c r="L216" s="5" t="n"/>
      <c r="M216" s="5" t="n"/>
      <c r="N216" s="5" t="n"/>
      <c r="O216" s="5" t="n"/>
      <c r="P216" s="5" t="n"/>
      <c r="Q216" s="5" t="n"/>
      <c r="R216" s="5" t="n"/>
      <c r="S216" s="5" t="n"/>
      <c r="T216" s="5" t="n"/>
      <c r="U216" s="5" t="n"/>
      <c r="V216" s="5" t="n"/>
      <c r="W216" s="5" t="n"/>
      <c r="X216" s="5" t="n"/>
      <c r="Y216" s="5">
        <f>IF(AND(V216&gt;=2,K216="Yes",L216="Yes"),"Sufficient",IF(AND(V216&gt;=1,OR(K216="Yes",L216="Yes")),"Thin","Insufficient"))</f>
        <v/>
      </c>
      <c r="Z216" s="5" t="n"/>
      <c r="AA216" s="5" t="n"/>
      <c r="AB216" s="5" t="n"/>
      <c r="AC216" s="5" t="n"/>
      <c r="AD216" s="5" t="n"/>
      <c r="AE216" s="5" t="n"/>
      <c r="AF216" s="5" t="n"/>
      <c r="AG216" s="5" t="n"/>
      <c r="AH216" s="5" t="n"/>
      <c r="AI216" s="5" t="n"/>
      <c r="AJ216" s="5" t="n"/>
      <c r="AK216" s="5" t="n"/>
      <c r="AL216" s="5" t="n"/>
      <c r="AM216" s="5" t="n"/>
      <c r="AN216" s="5" t="n"/>
      <c r="AO216" s="5" t="n"/>
      <c r="AP216" s="5" t="n"/>
      <c r="AQ216" s="5" t="n"/>
      <c r="AR216" s="40">
        <f t="array" ref="AR216">MIN(100, MAX(0,
  IFERROR(_xlfn.XLOOKUP(AJ216,'Lookup Tables'!$A$2:$A$7,'Lookup Tables'!$B$2:$B$7,0),0)
  + IF(Z216="Yes", IF(IFERROR(_xlfn.XLOOKUP(AJ216,'Lookup Tables'!$A$2:$A$7,'Lookup Tables'!$B$2:$B$7,0),0)&lt;20, 5, 0), 0)
  + _xlfn.IFS(AB216="Yes", IF(ISNUMBER(AC216)*AND(AC216&lt;=2030),15,10), AB216="Long-term Only", 5, AB216="No", 0, TRUE, 0)
  + _xlfn.IFS(AF216="Full",10, AF216="Partial",5, AF216="Scope 2 Only",3, TRUE,0)
  + _xlfn.IFS(AG216="Yes", IF(ISNUMBER(AH216)*AND(AH216&gt;=5),10,6), AG216="Partial",4, TRUE,0)
  + _xlfn.IFS(AI216="Yes",5, AI216="Partial (material categories only)",3, TRUE,0)
  + _xlfn.IFS(AL216="Yes — Detailed",10, AL216="Yes — High Level",5, TRUE,0)
  + _xlfn.IFS(AM216="Yes — Quantified",15, AM216="Yes — Directional Only",7, TRUE,0)
  + _xlfn.IFS(AP216="Formal",5, AP216="Referenced",2, TRUE,0)
  + _xlfn.IFS(AQ216="No Issues Found",5, AQ216="Concern Identified",-5, AQ216="Severe Contradiction",-15, TRUE,0)
  + _xlfn.IFS(BC216="Reasonable Assurance",5, BC216="Limited Assurance",3, TRUE,0)
  - IF(AND(Z216="Yes", AI216="No"), 10, 0)
  - IF(AND(Z216="Yes", AM216="No"), 10, 0)
))</f>
        <v/>
      </c>
      <c r="AS216" s="5" t="n"/>
      <c r="AT216" s="5" t="n"/>
      <c r="AU216" s="5" t="n"/>
      <c r="AV216" s="5" t="n"/>
      <c r="AW216" s="5" t="n"/>
      <c r="AX216" s="5" t="n"/>
      <c r="AY216" s="5" t="n"/>
      <c r="AZ216" s="5" t="n"/>
      <c r="BA216" s="5" t="n"/>
      <c r="BB216" s="5" t="n"/>
      <c r="BC216" s="5" t="n"/>
      <c r="BD216" s="5" t="n"/>
      <c r="BE216" s="39">
        <f t="array" ref="BE216">MIN(100, MAX(0,
  IFERROR(_xlfn.XLOOKUP(AT216,'Lookup Tables'!$D$2:$D$6,'Lookup Tables'!$E$2:$E$6,0),0)
  + IFERROR(_xlfn.XLOOKUP(AV216,'Lookup Tables'!$G$2:$G$5,'Lookup Tables'!$H$2:$H$5,0),0)
  + IFERROR(_xlfn.XLOOKUP(AW216,'Lookup Tables'!$J$2:$J$5,'Lookup Tables'!$K$2:$K$5,0),0)
  + _xlfn.IFS(AX216="No Issues",10, AX216="Complaint Filed",3, AX216="Confirmed Breach",-15, TRUE,0)
  + IFERROR(_xlfn.XLOOKUP(AY216,'Lookup Tables'!$M$2:$M$6,'Lookup Tables'!$N$2:$N$6,0),0)
  + IFERROR(_xlfn.XLOOKUP(AZ216,'Lookup Tables'!$P$2:$P$6,'Lookup Tables'!$Q$2:$Q$6,0),0)
  + _xlfn.IFS(BA216="Formal Board Committee",5, BA216="Board Oversight Mentioned",2, TRUE,0)
  + _xlfn.IFS(BB216="Yes — Quantified Targets",5, BB216="Yes — Discretionary Only",2, TRUE,0)
  + _xlfn.IFS(BC216="Reasonable Assurance",5, BC216="Limited Assurance",3, BC216="Management Review Only",1, TRUE,0)
))</f>
        <v/>
      </c>
      <c r="BF216" s="5" t="n"/>
      <c r="BG216" s="5" t="n"/>
      <c r="BH216" s="5" t="n"/>
      <c r="BI216" s="5" t="n"/>
      <c r="BJ216" s="5" t="n"/>
      <c r="BK216" s="5" t="n"/>
      <c r="BL216" s="5" t="n"/>
      <c r="BM216" s="5" t="n"/>
      <c r="BN216" s="5" t="n"/>
      <c r="BO216" s="5" t="n"/>
      <c r="BP216" s="5" t="n"/>
      <c r="BQ216" s="5" t="n"/>
      <c r="BR216" s="5" t="n"/>
      <c r="BS216" s="41">
        <f t="array" ref="BS216">MIN(100, MAX(0,
  IFERROR(_xlfn.XLOOKUP(BG216,'Lookup Tables'!$A$11:$A$16,'Lookup Tables'!$B$11:$B$16,0),0)
  + IFERROR(_xlfn.XLOOKUP(BR216,'Lookup Tables'!$M$11:$M$14,'Lookup Tables'!$N$11:$N$14,0),0)
  + IFERROR(_xlfn.XLOOKUP(BQ216,'Lookup Tables'!$J$11:$J$15,'Lookup Tables'!$K$11:$K$15,0),0)
  + IFERROR(_xlfn.XLOOKUP(BH216,'Lookup Tables'!$D$11:$D$15,'Lookup Tables'!$E$11:$E$15,0),0)
  + IFERROR(_xlfn.XLOOKUP(BJ216,'Lookup Tables'!$G$11:$G$16,'Lookup Tables'!$H$11:$H$16,0),0)
  + IFERROR(_xlfn.XLOOKUP(BN216,'Lookup Tables'!$P$11:$P$15,'Lookup Tables'!$Q$11:$Q$15,0),0)
  + _xlfn.IFS(BM216="No Evidence",10, BM216="Unknown",3, BM216="Likely",0, BM216="Confirmed",-10, TRUE,3)
  + IFERROR(_xlfn.XLOOKUP(BP216,'Lookup Tables'!$J$21:$J$24,'Lookup Tables'!$K$21:$K$24,0),0)
))</f>
        <v/>
      </c>
      <c r="BT216" s="5" t="n"/>
      <c r="BU216" s="5" t="n"/>
      <c r="BV216" s="5" t="n"/>
      <c r="BW216" s="5" t="n"/>
      <c r="BX216" s="5" t="n"/>
      <c r="BY216" s="5" t="n"/>
      <c r="BZ216" s="5" t="n"/>
      <c r="CA216" s="5" t="n"/>
      <c r="CB216" s="5" t="n"/>
      <c r="CC216" s="5" t="n"/>
      <c r="CD216" s="5" t="n"/>
      <c r="CE216" s="43">
        <f t="array" ref="CE216">MIN(100, MAX(0,
  IF(ISNUMBER(BV216)*AND(BV216&gt;0), 10, 0)
  + _xlfn.IFS(BY216="Independently Verified",25, BY216="Yes",15, TRUE,0)
  + IFERROR(_xlfn.XLOOKUP(BZ216,'Lookup Tables'!$A$21:$A$24,'Lookup Tables'!$B$21:$B$24,0),0)
  + IFERROR(_xlfn.XLOOKUP(CA216,'Lookup Tables'!$D$21:$D$24,'Lookup Tables'!$E$21:$E$24,0),0)
  + _xlfn.IFS(ISNUMBER(CB216)*AND(CB216&gt;=11),15, ISNUMBER(CB216)*AND(CB216&gt;=6),10, ISNUMBER(CB216)*AND(CB216&gt;=1),5, TRUE,0)
  + IFERROR(_xlfn.XLOOKUP(CC216,'Lookup Tables'!$G$21:$G$25,'Lookup Tables'!$H$21:$H$25,0),0)
  - IF(ISNUMBER(BW216)*AND(ISNUMBER(BV216))*AND(BW216&gt;BV216), 20, 0)
  - IF(AND(BY216="Yes", ISNUMBER(BW216), BW216&gt;60), 10, 0)
))</f>
        <v/>
      </c>
      <c r="CF216" s="5" t="n"/>
      <c r="CG216" s="5" t="n"/>
      <c r="CH216" s="5" t="n"/>
      <c r="CI216" s="5" t="n"/>
      <c r="CJ216" s="5" t="n"/>
      <c r="CK216" s="5" t="n"/>
      <c r="CL216" s="5" t="n"/>
      <c r="CM216" s="5" t="n"/>
      <c r="CN216" s="5" t="n"/>
      <c r="CO216" s="5" t="n"/>
      <c r="CP216" s="5" t="n"/>
      <c r="CQ216" s="5" t="n"/>
      <c r="CR216" s="5">
        <f>COUNTIF(CJ216:CQ216,"FAIL")</f>
        <v/>
      </c>
      <c r="CS216" s="5">
        <f>COUNTIF(CJ216:CQ216,"PARTIAL")</f>
        <v/>
      </c>
      <c r="CT216" s="5">
        <f>COUNTIF(CJ216:CQ216,"MISSING")</f>
        <v/>
      </c>
      <c r="CU216" s="5">
        <f>MIN(100,
  CR216*15
  + CS216*6
  + CT216*3
  + IFERROR(_xlfn.XLOOKUP(CW216,'Lookup Tables'!$M$21:$M$25,'Lookup Tables'!$N$21:$N$25,0),0)
)</f>
        <v/>
      </c>
      <c r="CV216" s="5">
        <f>IFERROR(
CHOOSE(
MATCH("FAIL",CJ216:CQ216,0),
"1-Specificity","2-Metric","3-Baseline","4-Target",
"5-Time Horizon","6-Scope","7-Verification","8-Consistency"
),
IFERROR(
CHOOSE(
MATCH("PARTIAL",CJ216:CQ216,0),
"1-Specificity","2-Metric","3-Baseline","4-Target",
"5-Time Horizon","6-Scope","7-Verification","8-Consistency"
),
"No failures"
)
)</f>
        <v/>
      </c>
      <c r="CW216" s="5" t="n"/>
      <c r="CX216" s="5" t="n"/>
      <c r="CY216" s="5" t="n"/>
      <c r="CZ216" s="5" t="n"/>
      <c r="DA216" s="5">
        <f>IF(OR(CU216&gt;=50,CW216="Material",CW216="Severe",AS216="Material",AS216="Severe",BF216="Material",BF216="Severe — Exclusion Trigger",AND(ISNUMBER(BS216),BS216&lt;30)),"Yes","No")</f>
        <v/>
      </c>
      <c r="DB216" s="5">
        <f>IF(OR(CR216&gt;=6,AW216="Confirmed Violation",AX216="Confirmed Breach"),"Yes — Automatic",IF(CW216="Severe","Yes — Requires Captain Confirmation","No"))</f>
        <v/>
      </c>
      <c r="DC216" s="5" t="n"/>
      <c r="DD216" s="5" t="n"/>
      <c r="DE216" s="5" t="n"/>
      <c r="DF216" s="5" t="n"/>
      <c r="DG216" s="5" t="n"/>
      <c r="DH216" s="5" t="n"/>
      <c r="DI216" s="5" t="n"/>
      <c r="DJ216" s="5" t="n"/>
      <c r="DK216" s="5" t="n"/>
      <c r="DL216" s="5">
        <f>IF(OR(IFERROR(VALUE(LEFT(DF216,1)),99)&lt;=2,IFERROR(VALUE(LEFT(DG216,1)),99)&lt;=2),"Flagged","Clear")</f>
        <v/>
      </c>
      <c r="DM216" s="5">
        <f>IF(OR(DA216="Yes",DB216&lt;&gt;"No",DH216="Unverified",DL216="Flagged"),"Yes","No")</f>
        <v/>
      </c>
      <c r="DN216" s="5">
        <f t="array" ref="DN216">MIN(100,
  IF(ISNUMBER(V216), _xlfn.IFS(V216&gt;=3,25, V216=2,15, V216=1,5, TRUE,0), 0)
  + IFERROR(_xlfn.IFS(VALUE(LEFT(DF216,1))=5,25, VALUE(LEFT(DF216,1))=4,20, VALUE(LEFT(DF216,1))=3,15, VALUE(LEFT(DF216,1))=2,8, TRUE,0), 15)
  + IFERROR(_xlfn.IFS(VALUE(LEFT(DG216,1))=5,25, VALUE(LEFT(DG216,1))=4,20, VALUE(LEFT(DG216,1))=3,15, VALUE(LEFT(DG216,1))=2,8, TRUE,0), 15)
  + _xlfn.IFS(DH216="Fully Verified",25, DH216="Partially Verified",12, TRUE,0)
)</f>
        <v/>
      </c>
      <c r="DO216" s="5">
        <f t="array" ref="DO216">_xlfn.IFS(
  ISBLANK(AR216), "Insufficient Evidence",
  AND(AR216&gt;=65, AJ216="Approved"), "Strong",
  AR216&gt;=65, "Adequate",
  AR216&gt;=40, "Adequate",
  AR216&gt;=20, "Weak",
  TRUE, "Insufficient Evidence"
)</f>
        <v/>
      </c>
      <c r="DP216" s="5">
        <f t="array" ref="DP216">_xlfn.IFS(
  ISBLANK(BS216), "Insufficient Evidence",
  BS216&gt;=65, "Strong",
  BS216&gt;=40, "Adequate",
  BS216&gt;=20, "Weak",
  TRUE, "Insufficient Evidence"
)</f>
        <v/>
      </c>
      <c r="DQ216" s="5">
        <f t="array" ref="DQ216">_xlfn.IFS(
  ISBLANK(BE216), "Insufficient Evidence",
  OR(AW216="Confirmed Violation", AX216="Confirmed Breach"), "Severe — Hard Trigger",
  BE216&gt;=65, "Strong",
  BE216&gt;=40, "Adequate",
  BE216&gt;=20, "Weak",
  TRUE, "Insufficient Evidence"
)</f>
        <v/>
      </c>
      <c r="DR216" s="5">
        <f t="array" ref="DR216">_xlfn.IFS(
  ISBLANK(CU216), "Insufficient Evidence",
  CU216&lt;=20, "Low Risk",
  CU216&lt;=50, "Moderate Risk",
  CU216&lt;=75, "High Risk",
  TRUE, "Very High Risk"
)</f>
        <v/>
      </c>
      <c r="DS216" s="5">
        <f t="array" ref="DS216">_xlfn.IFS(
  ISBLANK(CE216), "Insufficient Evidence",
  AND(ISNUMBER(BW216),ISNUMBER(BV216),BW216&gt;BV216), "Overclaiming Risk",
  CE216&gt;=65, "Strong",
  CE216&gt;=40, "Adequate",
  TRUE, "Weak"
)</f>
        <v/>
      </c>
      <c r="DT216" s="5">
        <f>IF(DB216="Yes — Automatic",0,ROUND((IF(ISNUMBER(AR216),AR216,0)*0.3+IF(ISNUMBER(BS216),BS216,0)*0.2+IF(ISNUMBER(BE216),BE216,0)*0.2+IF(ISNUMBER(CE216),CE216,0)*0.15+(100-IF(ISNUMBER(CU216),CU216,50))*0.15)*IF(DN216&gt;=75,1,IF(DN216&gt;=50,0.9,IF(DN216&gt;=25,0.75,0.6))),1))</f>
        <v/>
      </c>
      <c r="DU216" s="5">
        <f t="array" ref="DU216">_xlfn.IFS(
  DV216="Upgraded to Clear", "Clear",
  DV216="Downgraded to Watchlist", "Watchlist",
  DV216="Downgraded to Exclusion", "Exclusion Risk",
  DB216="Yes — Automatic", "Exclusion Risk",
  OR(AW216="Confirmed Violation", AX216="Confirmed Breach"), "Exclusion Risk",
  OR(V216=0, ISBLANK(V216), DN216&lt;20), "Insufficient Evidence",
  AND(DT216&gt;=65, DA216="No", DB216="No"), "Clear",
  OR(DT216&gt;=40, DA216="Yes"), "Watchlist",
  TRUE, "Exclusion Risk"
)</f>
        <v/>
      </c>
      <c r="DV216" s="5" t="n"/>
      <c r="DW216" s="5">
        <f t="array" ref="DW216">_xlfn.IFS(
  DU216="Exclusion Risk", "Exclude — Hard Trigger",
  DU216="Insufficient Evidence", "Watchlist — Further Evidence Needed",
  DU216="Watchlist", "Watchlist — Further Evidence Needed",
  AND(DU216="Clear", DT216&gt;=80), "Include — No Conditions",
  DU216="Clear", "Include — Monitor",
  TRUE, "Watchlist — Further Evidence Needed"
)</f>
        <v/>
      </c>
      <c r="DX216" s="5" t="n"/>
      <c r="DY216" s="5" t="n"/>
      <c r="DZ216" s="5" t="n"/>
      <c r="EA216" s="5" t="n"/>
      <c r="EB216" s="5">
        <f>IF(OR(V216=0, ISBLANK(V216)), "MISSING — No sources reviewed", "")</f>
        <v/>
      </c>
      <c r="EC216" s="5">
        <f>IF(AND(NOT(ISBLANK(DC216)), ISBLANK(DE216)), "PAGE REF MISSING", "")</f>
        <v/>
      </c>
    </row>
    <row r="217" ht="18" customHeight="1" s="60">
      <c r="A217" s="5" t="inlineStr"/>
      <c r="B217" s="5" t="inlineStr"/>
      <c r="C217" s="5">
        <f>IF(ISBLANK('Universe Tracker'!D192),"",'Universe Tracker'!D192)</f>
        <v/>
      </c>
      <c r="D217" s="5" t="n"/>
      <c r="E217" s="5" t="n"/>
      <c r="F217" s="5">
        <f>IF(ISBLANK('Universe Tracker'!F192),"",'Universe Tracker'!F192)</f>
        <v/>
      </c>
      <c r="G217" s="5">
        <f>IF(ISBLANK('Universe Tracker'!G192),"",'Universe Tracker'!G192)</f>
        <v/>
      </c>
      <c r="H217" s="5" t="n"/>
      <c r="I217" s="5" t="n"/>
      <c r="J217" s="5">
        <f>IF(ISBLANK(B217),"",B217&amp;"_"&amp;C217)</f>
        <v/>
      </c>
      <c r="K217" s="5" t="n"/>
      <c r="L217" s="5" t="n"/>
      <c r="M217" s="5" t="n"/>
      <c r="N217" s="5" t="n"/>
      <c r="O217" s="5" t="n"/>
      <c r="P217" s="5" t="n"/>
      <c r="Q217" s="5" t="n"/>
      <c r="R217" s="5" t="n"/>
      <c r="S217" s="5" t="n"/>
      <c r="T217" s="5" t="n"/>
      <c r="U217" s="5" t="n"/>
      <c r="V217" s="5" t="n"/>
      <c r="W217" s="5" t="n"/>
      <c r="X217" s="5" t="n"/>
      <c r="Y217" s="5">
        <f>IF(AND(V217&gt;=2,K217="Yes",L217="Yes"),"Sufficient",IF(AND(V217&gt;=1,OR(K217="Yes",L217="Yes")),"Thin","Insufficient"))</f>
        <v/>
      </c>
      <c r="Z217" s="5" t="n"/>
      <c r="AA217" s="5" t="n"/>
      <c r="AB217" s="5" t="n"/>
      <c r="AC217" s="5" t="n"/>
      <c r="AD217" s="5" t="n"/>
      <c r="AE217" s="5" t="n"/>
      <c r="AF217" s="5" t="n"/>
      <c r="AG217" s="5" t="n"/>
      <c r="AH217" s="5" t="n"/>
      <c r="AI217" s="5" t="n"/>
      <c r="AJ217" s="5" t="n"/>
      <c r="AK217" s="5" t="n"/>
      <c r="AL217" s="5" t="n"/>
      <c r="AM217" s="5" t="n"/>
      <c r="AN217" s="5" t="n"/>
      <c r="AO217" s="5" t="n"/>
      <c r="AP217" s="5" t="n"/>
      <c r="AQ217" s="5" t="n"/>
      <c r="AR217" s="40">
        <f t="array" ref="AR217">MIN(100, MAX(0,
  IFERROR(_xlfn.XLOOKUP(AJ217,'Lookup Tables'!$A$2:$A$7,'Lookup Tables'!$B$2:$B$7,0),0)
  + IF(Z217="Yes", IF(IFERROR(_xlfn.XLOOKUP(AJ217,'Lookup Tables'!$A$2:$A$7,'Lookup Tables'!$B$2:$B$7,0),0)&lt;20, 5, 0), 0)
  + _xlfn.IFS(AB217="Yes", IF(ISNUMBER(AC217)*AND(AC217&lt;=2030),15,10), AB217="Long-term Only", 5, AB217="No", 0, TRUE, 0)
  + _xlfn.IFS(AF217="Full",10, AF217="Partial",5, AF217="Scope 2 Only",3, TRUE,0)
  + _xlfn.IFS(AG217="Yes", IF(ISNUMBER(AH217)*AND(AH217&gt;=5),10,6), AG217="Partial",4, TRUE,0)
  + _xlfn.IFS(AI217="Yes",5, AI217="Partial (material categories only)",3, TRUE,0)
  + _xlfn.IFS(AL217="Yes — Detailed",10, AL217="Yes — High Level",5, TRUE,0)
  + _xlfn.IFS(AM217="Yes — Quantified",15, AM217="Yes — Directional Only",7, TRUE,0)
  + _xlfn.IFS(AP217="Formal",5, AP217="Referenced",2, TRUE,0)
  + _xlfn.IFS(AQ217="No Issues Found",5, AQ217="Concern Identified",-5, AQ217="Severe Contradiction",-15, TRUE,0)
  + _xlfn.IFS(BC217="Reasonable Assurance",5, BC217="Limited Assurance",3, TRUE,0)
  - IF(AND(Z217="Yes", AI217="No"), 10, 0)
  - IF(AND(Z217="Yes", AM217="No"), 10, 0)
))</f>
        <v/>
      </c>
      <c r="AS217" s="5" t="n"/>
      <c r="AT217" s="5" t="n"/>
      <c r="AU217" s="5" t="n"/>
      <c r="AV217" s="5" t="n"/>
      <c r="AW217" s="5" t="n"/>
      <c r="AX217" s="5" t="n"/>
      <c r="AY217" s="5" t="n"/>
      <c r="AZ217" s="5" t="n"/>
      <c r="BA217" s="5" t="n"/>
      <c r="BB217" s="5" t="n"/>
      <c r="BC217" s="5" t="n"/>
      <c r="BD217" s="5" t="n"/>
      <c r="BE217" s="39">
        <f t="array" ref="BE217">MIN(100, MAX(0,
  IFERROR(_xlfn.XLOOKUP(AT217,'Lookup Tables'!$D$2:$D$6,'Lookup Tables'!$E$2:$E$6,0),0)
  + IFERROR(_xlfn.XLOOKUP(AV217,'Lookup Tables'!$G$2:$G$5,'Lookup Tables'!$H$2:$H$5,0),0)
  + IFERROR(_xlfn.XLOOKUP(AW217,'Lookup Tables'!$J$2:$J$5,'Lookup Tables'!$K$2:$K$5,0),0)
  + _xlfn.IFS(AX217="No Issues",10, AX217="Complaint Filed",3, AX217="Confirmed Breach",-15, TRUE,0)
  + IFERROR(_xlfn.XLOOKUP(AY217,'Lookup Tables'!$M$2:$M$6,'Lookup Tables'!$N$2:$N$6,0),0)
  + IFERROR(_xlfn.XLOOKUP(AZ217,'Lookup Tables'!$P$2:$P$6,'Lookup Tables'!$Q$2:$Q$6,0),0)
  + _xlfn.IFS(BA217="Formal Board Committee",5, BA217="Board Oversight Mentioned",2, TRUE,0)
  + _xlfn.IFS(BB217="Yes — Quantified Targets",5, BB217="Yes — Discretionary Only",2, TRUE,0)
  + _xlfn.IFS(BC217="Reasonable Assurance",5, BC217="Limited Assurance",3, BC217="Management Review Only",1, TRUE,0)
))</f>
        <v/>
      </c>
      <c r="BF217" s="5" t="n"/>
      <c r="BG217" s="5" t="n"/>
      <c r="BH217" s="5" t="n"/>
      <c r="BI217" s="5" t="n"/>
      <c r="BJ217" s="5" t="n"/>
      <c r="BK217" s="5" t="n"/>
      <c r="BL217" s="5" t="n"/>
      <c r="BM217" s="5" t="n"/>
      <c r="BN217" s="5" t="n"/>
      <c r="BO217" s="5" t="n"/>
      <c r="BP217" s="5" t="n"/>
      <c r="BQ217" s="5" t="n"/>
      <c r="BR217" s="5" t="n"/>
      <c r="BS217" s="41">
        <f t="array" ref="BS217">MIN(100, MAX(0,
  IFERROR(_xlfn.XLOOKUP(BG217,'Lookup Tables'!$A$11:$A$16,'Lookup Tables'!$B$11:$B$16,0),0)
  + IFERROR(_xlfn.XLOOKUP(BR217,'Lookup Tables'!$M$11:$M$14,'Lookup Tables'!$N$11:$N$14,0),0)
  + IFERROR(_xlfn.XLOOKUP(BQ217,'Lookup Tables'!$J$11:$J$15,'Lookup Tables'!$K$11:$K$15,0),0)
  + IFERROR(_xlfn.XLOOKUP(BH217,'Lookup Tables'!$D$11:$D$15,'Lookup Tables'!$E$11:$E$15,0),0)
  + IFERROR(_xlfn.XLOOKUP(BJ217,'Lookup Tables'!$G$11:$G$16,'Lookup Tables'!$H$11:$H$16,0),0)
  + IFERROR(_xlfn.XLOOKUP(BN217,'Lookup Tables'!$P$11:$P$15,'Lookup Tables'!$Q$11:$Q$15,0),0)
  + _xlfn.IFS(BM217="No Evidence",10, BM217="Unknown",3, BM217="Likely",0, BM217="Confirmed",-10, TRUE,3)
  + IFERROR(_xlfn.XLOOKUP(BP217,'Lookup Tables'!$J$21:$J$24,'Lookup Tables'!$K$21:$K$24,0),0)
))</f>
        <v/>
      </c>
      <c r="BT217" s="5" t="n"/>
      <c r="BU217" s="5" t="n"/>
      <c r="BV217" s="5" t="n"/>
      <c r="BW217" s="5" t="n"/>
      <c r="BX217" s="5" t="n"/>
      <c r="BY217" s="5" t="n"/>
      <c r="BZ217" s="5" t="n"/>
      <c r="CA217" s="5" t="n"/>
      <c r="CB217" s="5" t="n"/>
      <c r="CC217" s="5" t="n"/>
      <c r="CD217" s="5" t="n"/>
      <c r="CE217" s="43">
        <f t="array" ref="CE217">MIN(100, MAX(0,
  IF(ISNUMBER(BV217)*AND(BV217&gt;0), 10, 0)
  + _xlfn.IFS(BY217="Independently Verified",25, BY217="Yes",15, TRUE,0)
  + IFERROR(_xlfn.XLOOKUP(BZ217,'Lookup Tables'!$A$21:$A$24,'Lookup Tables'!$B$21:$B$24,0),0)
  + IFERROR(_xlfn.XLOOKUP(CA217,'Lookup Tables'!$D$21:$D$24,'Lookup Tables'!$E$21:$E$24,0),0)
  + _xlfn.IFS(ISNUMBER(CB217)*AND(CB217&gt;=11),15, ISNUMBER(CB217)*AND(CB217&gt;=6),10, ISNUMBER(CB217)*AND(CB217&gt;=1),5, TRUE,0)
  + IFERROR(_xlfn.XLOOKUP(CC217,'Lookup Tables'!$G$21:$G$25,'Lookup Tables'!$H$21:$H$25,0),0)
  - IF(ISNUMBER(BW217)*AND(ISNUMBER(BV217))*AND(BW217&gt;BV217), 20, 0)
  - IF(AND(BY217="Yes", ISNUMBER(BW217), BW217&gt;60), 10, 0)
))</f>
        <v/>
      </c>
      <c r="CF217" s="5" t="n"/>
      <c r="CG217" s="5" t="n"/>
      <c r="CH217" s="5" t="n"/>
      <c r="CI217" s="5" t="n"/>
      <c r="CJ217" s="5" t="n"/>
      <c r="CK217" s="5" t="n"/>
      <c r="CL217" s="5" t="n"/>
      <c r="CM217" s="5" t="n"/>
      <c r="CN217" s="5" t="n"/>
      <c r="CO217" s="5" t="n"/>
      <c r="CP217" s="5" t="n"/>
      <c r="CQ217" s="5" t="n"/>
      <c r="CR217" s="5">
        <f>COUNTIF(CJ217:CQ217,"FAIL")</f>
        <v/>
      </c>
      <c r="CS217" s="5">
        <f>COUNTIF(CJ217:CQ217,"PARTIAL")</f>
        <v/>
      </c>
      <c r="CT217" s="5">
        <f>COUNTIF(CJ217:CQ217,"MISSING")</f>
        <v/>
      </c>
      <c r="CU217" s="5">
        <f>MIN(100,
  CR217*15
  + CS217*6
  + CT217*3
  + IFERROR(_xlfn.XLOOKUP(CW217,'Lookup Tables'!$M$21:$M$25,'Lookup Tables'!$N$21:$N$25,0),0)
)</f>
        <v/>
      </c>
      <c r="CV217" s="5">
        <f>IFERROR(
CHOOSE(
MATCH("FAIL",CJ217:CQ217,0),
"1-Specificity","2-Metric","3-Baseline","4-Target",
"5-Time Horizon","6-Scope","7-Verification","8-Consistency"
),
IFERROR(
CHOOSE(
MATCH("PARTIAL",CJ217:CQ217,0),
"1-Specificity","2-Metric","3-Baseline","4-Target",
"5-Time Horizon","6-Scope","7-Verification","8-Consistency"
),
"No failures"
)
)</f>
        <v/>
      </c>
      <c r="CW217" s="5" t="n"/>
      <c r="CX217" s="5" t="n"/>
      <c r="CY217" s="5" t="n"/>
      <c r="CZ217" s="5" t="n"/>
      <c r="DA217" s="5">
        <f>IF(OR(CU217&gt;=50,CW217="Material",CW217="Severe",AS217="Material",AS217="Severe",BF217="Material",BF217="Severe — Exclusion Trigger",AND(ISNUMBER(BS217),BS217&lt;30)),"Yes","No")</f>
        <v/>
      </c>
      <c r="DB217" s="5">
        <f>IF(OR(CR217&gt;=6,AW217="Confirmed Violation",AX217="Confirmed Breach"),"Yes — Automatic",IF(CW217="Severe","Yes — Requires Captain Confirmation","No"))</f>
        <v/>
      </c>
      <c r="DC217" s="5" t="n"/>
      <c r="DD217" s="5" t="n"/>
      <c r="DE217" s="5" t="n"/>
      <c r="DF217" s="5" t="n"/>
      <c r="DG217" s="5" t="n"/>
      <c r="DH217" s="5" t="n"/>
      <c r="DI217" s="5" t="n"/>
      <c r="DJ217" s="5" t="n"/>
      <c r="DK217" s="5" t="n"/>
      <c r="DL217" s="5">
        <f>IF(OR(IFERROR(VALUE(LEFT(DF217,1)),99)&lt;=2,IFERROR(VALUE(LEFT(DG217,1)),99)&lt;=2),"Flagged","Clear")</f>
        <v/>
      </c>
      <c r="DM217" s="5">
        <f>IF(OR(DA217="Yes",DB217&lt;&gt;"No",DH217="Unverified",DL217="Flagged"),"Yes","No")</f>
        <v/>
      </c>
      <c r="DN217" s="5">
        <f t="array" ref="DN217">MIN(100,
  IF(ISNUMBER(V217), _xlfn.IFS(V217&gt;=3,25, V217=2,15, V217=1,5, TRUE,0), 0)
  + IFERROR(_xlfn.IFS(VALUE(LEFT(DF217,1))=5,25, VALUE(LEFT(DF217,1))=4,20, VALUE(LEFT(DF217,1))=3,15, VALUE(LEFT(DF217,1))=2,8, TRUE,0), 15)
  + IFERROR(_xlfn.IFS(VALUE(LEFT(DG217,1))=5,25, VALUE(LEFT(DG217,1))=4,20, VALUE(LEFT(DG217,1))=3,15, VALUE(LEFT(DG217,1))=2,8, TRUE,0), 15)
  + _xlfn.IFS(DH217="Fully Verified",25, DH217="Partially Verified",12, TRUE,0)
)</f>
        <v/>
      </c>
      <c r="DO217" s="5">
        <f t="array" ref="DO217">_xlfn.IFS(
  ISBLANK(AR217), "Insufficient Evidence",
  AND(AR217&gt;=65, AJ217="Approved"), "Strong",
  AR217&gt;=65, "Adequate",
  AR217&gt;=40, "Adequate",
  AR217&gt;=20, "Weak",
  TRUE, "Insufficient Evidence"
)</f>
        <v/>
      </c>
      <c r="DP217" s="5">
        <f t="array" ref="DP217">_xlfn.IFS(
  ISBLANK(BS217), "Insufficient Evidence",
  BS217&gt;=65, "Strong",
  BS217&gt;=40, "Adequate",
  BS217&gt;=20, "Weak",
  TRUE, "Insufficient Evidence"
)</f>
        <v/>
      </c>
      <c r="DQ217" s="5">
        <f t="array" ref="DQ217">_xlfn.IFS(
  ISBLANK(BE217), "Insufficient Evidence",
  OR(AW217="Confirmed Violation", AX217="Confirmed Breach"), "Severe — Hard Trigger",
  BE217&gt;=65, "Strong",
  BE217&gt;=40, "Adequate",
  BE217&gt;=20, "Weak",
  TRUE, "Insufficient Evidence"
)</f>
        <v/>
      </c>
      <c r="DR217" s="5">
        <f t="array" ref="DR217">_xlfn.IFS(
  ISBLANK(CU217), "Insufficient Evidence",
  CU217&lt;=20, "Low Risk",
  CU217&lt;=50, "Moderate Risk",
  CU217&lt;=75, "High Risk",
  TRUE, "Very High Risk"
)</f>
        <v/>
      </c>
      <c r="DS217" s="5">
        <f t="array" ref="DS217">_xlfn.IFS(
  ISBLANK(CE217), "Insufficient Evidence",
  AND(ISNUMBER(BW217),ISNUMBER(BV217),BW217&gt;BV217), "Overclaiming Risk",
  CE217&gt;=65, "Strong",
  CE217&gt;=40, "Adequate",
  TRUE, "Weak"
)</f>
        <v/>
      </c>
      <c r="DT217" s="5">
        <f>IF(DB217="Yes — Automatic",0,ROUND((IF(ISNUMBER(AR217),AR217,0)*0.3+IF(ISNUMBER(BS217),BS217,0)*0.2+IF(ISNUMBER(BE217),BE217,0)*0.2+IF(ISNUMBER(CE217),CE217,0)*0.15+(100-IF(ISNUMBER(CU217),CU217,50))*0.15)*IF(DN217&gt;=75,1,IF(DN217&gt;=50,0.9,IF(DN217&gt;=25,0.75,0.6))),1))</f>
        <v/>
      </c>
      <c r="DU217" s="5">
        <f t="array" ref="DU217">_xlfn.IFS(
  DV217="Upgraded to Clear", "Clear",
  DV217="Downgraded to Watchlist", "Watchlist",
  DV217="Downgraded to Exclusion", "Exclusion Risk",
  DB217="Yes — Automatic", "Exclusion Risk",
  OR(AW217="Confirmed Violation", AX217="Confirmed Breach"), "Exclusion Risk",
  OR(V217=0, ISBLANK(V217), DN217&lt;20), "Insufficient Evidence",
  AND(DT217&gt;=65, DA217="No", DB217="No"), "Clear",
  OR(DT217&gt;=40, DA217="Yes"), "Watchlist",
  TRUE, "Exclusion Risk"
)</f>
        <v/>
      </c>
      <c r="DV217" s="5" t="n"/>
      <c r="DW217" s="5">
        <f t="array" ref="DW217">_xlfn.IFS(
  DU217="Exclusion Risk", "Exclude — Hard Trigger",
  DU217="Insufficient Evidence", "Watchlist — Further Evidence Needed",
  DU217="Watchlist", "Watchlist — Further Evidence Needed",
  AND(DU217="Clear", DT217&gt;=80), "Include — No Conditions",
  DU217="Clear", "Include — Monitor",
  TRUE, "Watchlist — Further Evidence Needed"
)</f>
        <v/>
      </c>
      <c r="DX217" s="5" t="n"/>
      <c r="DY217" s="5" t="n"/>
      <c r="DZ217" s="5" t="n"/>
      <c r="EA217" s="5" t="n"/>
      <c r="EB217" s="5">
        <f>IF(OR(V217=0, ISBLANK(V217)), "MISSING — No sources reviewed", "")</f>
        <v/>
      </c>
      <c r="EC217" s="5">
        <f>IF(AND(NOT(ISBLANK(DC217)), ISBLANK(DE217)), "PAGE REF MISSING", "")</f>
        <v/>
      </c>
    </row>
    <row r="218" ht="18" customHeight="1" s="60">
      <c r="A218" s="5" t="inlineStr"/>
      <c r="B218" s="5" t="inlineStr"/>
      <c r="C218" s="5">
        <f>IF(ISBLANK('Universe Tracker'!D193),"",'Universe Tracker'!D193)</f>
        <v/>
      </c>
      <c r="D218" s="5" t="n"/>
      <c r="E218" s="5" t="n"/>
      <c r="F218" s="5">
        <f>IF(ISBLANK('Universe Tracker'!F193),"",'Universe Tracker'!F193)</f>
        <v/>
      </c>
      <c r="G218" s="5">
        <f>IF(ISBLANK('Universe Tracker'!G193),"",'Universe Tracker'!G193)</f>
        <v/>
      </c>
      <c r="H218" s="5" t="n"/>
      <c r="I218" s="5" t="n"/>
      <c r="J218" s="5">
        <f>IF(ISBLANK(B218),"",B218&amp;"_"&amp;C218)</f>
        <v/>
      </c>
      <c r="K218" s="5" t="n"/>
      <c r="L218" s="5" t="n"/>
      <c r="M218" s="5" t="n"/>
      <c r="N218" s="5" t="n"/>
      <c r="O218" s="5" t="n"/>
      <c r="P218" s="5" t="n"/>
      <c r="Q218" s="5" t="n"/>
      <c r="R218" s="5" t="n"/>
      <c r="S218" s="5" t="n"/>
      <c r="T218" s="5" t="n"/>
      <c r="U218" s="5" t="n"/>
      <c r="V218" s="5" t="n"/>
      <c r="W218" s="5" t="n"/>
      <c r="X218" s="5" t="n"/>
      <c r="Y218" s="5">
        <f>IF(AND(V218&gt;=2,K218="Yes",L218="Yes"),"Sufficient",IF(AND(V218&gt;=1,OR(K218="Yes",L218="Yes")),"Thin","Insufficient"))</f>
        <v/>
      </c>
      <c r="Z218" s="5" t="n"/>
      <c r="AA218" s="5" t="n"/>
      <c r="AB218" s="5" t="n"/>
      <c r="AC218" s="5" t="n"/>
      <c r="AD218" s="5" t="n"/>
      <c r="AE218" s="5" t="n"/>
      <c r="AF218" s="5" t="n"/>
      <c r="AG218" s="5" t="n"/>
      <c r="AH218" s="5" t="n"/>
      <c r="AI218" s="5" t="n"/>
      <c r="AJ218" s="5" t="n"/>
      <c r="AK218" s="5" t="n"/>
      <c r="AL218" s="5" t="n"/>
      <c r="AM218" s="5" t="n"/>
      <c r="AN218" s="5" t="n"/>
      <c r="AO218" s="5" t="n"/>
      <c r="AP218" s="5" t="n"/>
      <c r="AQ218" s="5" t="n"/>
      <c r="AR218" s="40">
        <f t="array" ref="AR218">MIN(100, MAX(0,
  IFERROR(_xlfn.XLOOKUP(AJ218,'Lookup Tables'!$A$2:$A$7,'Lookup Tables'!$B$2:$B$7,0),0)
  + IF(Z218="Yes", IF(IFERROR(_xlfn.XLOOKUP(AJ218,'Lookup Tables'!$A$2:$A$7,'Lookup Tables'!$B$2:$B$7,0),0)&lt;20, 5, 0), 0)
  + _xlfn.IFS(AB218="Yes", IF(ISNUMBER(AC218)*AND(AC218&lt;=2030),15,10), AB218="Long-term Only", 5, AB218="No", 0, TRUE, 0)
  + _xlfn.IFS(AF218="Full",10, AF218="Partial",5, AF218="Scope 2 Only",3, TRUE,0)
  + _xlfn.IFS(AG218="Yes", IF(ISNUMBER(AH218)*AND(AH218&gt;=5),10,6), AG218="Partial",4, TRUE,0)
  + _xlfn.IFS(AI218="Yes",5, AI218="Partial (material categories only)",3, TRUE,0)
  + _xlfn.IFS(AL218="Yes — Detailed",10, AL218="Yes — High Level",5, TRUE,0)
  + _xlfn.IFS(AM218="Yes — Quantified",15, AM218="Yes — Directional Only",7, TRUE,0)
  + _xlfn.IFS(AP218="Formal",5, AP218="Referenced",2, TRUE,0)
  + _xlfn.IFS(AQ218="No Issues Found",5, AQ218="Concern Identified",-5, AQ218="Severe Contradiction",-15, TRUE,0)
  + _xlfn.IFS(BC218="Reasonable Assurance",5, BC218="Limited Assurance",3, TRUE,0)
  - IF(AND(Z218="Yes", AI218="No"), 10, 0)
  - IF(AND(Z218="Yes", AM218="No"), 10, 0)
))</f>
        <v/>
      </c>
      <c r="AS218" s="5" t="n"/>
      <c r="AT218" s="5" t="n"/>
      <c r="AU218" s="5" t="n"/>
      <c r="AV218" s="5" t="n"/>
      <c r="AW218" s="5" t="n"/>
      <c r="AX218" s="5" t="n"/>
      <c r="AY218" s="5" t="n"/>
      <c r="AZ218" s="5" t="n"/>
      <c r="BA218" s="5" t="n"/>
      <c r="BB218" s="5" t="n"/>
      <c r="BC218" s="5" t="n"/>
      <c r="BD218" s="5" t="n"/>
      <c r="BE218" s="39">
        <f t="array" ref="BE218">MIN(100, MAX(0,
  IFERROR(_xlfn.XLOOKUP(AT218,'Lookup Tables'!$D$2:$D$6,'Lookup Tables'!$E$2:$E$6,0),0)
  + IFERROR(_xlfn.XLOOKUP(AV218,'Lookup Tables'!$G$2:$G$5,'Lookup Tables'!$H$2:$H$5,0),0)
  + IFERROR(_xlfn.XLOOKUP(AW218,'Lookup Tables'!$J$2:$J$5,'Lookup Tables'!$K$2:$K$5,0),0)
  + _xlfn.IFS(AX218="No Issues",10, AX218="Complaint Filed",3, AX218="Confirmed Breach",-15, TRUE,0)
  + IFERROR(_xlfn.XLOOKUP(AY218,'Lookup Tables'!$M$2:$M$6,'Lookup Tables'!$N$2:$N$6,0),0)
  + IFERROR(_xlfn.XLOOKUP(AZ218,'Lookup Tables'!$P$2:$P$6,'Lookup Tables'!$Q$2:$Q$6,0),0)
  + _xlfn.IFS(BA218="Formal Board Committee",5, BA218="Board Oversight Mentioned",2, TRUE,0)
  + _xlfn.IFS(BB218="Yes — Quantified Targets",5, BB218="Yes — Discretionary Only",2, TRUE,0)
  + _xlfn.IFS(BC218="Reasonable Assurance",5, BC218="Limited Assurance",3, BC218="Management Review Only",1, TRUE,0)
))</f>
        <v/>
      </c>
      <c r="BF218" s="5" t="n"/>
      <c r="BG218" s="5" t="n"/>
      <c r="BH218" s="5" t="n"/>
      <c r="BI218" s="5" t="n"/>
      <c r="BJ218" s="5" t="n"/>
      <c r="BK218" s="5" t="n"/>
      <c r="BL218" s="5" t="n"/>
      <c r="BM218" s="5" t="n"/>
      <c r="BN218" s="5" t="n"/>
      <c r="BO218" s="5" t="n"/>
      <c r="BP218" s="5" t="n"/>
      <c r="BQ218" s="5" t="n"/>
      <c r="BR218" s="5" t="n"/>
      <c r="BS218" s="41">
        <f t="array" ref="BS218">MIN(100, MAX(0,
  IFERROR(_xlfn.XLOOKUP(BG218,'Lookup Tables'!$A$11:$A$16,'Lookup Tables'!$B$11:$B$16,0),0)
  + IFERROR(_xlfn.XLOOKUP(BR218,'Lookup Tables'!$M$11:$M$14,'Lookup Tables'!$N$11:$N$14,0),0)
  + IFERROR(_xlfn.XLOOKUP(BQ218,'Lookup Tables'!$J$11:$J$15,'Lookup Tables'!$K$11:$K$15,0),0)
  + IFERROR(_xlfn.XLOOKUP(BH218,'Lookup Tables'!$D$11:$D$15,'Lookup Tables'!$E$11:$E$15,0),0)
  + IFERROR(_xlfn.XLOOKUP(BJ218,'Lookup Tables'!$G$11:$G$16,'Lookup Tables'!$H$11:$H$16,0),0)
  + IFERROR(_xlfn.XLOOKUP(BN218,'Lookup Tables'!$P$11:$P$15,'Lookup Tables'!$Q$11:$Q$15,0),0)
  + _xlfn.IFS(BM218="No Evidence",10, BM218="Unknown",3, BM218="Likely",0, BM218="Confirmed",-10, TRUE,3)
  + IFERROR(_xlfn.XLOOKUP(BP218,'Lookup Tables'!$J$21:$J$24,'Lookup Tables'!$K$21:$K$24,0),0)
))</f>
        <v/>
      </c>
      <c r="BT218" s="5" t="n"/>
      <c r="BU218" s="5" t="n"/>
      <c r="BV218" s="5" t="n"/>
      <c r="BW218" s="5" t="n"/>
      <c r="BX218" s="5" t="n"/>
      <c r="BY218" s="5" t="n"/>
      <c r="BZ218" s="5" t="n"/>
      <c r="CA218" s="5" t="n"/>
      <c r="CB218" s="5" t="n"/>
      <c r="CC218" s="5" t="n"/>
      <c r="CD218" s="5" t="n"/>
      <c r="CE218" s="43">
        <f t="array" ref="CE218">MIN(100, MAX(0,
  IF(ISNUMBER(BV218)*AND(BV218&gt;0), 10, 0)
  + _xlfn.IFS(BY218="Independently Verified",25, BY218="Yes",15, TRUE,0)
  + IFERROR(_xlfn.XLOOKUP(BZ218,'Lookup Tables'!$A$21:$A$24,'Lookup Tables'!$B$21:$B$24,0),0)
  + IFERROR(_xlfn.XLOOKUP(CA218,'Lookup Tables'!$D$21:$D$24,'Lookup Tables'!$E$21:$E$24,0),0)
  + _xlfn.IFS(ISNUMBER(CB218)*AND(CB218&gt;=11),15, ISNUMBER(CB218)*AND(CB218&gt;=6),10, ISNUMBER(CB218)*AND(CB218&gt;=1),5, TRUE,0)
  + IFERROR(_xlfn.XLOOKUP(CC218,'Lookup Tables'!$G$21:$G$25,'Lookup Tables'!$H$21:$H$25,0),0)
  - IF(ISNUMBER(BW218)*AND(ISNUMBER(BV218))*AND(BW218&gt;BV218), 20, 0)
  - IF(AND(BY218="Yes", ISNUMBER(BW218), BW218&gt;60), 10, 0)
))</f>
        <v/>
      </c>
      <c r="CF218" s="5" t="n"/>
      <c r="CG218" s="5" t="n"/>
      <c r="CH218" s="5" t="n"/>
      <c r="CI218" s="5" t="n"/>
      <c r="CJ218" s="5" t="n"/>
      <c r="CK218" s="5" t="n"/>
      <c r="CL218" s="5" t="n"/>
      <c r="CM218" s="5" t="n"/>
      <c r="CN218" s="5" t="n"/>
      <c r="CO218" s="5" t="n"/>
      <c r="CP218" s="5" t="n"/>
      <c r="CQ218" s="5" t="n"/>
      <c r="CR218" s="5">
        <f>COUNTIF(CJ218:CQ218,"FAIL")</f>
        <v/>
      </c>
      <c r="CS218" s="5">
        <f>COUNTIF(CJ218:CQ218,"PARTIAL")</f>
        <v/>
      </c>
      <c r="CT218" s="5">
        <f>COUNTIF(CJ218:CQ218,"MISSING")</f>
        <v/>
      </c>
      <c r="CU218" s="5">
        <f>MIN(100,
  CR218*15
  + CS218*6
  + CT218*3
  + IFERROR(_xlfn.XLOOKUP(CW218,'Lookup Tables'!$M$21:$M$25,'Lookup Tables'!$N$21:$N$25,0),0)
)</f>
        <v/>
      </c>
      <c r="CV218" s="5">
        <f>IFERROR(
CHOOSE(
MATCH("FAIL",CJ218:CQ218,0),
"1-Specificity","2-Metric","3-Baseline","4-Target",
"5-Time Horizon","6-Scope","7-Verification","8-Consistency"
),
IFERROR(
CHOOSE(
MATCH("PARTIAL",CJ218:CQ218,0),
"1-Specificity","2-Metric","3-Baseline","4-Target",
"5-Time Horizon","6-Scope","7-Verification","8-Consistency"
),
"No failures"
)
)</f>
        <v/>
      </c>
      <c r="CW218" s="5" t="n"/>
      <c r="CX218" s="5" t="n"/>
      <c r="CY218" s="5" t="n"/>
      <c r="CZ218" s="5" t="n"/>
      <c r="DA218" s="5">
        <f>IF(OR(CU218&gt;=50,CW218="Material",CW218="Severe",AS218="Material",AS218="Severe",BF218="Material",BF218="Severe — Exclusion Trigger",AND(ISNUMBER(BS218),BS218&lt;30)),"Yes","No")</f>
        <v/>
      </c>
      <c r="DB218" s="5">
        <f>IF(OR(CR218&gt;=6,AW218="Confirmed Violation",AX218="Confirmed Breach"),"Yes — Automatic",IF(CW218="Severe","Yes — Requires Captain Confirmation","No"))</f>
        <v/>
      </c>
      <c r="DC218" s="5" t="n"/>
      <c r="DD218" s="5" t="n"/>
      <c r="DE218" s="5" t="n"/>
      <c r="DF218" s="5" t="n"/>
      <c r="DG218" s="5" t="n"/>
      <c r="DH218" s="5" t="n"/>
      <c r="DI218" s="5" t="n"/>
      <c r="DJ218" s="5" t="n"/>
      <c r="DK218" s="5" t="n"/>
      <c r="DL218" s="5">
        <f>IF(OR(IFERROR(VALUE(LEFT(DF218,1)),99)&lt;=2,IFERROR(VALUE(LEFT(DG218,1)),99)&lt;=2),"Flagged","Clear")</f>
        <v/>
      </c>
      <c r="DM218" s="5">
        <f>IF(OR(DA218="Yes",DB218&lt;&gt;"No",DH218="Unverified",DL218="Flagged"),"Yes","No")</f>
        <v/>
      </c>
      <c r="DN218" s="5">
        <f t="array" ref="DN218">MIN(100,
  IF(ISNUMBER(V218), _xlfn.IFS(V218&gt;=3,25, V218=2,15, V218=1,5, TRUE,0), 0)
  + IFERROR(_xlfn.IFS(VALUE(LEFT(DF218,1))=5,25, VALUE(LEFT(DF218,1))=4,20, VALUE(LEFT(DF218,1))=3,15, VALUE(LEFT(DF218,1))=2,8, TRUE,0), 15)
  + IFERROR(_xlfn.IFS(VALUE(LEFT(DG218,1))=5,25, VALUE(LEFT(DG218,1))=4,20, VALUE(LEFT(DG218,1))=3,15, VALUE(LEFT(DG218,1))=2,8, TRUE,0), 15)
  + _xlfn.IFS(DH218="Fully Verified",25, DH218="Partially Verified",12, TRUE,0)
)</f>
        <v/>
      </c>
      <c r="DO218" s="5">
        <f t="array" ref="DO218">_xlfn.IFS(
  ISBLANK(AR218), "Insufficient Evidence",
  AND(AR218&gt;=65, AJ218="Approved"), "Strong",
  AR218&gt;=65, "Adequate",
  AR218&gt;=40, "Adequate",
  AR218&gt;=20, "Weak",
  TRUE, "Insufficient Evidence"
)</f>
        <v/>
      </c>
      <c r="DP218" s="5">
        <f t="array" ref="DP218">_xlfn.IFS(
  ISBLANK(BS218), "Insufficient Evidence",
  BS218&gt;=65, "Strong",
  BS218&gt;=40, "Adequate",
  BS218&gt;=20, "Weak",
  TRUE, "Insufficient Evidence"
)</f>
        <v/>
      </c>
      <c r="DQ218" s="5">
        <f t="array" ref="DQ218">_xlfn.IFS(
  ISBLANK(BE218), "Insufficient Evidence",
  OR(AW218="Confirmed Violation", AX218="Confirmed Breach"), "Severe — Hard Trigger",
  BE218&gt;=65, "Strong",
  BE218&gt;=40, "Adequate",
  BE218&gt;=20, "Weak",
  TRUE, "Insufficient Evidence"
)</f>
        <v/>
      </c>
      <c r="DR218" s="5">
        <f t="array" ref="DR218">_xlfn.IFS(
  ISBLANK(CU218), "Insufficient Evidence",
  CU218&lt;=20, "Low Risk",
  CU218&lt;=50, "Moderate Risk",
  CU218&lt;=75, "High Risk",
  TRUE, "Very High Risk"
)</f>
        <v/>
      </c>
      <c r="DS218" s="5">
        <f t="array" ref="DS218">_xlfn.IFS(
  ISBLANK(CE218), "Insufficient Evidence",
  AND(ISNUMBER(BW218),ISNUMBER(BV218),BW218&gt;BV218), "Overclaiming Risk",
  CE218&gt;=65, "Strong",
  CE218&gt;=40, "Adequate",
  TRUE, "Weak"
)</f>
        <v/>
      </c>
      <c r="DT218" s="5">
        <f>IF(DB218="Yes — Automatic",0,ROUND((IF(ISNUMBER(AR218),AR218,0)*0.3+IF(ISNUMBER(BS218),BS218,0)*0.2+IF(ISNUMBER(BE218),BE218,0)*0.2+IF(ISNUMBER(CE218),CE218,0)*0.15+(100-IF(ISNUMBER(CU218),CU218,50))*0.15)*IF(DN218&gt;=75,1,IF(DN218&gt;=50,0.9,IF(DN218&gt;=25,0.75,0.6))),1))</f>
        <v/>
      </c>
      <c r="DU218" s="5">
        <f t="array" ref="DU218">_xlfn.IFS(
  DV218="Upgraded to Clear", "Clear",
  DV218="Downgraded to Watchlist", "Watchlist",
  DV218="Downgraded to Exclusion", "Exclusion Risk",
  DB218="Yes — Automatic", "Exclusion Risk",
  OR(AW218="Confirmed Violation", AX218="Confirmed Breach"), "Exclusion Risk",
  OR(V218=0, ISBLANK(V218), DN218&lt;20), "Insufficient Evidence",
  AND(DT218&gt;=65, DA218="No", DB218="No"), "Clear",
  OR(DT218&gt;=40, DA218="Yes"), "Watchlist",
  TRUE, "Exclusion Risk"
)</f>
        <v/>
      </c>
      <c r="DV218" s="5" t="n"/>
      <c r="DW218" s="5">
        <f t="array" ref="DW218">_xlfn.IFS(
  DU218="Exclusion Risk", "Exclude — Hard Trigger",
  DU218="Insufficient Evidence", "Watchlist — Further Evidence Needed",
  DU218="Watchlist", "Watchlist — Further Evidence Needed",
  AND(DU218="Clear", DT218&gt;=80), "Include — No Conditions",
  DU218="Clear", "Include — Monitor",
  TRUE, "Watchlist — Further Evidence Needed"
)</f>
        <v/>
      </c>
      <c r="DX218" s="5" t="n"/>
      <c r="DY218" s="5" t="n"/>
      <c r="DZ218" s="5" t="n"/>
      <c r="EA218" s="5" t="n"/>
      <c r="EB218" s="5">
        <f>IF(OR(V218=0, ISBLANK(V218)), "MISSING — No sources reviewed", "")</f>
        <v/>
      </c>
      <c r="EC218" s="5">
        <f>IF(AND(NOT(ISBLANK(DC218)), ISBLANK(DE218)), "PAGE REF MISSING", "")</f>
        <v/>
      </c>
    </row>
    <row r="219" ht="18" customHeight="1" s="60">
      <c r="A219" s="5" t="inlineStr"/>
      <c r="B219" s="5" t="inlineStr"/>
      <c r="C219" s="5">
        <f>IF(ISBLANK('Universe Tracker'!D194),"",'Universe Tracker'!D194)</f>
        <v/>
      </c>
      <c r="D219" s="5" t="n"/>
      <c r="E219" s="5" t="n"/>
      <c r="F219" s="5">
        <f>IF(ISBLANK('Universe Tracker'!F194),"",'Universe Tracker'!F194)</f>
        <v/>
      </c>
      <c r="G219" s="5">
        <f>IF(ISBLANK('Universe Tracker'!G194),"",'Universe Tracker'!G194)</f>
        <v/>
      </c>
      <c r="H219" s="5" t="n"/>
      <c r="I219" s="5" t="n"/>
      <c r="J219" s="5">
        <f>IF(ISBLANK(B219),"",B219&amp;"_"&amp;C219)</f>
        <v/>
      </c>
      <c r="K219" s="5" t="n"/>
      <c r="L219" s="5" t="n"/>
      <c r="M219" s="5" t="n"/>
      <c r="N219" s="5" t="n"/>
      <c r="O219" s="5" t="n"/>
      <c r="P219" s="5" t="n"/>
      <c r="Q219" s="5" t="n"/>
      <c r="R219" s="5" t="n"/>
      <c r="S219" s="5" t="n"/>
      <c r="T219" s="5" t="n"/>
      <c r="U219" s="5" t="n"/>
      <c r="V219" s="5" t="n"/>
      <c r="W219" s="5" t="n"/>
      <c r="X219" s="5" t="n"/>
      <c r="Y219" s="5">
        <f>IF(AND(V219&gt;=2,K219="Yes",L219="Yes"),"Sufficient",IF(AND(V219&gt;=1,OR(K219="Yes",L219="Yes")),"Thin","Insufficient"))</f>
        <v/>
      </c>
      <c r="Z219" s="5" t="n"/>
      <c r="AA219" s="5" t="n"/>
      <c r="AB219" s="5" t="n"/>
      <c r="AC219" s="5" t="n"/>
      <c r="AD219" s="5" t="n"/>
      <c r="AE219" s="5" t="n"/>
      <c r="AF219" s="5" t="n"/>
      <c r="AG219" s="5" t="n"/>
      <c r="AH219" s="5" t="n"/>
      <c r="AI219" s="5" t="n"/>
      <c r="AJ219" s="5" t="n"/>
      <c r="AK219" s="5" t="n"/>
      <c r="AL219" s="5" t="n"/>
      <c r="AM219" s="5" t="n"/>
      <c r="AN219" s="5" t="n"/>
      <c r="AO219" s="5" t="n"/>
      <c r="AP219" s="5" t="n"/>
      <c r="AQ219" s="5" t="n"/>
      <c r="AR219" s="40">
        <f t="array" ref="AR219">MIN(100, MAX(0,
  IFERROR(_xlfn.XLOOKUP(AJ219,'Lookup Tables'!$A$2:$A$7,'Lookup Tables'!$B$2:$B$7,0),0)
  + IF(Z219="Yes", IF(IFERROR(_xlfn.XLOOKUP(AJ219,'Lookup Tables'!$A$2:$A$7,'Lookup Tables'!$B$2:$B$7,0),0)&lt;20, 5, 0), 0)
  + _xlfn.IFS(AB219="Yes", IF(ISNUMBER(AC219)*AND(AC219&lt;=2030),15,10), AB219="Long-term Only", 5, AB219="No", 0, TRUE, 0)
  + _xlfn.IFS(AF219="Full",10, AF219="Partial",5, AF219="Scope 2 Only",3, TRUE,0)
  + _xlfn.IFS(AG219="Yes", IF(ISNUMBER(AH219)*AND(AH219&gt;=5),10,6), AG219="Partial",4, TRUE,0)
  + _xlfn.IFS(AI219="Yes",5, AI219="Partial (material categories only)",3, TRUE,0)
  + _xlfn.IFS(AL219="Yes — Detailed",10, AL219="Yes — High Level",5, TRUE,0)
  + _xlfn.IFS(AM219="Yes — Quantified",15, AM219="Yes — Directional Only",7, TRUE,0)
  + _xlfn.IFS(AP219="Formal",5, AP219="Referenced",2, TRUE,0)
  + _xlfn.IFS(AQ219="No Issues Found",5, AQ219="Concern Identified",-5, AQ219="Severe Contradiction",-15, TRUE,0)
  + _xlfn.IFS(BC219="Reasonable Assurance",5, BC219="Limited Assurance",3, TRUE,0)
  - IF(AND(Z219="Yes", AI219="No"), 10, 0)
  - IF(AND(Z219="Yes", AM219="No"), 10, 0)
))</f>
        <v/>
      </c>
      <c r="AS219" s="5" t="n"/>
      <c r="AT219" s="5" t="n"/>
      <c r="AU219" s="5" t="n"/>
      <c r="AV219" s="5" t="n"/>
      <c r="AW219" s="5" t="n"/>
      <c r="AX219" s="5" t="n"/>
      <c r="AY219" s="5" t="n"/>
      <c r="AZ219" s="5" t="n"/>
      <c r="BA219" s="5" t="n"/>
      <c r="BB219" s="5" t="n"/>
      <c r="BC219" s="5" t="n"/>
      <c r="BD219" s="5" t="n"/>
      <c r="BE219" s="39">
        <f t="array" ref="BE219">MIN(100, MAX(0,
  IFERROR(_xlfn.XLOOKUP(AT219,'Lookup Tables'!$D$2:$D$6,'Lookup Tables'!$E$2:$E$6,0),0)
  + IFERROR(_xlfn.XLOOKUP(AV219,'Lookup Tables'!$G$2:$G$5,'Lookup Tables'!$H$2:$H$5,0),0)
  + IFERROR(_xlfn.XLOOKUP(AW219,'Lookup Tables'!$J$2:$J$5,'Lookup Tables'!$K$2:$K$5,0),0)
  + _xlfn.IFS(AX219="No Issues",10, AX219="Complaint Filed",3, AX219="Confirmed Breach",-15, TRUE,0)
  + IFERROR(_xlfn.XLOOKUP(AY219,'Lookup Tables'!$M$2:$M$6,'Lookup Tables'!$N$2:$N$6,0),0)
  + IFERROR(_xlfn.XLOOKUP(AZ219,'Lookup Tables'!$P$2:$P$6,'Lookup Tables'!$Q$2:$Q$6,0),0)
  + _xlfn.IFS(BA219="Formal Board Committee",5, BA219="Board Oversight Mentioned",2, TRUE,0)
  + _xlfn.IFS(BB219="Yes — Quantified Targets",5, BB219="Yes — Discretionary Only",2, TRUE,0)
  + _xlfn.IFS(BC219="Reasonable Assurance",5, BC219="Limited Assurance",3, BC219="Management Review Only",1, TRUE,0)
))</f>
        <v/>
      </c>
      <c r="BF219" s="5" t="n"/>
      <c r="BG219" s="5" t="n"/>
      <c r="BH219" s="5" t="n"/>
      <c r="BI219" s="5" t="n"/>
      <c r="BJ219" s="5" t="n"/>
      <c r="BK219" s="5" t="n"/>
      <c r="BL219" s="5" t="n"/>
      <c r="BM219" s="5" t="n"/>
      <c r="BN219" s="5" t="n"/>
      <c r="BO219" s="5" t="n"/>
      <c r="BP219" s="5" t="n"/>
      <c r="BQ219" s="5" t="n"/>
      <c r="BR219" s="5" t="n"/>
      <c r="BS219" s="41">
        <f t="array" ref="BS219">MIN(100, MAX(0,
  IFERROR(_xlfn.XLOOKUP(BG219,'Lookup Tables'!$A$11:$A$16,'Lookup Tables'!$B$11:$B$16,0),0)
  + IFERROR(_xlfn.XLOOKUP(BR219,'Lookup Tables'!$M$11:$M$14,'Lookup Tables'!$N$11:$N$14,0),0)
  + IFERROR(_xlfn.XLOOKUP(BQ219,'Lookup Tables'!$J$11:$J$15,'Lookup Tables'!$K$11:$K$15,0),0)
  + IFERROR(_xlfn.XLOOKUP(BH219,'Lookup Tables'!$D$11:$D$15,'Lookup Tables'!$E$11:$E$15,0),0)
  + IFERROR(_xlfn.XLOOKUP(BJ219,'Lookup Tables'!$G$11:$G$16,'Lookup Tables'!$H$11:$H$16,0),0)
  + IFERROR(_xlfn.XLOOKUP(BN219,'Lookup Tables'!$P$11:$P$15,'Lookup Tables'!$Q$11:$Q$15,0),0)
  + _xlfn.IFS(BM219="No Evidence",10, BM219="Unknown",3, BM219="Likely",0, BM219="Confirmed",-10, TRUE,3)
  + IFERROR(_xlfn.XLOOKUP(BP219,'Lookup Tables'!$J$21:$J$24,'Lookup Tables'!$K$21:$K$24,0),0)
))</f>
        <v/>
      </c>
      <c r="BT219" s="5" t="n"/>
      <c r="BU219" s="5" t="n"/>
      <c r="BV219" s="5" t="n"/>
      <c r="BW219" s="5" t="n"/>
      <c r="BX219" s="5" t="n"/>
      <c r="BY219" s="5" t="n"/>
      <c r="BZ219" s="5" t="n"/>
      <c r="CA219" s="5" t="n"/>
      <c r="CB219" s="5" t="n"/>
      <c r="CC219" s="5" t="n"/>
      <c r="CD219" s="5" t="n"/>
      <c r="CE219" s="43">
        <f t="array" ref="CE219">MIN(100, MAX(0,
  IF(ISNUMBER(BV219)*AND(BV219&gt;0), 10, 0)
  + _xlfn.IFS(BY219="Independently Verified",25, BY219="Yes",15, TRUE,0)
  + IFERROR(_xlfn.XLOOKUP(BZ219,'Lookup Tables'!$A$21:$A$24,'Lookup Tables'!$B$21:$B$24,0),0)
  + IFERROR(_xlfn.XLOOKUP(CA219,'Lookup Tables'!$D$21:$D$24,'Lookup Tables'!$E$21:$E$24,0),0)
  + _xlfn.IFS(ISNUMBER(CB219)*AND(CB219&gt;=11),15, ISNUMBER(CB219)*AND(CB219&gt;=6),10, ISNUMBER(CB219)*AND(CB219&gt;=1),5, TRUE,0)
  + IFERROR(_xlfn.XLOOKUP(CC219,'Lookup Tables'!$G$21:$G$25,'Lookup Tables'!$H$21:$H$25,0),0)
  - IF(ISNUMBER(BW219)*AND(ISNUMBER(BV219))*AND(BW219&gt;BV219), 20, 0)
  - IF(AND(BY219="Yes", ISNUMBER(BW219), BW219&gt;60), 10, 0)
))</f>
        <v/>
      </c>
      <c r="CF219" s="5" t="n"/>
      <c r="CG219" s="5" t="n"/>
      <c r="CH219" s="5" t="n"/>
      <c r="CI219" s="5" t="n"/>
      <c r="CJ219" s="5" t="n"/>
      <c r="CK219" s="5" t="n"/>
      <c r="CL219" s="5" t="n"/>
      <c r="CM219" s="5" t="n"/>
      <c r="CN219" s="5" t="n"/>
      <c r="CO219" s="5" t="n"/>
      <c r="CP219" s="5" t="n"/>
      <c r="CQ219" s="5" t="n"/>
      <c r="CR219" s="5">
        <f>COUNTIF(CJ219:CQ219,"FAIL")</f>
        <v/>
      </c>
      <c r="CS219" s="5">
        <f>COUNTIF(CJ219:CQ219,"PARTIAL")</f>
        <v/>
      </c>
      <c r="CT219" s="5">
        <f>COUNTIF(CJ219:CQ219,"MISSING")</f>
        <v/>
      </c>
      <c r="CU219" s="5">
        <f>MIN(100,
  CR219*15
  + CS219*6
  + CT219*3
  + IFERROR(_xlfn.XLOOKUP(CW219,'Lookup Tables'!$M$21:$M$25,'Lookup Tables'!$N$21:$N$25,0),0)
)</f>
        <v/>
      </c>
      <c r="CV219" s="5">
        <f>IFERROR(
CHOOSE(
MATCH("FAIL",CJ219:CQ219,0),
"1-Specificity","2-Metric","3-Baseline","4-Target",
"5-Time Horizon","6-Scope","7-Verification","8-Consistency"
),
IFERROR(
CHOOSE(
MATCH("PARTIAL",CJ219:CQ219,0),
"1-Specificity","2-Metric","3-Baseline","4-Target",
"5-Time Horizon","6-Scope","7-Verification","8-Consistency"
),
"No failures"
)
)</f>
        <v/>
      </c>
      <c r="CW219" s="5" t="n"/>
      <c r="CX219" s="5" t="n"/>
      <c r="CY219" s="5" t="n"/>
      <c r="CZ219" s="5" t="n"/>
      <c r="DA219" s="5">
        <f>IF(OR(CU219&gt;=50,CW219="Material",CW219="Severe",AS219="Material",AS219="Severe",BF219="Material",BF219="Severe — Exclusion Trigger",AND(ISNUMBER(BS219),BS219&lt;30)),"Yes","No")</f>
        <v/>
      </c>
      <c r="DB219" s="5">
        <f>IF(OR(CR219&gt;=6,AW219="Confirmed Violation",AX219="Confirmed Breach"),"Yes — Automatic",IF(CW219="Severe","Yes — Requires Captain Confirmation","No"))</f>
        <v/>
      </c>
      <c r="DC219" s="5" t="n"/>
      <c r="DD219" s="5" t="n"/>
      <c r="DE219" s="5" t="n"/>
      <c r="DF219" s="5" t="n"/>
      <c r="DG219" s="5" t="n"/>
      <c r="DH219" s="5" t="n"/>
      <c r="DI219" s="5" t="n"/>
      <c r="DJ219" s="5" t="n"/>
      <c r="DK219" s="5" t="n"/>
      <c r="DL219" s="5">
        <f>IF(OR(IFERROR(VALUE(LEFT(DF219,1)),99)&lt;=2,IFERROR(VALUE(LEFT(DG219,1)),99)&lt;=2),"Flagged","Clear")</f>
        <v/>
      </c>
      <c r="DM219" s="5">
        <f>IF(OR(DA219="Yes",DB219&lt;&gt;"No",DH219="Unverified",DL219="Flagged"),"Yes","No")</f>
        <v/>
      </c>
      <c r="DN219" s="5">
        <f t="array" ref="DN219">MIN(100,
  IF(ISNUMBER(V219), _xlfn.IFS(V219&gt;=3,25, V219=2,15, V219=1,5, TRUE,0), 0)
  + IFERROR(_xlfn.IFS(VALUE(LEFT(DF219,1))=5,25, VALUE(LEFT(DF219,1))=4,20, VALUE(LEFT(DF219,1))=3,15, VALUE(LEFT(DF219,1))=2,8, TRUE,0), 15)
  + IFERROR(_xlfn.IFS(VALUE(LEFT(DG219,1))=5,25, VALUE(LEFT(DG219,1))=4,20, VALUE(LEFT(DG219,1))=3,15, VALUE(LEFT(DG219,1))=2,8, TRUE,0), 15)
  + _xlfn.IFS(DH219="Fully Verified",25, DH219="Partially Verified",12, TRUE,0)
)</f>
        <v/>
      </c>
      <c r="DO219" s="5">
        <f t="array" ref="DO219">_xlfn.IFS(
  ISBLANK(AR219), "Insufficient Evidence",
  AND(AR219&gt;=65, AJ219="Approved"), "Strong",
  AR219&gt;=65, "Adequate",
  AR219&gt;=40, "Adequate",
  AR219&gt;=20, "Weak",
  TRUE, "Insufficient Evidence"
)</f>
        <v/>
      </c>
      <c r="DP219" s="5">
        <f t="array" ref="DP219">_xlfn.IFS(
  ISBLANK(BS219), "Insufficient Evidence",
  BS219&gt;=65, "Strong",
  BS219&gt;=40, "Adequate",
  BS219&gt;=20, "Weak",
  TRUE, "Insufficient Evidence"
)</f>
        <v/>
      </c>
      <c r="DQ219" s="5">
        <f t="array" ref="DQ219">_xlfn.IFS(
  ISBLANK(BE219), "Insufficient Evidence",
  OR(AW219="Confirmed Violation", AX219="Confirmed Breach"), "Severe — Hard Trigger",
  BE219&gt;=65, "Strong",
  BE219&gt;=40, "Adequate",
  BE219&gt;=20, "Weak",
  TRUE, "Insufficient Evidence"
)</f>
        <v/>
      </c>
      <c r="DR219" s="5">
        <f t="array" ref="DR219">_xlfn.IFS(
  ISBLANK(CU219), "Insufficient Evidence",
  CU219&lt;=20, "Low Risk",
  CU219&lt;=50, "Moderate Risk",
  CU219&lt;=75, "High Risk",
  TRUE, "Very High Risk"
)</f>
        <v/>
      </c>
      <c r="DS219" s="5">
        <f t="array" ref="DS219">_xlfn.IFS(
  ISBLANK(CE219), "Insufficient Evidence",
  AND(ISNUMBER(BW219),ISNUMBER(BV219),BW219&gt;BV219), "Overclaiming Risk",
  CE219&gt;=65, "Strong",
  CE219&gt;=40, "Adequate",
  TRUE, "Weak"
)</f>
        <v/>
      </c>
      <c r="DT219" s="5">
        <f>IF(DB219="Yes — Automatic",0,ROUND((IF(ISNUMBER(AR219),AR219,0)*0.3+IF(ISNUMBER(BS219),BS219,0)*0.2+IF(ISNUMBER(BE219),BE219,0)*0.2+IF(ISNUMBER(CE219),CE219,0)*0.15+(100-IF(ISNUMBER(CU219),CU219,50))*0.15)*IF(DN219&gt;=75,1,IF(DN219&gt;=50,0.9,IF(DN219&gt;=25,0.75,0.6))),1))</f>
        <v/>
      </c>
      <c r="DU219" s="5">
        <f t="array" ref="DU219">_xlfn.IFS(
  DV219="Upgraded to Clear", "Clear",
  DV219="Downgraded to Watchlist", "Watchlist",
  DV219="Downgraded to Exclusion", "Exclusion Risk",
  DB219="Yes — Automatic", "Exclusion Risk",
  OR(AW219="Confirmed Violation", AX219="Confirmed Breach"), "Exclusion Risk",
  OR(V219=0, ISBLANK(V219), DN219&lt;20), "Insufficient Evidence",
  AND(DT219&gt;=65, DA219="No", DB219="No"), "Clear",
  OR(DT219&gt;=40, DA219="Yes"), "Watchlist",
  TRUE, "Exclusion Risk"
)</f>
        <v/>
      </c>
      <c r="DV219" s="5" t="n"/>
      <c r="DW219" s="5">
        <f t="array" ref="DW219">_xlfn.IFS(
  DU219="Exclusion Risk", "Exclude — Hard Trigger",
  DU219="Insufficient Evidence", "Watchlist — Further Evidence Needed",
  DU219="Watchlist", "Watchlist — Further Evidence Needed",
  AND(DU219="Clear", DT219&gt;=80), "Include — No Conditions",
  DU219="Clear", "Include — Monitor",
  TRUE, "Watchlist — Further Evidence Needed"
)</f>
        <v/>
      </c>
      <c r="DX219" s="5" t="n"/>
      <c r="DY219" s="5" t="n"/>
      <c r="DZ219" s="5" t="n"/>
      <c r="EA219" s="5" t="n"/>
      <c r="EB219" s="5">
        <f>IF(OR(V219=0, ISBLANK(V219)), "MISSING — No sources reviewed", "")</f>
        <v/>
      </c>
      <c r="EC219" s="5">
        <f>IF(AND(NOT(ISBLANK(DC219)), ISBLANK(DE219)), "PAGE REF MISSING", "")</f>
        <v/>
      </c>
    </row>
    <row r="220" ht="18" customHeight="1" s="60">
      <c r="A220" s="5" t="inlineStr"/>
      <c r="B220" s="5" t="inlineStr"/>
      <c r="C220" s="5">
        <f>IF(ISBLANK('Universe Tracker'!D195),"",'Universe Tracker'!D195)</f>
        <v/>
      </c>
      <c r="D220" s="5" t="n"/>
      <c r="E220" s="5" t="n"/>
      <c r="F220" s="5">
        <f>IF(ISBLANK('Universe Tracker'!F195),"",'Universe Tracker'!F195)</f>
        <v/>
      </c>
      <c r="G220" s="5">
        <f>IF(ISBLANK('Universe Tracker'!G195),"",'Universe Tracker'!G195)</f>
        <v/>
      </c>
      <c r="H220" s="5" t="n"/>
      <c r="I220" s="5" t="n"/>
      <c r="J220" s="5">
        <f>IF(ISBLANK(B220),"",B220&amp;"_"&amp;C220)</f>
        <v/>
      </c>
      <c r="K220" s="5" t="n"/>
      <c r="L220" s="5" t="n"/>
      <c r="M220" s="5" t="n"/>
      <c r="N220" s="5" t="n"/>
      <c r="O220" s="5" t="n"/>
      <c r="P220" s="5" t="n"/>
      <c r="Q220" s="5" t="n"/>
      <c r="R220" s="5" t="n"/>
      <c r="S220" s="5" t="n"/>
      <c r="T220" s="5" t="n"/>
      <c r="U220" s="5" t="n"/>
      <c r="V220" s="5" t="n"/>
      <c r="W220" s="5" t="n"/>
      <c r="X220" s="5" t="n"/>
      <c r="Y220" s="5">
        <f>IF(AND(V220&gt;=2,K220="Yes",L220="Yes"),"Sufficient",IF(AND(V220&gt;=1,OR(K220="Yes",L220="Yes")),"Thin","Insufficient"))</f>
        <v/>
      </c>
      <c r="Z220" s="5" t="n"/>
      <c r="AA220" s="5" t="n"/>
      <c r="AB220" s="5" t="n"/>
      <c r="AC220" s="5" t="n"/>
      <c r="AD220" s="5" t="n"/>
      <c r="AE220" s="5" t="n"/>
      <c r="AF220" s="5" t="n"/>
      <c r="AG220" s="5" t="n"/>
      <c r="AH220" s="5" t="n"/>
      <c r="AI220" s="5" t="n"/>
      <c r="AJ220" s="5" t="n"/>
      <c r="AK220" s="5" t="n"/>
      <c r="AL220" s="5" t="n"/>
      <c r="AM220" s="5" t="n"/>
      <c r="AN220" s="5" t="n"/>
      <c r="AO220" s="5" t="n"/>
      <c r="AP220" s="5" t="n"/>
      <c r="AQ220" s="5" t="n"/>
      <c r="AR220" s="40">
        <f t="array" ref="AR220">MIN(100, MAX(0,
  IFERROR(_xlfn.XLOOKUP(AJ220,'Lookup Tables'!$A$2:$A$7,'Lookup Tables'!$B$2:$B$7,0),0)
  + IF(Z220="Yes", IF(IFERROR(_xlfn.XLOOKUP(AJ220,'Lookup Tables'!$A$2:$A$7,'Lookup Tables'!$B$2:$B$7,0),0)&lt;20, 5, 0), 0)
  + _xlfn.IFS(AB220="Yes", IF(ISNUMBER(AC220)*AND(AC220&lt;=2030),15,10), AB220="Long-term Only", 5, AB220="No", 0, TRUE, 0)
  + _xlfn.IFS(AF220="Full",10, AF220="Partial",5, AF220="Scope 2 Only",3, TRUE,0)
  + _xlfn.IFS(AG220="Yes", IF(ISNUMBER(AH220)*AND(AH220&gt;=5),10,6), AG220="Partial",4, TRUE,0)
  + _xlfn.IFS(AI220="Yes",5, AI220="Partial (material categories only)",3, TRUE,0)
  + _xlfn.IFS(AL220="Yes — Detailed",10, AL220="Yes — High Level",5, TRUE,0)
  + _xlfn.IFS(AM220="Yes — Quantified",15, AM220="Yes — Directional Only",7, TRUE,0)
  + _xlfn.IFS(AP220="Formal",5, AP220="Referenced",2, TRUE,0)
  + _xlfn.IFS(AQ220="No Issues Found",5, AQ220="Concern Identified",-5, AQ220="Severe Contradiction",-15, TRUE,0)
  + _xlfn.IFS(BC220="Reasonable Assurance",5, BC220="Limited Assurance",3, TRUE,0)
  - IF(AND(Z220="Yes", AI220="No"), 10, 0)
  - IF(AND(Z220="Yes", AM220="No"), 10, 0)
))</f>
        <v/>
      </c>
      <c r="AS220" s="5" t="n"/>
      <c r="AT220" s="5" t="n"/>
      <c r="AU220" s="5" t="n"/>
      <c r="AV220" s="5" t="n"/>
      <c r="AW220" s="5" t="n"/>
      <c r="AX220" s="5" t="n"/>
      <c r="AY220" s="5" t="n"/>
      <c r="AZ220" s="5" t="n"/>
      <c r="BA220" s="5" t="n"/>
      <c r="BB220" s="5" t="n"/>
      <c r="BC220" s="5" t="n"/>
      <c r="BD220" s="5" t="n"/>
      <c r="BE220" s="39">
        <f t="array" ref="BE220">MIN(100, MAX(0,
  IFERROR(_xlfn.XLOOKUP(AT220,'Lookup Tables'!$D$2:$D$6,'Lookup Tables'!$E$2:$E$6,0),0)
  + IFERROR(_xlfn.XLOOKUP(AV220,'Lookup Tables'!$G$2:$G$5,'Lookup Tables'!$H$2:$H$5,0),0)
  + IFERROR(_xlfn.XLOOKUP(AW220,'Lookup Tables'!$J$2:$J$5,'Lookup Tables'!$K$2:$K$5,0),0)
  + _xlfn.IFS(AX220="No Issues",10, AX220="Complaint Filed",3, AX220="Confirmed Breach",-15, TRUE,0)
  + IFERROR(_xlfn.XLOOKUP(AY220,'Lookup Tables'!$M$2:$M$6,'Lookup Tables'!$N$2:$N$6,0),0)
  + IFERROR(_xlfn.XLOOKUP(AZ220,'Lookup Tables'!$P$2:$P$6,'Lookup Tables'!$Q$2:$Q$6,0),0)
  + _xlfn.IFS(BA220="Formal Board Committee",5, BA220="Board Oversight Mentioned",2, TRUE,0)
  + _xlfn.IFS(BB220="Yes — Quantified Targets",5, BB220="Yes — Discretionary Only",2, TRUE,0)
  + _xlfn.IFS(BC220="Reasonable Assurance",5, BC220="Limited Assurance",3, BC220="Management Review Only",1, TRUE,0)
))</f>
        <v/>
      </c>
      <c r="BF220" s="5" t="n"/>
      <c r="BG220" s="5" t="n"/>
      <c r="BH220" s="5" t="n"/>
      <c r="BI220" s="5" t="n"/>
      <c r="BJ220" s="5" t="n"/>
      <c r="BK220" s="5" t="n"/>
      <c r="BL220" s="5" t="n"/>
      <c r="BM220" s="5" t="n"/>
      <c r="BN220" s="5" t="n"/>
      <c r="BO220" s="5" t="n"/>
      <c r="BP220" s="5" t="n"/>
      <c r="BQ220" s="5" t="n"/>
      <c r="BR220" s="5" t="n"/>
      <c r="BS220" s="41">
        <f t="array" ref="BS220">MIN(100, MAX(0,
  IFERROR(_xlfn.XLOOKUP(BG220,'Lookup Tables'!$A$11:$A$16,'Lookup Tables'!$B$11:$B$16,0),0)
  + IFERROR(_xlfn.XLOOKUP(BR220,'Lookup Tables'!$M$11:$M$14,'Lookup Tables'!$N$11:$N$14,0),0)
  + IFERROR(_xlfn.XLOOKUP(BQ220,'Lookup Tables'!$J$11:$J$15,'Lookup Tables'!$K$11:$K$15,0),0)
  + IFERROR(_xlfn.XLOOKUP(BH220,'Lookup Tables'!$D$11:$D$15,'Lookup Tables'!$E$11:$E$15,0),0)
  + IFERROR(_xlfn.XLOOKUP(BJ220,'Lookup Tables'!$G$11:$G$16,'Lookup Tables'!$H$11:$H$16,0),0)
  + IFERROR(_xlfn.XLOOKUP(BN220,'Lookup Tables'!$P$11:$P$15,'Lookup Tables'!$Q$11:$Q$15,0),0)
  + _xlfn.IFS(BM220="No Evidence",10, BM220="Unknown",3, BM220="Likely",0, BM220="Confirmed",-10, TRUE,3)
  + IFERROR(_xlfn.XLOOKUP(BP220,'Lookup Tables'!$J$21:$J$24,'Lookup Tables'!$K$21:$K$24,0),0)
))</f>
        <v/>
      </c>
      <c r="BT220" s="5" t="n"/>
      <c r="BU220" s="5" t="n"/>
      <c r="BV220" s="5" t="n"/>
      <c r="BW220" s="5" t="n"/>
      <c r="BX220" s="5" t="n"/>
      <c r="BY220" s="5" t="n"/>
      <c r="BZ220" s="5" t="n"/>
      <c r="CA220" s="5" t="n"/>
      <c r="CB220" s="5" t="n"/>
      <c r="CC220" s="5" t="n"/>
      <c r="CD220" s="5" t="n"/>
      <c r="CE220" s="43">
        <f t="array" ref="CE220">MIN(100, MAX(0,
  IF(ISNUMBER(BV220)*AND(BV220&gt;0), 10, 0)
  + _xlfn.IFS(BY220="Independently Verified",25, BY220="Yes",15, TRUE,0)
  + IFERROR(_xlfn.XLOOKUP(BZ220,'Lookup Tables'!$A$21:$A$24,'Lookup Tables'!$B$21:$B$24,0),0)
  + IFERROR(_xlfn.XLOOKUP(CA220,'Lookup Tables'!$D$21:$D$24,'Lookup Tables'!$E$21:$E$24,0),0)
  + _xlfn.IFS(ISNUMBER(CB220)*AND(CB220&gt;=11),15, ISNUMBER(CB220)*AND(CB220&gt;=6),10, ISNUMBER(CB220)*AND(CB220&gt;=1),5, TRUE,0)
  + IFERROR(_xlfn.XLOOKUP(CC220,'Lookup Tables'!$G$21:$G$25,'Lookup Tables'!$H$21:$H$25,0),0)
  - IF(ISNUMBER(BW220)*AND(ISNUMBER(BV220))*AND(BW220&gt;BV220), 20, 0)
  - IF(AND(BY220="Yes", ISNUMBER(BW220), BW220&gt;60), 10, 0)
))</f>
        <v/>
      </c>
      <c r="CF220" s="5" t="n"/>
      <c r="CG220" s="5" t="n"/>
      <c r="CH220" s="5" t="n"/>
      <c r="CI220" s="5" t="n"/>
      <c r="CJ220" s="5" t="n"/>
      <c r="CK220" s="5" t="n"/>
      <c r="CL220" s="5" t="n"/>
      <c r="CM220" s="5" t="n"/>
      <c r="CN220" s="5" t="n"/>
      <c r="CO220" s="5" t="n"/>
      <c r="CP220" s="5" t="n"/>
      <c r="CQ220" s="5" t="n"/>
      <c r="CR220" s="5">
        <f>COUNTIF(CJ220:CQ220,"FAIL")</f>
        <v/>
      </c>
      <c r="CS220" s="5">
        <f>COUNTIF(CJ220:CQ220,"PARTIAL")</f>
        <v/>
      </c>
      <c r="CT220" s="5">
        <f>COUNTIF(CJ220:CQ220,"MISSING")</f>
        <v/>
      </c>
      <c r="CU220" s="5">
        <f>MIN(100,
  CR220*15
  + CS220*6
  + CT220*3
  + IFERROR(_xlfn.XLOOKUP(CW220,'Lookup Tables'!$M$21:$M$25,'Lookup Tables'!$N$21:$N$25,0),0)
)</f>
        <v/>
      </c>
      <c r="CV220" s="5">
        <f>IFERROR(
CHOOSE(
MATCH("FAIL",CJ220:CQ220,0),
"1-Specificity","2-Metric","3-Baseline","4-Target",
"5-Time Horizon","6-Scope","7-Verification","8-Consistency"
),
IFERROR(
CHOOSE(
MATCH("PARTIAL",CJ220:CQ220,0),
"1-Specificity","2-Metric","3-Baseline","4-Target",
"5-Time Horizon","6-Scope","7-Verification","8-Consistency"
),
"No failures"
)
)</f>
        <v/>
      </c>
      <c r="CW220" s="5" t="n"/>
      <c r="CX220" s="5" t="n"/>
      <c r="CY220" s="5" t="n"/>
      <c r="CZ220" s="5" t="n"/>
      <c r="DA220" s="5">
        <f>IF(OR(CU220&gt;=50,CW220="Material",CW220="Severe",AS220="Material",AS220="Severe",BF220="Material",BF220="Severe — Exclusion Trigger",AND(ISNUMBER(BS220),BS220&lt;30)),"Yes","No")</f>
        <v/>
      </c>
      <c r="DB220" s="5">
        <f>IF(OR(CR220&gt;=6,AW220="Confirmed Violation",AX220="Confirmed Breach"),"Yes — Automatic",IF(CW220="Severe","Yes — Requires Captain Confirmation","No"))</f>
        <v/>
      </c>
      <c r="DC220" s="5" t="n"/>
      <c r="DD220" s="5" t="n"/>
      <c r="DE220" s="5" t="n"/>
      <c r="DF220" s="5" t="n"/>
      <c r="DG220" s="5" t="n"/>
      <c r="DH220" s="5" t="n"/>
      <c r="DI220" s="5" t="n"/>
      <c r="DJ220" s="5" t="n"/>
      <c r="DK220" s="5" t="n"/>
      <c r="DL220" s="5">
        <f>IF(OR(IFERROR(VALUE(LEFT(DF220,1)),99)&lt;=2,IFERROR(VALUE(LEFT(DG220,1)),99)&lt;=2),"Flagged","Clear")</f>
        <v/>
      </c>
      <c r="DM220" s="5">
        <f>IF(OR(DA220="Yes",DB220&lt;&gt;"No",DH220="Unverified",DL220="Flagged"),"Yes","No")</f>
        <v/>
      </c>
      <c r="DN220" s="5">
        <f t="array" ref="DN220">MIN(100,
  IF(ISNUMBER(V220), _xlfn.IFS(V220&gt;=3,25, V220=2,15, V220=1,5, TRUE,0), 0)
  + IFERROR(_xlfn.IFS(VALUE(LEFT(DF220,1))=5,25, VALUE(LEFT(DF220,1))=4,20, VALUE(LEFT(DF220,1))=3,15, VALUE(LEFT(DF220,1))=2,8, TRUE,0), 15)
  + IFERROR(_xlfn.IFS(VALUE(LEFT(DG220,1))=5,25, VALUE(LEFT(DG220,1))=4,20, VALUE(LEFT(DG220,1))=3,15, VALUE(LEFT(DG220,1))=2,8, TRUE,0), 15)
  + _xlfn.IFS(DH220="Fully Verified",25, DH220="Partially Verified",12, TRUE,0)
)</f>
        <v/>
      </c>
      <c r="DO220" s="5">
        <f t="array" ref="DO220">_xlfn.IFS(
  ISBLANK(AR220), "Insufficient Evidence",
  AND(AR220&gt;=65, AJ220="Approved"), "Strong",
  AR220&gt;=65, "Adequate",
  AR220&gt;=40, "Adequate",
  AR220&gt;=20, "Weak",
  TRUE, "Insufficient Evidence"
)</f>
        <v/>
      </c>
      <c r="DP220" s="5">
        <f t="array" ref="DP220">_xlfn.IFS(
  ISBLANK(BS220), "Insufficient Evidence",
  BS220&gt;=65, "Strong",
  BS220&gt;=40, "Adequate",
  BS220&gt;=20, "Weak",
  TRUE, "Insufficient Evidence"
)</f>
        <v/>
      </c>
      <c r="DQ220" s="5">
        <f t="array" ref="DQ220">_xlfn.IFS(
  ISBLANK(BE220), "Insufficient Evidence",
  OR(AW220="Confirmed Violation", AX220="Confirmed Breach"), "Severe — Hard Trigger",
  BE220&gt;=65, "Strong",
  BE220&gt;=40, "Adequate",
  BE220&gt;=20, "Weak",
  TRUE, "Insufficient Evidence"
)</f>
        <v/>
      </c>
      <c r="DR220" s="5">
        <f t="array" ref="DR220">_xlfn.IFS(
  ISBLANK(CU220), "Insufficient Evidence",
  CU220&lt;=20, "Low Risk",
  CU220&lt;=50, "Moderate Risk",
  CU220&lt;=75, "High Risk",
  TRUE, "Very High Risk"
)</f>
        <v/>
      </c>
      <c r="DS220" s="5">
        <f t="array" ref="DS220">_xlfn.IFS(
  ISBLANK(CE220), "Insufficient Evidence",
  AND(ISNUMBER(BW220),ISNUMBER(BV220),BW220&gt;BV220), "Overclaiming Risk",
  CE220&gt;=65, "Strong",
  CE220&gt;=40, "Adequate",
  TRUE, "Weak"
)</f>
        <v/>
      </c>
      <c r="DT220" s="5">
        <f>IF(DB220="Yes — Automatic",0,ROUND((IF(ISNUMBER(AR220),AR220,0)*0.3+IF(ISNUMBER(BS220),BS220,0)*0.2+IF(ISNUMBER(BE220),BE220,0)*0.2+IF(ISNUMBER(CE220),CE220,0)*0.15+(100-IF(ISNUMBER(CU220),CU220,50))*0.15)*IF(DN220&gt;=75,1,IF(DN220&gt;=50,0.9,IF(DN220&gt;=25,0.75,0.6))),1))</f>
        <v/>
      </c>
      <c r="DU220" s="5">
        <f t="array" ref="DU220">_xlfn.IFS(
  DV220="Upgraded to Clear", "Clear",
  DV220="Downgraded to Watchlist", "Watchlist",
  DV220="Downgraded to Exclusion", "Exclusion Risk",
  DB220="Yes — Automatic", "Exclusion Risk",
  OR(AW220="Confirmed Violation", AX220="Confirmed Breach"), "Exclusion Risk",
  OR(V220=0, ISBLANK(V220), DN220&lt;20), "Insufficient Evidence",
  AND(DT220&gt;=65, DA220="No", DB220="No"), "Clear",
  OR(DT220&gt;=40, DA220="Yes"), "Watchlist",
  TRUE, "Exclusion Risk"
)</f>
        <v/>
      </c>
      <c r="DV220" s="5" t="n"/>
      <c r="DW220" s="5">
        <f t="array" ref="DW220">_xlfn.IFS(
  DU220="Exclusion Risk", "Exclude — Hard Trigger",
  DU220="Insufficient Evidence", "Watchlist — Further Evidence Needed",
  DU220="Watchlist", "Watchlist — Further Evidence Needed",
  AND(DU220="Clear", DT220&gt;=80), "Include — No Conditions",
  DU220="Clear", "Include — Monitor",
  TRUE, "Watchlist — Further Evidence Needed"
)</f>
        <v/>
      </c>
      <c r="DX220" s="5" t="n"/>
      <c r="DY220" s="5" t="n"/>
      <c r="DZ220" s="5" t="n"/>
      <c r="EA220" s="5" t="n"/>
      <c r="EB220" s="5">
        <f>IF(OR(V220=0, ISBLANK(V220)), "MISSING — No sources reviewed", "")</f>
        <v/>
      </c>
      <c r="EC220" s="5">
        <f>IF(AND(NOT(ISBLANK(DC220)), ISBLANK(DE220)), "PAGE REF MISSING", "")</f>
        <v/>
      </c>
    </row>
  </sheetData>
  <mergeCells count="11">
    <mergeCell ref="EB2:EF2"/>
    <mergeCell ref="K2:Y2"/>
    <mergeCell ref="CG2:DB2"/>
    <mergeCell ref="DO2:EA2"/>
    <mergeCell ref="Z2:AS2"/>
    <mergeCell ref="DC2:DN2"/>
    <mergeCell ref="A2:J2"/>
    <mergeCell ref="BU2:CF2"/>
    <mergeCell ref="BG2:BT2"/>
    <mergeCell ref="A1:EF1"/>
    <mergeCell ref="AT2:BF2"/>
  </mergeCells>
  <conditionalFormatting sqref="A7:EC77">
    <cfRule type="expression" priority="131" dxfId="3" stopIfTrue="1">
      <formula>$DU7="Insufficient Evidence"</formula>
    </cfRule>
    <cfRule type="expression" priority="132" dxfId="2">
      <formula>$DU7="Clear"</formula>
    </cfRule>
    <cfRule type="expression" priority="133" dxfId="1" stopIfTrue="1">
      <formula>$DU7="Watchlist"</formula>
    </cfRule>
    <cfRule type="expression" priority="134" dxfId="0" stopIfTrue="1">
      <formula>$DU17="Exclusion Risk"</formula>
    </cfRule>
  </conditionalFormatting>
  <conditionalFormatting sqref="AR7:AR220">
    <cfRule type="expression" priority="124" dxfId="325" stopIfTrue="1">
      <formula>AND(ISNUMBER(AR7), AR7&lt;40)</formula>
    </cfRule>
  </conditionalFormatting>
  <conditionalFormatting sqref="AW7:AX220">
    <cfRule type="expression" priority="126" dxfId="319" stopIfTrue="1">
      <formula>OR(AW7="Confirmed Violation", AX7="Confirmed Breach")</formula>
    </cfRule>
  </conditionalFormatting>
  <conditionalFormatting sqref="BP7:BP220">
    <cfRule type="expression" priority="125" dxfId="323" stopIfTrue="1">
      <formula>BP7="Critical"</formula>
    </cfRule>
  </conditionalFormatting>
  <conditionalFormatting sqref="CE7:CE220">
    <cfRule type="expression" priority="121" dxfId="322">
      <formula>AND(ISNUMBER(BW7), ISNUMBER(BV7), BW7&gt;BV7)</formula>
    </cfRule>
  </conditionalFormatting>
  <conditionalFormatting sqref="CJ7:CQ220">
    <cfRule type="expression" priority="129" dxfId="321" stopIfTrue="1">
      <formula>CJ7="PARTIAL"</formula>
    </cfRule>
    <cfRule type="expression" priority="130" dxfId="318" stopIfTrue="1">
      <formula>CJ7="FAIL"</formula>
    </cfRule>
  </conditionalFormatting>
  <conditionalFormatting sqref="CW7:CW220">
    <cfRule type="expression" priority="128" dxfId="319" stopIfTrue="1">
      <formula>CW7="Severe"</formula>
    </cfRule>
  </conditionalFormatting>
  <conditionalFormatting sqref="DB7:DB220">
    <cfRule type="expression" priority="127" dxfId="318" stopIfTrue="1">
      <formula>OR(DB7="Yes — Automatic", DB7="Yes — Requires Captain Confirmation")</formula>
    </cfRule>
  </conditionalFormatting>
  <conditionalFormatting sqref="DH7:DH220">
    <cfRule type="expression" priority="122" dxfId="317" stopIfTrue="1">
      <formula>DH7="Unverified"</formula>
    </cfRule>
  </conditionalFormatting>
  <conditionalFormatting sqref="DN7:DN220">
    <cfRule type="expression" priority="123" dxfId="316" stopIfTrue="1">
      <formula>AND(ISNUMBER(DN7), DN7&lt;25)</formula>
    </cfRule>
  </conditionalFormatting>
  <conditionalFormatting sqref="A88:EC96">
    <cfRule type="expression" priority="109" dxfId="3" stopIfTrue="1">
      <formula>$DU88="Insufficient Evidence"</formula>
    </cfRule>
    <cfRule type="expression" priority="110" dxfId="2">
      <formula>$DU88="Clear"</formula>
    </cfRule>
    <cfRule type="expression" priority="111" dxfId="1" stopIfTrue="1">
      <formula>$DU88="Watchlist"</formula>
    </cfRule>
    <cfRule type="expression" priority="112" dxfId="0" stopIfTrue="1">
      <formula>$DU98="Exclusion Risk"</formula>
    </cfRule>
  </conditionalFormatting>
  <conditionalFormatting sqref="A98:EC98">
    <cfRule type="expression" priority="113" dxfId="3" stopIfTrue="1">
      <formula>$DU98="Insufficient Evidence"</formula>
    </cfRule>
    <cfRule type="expression" priority="114" dxfId="2">
      <formula>$DU98="Clear"</formula>
    </cfRule>
    <cfRule type="expression" priority="115" dxfId="1" stopIfTrue="1">
      <formula>$DU98="Watchlist"</formula>
    </cfRule>
    <cfRule type="expression" priority="116" dxfId="0" stopIfTrue="1">
      <formula>$DU107="Exclusion Risk"</formula>
    </cfRule>
  </conditionalFormatting>
  <conditionalFormatting sqref="A97:EC97">
    <cfRule type="expression" priority="117" dxfId="3" stopIfTrue="1">
      <formula>$DU97="Insufficient Evidence"</formula>
    </cfRule>
    <cfRule type="expression" priority="118" dxfId="2">
      <formula>$DU97="Clear"</formula>
    </cfRule>
    <cfRule type="expression" priority="119" dxfId="1" stopIfTrue="1">
      <formula>$DU97="Watchlist"</formula>
    </cfRule>
    <cfRule type="expression" priority="120" dxfId="0" stopIfTrue="1">
      <formula>#REF!="Exclusion Risk"</formula>
    </cfRule>
  </conditionalFormatting>
  <conditionalFormatting sqref="A78:EC85">
    <cfRule type="expression" priority="603" dxfId="3" stopIfTrue="1">
      <formula>$DU78="Insufficient Evidence"</formula>
    </cfRule>
    <cfRule type="expression" priority="604" dxfId="2">
      <formula>$DU78="Clear"</formula>
    </cfRule>
    <cfRule type="expression" priority="605" dxfId="1" stopIfTrue="1">
      <formula>$DU78="Watchlist"</formula>
    </cfRule>
    <cfRule type="expression" priority="606" dxfId="0" stopIfTrue="1">
      <formula>$DU173="Exclusion Risk"</formula>
    </cfRule>
  </conditionalFormatting>
  <conditionalFormatting sqref="A99:EC106">
    <cfRule type="expression" priority="955" dxfId="3" stopIfTrue="1">
      <formula>$DU99="Insufficient Evidence"</formula>
    </cfRule>
    <cfRule type="expression" priority="956" dxfId="2">
      <formula>$DU99="Clear"</formula>
    </cfRule>
    <cfRule type="expression" priority="957" dxfId="1" stopIfTrue="1">
      <formula>$DU99="Watchlist"</formula>
    </cfRule>
    <cfRule type="expression" priority="958" dxfId="0" stopIfTrue="1">
      <formula>$DU172="Exclusion Risk"</formula>
    </cfRule>
  </conditionalFormatting>
  <conditionalFormatting sqref="A86:EC87">
    <cfRule type="expression" priority="967" dxfId="3" stopIfTrue="1">
      <formula>$DU86="Insufficient Evidence"</formula>
    </cfRule>
    <cfRule type="expression" priority="968" dxfId="2">
      <formula>$DU86="Clear"</formula>
    </cfRule>
    <cfRule type="expression" priority="969" dxfId="1" stopIfTrue="1">
      <formula>$DU86="Watchlist"</formula>
    </cfRule>
    <cfRule type="expression" priority="970" dxfId="0" stopIfTrue="1">
      <formula>$DU203="Exclusion Risk"</formula>
    </cfRule>
  </conditionalFormatting>
  <conditionalFormatting sqref="D107:EC220">
    <cfRule type="expression" priority="5" dxfId="3" stopIfTrue="1">
      <formula>$DU107="Insufficient Evidence"</formula>
    </cfRule>
    <cfRule type="expression" priority="6" dxfId="2">
      <formula>$DU107="Clear"</formula>
    </cfRule>
    <cfRule type="expression" priority="7" dxfId="1" stopIfTrue="1">
      <formula>$DU107="Watchlist"</formula>
    </cfRule>
    <cfRule type="expression" priority="8" dxfId="0" stopIfTrue="1">
      <formula>$DU180="Exclusion Risk"</formula>
    </cfRule>
  </conditionalFormatting>
  <conditionalFormatting sqref="A107:C220">
    <cfRule type="expression" priority="1" dxfId="3" stopIfTrue="1">
      <formula>$DU107="Insufficient Evidence"</formula>
    </cfRule>
    <cfRule type="expression" priority="2" dxfId="2">
      <formula>$DU107="Clear"</formula>
    </cfRule>
    <cfRule type="expression" priority="3" dxfId="1" stopIfTrue="1">
      <formula>$DU107="Watchlist"</formula>
    </cfRule>
    <cfRule type="expression" priority="4" dxfId="0" stopIfTrue="1">
      <formula>$DU180="Exclusion Risk"</formula>
    </cfRule>
  </conditionalFormatting>
  <dataValidations disablePrompts="1" count="59">
    <dataValidation sqref="H6:H220" showDropDown="0" showInputMessage="0" showErrorMessage="0" allowBlank="1" type="list">
      <formula1>"In Universe,Pending,Removed"</formula1>
      <formula2>0</formula2>
    </dataValidation>
    <dataValidation sqref="I6:I220" showDropDown="0" showInputMessage="0" showErrorMessage="0" allowBlank="1" type="list">
      <formula1>"Deep Review,Light Screen,Pending"</formula1>
      <formula2>0</formula2>
    </dataValidation>
    <dataValidation sqref="K6:K220" showDropDown="0" showInputMessage="0" showErrorMessage="0" allowBlank="1" type="list">
      <formula1>"Yes,No,Partial (ESG section only)"</formula1>
      <formula2>0</formula2>
    </dataValidation>
    <dataValidation sqref="L6:L220 O6:O220 R6:U220 DA6:DA220 DM6:DM220" showDropDown="0" showInputMessage="0" showErrorMessage="0" allowBlank="1" type="list">
      <formula1>"Yes,No"</formula1>
      <formula2>0</formula2>
    </dataValidation>
    <dataValidation sqref="M6:M220" showDropDown="0" showInputMessage="0" showErrorMessage="0" allowBlank="1" type="list">
      <formula1>"Yes,Embedded in AR,No"</formula1>
      <formula2>0</formula2>
    </dataValidation>
    <dataValidation sqref="N6:N220" showDropDown="0" showInputMessage="0" showErrorMessage="0" allowBlank="1" type="list">
      <formula1>"Yes,Partial,No,Not Yet Required"</formula1>
      <formula2>0</formula2>
    </dataValidation>
    <dataValidation sqref="P6:P220" showDropDown="0" showInputMessage="0" showErrorMessage="0" allowBlank="1" type="list">
      <formula1>"Yes,No,Company Not Rated"</formula1>
      <formula2>0</formula2>
    </dataValidation>
    <dataValidation sqref="Q6:Q220" showDropDown="0" showInputMessage="0" showErrorMessage="0" allowBlank="1" type="list">
      <formula1>"Yes,No,Company Not In Scope"</formula1>
      <formula2>0</formula2>
    </dataValidation>
    <dataValidation sqref="Y6:Y220" showDropDown="0" showInputMessage="0" showErrorMessage="0" allowBlank="1" type="list">
      <formula1>"Sufficient,Thin,Insufficient"</formula1>
      <formula2>0</formula2>
    </dataValidation>
    <dataValidation sqref="Z6:Z220" showDropDown="0" showInputMessage="0" showErrorMessage="0" allowBlank="1" type="list">
      <formula1>"Yes,No,Carbon Neutral Only (not net-zero)"</formula1>
      <formula2>0</formula2>
    </dataValidation>
    <dataValidation sqref="AB6:AB220" showDropDown="0" showInputMessage="0" showErrorMessage="0" allowBlank="1" type="list">
      <formula1>"Yes,No,Long-term Only"</formula1>
      <formula2>0</formula2>
    </dataValidation>
    <dataValidation sqref="AF6:AF220" showDropDown="0" showInputMessage="0" showErrorMessage="0" allowBlank="1" type="list">
      <formula1>"Full,Partial,Scope 2 Only,No"</formula1>
      <formula2>0</formula2>
    </dataValidation>
    <dataValidation sqref="AG6:AG220" showDropDown="0" showInputMessage="0" showErrorMessage="0" allowBlank="1" type="list">
      <formula1>"Yes,Partial,No"</formula1>
      <formula2>0</formula2>
    </dataValidation>
    <dataValidation sqref="AI6:AI220" showDropDown="0" showInputMessage="0" showErrorMessage="0" allowBlank="1" type="list">
      <formula1>"Yes,Partial (material categories only),No"</formula1>
      <formula2>0</formula2>
    </dataValidation>
    <dataValidation sqref="AJ6:AJ220" showDropDown="0" showInputMessage="0" showErrorMessage="0" allowBlank="1" type="list">
      <formula1>"Committed,Targets Submitted,Approved,Achieved,No Commitment,Commitment Lapsed"</formula1>
      <formula2>0</formula2>
    </dataValidation>
    <dataValidation sqref="AL6:AL220" showDropDown="0" showInputMessage="0" showErrorMessage="0" allowBlank="1" type="list">
      <formula1>"Yes — Detailed,Yes — High Level,No"</formula1>
      <formula2>0</formula2>
    </dataValidation>
    <dataValidation sqref="AM6:AM220" showDropDown="0" showInputMessage="0" showErrorMessage="0" allowBlank="1" type="list">
      <formula1>"Yes — Quantified,Yes — Directional Only,No"</formula1>
      <formula2>0</formula2>
    </dataValidation>
    <dataValidation sqref="AP6:AP220" showDropDown="0" showInputMessage="0" showErrorMessage="0" allowBlank="1" type="list">
      <formula1>"Formal,Referenced,Absent"</formula1>
      <formula2>0</formula2>
    </dataValidation>
    <dataValidation sqref="AQ6:AQ220" showDropDown="0" showInputMessage="0" showErrorMessage="0" allowBlank="1" type="list">
      <formula1>"No Issues Found,Concern Identified,Severe Contradiction"</formula1>
      <formula2>0</formula2>
    </dataValidation>
    <dataValidation sqref="AS6:AS220 AZ6:AZ220" showDropDown="0" showInputMessage="0" showErrorMessage="0" allowBlank="1" type="list">
      <formula1>"None,Minor,Material,Severe"</formula1>
      <formula2>0</formula2>
    </dataValidation>
    <dataValidation sqref="AT6:AT220" showDropDown="0" showInputMessage="0" showErrorMessage="0" allowBlank="1" type="list">
      <formula1>"Formal Policy with Grievance Mechanism,Policy Exists — Limited Scope,Mention Only,Absent"</formula1>
      <formula2>0</formula2>
    </dataValidation>
    <dataValidation sqref="AV6:AV220" showDropDown="0" showInputMessage="0" showErrorMessage="0" allowBlank="1" type="list">
      <formula1>"Signatory — Active,Signatory — COP Overdue,Non-Signatory"</formula1>
      <formula2>0</formula2>
    </dataValidation>
    <dataValidation sqref="AW6:AW220" showDropDown="0" showInputMessage="0" showErrorMessage="0" allowBlank="1" type="list">
      <formula1>"No Issues,Concern Flagged,Confirmed Violation"</formula1>
      <formula2>0</formula2>
    </dataValidation>
    <dataValidation sqref="AX6:AX220" showDropDown="0" showInputMessage="0" showErrorMessage="0" allowBlank="1" type="list">
      <formula1>"No Issues,Complaint Filed,Confirmed Breach"</formula1>
      <formula2>0</formula2>
    </dataValidation>
    <dataValidation sqref="AY6:AY220" showDropDown="0" showInputMessage="0" showErrorMessage="0" allowBlank="1" type="list">
      <formula1>"Full HRDD Process,Audit Programme Only,Policy Without Process,Absent"</formula1>
      <formula2>0</formula2>
    </dataValidation>
    <dataValidation sqref="BA6:BA220" showDropDown="0" showInputMessage="0" showErrorMessage="0" allowBlank="1" type="list">
      <formula1>"Formal Board Committee,Board Oversight Mentioned,No Evidence"</formula1>
      <formula2>0</formula2>
    </dataValidation>
    <dataValidation sqref="BB6:BB220" showDropDown="0" showInputMessage="0" showErrorMessage="0" allowBlank="1" type="list">
      <formula1>"Yes — Quantified Targets,Yes — Discretionary Only,No"</formula1>
      <formula2>0</formula2>
    </dataValidation>
    <dataValidation sqref="BC6:BC220" showDropDown="0" showInputMessage="0" showErrorMessage="0" allowBlank="1" type="list">
      <formula1>"Reasonable Assurance,Limited Assurance,Management Review Only,None"</formula1>
      <formula2>0</formula2>
    </dataValidation>
    <dataValidation sqref="BF6:BF220" showDropDown="0" showInputMessage="0" showErrorMessage="0" allowBlank="1" type="list">
      <formula1>"None,Minor,Material,Severe — Exclusion Trigger"</formula1>
      <formula2>0</formula2>
    </dataValidation>
    <dataValidation sqref="BG6:BG220" showDropDown="0" showInputMessage="0" showErrorMessage="0" allowBlank="1" type="list">
      <formula1>"Formal Policy,Referenced in ESG Report,TNFD Aligned,Mention Only,Absent"</formula1>
      <formula2>0</formula2>
    </dataValidation>
    <dataValidation sqref="BH6:BI220" showDropDown="0" showInputMessage="0" showErrorMessage="0" allowBlank="1" type="list">
      <formula1>"Very High,High,Medium,Low,Not Assessed"</formula1>
      <formula2>0</formula2>
    </dataValidation>
    <dataValidation sqref="BJ6:BJ220" showDropDown="0" showInputMessage="0" showErrorMessage="0" allowBlank="1" type="list">
      <formula1>"Extremely High,High,Medium-High,Low-Medium,Low,Not Assessed"</formula1>
      <formula2>0</formula2>
    </dataValidation>
    <dataValidation sqref="BK6:BL220" showDropDown="0" showInputMessage="0" showErrorMessage="0" allowBlank="1" type="list">
      <formula1>"High,Medium,Low,Not Applicable"</formula1>
      <formula2>0</formula2>
    </dataValidation>
    <dataValidation sqref="BM6:BM220" showDropDown="0" showInputMessage="0" showErrorMessage="0" allowBlank="1" type="list">
      <formula1>"Confirmed,Likely,No Evidence,Unknown"</formula1>
      <formula2>0</formula2>
    </dataValidation>
    <dataValidation sqref="BN6:BN220" showDropDown="0" showInputMessage="0" showErrorMessage="0" allowBlank="1" type="list">
      <formula1>"Disclosed and Quantified,Referenced but Not Quantified,Not Disclosed,Not Applicable"</formula1>
      <formula2>0</formula2>
    </dataValidation>
    <dataValidation sqref="BP6:BP220" showDropDown="0" showInputMessage="0" showErrorMessage="0" allowBlank="1" type="list">
      <formula1>"Critical,High,Moderate,Low"</formula1>
      <formula2>0</formula2>
    </dataValidation>
    <dataValidation sqref="BQ6:BQ220" showDropDown="0" showInputMessage="0" showErrorMessage="0" allowBlank="1" type="list">
      <formula1>"Full Hierarchy Applied,Partial,Offset Only,No Evidence"</formula1>
      <formula2>0</formula2>
    </dataValidation>
    <dataValidation sqref="BR6:BR220" showDropDown="0" showInputMessage="0" showErrorMessage="0" allowBlank="1" type="list">
      <formula1>"Aligned,Partial,None"</formula1>
      <formula2>0</formula2>
    </dataValidation>
    <dataValidation sqref="BT6:BT220" showDropDown="0" showInputMessage="0" showErrorMessage="0" allowBlank="1" type="list">
      <formula1>"None,Minor,Material,High — Monitoring Required"</formula1>
      <formula2>0</formula2>
    </dataValidation>
    <dataValidation sqref="BU6:BU220" showDropDown="0" showInputMessage="0" showErrorMessage="0" allowBlank="1" type="list">
      <formula1>"Company Disclosure,Bloomberg CSV,Estimated,Not Available"</formula1>
      <formula2>0</formula2>
    </dataValidation>
    <dataValidation sqref="BY6:BY220" showDropDown="0" showInputMessage="0" showErrorMessage="0" allowBlank="1" type="list">
      <formula1>"Yes,Independently Verified,Not Available"</formula1>
      <formula2>0</formula2>
    </dataValidation>
    <dataValidation sqref="BZ6:BZ220" showDropDown="0" showInputMessage="0" showErrorMessage="0" allowBlank="1" type="list">
      <formula1>"Explicit DNSH Assessment,Referenced,Not Disclosed"</formula1>
      <formula2>0</formula2>
    </dataValidation>
    <dataValidation sqref="CA6:CA220" showDropDown="0" showInputMessage="0" showErrorMessage="0" allowBlank="1" type="list">
      <formula1>"Explicit,Referenced,Absent"</formula1>
      <formula2>0</formula2>
    </dataValidation>
    <dataValidation sqref="CC6:CC220" showDropDown="0" showInputMessage="0" showErrorMessage="0" allowBlank="1" type="list">
      <formula1>"Full,Substantial,Basic,None"</formula1>
      <formula2>0</formula2>
    </dataValidation>
    <dataValidation sqref="CD6:CD220" showDropDown="0" showInputMessage="0" showErrorMessage="0" allowBlank="1" type="list">
      <formula1>"Article 9,Article 8,Article 6,Not Applicable"</formula1>
      <formula2>0</formula2>
    </dataValidation>
    <dataValidation sqref="CF6:CF220" showDropDown="0" showInputMessage="0" showErrorMessage="0" allowBlank="1" type="list">
      <formula1>"None,Minor,Material — Overclaiming Risk"</formula1>
      <formula2>0</formula2>
    </dataValidation>
    <dataValidation sqref="CJ6:CQ220" showDropDown="0" showInputMessage="0" showErrorMessage="0" allowBlank="1" type="list">
      <formula1>"PASS,PARTIAL,FAIL,MISSING"</formula1>
      <formula2>0</formula2>
    </dataValidation>
    <dataValidation sqref="CW6:CW220" showDropDown="0" showInputMessage="0" showErrorMessage="0" allowBlank="1" type="list">
      <formula1>"None,Minor,Moderate,Material,Severe"</formula1>
      <formula2>0</formula2>
    </dataValidation>
    <dataValidation sqref="DB6:DB220" showDropDown="0" showInputMessage="0" showErrorMessage="0" allowBlank="1" type="list">
      <formula1>"Yes — Automatic,Yes — Requires Captain Confirmation,No"</formula1>
      <formula2>0</formula2>
    </dataValidation>
    <dataValidation sqref="DF6:DG220" showDropDown="0" showInputMessage="0" showErrorMessage="0" allowBlank="1" type="list">
      <formula1>"1 — Very Low,2 — Low,3 — Medium,4 — High,5 — Very High"</formula1>
      <formula2>0</formula2>
    </dataValidation>
    <dataValidation sqref="DH6:DH220" showDropDown="0" showInputMessage="0" showErrorMessage="0" allowBlank="1" type="list">
      <formula1>"Fully Verified,Partially Verified,Unverified"</formula1>
      <formula2>0</formula2>
    </dataValidation>
    <dataValidation sqref="DL6:DL220" showDropDown="0" showInputMessage="0" showErrorMessage="0" allowBlank="1" type="list">
      <formula1>"Flagged,Clear"</formula1>
      <formula2>0</formula2>
    </dataValidation>
    <dataValidation sqref="DO6:DQ220 DS6:DS220" showDropDown="0" showInputMessage="0" showErrorMessage="0" allowBlank="1" type="list">
      <formula1>"Strong,Adequate,Weak,Insufficient Evidence"</formula1>
      <formula2>0</formula2>
    </dataValidation>
    <dataValidation sqref="DR6:DR220" showDropDown="0" showInputMessage="0" showErrorMessage="0" allowBlank="1" type="list">
      <formula1>"Low Risk,Moderate Risk,High Risk,Insufficient Evidence"</formula1>
      <formula2>0</formula2>
    </dataValidation>
    <dataValidation sqref="DU6:DU220" showDropDown="0" showInputMessage="0" showErrorMessage="0" allowBlank="1" type="list">
      <formula1>"Clear,Watchlist,Exclusion Risk,Insufficient Evidence"</formula1>
      <formula2>0</formula2>
    </dataValidation>
    <dataValidation sqref="DV6:DV220" showDropDown="0" showInputMessage="0" showErrorMessage="0" allowBlank="1" type="list">
      <formula1>"No Override,Upgraded to Clear,Downgraded to Watchlist,Downgraded to Exclusion"</formula1>
      <formula2>0</formula2>
    </dataValidation>
    <dataValidation sqref="DW6:DW220" showDropDown="0" showInputMessage="0" showErrorMessage="0" allowBlank="1" type="list">
      <formula1>"Include — No Conditions,Include — Monitor,Watchlist — Further Evidence Needed,Exclude — Hard Trigger,Exclude — Judgement"</formula1>
      <formula2>0</formula2>
    </dataValidation>
    <dataValidation sqref="DZ6:DZ220" showDropDown="0" showInputMessage="0" showErrorMessage="0" allowBlank="1" type="list">
      <formula1>"ESG Specialist,Captain,Pipeline Operator,All"</formula1>
      <formula2>0</formula2>
    </dataValidation>
    <dataValidation sqref="EA6:EA220" showDropDown="0" showInputMessage="0" showErrorMessage="0" allowBlank="1" type="list">
      <formula1>"Pending,Sent,Acknowledged"</formula1>
      <formula2>0</formula2>
    </dataValidation>
  </dataValidation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O169"/>
  <sheetViews>
    <sheetView showGridLines="0" zoomScaleNormal="100" workbookViewId="0">
      <pane xSplit="2" ySplit="2" topLeftCell="C3" activePane="bottomRight" state="frozen"/>
      <selection pane="topRight" activeCell="C1" sqref="C1"/>
      <selection pane="bottomLeft" activeCell="A3" sqref="A3"/>
      <selection pane="bottomRight" activeCell="A169" sqref="A3:A169"/>
    </sheetView>
  </sheetViews>
  <sheetFormatPr baseColWidth="10" defaultColWidth="8.6640625" defaultRowHeight="14"/>
  <cols>
    <col width="20" customWidth="1" style="57" min="1" max="1"/>
    <col width="28" customWidth="1" style="57" min="2" max="2"/>
    <col width="12" customWidth="1" style="57" min="3" max="3"/>
    <col width="16" customWidth="1" style="57" min="4" max="4"/>
    <col width="22" customWidth="1" style="57" min="5" max="7"/>
    <col width="18" customWidth="1" style="57" min="8" max="8"/>
    <col width="20" customWidth="1" style="57" min="9" max="9"/>
    <col width="18" customWidth="1" style="57" min="10" max="10"/>
    <col width="16" customWidth="1" style="57" min="11" max="11"/>
    <col width="22" customWidth="1" style="57" min="12" max="12"/>
    <col width="28" customWidth="1" style="57" min="13" max="13"/>
    <col width="24" customWidth="1" style="57" min="14" max="14"/>
    <col width="32" customWidth="1" style="57" min="15" max="15"/>
    <col width="8.6640625" customWidth="1" style="57" min="16" max="16"/>
    <col width="8.6640625" customWidth="1" style="57" min="17" max="16384"/>
  </cols>
  <sheetData>
    <row r="1" ht="27.75" customHeight="1" s="60">
      <c r="A1" s="56" t="inlineStr">
        <is>
          <t>UNIVERSE TRACKER  |  50-Company Candidate List  |  ESADE Sustainable Finance</t>
        </is>
      </c>
    </row>
    <row r="2" ht="36" customHeight="1" s="60">
      <c r="A2" s="16" t="inlineStr">
        <is>
          <t>Row ID [auto]</t>
        </is>
      </c>
      <c r="B2" s="16" t="inlineStr">
        <is>
          <t>Company Name</t>
        </is>
      </c>
      <c r="C2" s="16" t="inlineStr">
        <is>
          <t>Ticker</t>
        </is>
      </c>
      <c r="D2" s="16" t="inlineStr">
        <is>
          <t>ISIN</t>
        </is>
      </c>
      <c r="E2" s="16" t="inlineStr">
        <is>
          <t>Country (Incorporation)</t>
        </is>
      </c>
      <c r="F2" s="16" t="inlineStr">
        <is>
          <t>BICS Sector</t>
        </is>
      </c>
      <c r="G2" s="16" t="inlineStr">
        <is>
          <t>BICS Industry</t>
        </is>
      </c>
      <c r="H2" s="16" t="inlineStr">
        <is>
          <t>Market Cap EUR m</t>
        </is>
      </c>
      <c r="I2" s="16" t="inlineStr">
        <is>
          <t>STOXX 600 Confirmed?</t>
        </is>
      </c>
      <c r="J2" s="16" t="inlineStr">
        <is>
          <t>Review Priority</t>
        </is>
      </c>
      <c r="K2" s="16" t="inlineStr">
        <is>
          <t>PDF Collected?</t>
        </is>
      </c>
      <c r="L2" s="16" t="inlineStr">
        <is>
          <t>Claude Project Created?</t>
        </is>
      </c>
      <c r="M2" s="16" t="inlineStr">
        <is>
          <t>Screening Status</t>
        </is>
      </c>
      <c r="N2" s="16" t="inlineStr">
        <is>
          <t>RAG Verdict [from Sheet]</t>
        </is>
      </c>
      <c r="O2" s="16" t="inlineStr">
        <is>
          <t>Notes</t>
        </is>
      </c>
    </row>
    <row r="3" ht="15.75" customHeight="1" s="60">
      <c r="A3" s="18" t="inlineStr">
        <is>
          <t>NXG_GB0032</t>
        </is>
      </c>
      <c r="B3" s="18" t="inlineStr">
        <is>
          <t>Next PLC</t>
        </is>
      </c>
      <c r="C3" s="18" t="inlineStr">
        <is>
          <t>NXG</t>
        </is>
      </c>
      <c r="D3" s="18" t="inlineStr">
        <is>
          <t>GB0032089863</t>
        </is>
      </c>
      <c r="E3" s="18" t="inlineStr">
        <is>
          <t>GR</t>
        </is>
      </c>
      <c r="F3" s="18" t="inlineStr">
        <is>
          <t>Consumer Discretionary</t>
        </is>
      </c>
      <c r="G3" s="18" t="inlineStr">
        <is>
          <t>Retail &amp; Whsle - Discretionary</t>
        </is>
      </c>
      <c r="H3" s="18" t="n"/>
      <c r="I3" s="18" t="n"/>
      <c r="J3" s="18" t="inlineStr">
        <is>
          <t>Deep Review</t>
        </is>
      </c>
      <c r="K3" s="18" t="n"/>
      <c r="L3" s="18" t="n"/>
      <c r="M3" s="18" t="inlineStr">
        <is>
          <t>Not yet screened</t>
        </is>
      </c>
      <c r="N3" s="18" t="n"/>
      <c r="O3" s="18" t="n"/>
    </row>
    <row r="4" ht="15.75" customHeight="1" s="60">
      <c r="A4" s="19" t="inlineStr">
        <is>
          <t>IHCB_NL0000</t>
        </is>
      </c>
      <c r="B4" s="19" t="inlineStr">
        <is>
          <t>SBM Offshore NV</t>
        </is>
      </c>
      <c r="C4" s="19" t="inlineStr">
        <is>
          <t>IHCB</t>
        </is>
      </c>
      <c r="D4" s="19" t="inlineStr">
        <is>
          <t>NL0000360618</t>
        </is>
      </c>
      <c r="E4" s="19" t="inlineStr">
        <is>
          <t>GR</t>
        </is>
      </c>
      <c r="F4" s="19" t="inlineStr">
        <is>
          <t>Energy</t>
        </is>
      </c>
      <c r="G4" s="19" t="inlineStr">
        <is>
          <t>Oil &amp; Gas</t>
        </is>
      </c>
      <c r="H4" s="19" t="n"/>
      <c r="I4" s="19" t="n"/>
      <c r="J4" s="19" t="inlineStr">
        <is>
          <t>Deep Review</t>
        </is>
      </c>
      <c r="K4" s="19" t="n"/>
      <c r="L4" s="19" t="n"/>
      <c r="M4" s="19" t="inlineStr">
        <is>
          <t>Not yet screened</t>
        </is>
      </c>
      <c r="N4" s="19" t="n"/>
      <c r="O4" s="19" t="n"/>
    </row>
    <row r="5" ht="15.75" customHeight="1" s="60">
      <c r="A5" s="18" t="inlineStr">
        <is>
          <t>D9F2_GB00B1</t>
        </is>
      </c>
      <c r="B5" s="18" t="inlineStr">
        <is>
          <t>Drax Group PLC</t>
        </is>
      </c>
      <c r="C5" s="18" t="inlineStr">
        <is>
          <t>D9F2</t>
        </is>
      </c>
      <c r="D5" s="18" t="inlineStr">
        <is>
          <t>GB00B1VNSX38</t>
        </is>
      </c>
      <c r="E5" s="18" t="inlineStr">
        <is>
          <t>GR</t>
        </is>
      </c>
      <c r="F5" s="18" t="inlineStr">
        <is>
          <t>Utilities</t>
        </is>
      </c>
      <c r="G5" s="18" t="inlineStr">
        <is>
          <t>Utilities</t>
        </is>
      </c>
      <c r="H5" s="18" t="n"/>
      <c r="I5" s="18" t="n"/>
      <c r="J5" s="18" t="inlineStr">
        <is>
          <t>Deep Review</t>
        </is>
      </c>
      <c r="K5" s="18" t="n"/>
      <c r="L5" s="18" t="n"/>
      <c r="M5" s="18" t="inlineStr">
        <is>
          <t>Not yet screened</t>
        </is>
      </c>
      <c r="N5" s="18" t="n"/>
      <c r="O5" s="18" t="n"/>
    </row>
    <row r="6" ht="15.75" customHeight="1" s="60">
      <c r="A6" s="19" t="inlineStr">
        <is>
          <t>SKWA_SE0000</t>
        </is>
      </c>
      <c r="B6" s="19" t="inlineStr">
        <is>
          <t>SSAB AB</t>
        </is>
      </c>
      <c r="C6" s="19" t="inlineStr">
        <is>
          <t>SKWA</t>
        </is>
      </c>
      <c r="D6" s="19" t="inlineStr">
        <is>
          <t>SE0000171100</t>
        </is>
      </c>
      <c r="E6" s="19" t="inlineStr">
        <is>
          <t>GR</t>
        </is>
      </c>
      <c r="F6" s="19" t="inlineStr">
        <is>
          <t>Materials</t>
        </is>
      </c>
      <c r="G6" s="19" t="inlineStr">
        <is>
          <t>Materials</t>
        </is>
      </c>
      <c r="H6" s="19" t="n"/>
      <c r="I6" s="19" t="n"/>
      <c r="J6" s="19" t="inlineStr">
        <is>
          <t>Deep Review</t>
        </is>
      </c>
      <c r="K6" s="19" t="n"/>
      <c r="L6" s="19" t="n"/>
      <c r="M6" s="19" t="inlineStr">
        <is>
          <t>Not yet screened</t>
        </is>
      </c>
      <c r="N6" s="19" t="n"/>
      <c r="O6" s="19" t="n"/>
    </row>
    <row r="7" ht="15.75" customHeight="1" s="60">
      <c r="A7" s="18" t="inlineStr">
        <is>
          <t>TW11_LU0156</t>
        </is>
      </c>
      <c r="B7" s="18" t="inlineStr">
        <is>
          <t>Tenaris SA</t>
        </is>
      </c>
      <c r="C7" s="18" t="inlineStr">
        <is>
          <t>TW11</t>
        </is>
      </c>
      <c r="D7" s="18" t="inlineStr">
        <is>
          <t>LU0156801721</t>
        </is>
      </c>
      <c r="E7" s="18" t="inlineStr">
        <is>
          <t>GR</t>
        </is>
      </c>
      <c r="F7" s="18" t="inlineStr">
        <is>
          <t>Materials</t>
        </is>
      </c>
      <c r="G7" s="18" t="inlineStr">
        <is>
          <t>Materials</t>
        </is>
      </c>
      <c r="H7" s="18" t="n"/>
      <c r="I7" s="18" t="n"/>
      <c r="J7" s="18" t="inlineStr">
        <is>
          <t>Deep Review</t>
        </is>
      </c>
      <c r="K7" s="18" t="n"/>
      <c r="L7" s="18" t="n"/>
      <c r="M7" s="18" t="inlineStr">
        <is>
          <t>Not yet screened</t>
        </is>
      </c>
      <c r="N7" s="18" t="n"/>
      <c r="O7" s="18" t="n"/>
    </row>
    <row r="8" ht="15.75" customHeight="1" s="60">
      <c r="A8" s="19" t="inlineStr">
        <is>
          <t>B3K_BE0003</t>
        </is>
      </c>
      <c r="B8" s="19" t="inlineStr">
        <is>
          <t>Ackermans &amp; van Haaren NV</t>
        </is>
      </c>
      <c r="C8" s="19" t="inlineStr">
        <is>
          <t>B3K</t>
        </is>
      </c>
      <c r="D8" s="19" t="inlineStr">
        <is>
          <t>BE0003764785</t>
        </is>
      </c>
      <c r="E8" s="19" t="inlineStr">
        <is>
          <t>GR</t>
        </is>
      </c>
      <c r="F8" s="19" t="inlineStr">
        <is>
          <t>Industrials</t>
        </is>
      </c>
      <c r="G8" s="19" t="inlineStr">
        <is>
          <t>Industrial Services</t>
        </is>
      </c>
      <c r="H8" s="19" t="n"/>
      <c r="I8" s="19" t="n"/>
      <c r="J8" s="19" t="inlineStr">
        <is>
          <t>Deep Review</t>
        </is>
      </c>
      <c r="K8" s="19" t="n"/>
      <c r="L8" s="19" t="n"/>
      <c r="M8" s="19" t="inlineStr">
        <is>
          <t>Not yet screened</t>
        </is>
      </c>
      <c r="N8" s="19" t="n"/>
      <c r="O8" s="19" t="n"/>
    </row>
    <row r="9" ht="15.75" customHeight="1" s="60">
      <c r="A9" s="18" t="inlineStr">
        <is>
          <t>NOT_CH0012</t>
        </is>
      </c>
      <c r="B9" s="18" t="inlineStr">
        <is>
          <t>Novartis AG</t>
        </is>
      </c>
      <c r="C9" s="18" t="inlineStr">
        <is>
          <t>NOT</t>
        </is>
      </c>
      <c r="D9" s="18" t="inlineStr">
        <is>
          <t>CH0012005267</t>
        </is>
      </c>
      <c r="E9" s="18" t="inlineStr">
        <is>
          <t>GR</t>
        </is>
      </c>
      <c r="F9" s="18" t="inlineStr">
        <is>
          <t>Health Care</t>
        </is>
      </c>
      <c r="G9" s="18" t="inlineStr">
        <is>
          <t>Health Care</t>
        </is>
      </c>
      <c r="H9" s="18" t="n"/>
      <c r="I9" s="18" t="n"/>
      <c r="J9" s="18" t="inlineStr">
        <is>
          <t>Deep Review</t>
        </is>
      </c>
      <c r="K9" s="18" t="n"/>
      <c r="L9" s="18" t="n"/>
      <c r="M9" s="18" t="inlineStr">
        <is>
          <t>Not yet screened</t>
        </is>
      </c>
      <c r="N9" s="18" t="n"/>
      <c r="O9" s="18" t="n"/>
    </row>
    <row r="10" ht="15.75" customHeight="1" s="60">
      <c r="A10" s="19" t="inlineStr">
        <is>
          <t>UEI_IT0003</t>
        </is>
      </c>
      <c r="B10" s="19" t="inlineStr">
        <is>
          <t>Terna - Rete Elettrica Nazionale</t>
        </is>
      </c>
      <c r="C10" s="19" t="inlineStr">
        <is>
          <t>UEI</t>
        </is>
      </c>
      <c r="D10" s="19" t="inlineStr">
        <is>
          <t>IT0003242622</t>
        </is>
      </c>
      <c r="E10" s="19" t="inlineStr">
        <is>
          <t>GR</t>
        </is>
      </c>
      <c r="F10" s="19" t="inlineStr">
        <is>
          <t>Utilities</t>
        </is>
      </c>
      <c r="G10" s="19" t="inlineStr">
        <is>
          <t>Utilities</t>
        </is>
      </c>
      <c r="H10" s="19" t="n"/>
      <c r="I10" s="19" t="n"/>
      <c r="J10" s="19" t="inlineStr">
        <is>
          <t>Deep Review</t>
        </is>
      </c>
      <c r="K10" s="19" t="n"/>
      <c r="L10" s="19" t="n"/>
      <c r="M10" s="19" t="inlineStr">
        <is>
          <t>Not yet screened</t>
        </is>
      </c>
      <c r="N10" s="19" t="n"/>
      <c r="O10" s="19" t="n"/>
    </row>
    <row r="11" ht="15.75" customHeight="1" s="60">
      <c r="A11" s="18" t="inlineStr">
        <is>
          <t>RYSD_GB00BM</t>
        </is>
      </c>
      <c r="B11" s="18" t="inlineStr">
        <is>
          <t>NatWest Group PLC</t>
        </is>
      </c>
      <c r="C11" s="18" t="inlineStr">
        <is>
          <t>RYSD</t>
        </is>
      </c>
      <c r="D11" s="18" t="inlineStr">
        <is>
          <t>GB00BM8PJY71</t>
        </is>
      </c>
      <c r="E11" s="18" t="inlineStr">
        <is>
          <t>GR</t>
        </is>
      </c>
      <c r="F11" s="18" t="inlineStr">
        <is>
          <t>Financials</t>
        </is>
      </c>
      <c r="G11" s="18" t="inlineStr">
        <is>
          <t>Banking</t>
        </is>
      </c>
      <c r="H11" s="18" t="n"/>
      <c r="I11" s="18" t="n"/>
      <c r="J11" s="18" t="inlineStr">
        <is>
          <t>Deep Review</t>
        </is>
      </c>
      <c r="K11" s="18" t="n"/>
      <c r="L11" s="18" t="n"/>
      <c r="M11" s="18" t="inlineStr">
        <is>
          <t>Not yet screened</t>
        </is>
      </c>
      <c r="N11" s="18" t="n"/>
      <c r="O11" s="18" t="n"/>
    </row>
    <row r="12" ht="15.75" customHeight="1" s="60">
      <c r="A12" s="19" t="inlineStr">
        <is>
          <t>MTA_FI0009</t>
        </is>
      </c>
      <c r="B12" s="19" t="inlineStr">
        <is>
          <t>Wartsila OYJ Abp</t>
        </is>
      </c>
      <c r="C12" s="19" t="inlineStr">
        <is>
          <t>MTA</t>
        </is>
      </c>
      <c r="D12" s="19" t="inlineStr">
        <is>
          <t>FI0009003727</t>
        </is>
      </c>
      <c r="E12" s="19" t="inlineStr">
        <is>
          <t>GR</t>
        </is>
      </c>
      <c r="F12" s="19" t="inlineStr">
        <is>
          <t>Industrials</t>
        </is>
      </c>
      <c r="G12" s="19" t="inlineStr">
        <is>
          <t>Industrial Products</t>
        </is>
      </c>
      <c r="H12" s="19" t="n"/>
      <c r="I12" s="19" t="n"/>
      <c r="J12" s="19" t="inlineStr">
        <is>
          <t>Deep Review</t>
        </is>
      </c>
      <c r="K12" s="19" t="n"/>
      <c r="L12" s="19" t="n"/>
      <c r="M12" s="19" t="inlineStr">
        <is>
          <t>Not yet screened</t>
        </is>
      </c>
      <c r="N12" s="19" t="n"/>
      <c r="O12" s="19" t="n"/>
    </row>
    <row r="13" ht="15.75" customHeight="1" s="60">
      <c r="A13" s="18" t="inlineStr">
        <is>
          <t>CRIN_IT0005</t>
        </is>
      </c>
      <c r="B13" s="18" t="inlineStr">
        <is>
          <t>UniCredit SpA</t>
        </is>
      </c>
      <c r="C13" s="18" t="inlineStr">
        <is>
          <t>CRIN</t>
        </is>
      </c>
      <c r="D13" s="18" t="inlineStr">
        <is>
          <t>IT0005239360</t>
        </is>
      </c>
      <c r="E13" s="18" t="inlineStr">
        <is>
          <t>GR</t>
        </is>
      </c>
      <c r="F13" s="18" t="inlineStr">
        <is>
          <t>Financials</t>
        </is>
      </c>
      <c r="G13" s="18" t="inlineStr">
        <is>
          <t>Banking</t>
        </is>
      </c>
      <c r="H13" s="18" t="n"/>
      <c r="I13" s="18" t="n"/>
      <c r="J13" s="18" t="inlineStr">
        <is>
          <t>Deep Review</t>
        </is>
      </c>
      <c r="K13" s="18" t="n"/>
      <c r="L13" s="18" t="n"/>
      <c r="M13" s="18" t="inlineStr">
        <is>
          <t>Not yet screened</t>
        </is>
      </c>
      <c r="N13" s="18" t="n"/>
      <c r="O13" s="18" t="n"/>
    </row>
    <row r="14" ht="15.75" customHeight="1" s="60">
      <c r="A14" s="19" t="inlineStr">
        <is>
          <t>G7W_GB0003</t>
        </is>
      </c>
      <c r="B14" s="19" t="inlineStr">
        <is>
          <t>Games Workshop Group PLC</t>
        </is>
      </c>
      <c r="C14" s="19" t="inlineStr">
        <is>
          <t>G7W</t>
        </is>
      </c>
      <c r="D14" s="19" t="inlineStr">
        <is>
          <t>GB0003718474</t>
        </is>
      </c>
      <c r="E14" s="19" t="inlineStr">
        <is>
          <t>GR</t>
        </is>
      </c>
      <c r="F14" s="19" t="inlineStr">
        <is>
          <t>Consumer Discretionary</t>
        </is>
      </c>
      <c r="G14" s="19" t="inlineStr">
        <is>
          <t>Consumer Discretionary Products</t>
        </is>
      </c>
      <c r="H14" s="19" t="n"/>
      <c r="I14" s="19" t="n"/>
      <c r="J14" s="19" t="inlineStr">
        <is>
          <t>Deep Review</t>
        </is>
      </c>
      <c r="K14" s="19" t="n"/>
      <c r="L14" s="19" t="n"/>
      <c r="M14" s="19" t="inlineStr">
        <is>
          <t>Not yet screened</t>
        </is>
      </c>
      <c r="N14" s="19" t="n"/>
      <c r="O14" s="19" t="n"/>
    </row>
    <row r="15" ht="15.75" customHeight="1" s="60">
      <c r="A15" s="18" t="inlineStr">
        <is>
          <t>IGQ5_GB00B1</t>
        </is>
      </c>
      <c r="B15" s="18" t="inlineStr">
        <is>
          <t>3i Group PLC</t>
        </is>
      </c>
      <c r="C15" s="18" t="inlineStr">
        <is>
          <t>IGQ5</t>
        </is>
      </c>
      <c r="D15" s="18" t="inlineStr">
        <is>
          <t>GB00B1YW4409</t>
        </is>
      </c>
      <c r="E15" s="18" t="inlineStr">
        <is>
          <t>GR</t>
        </is>
      </c>
      <c r="F15" s="18" t="inlineStr">
        <is>
          <t>Financials</t>
        </is>
      </c>
      <c r="G15" s="18" t="inlineStr">
        <is>
          <t>Financial Services</t>
        </is>
      </c>
      <c r="H15" s="18" t="n"/>
      <c r="I15" s="18" t="n"/>
      <c r="J15" s="18" t="inlineStr">
        <is>
          <t>Deep Review</t>
        </is>
      </c>
      <c r="K15" s="18" t="n"/>
      <c r="L15" s="18" t="n"/>
      <c r="M15" s="18" t="inlineStr">
        <is>
          <t>Not yet screened</t>
        </is>
      </c>
      <c r="N15" s="18" t="n"/>
      <c r="O15" s="18" t="n"/>
    </row>
    <row r="16" ht="15.75" customHeight="1" s="60">
      <c r="A16" s="19" t="inlineStr">
        <is>
          <t>P9O_PLPKO0</t>
        </is>
      </c>
      <c r="B16" s="19" t="inlineStr">
        <is>
          <t>Powszechna Kasa Oszczednosci Bank Polski SA</t>
        </is>
      </c>
      <c r="C16" s="19" t="inlineStr">
        <is>
          <t>P9O</t>
        </is>
      </c>
      <c r="D16" s="19" t="inlineStr">
        <is>
          <t>PLPKO0000016</t>
        </is>
      </c>
      <c r="E16" s="19" t="inlineStr">
        <is>
          <t>GR</t>
        </is>
      </c>
      <c r="F16" s="19" t="inlineStr">
        <is>
          <t>Financials</t>
        </is>
      </c>
      <c r="G16" s="19" t="inlineStr">
        <is>
          <t>Banking</t>
        </is>
      </c>
      <c r="H16" s="19" t="n"/>
      <c r="I16" s="19" t="n"/>
      <c r="J16" s="19" t="inlineStr">
        <is>
          <t>Deep Review</t>
        </is>
      </c>
      <c r="K16" s="19" t="n"/>
      <c r="L16" s="19" t="n"/>
      <c r="M16" s="19" t="inlineStr">
        <is>
          <t>Not yet screened</t>
        </is>
      </c>
      <c r="N16" s="19" t="n"/>
      <c r="O16" s="19" t="n"/>
    </row>
    <row r="17" ht="15.75" customHeight="1" s="60">
      <c r="A17" s="18" t="inlineStr">
        <is>
          <t>LRC_FR0010</t>
        </is>
      </c>
      <c r="B17" s="18" t="inlineStr">
        <is>
          <t>Legrand SA</t>
        </is>
      </c>
      <c r="C17" s="18" t="inlineStr">
        <is>
          <t>LRC</t>
        </is>
      </c>
      <c r="D17" s="18" t="inlineStr">
        <is>
          <t>FR0010307819</t>
        </is>
      </c>
      <c r="E17" s="18" t="inlineStr">
        <is>
          <t>GR</t>
        </is>
      </c>
      <c r="F17" s="18" t="inlineStr">
        <is>
          <t>Industrials</t>
        </is>
      </c>
      <c r="G17" s="18" t="inlineStr">
        <is>
          <t>Industrial Products</t>
        </is>
      </c>
      <c r="H17" s="18" t="n"/>
      <c r="I17" s="18" t="n"/>
      <c r="J17" s="18" t="inlineStr">
        <is>
          <t>Deep Review</t>
        </is>
      </c>
      <c r="K17" s="18" t="n"/>
      <c r="L17" s="18" t="n"/>
      <c r="M17" s="18" t="inlineStr">
        <is>
          <t>Not yet screened</t>
        </is>
      </c>
      <c r="N17" s="18" t="n"/>
      <c r="O17" s="18" t="n"/>
    </row>
    <row r="18" ht="15.75" customHeight="1" s="60">
      <c r="A18" s="19" t="inlineStr">
        <is>
          <t>1SQ_CH0010</t>
        </is>
      </c>
      <c r="B18" s="19" t="inlineStr">
        <is>
          <t>Swissquote Group Holding SA</t>
        </is>
      </c>
      <c r="C18" s="19" t="inlineStr">
        <is>
          <t>1SQ</t>
        </is>
      </c>
      <c r="D18" s="19" t="inlineStr">
        <is>
          <t>CH0010675863</t>
        </is>
      </c>
      <c r="E18" s="19" t="inlineStr">
        <is>
          <t>GR</t>
        </is>
      </c>
      <c r="F18" s="19" t="inlineStr">
        <is>
          <t>Financials</t>
        </is>
      </c>
      <c r="G18" s="19" t="inlineStr">
        <is>
          <t>Financial Services</t>
        </is>
      </c>
      <c r="H18" s="19" t="n"/>
      <c r="I18" s="19" t="n"/>
      <c r="J18" s="19" t="inlineStr">
        <is>
          <t>Light Screen</t>
        </is>
      </c>
      <c r="K18" s="19" t="n"/>
      <c r="L18" s="19" t="n"/>
      <c r="M18" s="19" t="inlineStr">
        <is>
          <t>Not yet screened</t>
        </is>
      </c>
      <c r="N18" s="19" t="n"/>
      <c r="O18" s="19" t="n"/>
    </row>
    <row r="19" ht="15.75" customHeight="1" s="60">
      <c r="A19" s="18" t="inlineStr">
        <is>
          <t>AXA_FR0000</t>
        </is>
      </c>
      <c r="B19" s="18" t="inlineStr">
        <is>
          <t>AXA SA</t>
        </is>
      </c>
      <c r="C19" s="18" t="inlineStr">
        <is>
          <t>AXA</t>
        </is>
      </c>
      <c r="D19" s="18" t="inlineStr">
        <is>
          <t>FR0000120628</t>
        </is>
      </c>
      <c r="E19" s="18" t="inlineStr">
        <is>
          <t>GR</t>
        </is>
      </c>
      <c r="F19" s="18" t="inlineStr">
        <is>
          <t>Financials</t>
        </is>
      </c>
      <c r="G19" s="18" t="inlineStr">
        <is>
          <t>Insurance</t>
        </is>
      </c>
      <c r="H19" s="18" t="n"/>
      <c r="I19" s="18" t="n"/>
      <c r="J19" s="18" t="inlineStr">
        <is>
          <t>Light Screen</t>
        </is>
      </c>
      <c r="K19" s="18" t="n"/>
      <c r="L19" s="18" t="n"/>
      <c r="M19" s="18" t="inlineStr">
        <is>
          <t>Not yet screened</t>
        </is>
      </c>
      <c r="N19" s="18" t="n"/>
      <c r="O19" s="18" t="n"/>
    </row>
    <row r="20" ht="15.75" customHeight="1" s="60">
      <c r="A20" s="19" t="inlineStr">
        <is>
          <t>EOAN_DE000E</t>
        </is>
      </c>
      <c r="B20" s="19" t="inlineStr">
        <is>
          <t>E.ON SE</t>
        </is>
      </c>
      <c r="C20" s="19" t="inlineStr">
        <is>
          <t>EOAN</t>
        </is>
      </c>
      <c r="D20" s="19" t="inlineStr">
        <is>
          <t>DE000ENAG999</t>
        </is>
      </c>
      <c r="E20" s="19" t="inlineStr">
        <is>
          <t>GR</t>
        </is>
      </c>
      <c r="F20" s="19" t="inlineStr">
        <is>
          <t>Utilities</t>
        </is>
      </c>
      <c r="G20" s="19" t="inlineStr">
        <is>
          <t>Utilities</t>
        </is>
      </c>
      <c r="H20" s="19" t="n"/>
      <c r="I20" s="19" t="n"/>
      <c r="J20" s="19" t="inlineStr">
        <is>
          <t>Light Screen</t>
        </is>
      </c>
      <c r="K20" s="19" t="n"/>
      <c r="L20" s="19" t="n"/>
      <c r="M20" s="19" t="inlineStr">
        <is>
          <t>Not yet screened</t>
        </is>
      </c>
      <c r="N20" s="19" t="n"/>
      <c r="O20" s="19" t="n"/>
    </row>
    <row r="21" ht="15.75" customHeight="1" s="60">
      <c r="A21" s="18" t="inlineStr">
        <is>
          <t>2NN_NL0010</t>
        </is>
      </c>
      <c r="B21" s="18" t="inlineStr">
        <is>
          <t>NN Group NV</t>
        </is>
      </c>
      <c r="C21" s="18" t="inlineStr">
        <is>
          <t>2NN</t>
        </is>
      </c>
      <c r="D21" s="18" t="inlineStr">
        <is>
          <t>NL0010773842</t>
        </is>
      </c>
      <c r="E21" s="18" t="inlineStr">
        <is>
          <t>GR</t>
        </is>
      </c>
      <c r="F21" s="18" t="inlineStr">
        <is>
          <t>Financials</t>
        </is>
      </c>
      <c r="G21" s="18" t="inlineStr">
        <is>
          <t>Insurance</t>
        </is>
      </c>
      <c r="H21" s="18" t="n"/>
      <c r="I21" s="18" t="n"/>
      <c r="J21" s="18" t="inlineStr">
        <is>
          <t>Light Screen</t>
        </is>
      </c>
      <c r="K21" s="18" t="n"/>
      <c r="L21" s="18" t="n"/>
      <c r="M21" s="18" t="inlineStr">
        <is>
          <t>Not yet screened</t>
        </is>
      </c>
      <c r="N21" s="18" t="n"/>
      <c r="O21" s="18" t="n"/>
    </row>
    <row r="22" ht="15.75" customHeight="1" s="60">
      <c r="A22" s="19" t="inlineStr">
        <is>
          <t>OFK_FI0009</t>
        </is>
      </c>
      <c r="B22" s="19" t="inlineStr">
        <is>
          <t>Orion Oyj</t>
        </is>
      </c>
      <c r="C22" s="19" t="inlineStr">
        <is>
          <t>OFK</t>
        </is>
      </c>
      <c r="D22" s="19" t="inlineStr">
        <is>
          <t>FI0009014377</t>
        </is>
      </c>
      <c r="E22" s="19" t="inlineStr">
        <is>
          <t>GR</t>
        </is>
      </c>
      <c r="F22" s="19" t="inlineStr">
        <is>
          <t>Health Care</t>
        </is>
      </c>
      <c r="G22" s="19" t="inlineStr">
        <is>
          <t>Health Care</t>
        </is>
      </c>
      <c r="H22" s="19" t="n"/>
      <c r="I22" s="19" t="n"/>
      <c r="J22" s="19" t="inlineStr">
        <is>
          <t>Light Screen</t>
        </is>
      </c>
      <c r="K22" s="19" t="n"/>
      <c r="L22" s="19" t="n"/>
      <c r="M22" s="19" t="inlineStr">
        <is>
          <t>Not yet screened</t>
        </is>
      </c>
      <c r="N22" s="19" t="n"/>
      <c r="O22" s="19" t="n"/>
    </row>
    <row r="23" ht="15.75" customHeight="1" s="60">
      <c r="A23" s="18" t="inlineStr">
        <is>
          <t>BIH_GB0000</t>
        </is>
      </c>
      <c r="B23" s="18" t="inlineStr">
        <is>
          <t>Balfour Beatty PLC</t>
        </is>
      </c>
      <c r="C23" s="18" t="inlineStr">
        <is>
          <t>BIH</t>
        </is>
      </c>
      <c r="D23" s="18" t="inlineStr">
        <is>
          <t>GB0000961622</t>
        </is>
      </c>
      <c r="E23" s="18" t="inlineStr">
        <is>
          <t>GR</t>
        </is>
      </c>
      <c r="F23" s="18" t="inlineStr">
        <is>
          <t>Industrials</t>
        </is>
      </c>
      <c r="G23" s="18" t="inlineStr">
        <is>
          <t>Industrial Services</t>
        </is>
      </c>
      <c r="H23" s="18" t="n"/>
      <c r="I23" s="18" t="n"/>
      <c r="J23" s="18" t="inlineStr">
        <is>
          <t>Light Screen</t>
        </is>
      </c>
      <c r="K23" s="18" t="n"/>
      <c r="L23" s="18" t="n"/>
      <c r="M23" s="18" t="inlineStr">
        <is>
          <t>Not yet screened</t>
        </is>
      </c>
      <c r="N23" s="18" t="n"/>
      <c r="O23" s="18" t="n"/>
    </row>
    <row r="24" ht="15.75" customHeight="1" s="60">
      <c r="A24" s="19" t="inlineStr">
        <is>
          <t>UNC_BE0003</t>
        </is>
      </c>
      <c r="B24" s="19" t="inlineStr">
        <is>
          <t>UCB SA</t>
        </is>
      </c>
      <c r="C24" s="19" t="inlineStr">
        <is>
          <t>UNC</t>
        </is>
      </c>
      <c r="D24" s="19" t="inlineStr">
        <is>
          <t>BE0003739530</t>
        </is>
      </c>
      <c r="E24" s="19" t="inlineStr">
        <is>
          <t>GR</t>
        </is>
      </c>
      <c r="F24" s="19" t="inlineStr">
        <is>
          <t>Health Care</t>
        </is>
      </c>
      <c r="G24" s="19" t="inlineStr">
        <is>
          <t>Health Care</t>
        </is>
      </c>
      <c r="H24" s="19" t="n"/>
      <c r="I24" s="19" t="n"/>
      <c r="J24" s="19" t="inlineStr">
        <is>
          <t>Light Screen</t>
        </is>
      </c>
      <c r="K24" s="19" t="n"/>
      <c r="L24" s="19" t="n"/>
      <c r="M24" s="19" t="inlineStr">
        <is>
          <t>Not yet screened</t>
        </is>
      </c>
      <c r="N24" s="19" t="n"/>
      <c r="O24" s="19" t="n"/>
    </row>
    <row r="25" ht="15.75" customHeight="1" s="60">
      <c r="A25" s="18" t="inlineStr">
        <is>
          <t>ZEG_GB0009</t>
        </is>
      </c>
      <c r="B25" s="18" t="inlineStr">
        <is>
          <t>AstraZeneca PLC</t>
        </is>
      </c>
      <c r="C25" s="18" t="inlineStr">
        <is>
          <t>ZEG</t>
        </is>
      </c>
      <c r="D25" s="18" t="inlineStr">
        <is>
          <t>GB0009895292</t>
        </is>
      </c>
      <c r="E25" s="18" t="inlineStr">
        <is>
          <t>GR</t>
        </is>
      </c>
      <c r="F25" s="18" t="inlineStr">
        <is>
          <t>Health Care</t>
        </is>
      </c>
      <c r="G25" s="18" t="inlineStr">
        <is>
          <t>Health Care</t>
        </is>
      </c>
      <c r="H25" s="18" t="n"/>
      <c r="I25" s="18" t="n"/>
      <c r="J25" s="18" t="inlineStr">
        <is>
          <t>Light Screen</t>
        </is>
      </c>
      <c r="K25" s="18" t="n"/>
      <c r="L25" s="18" t="n"/>
      <c r="M25" s="18" t="inlineStr">
        <is>
          <t>Not yet screened</t>
        </is>
      </c>
      <c r="N25" s="18" t="n"/>
      <c r="O25" s="18" t="n"/>
    </row>
    <row r="26" ht="15.75" customHeight="1" s="60">
      <c r="A26" s="19" t="inlineStr">
        <is>
          <t>9TG_FR0011</t>
        </is>
      </c>
      <c r="B26" s="19" t="inlineStr">
        <is>
          <t>Gaztransport Et Technigaz SA</t>
        </is>
      </c>
      <c r="C26" s="19" t="inlineStr">
        <is>
          <t>9TG</t>
        </is>
      </c>
      <c r="D26" s="19" t="inlineStr">
        <is>
          <t>FR0011726835</t>
        </is>
      </c>
      <c r="E26" s="19" t="inlineStr">
        <is>
          <t>GR</t>
        </is>
      </c>
      <c r="F26" s="19" t="inlineStr">
        <is>
          <t>Energy</t>
        </is>
      </c>
      <c r="G26" s="19" t="inlineStr">
        <is>
          <t>Oil &amp; Gas</t>
        </is>
      </c>
      <c r="H26" s="19" t="n"/>
      <c r="I26" s="19" t="n"/>
      <c r="J26" s="19" t="inlineStr">
        <is>
          <t>Light Screen</t>
        </is>
      </c>
      <c r="K26" s="19" t="n"/>
      <c r="L26" s="19" t="n"/>
      <c r="M26" s="19" t="inlineStr">
        <is>
          <t>Not yet screened</t>
        </is>
      </c>
      <c r="N26" s="19" t="n"/>
      <c r="O26" s="19" t="n"/>
    </row>
    <row r="27" ht="15.75" customHeight="1" s="60">
      <c r="A27" s="18" t="inlineStr">
        <is>
          <t>NOH1_NO0005</t>
        </is>
      </c>
      <c r="B27" s="18" t="inlineStr">
        <is>
          <t>Norsk Hydro ASA</t>
        </is>
      </c>
      <c r="C27" s="18" t="inlineStr">
        <is>
          <t>NOH1</t>
        </is>
      </c>
      <c r="D27" s="18" t="inlineStr">
        <is>
          <t>NO0005052605</t>
        </is>
      </c>
      <c r="E27" s="18" t="inlineStr">
        <is>
          <t>GR</t>
        </is>
      </c>
      <c r="F27" s="18" t="inlineStr">
        <is>
          <t>Materials</t>
        </is>
      </c>
      <c r="G27" s="18" t="inlineStr">
        <is>
          <t>Materials</t>
        </is>
      </c>
      <c r="H27" s="18" t="n"/>
      <c r="I27" s="18" t="n"/>
      <c r="J27" s="18" t="inlineStr">
        <is>
          <t>Light Screen</t>
        </is>
      </c>
      <c r="K27" s="18" t="n"/>
      <c r="L27" s="18" t="n"/>
      <c r="M27" s="18" t="inlineStr">
        <is>
          <t>Not yet screened</t>
        </is>
      </c>
      <c r="N27" s="18" t="n"/>
      <c r="O27" s="18" t="n"/>
    </row>
    <row r="28" ht="15.75" customHeight="1" s="60">
      <c r="A28" s="19" t="inlineStr">
        <is>
          <t>PKY1_PLPKN0</t>
        </is>
      </c>
      <c r="B28" s="19" t="inlineStr">
        <is>
          <t>Polski Koncern Naftowy ORLEN SA</t>
        </is>
      </c>
      <c r="C28" s="19" t="inlineStr">
        <is>
          <t>PKY1</t>
        </is>
      </c>
      <c r="D28" s="19" t="inlineStr">
        <is>
          <t>PLPKN0000018</t>
        </is>
      </c>
      <c r="E28" s="19" t="inlineStr">
        <is>
          <t>GR</t>
        </is>
      </c>
      <c r="F28" s="19" t="inlineStr">
        <is>
          <t>Energy</t>
        </is>
      </c>
      <c r="G28" s="19" t="inlineStr">
        <is>
          <t>Oil &amp; Gas</t>
        </is>
      </c>
      <c r="H28" s="19" t="n"/>
      <c r="I28" s="19" t="n"/>
      <c r="J28" s="19" t="inlineStr">
        <is>
          <t>Light Screen</t>
        </is>
      </c>
      <c r="K28" s="19" t="n"/>
      <c r="L28" s="19" t="n"/>
      <c r="M28" s="19" t="inlineStr">
        <is>
          <t>Not yet screened</t>
        </is>
      </c>
      <c r="N28" s="19" t="n"/>
      <c r="O28" s="19" t="n"/>
    </row>
    <row r="29" ht="15.75" customHeight="1" s="60">
      <c r="A29" s="18" t="inlineStr">
        <is>
          <t>IC1H_GB00BH</t>
        </is>
      </c>
      <c r="B29" s="18" t="inlineStr">
        <is>
          <t>InterContinental Hotels Group PLC</t>
        </is>
      </c>
      <c r="C29" s="18" t="inlineStr">
        <is>
          <t>IC1H</t>
        </is>
      </c>
      <c r="D29" s="18" t="inlineStr">
        <is>
          <t>GB00BHJYC057</t>
        </is>
      </c>
      <c r="E29" s="18" t="inlineStr">
        <is>
          <t>GR</t>
        </is>
      </c>
      <c r="F29" s="18" t="inlineStr">
        <is>
          <t>Consumer Discretionary</t>
        </is>
      </c>
      <c r="G29" s="18" t="inlineStr">
        <is>
          <t>Consumer Discretionary Services</t>
        </is>
      </c>
      <c r="H29" s="18" t="n"/>
      <c r="I29" s="18" t="n"/>
      <c r="J29" s="18" t="inlineStr">
        <is>
          <t>Light Screen</t>
        </is>
      </c>
      <c r="K29" s="18" t="n"/>
      <c r="L29" s="18" t="n"/>
      <c r="M29" s="18" t="inlineStr">
        <is>
          <t>Not yet screened</t>
        </is>
      </c>
      <c r="N29" s="18" t="n"/>
      <c r="O29" s="18" t="n"/>
    </row>
    <row r="30" ht="15.75" customHeight="1" s="60">
      <c r="A30" s="19" t="inlineStr">
        <is>
          <t>TM2_DK0010</t>
        </is>
      </c>
      <c r="B30" s="19" t="inlineStr">
        <is>
          <t>Sydbank AS</t>
        </is>
      </c>
      <c r="C30" s="19" t="inlineStr">
        <is>
          <t>TM2</t>
        </is>
      </c>
      <c r="D30" s="19" t="inlineStr">
        <is>
          <t>DK0010311471</t>
        </is>
      </c>
      <c r="E30" s="19" t="inlineStr">
        <is>
          <t>GR</t>
        </is>
      </c>
      <c r="F30" s="19" t="inlineStr">
        <is>
          <t>Financials</t>
        </is>
      </c>
      <c r="G30" s="19" t="inlineStr">
        <is>
          <t>Banking</t>
        </is>
      </c>
      <c r="H30" s="19" t="n"/>
      <c r="I30" s="19" t="n"/>
      <c r="J30" s="19" t="inlineStr">
        <is>
          <t>Light Screen</t>
        </is>
      </c>
      <c r="K30" s="19" t="n"/>
      <c r="L30" s="19" t="n"/>
      <c r="M30" s="19" t="inlineStr">
        <is>
          <t>Not yet screened</t>
        </is>
      </c>
      <c r="N30" s="19" t="n"/>
      <c r="O30" s="19" t="n"/>
    </row>
    <row r="31" ht="15.75" customHeight="1" s="60">
      <c r="A31" s="18" t="inlineStr">
        <is>
          <t>JGE_CH0102</t>
        </is>
      </c>
      <c r="B31" s="18" t="inlineStr">
        <is>
          <t>Julius Baer Group Ltd</t>
        </is>
      </c>
      <c r="C31" s="18" t="inlineStr">
        <is>
          <t>JGE</t>
        </is>
      </c>
      <c r="D31" s="18" t="inlineStr">
        <is>
          <t>CH0102484968</t>
        </is>
      </c>
      <c r="E31" s="18" t="inlineStr">
        <is>
          <t>GR</t>
        </is>
      </c>
      <c r="F31" s="18" t="inlineStr">
        <is>
          <t>Financials</t>
        </is>
      </c>
      <c r="G31" s="18" t="inlineStr">
        <is>
          <t>Financial Services</t>
        </is>
      </c>
      <c r="H31" s="18" t="n"/>
      <c r="I31" s="18" t="n"/>
      <c r="J31" s="18" t="inlineStr">
        <is>
          <t>Light Screen</t>
        </is>
      </c>
      <c r="K31" s="18" t="n"/>
      <c r="L31" s="18" t="n"/>
      <c r="M31" s="18" t="inlineStr">
        <is>
          <t>Not yet screened</t>
        </is>
      </c>
      <c r="N31" s="18" t="n"/>
      <c r="O31" s="18" t="n"/>
    </row>
    <row r="32" ht="15.75" customHeight="1" s="60">
      <c r="A32" s="19" t="inlineStr">
        <is>
          <t>SOAN_IT0004</t>
        </is>
      </c>
      <c r="B32" s="19" t="inlineStr">
        <is>
          <t>UnipolSai Assicurazioni SpA</t>
        </is>
      </c>
      <c r="C32" s="19" t="inlineStr">
        <is>
          <t>SOAN</t>
        </is>
      </c>
      <c r="D32" s="19" t="inlineStr">
        <is>
          <t>IT0004827447</t>
        </is>
      </c>
      <c r="E32" s="19" t="inlineStr">
        <is>
          <t>GR</t>
        </is>
      </c>
      <c r="F32" s="19" t="inlineStr">
        <is>
          <t>Financials</t>
        </is>
      </c>
      <c r="G32" s="19" t="inlineStr">
        <is>
          <t>Insurance</t>
        </is>
      </c>
      <c r="H32" s="19" t="n"/>
      <c r="I32" s="19" t="n"/>
      <c r="J32" s="19" t="inlineStr">
        <is>
          <t>Light Screen</t>
        </is>
      </c>
      <c r="K32" s="19" t="n"/>
      <c r="L32" s="19" t="n"/>
      <c r="M32" s="19" t="inlineStr">
        <is>
          <t>Not yet screened</t>
        </is>
      </c>
      <c r="N32" s="19" t="n"/>
      <c r="O32" s="19" t="n"/>
    </row>
    <row r="33" ht="15.75" customHeight="1" s="60">
      <c r="A33" s="18" t="inlineStr">
        <is>
          <t>REP_ES0173</t>
        </is>
      </c>
      <c r="B33" s="18" t="inlineStr">
        <is>
          <t>Repsol SA</t>
        </is>
      </c>
      <c r="C33" s="18" t="inlineStr">
        <is>
          <t>REP</t>
        </is>
      </c>
      <c r="D33" s="18" t="inlineStr">
        <is>
          <t>ES0173516115</t>
        </is>
      </c>
      <c r="E33" s="18" t="inlineStr">
        <is>
          <t>GR</t>
        </is>
      </c>
      <c r="F33" s="18" t="inlineStr">
        <is>
          <t>Energy</t>
        </is>
      </c>
      <c r="G33" s="18" t="inlineStr">
        <is>
          <t>Oil &amp; Gas</t>
        </is>
      </c>
      <c r="H33" s="18" t="n"/>
      <c r="I33" s="18" t="n"/>
      <c r="J33" s="18" t="inlineStr">
        <is>
          <t>Light Screen</t>
        </is>
      </c>
      <c r="K33" s="18" t="n"/>
      <c r="L33" s="18" t="n"/>
      <c r="M33" s="18" t="inlineStr">
        <is>
          <t>Not yet screened</t>
        </is>
      </c>
      <c r="N33" s="18" t="n"/>
      <c r="O33" s="18" t="n"/>
    </row>
    <row r="34" ht="15.75" customHeight="1" s="60">
      <c r="A34" s="19" t="inlineStr">
        <is>
          <t>INN1_NL0011</t>
        </is>
      </c>
      <c r="B34" s="19" t="inlineStr">
        <is>
          <t>ING Groep NV</t>
        </is>
      </c>
      <c r="C34" s="19" t="inlineStr">
        <is>
          <t>INN1</t>
        </is>
      </c>
      <c r="D34" s="19" t="inlineStr">
        <is>
          <t>NL0011821202</t>
        </is>
      </c>
      <c r="E34" s="19" t="inlineStr">
        <is>
          <t>GR</t>
        </is>
      </c>
      <c r="F34" s="19" t="inlineStr">
        <is>
          <t>Financials</t>
        </is>
      </c>
      <c r="G34" s="19" t="inlineStr">
        <is>
          <t>Banking</t>
        </is>
      </c>
      <c r="H34" s="19" t="n"/>
      <c r="I34" s="19" t="n"/>
      <c r="J34" s="19" t="inlineStr">
        <is>
          <t>Light Screen</t>
        </is>
      </c>
      <c r="K34" s="19" t="n"/>
      <c r="L34" s="19" t="n"/>
      <c r="M34" s="19" t="inlineStr">
        <is>
          <t>Not yet screened</t>
        </is>
      </c>
      <c r="N34" s="19" t="n"/>
      <c r="O34" s="19" t="n"/>
    </row>
    <row r="35" ht="15.75" customHeight="1" s="60">
      <c r="A35" s="18" t="inlineStr">
        <is>
          <t>DP9_GB0001</t>
        </is>
      </c>
      <c r="B35" s="18" t="inlineStr">
        <is>
          <t>Diploma PLC</t>
        </is>
      </c>
      <c r="C35" s="18" t="inlineStr">
        <is>
          <t>DP9</t>
        </is>
      </c>
      <c r="D35" s="18" t="inlineStr">
        <is>
          <t>GB0001826634</t>
        </is>
      </c>
      <c r="E35" s="18" t="inlineStr">
        <is>
          <t>GR</t>
        </is>
      </c>
      <c r="F35" s="18" t="inlineStr">
        <is>
          <t>Industrials</t>
        </is>
      </c>
      <c r="G35" s="18" t="inlineStr">
        <is>
          <t>Industrial Products</t>
        </is>
      </c>
      <c r="H35" s="18" t="n"/>
      <c r="I35" s="18" t="n"/>
      <c r="J35" s="18" t="inlineStr">
        <is>
          <t>Light Screen</t>
        </is>
      </c>
      <c r="K35" s="18" t="n"/>
      <c r="L35" s="18" t="n"/>
      <c r="M35" s="18" t="inlineStr">
        <is>
          <t>Not yet screened</t>
        </is>
      </c>
      <c r="N35" s="18" t="n"/>
      <c r="O35" s="18" t="n"/>
    </row>
    <row r="36" ht="15.75" customHeight="1" s="60">
      <c r="A36" s="19" t="inlineStr">
        <is>
          <t>BCY_GB0031</t>
        </is>
      </c>
      <c r="B36" s="19" t="inlineStr">
        <is>
          <t>Barclays PLC</t>
        </is>
      </c>
      <c r="C36" s="19" t="inlineStr">
        <is>
          <t>BCY</t>
        </is>
      </c>
      <c r="D36" s="19" t="inlineStr">
        <is>
          <t>GB0031348658</t>
        </is>
      </c>
      <c r="E36" s="19" t="inlineStr">
        <is>
          <t>GR</t>
        </is>
      </c>
      <c r="F36" s="19" t="inlineStr">
        <is>
          <t>Financials</t>
        </is>
      </c>
      <c r="G36" s="19" t="inlineStr">
        <is>
          <t>Banking</t>
        </is>
      </c>
      <c r="H36" s="19" t="n"/>
      <c r="I36" s="19" t="n"/>
      <c r="J36" s="19" t="inlineStr">
        <is>
          <t>Light Screen</t>
        </is>
      </c>
      <c r="K36" s="19" t="n"/>
      <c r="L36" s="19" t="n"/>
      <c r="M36" s="19" t="inlineStr">
        <is>
          <t>Not yet screened</t>
        </is>
      </c>
      <c r="N36" s="19" t="n"/>
      <c r="O36" s="19" t="n"/>
    </row>
    <row r="37" ht="15.75" customHeight="1" s="60">
      <c r="A37" s="18" t="inlineStr">
        <is>
          <t>CJ2_DK0060</t>
        </is>
      </c>
      <c r="B37" s="18" t="inlineStr">
        <is>
          <t>Ringkjoebing Landbobank A/S</t>
        </is>
      </c>
      <c r="C37" s="18" t="inlineStr">
        <is>
          <t>CJ2</t>
        </is>
      </c>
      <c r="D37" s="18" t="inlineStr">
        <is>
          <t>DK0060854669</t>
        </is>
      </c>
      <c r="E37" s="18" t="inlineStr">
        <is>
          <t>GR</t>
        </is>
      </c>
      <c r="F37" s="18" t="inlineStr">
        <is>
          <t>Financials</t>
        </is>
      </c>
      <c r="G37" s="18" t="inlineStr">
        <is>
          <t>Banking</t>
        </is>
      </c>
      <c r="H37" s="18" t="n"/>
      <c r="I37" s="18" t="n"/>
      <c r="J37" s="18" t="inlineStr">
        <is>
          <t>Light Screen</t>
        </is>
      </c>
      <c r="K37" s="18" t="n"/>
      <c r="L37" s="18" t="n"/>
      <c r="M37" s="18" t="inlineStr">
        <is>
          <t>Not yet screened</t>
        </is>
      </c>
      <c r="N37" s="18" t="n"/>
      <c r="O37" s="18" t="n"/>
    </row>
    <row r="38" ht="15.75" customHeight="1" s="60">
      <c r="A38" s="19" t="inlineStr">
        <is>
          <t>B7A_IT0001</t>
        </is>
      </c>
      <c r="B38" s="19" t="inlineStr">
        <is>
          <t>Banca Generali SpA</t>
        </is>
      </c>
      <c r="C38" s="19" t="inlineStr">
        <is>
          <t>B7A</t>
        </is>
      </c>
      <c r="D38" s="19" t="inlineStr">
        <is>
          <t>IT0001031084</t>
        </is>
      </c>
      <c r="E38" s="19" t="inlineStr">
        <is>
          <t>GR</t>
        </is>
      </c>
      <c r="F38" s="19" t="inlineStr">
        <is>
          <t>Financials</t>
        </is>
      </c>
      <c r="G38" s="19" t="inlineStr">
        <is>
          <t>Financial Services</t>
        </is>
      </c>
      <c r="H38" s="19" t="n"/>
      <c r="I38" s="19" t="n"/>
      <c r="J38" s="19" t="inlineStr">
        <is>
          <t>Light Screen</t>
        </is>
      </c>
      <c r="K38" s="19" t="n"/>
      <c r="L38" s="19" t="n"/>
      <c r="M38" s="19" t="inlineStr">
        <is>
          <t>Not yet screened</t>
        </is>
      </c>
      <c r="N38" s="19" t="n"/>
      <c r="O38" s="19" t="n"/>
    </row>
    <row r="39" ht="15.75" customHeight="1" s="60">
      <c r="A39" s="18" t="inlineStr">
        <is>
          <t>GEB_GB00BF</t>
        </is>
      </c>
      <c r="B39" s="18" t="inlineStr">
        <is>
          <t>Bank of Georgia Group PLC</t>
        </is>
      </c>
      <c r="C39" s="18" t="inlineStr">
        <is>
          <t>GEB</t>
        </is>
      </c>
      <c r="D39" s="18" t="inlineStr">
        <is>
          <t>GB00BF4HYT85</t>
        </is>
      </c>
      <c r="E39" s="18" t="inlineStr">
        <is>
          <t>GR</t>
        </is>
      </c>
      <c r="F39" s="18" t="inlineStr">
        <is>
          <t>Financials</t>
        </is>
      </c>
      <c r="G39" s="18" t="inlineStr">
        <is>
          <t>Banking</t>
        </is>
      </c>
      <c r="H39" s="18" t="n"/>
      <c r="I39" s="18" t="n"/>
      <c r="J39" s="18" t="inlineStr">
        <is>
          <t>Light Screen</t>
        </is>
      </c>
      <c r="K39" s="18" t="n"/>
      <c r="L39" s="18" t="n"/>
      <c r="M39" s="18" t="inlineStr">
        <is>
          <t>Not yet screened</t>
        </is>
      </c>
      <c r="N39" s="18" t="n"/>
      <c r="O39" s="18" t="n"/>
    </row>
    <row r="40" ht="15.75" customHeight="1" s="60">
      <c r="A40" s="19" t="inlineStr">
        <is>
          <t>ME1_IT0004</t>
        </is>
      </c>
      <c r="B40" s="19" t="inlineStr">
        <is>
          <t>Banca Mediolanum SpA</t>
        </is>
      </c>
      <c r="C40" s="19" t="inlineStr">
        <is>
          <t>ME1</t>
        </is>
      </c>
      <c r="D40" s="19" t="inlineStr">
        <is>
          <t>IT0004776628</t>
        </is>
      </c>
      <c r="E40" s="19" t="inlineStr">
        <is>
          <t>GR</t>
        </is>
      </c>
      <c r="F40" s="19" t="inlineStr">
        <is>
          <t>Financials</t>
        </is>
      </c>
      <c r="G40" s="19" t="inlineStr">
        <is>
          <t>Banking</t>
        </is>
      </c>
      <c r="H40" s="19" t="n"/>
      <c r="I40" s="19" t="n"/>
      <c r="J40" s="19" t="inlineStr">
        <is>
          <t>Light Screen</t>
        </is>
      </c>
      <c r="K40" s="19" t="n"/>
      <c r="L40" s="19" t="n"/>
      <c r="M40" s="19" t="inlineStr">
        <is>
          <t>Not yet screened</t>
        </is>
      </c>
      <c r="N40" s="19" t="n"/>
      <c r="O40" s="19" t="n"/>
    </row>
    <row r="41" ht="15.75" customHeight="1" s="60">
      <c r="A41" s="18" t="inlineStr">
        <is>
          <t>IMI1_GB00BG</t>
        </is>
      </c>
      <c r="B41" s="18" t="inlineStr">
        <is>
          <t>IMI PLC</t>
        </is>
      </c>
      <c r="C41" s="18" t="inlineStr">
        <is>
          <t>IMI1</t>
        </is>
      </c>
      <c r="D41" s="18" t="inlineStr">
        <is>
          <t>GB00BGLP8L22</t>
        </is>
      </c>
      <c r="E41" s="18" t="inlineStr">
        <is>
          <t>GR</t>
        </is>
      </c>
      <c r="F41" s="18" t="inlineStr">
        <is>
          <t>Industrials</t>
        </is>
      </c>
      <c r="G41" s="18" t="inlineStr">
        <is>
          <t>Industrial Products</t>
        </is>
      </c>
      <c r="H41" s="18" t="n"/>
      <c r="I41" s="18" t="n"/>
      <c r="J41" s="18" t="inlineStr">
        <is>
          <t>Light Screen</t>
        </is>
      </c>
      <c r="K41" s="18" t="n"/>
      <c r="L41" s="18" t="n"/>
      <c r="M41" s="18" t="inlineStr">
        <is>
          <t>Not yet screened</t>
        </is>
      </c>
      <c r="N41" s="18" t="n"/>
      <c r="O41" s="18" t="n"/>
    </row>
    <row r="42" ht="15.75" customHeight="1" s="60">
      <c r="A42" s="19" t="inlineStr">
        <is>
          <t>HBC1_GB0005</t>
        </is>
      </c>
      <c r="B42" s="19" t="inlineStr">
        <is>
          <t>HSBC Holdings PLC</t>
        </is>
      </c>
      <c r="C42" s="19" t="inlineStr">
        <is>
          <t>HBC1</t>
        </is>
      </c>
      <c r="D42" s="19" t="inlineStr">
        <is>
          <t>GB0005405286</t>
        </is>
      </c>
      <c r="E42" s="19" t="inlineStr">
        <is>
          <t>GR</t>
        </is>
      </c>
      <c r="F42" s="19" t="inlineStr">
        <is>
          <t>Financials</t>
        </is>
      </c>
      <c r="G42" s="19" t="inlineStr">
        <is>
          <t>Banking</t>
        </is>
      </c>
      <c r="H42" s="19" t="n"/>
      <c r="I42" s="19" t="n"/>
      <c r="J42" s="19" t="inlineStr">
        <is>
          <t>Light Screen</t>
        </is>
      </c>
      <c r="K42" s="19" t="n"/>
      <c r="L42" s="19" t="n"/>
      <c r="M42" s="19" t="inlineStr">
        <is>
          <t>Not yet screened</t>
        </is>
      </c>
      <c r="N42" s="19" t="n"/>
      <c r="O42" s="19" t="n"/>
    </row>
    <row r="43" ht="15.75" customHeight="1" s="60">
      <c r="A43" s="18" t="inlineStr">
        <is>
          <t>7PZ_PLPZU0</t>
        </is>
      </c>
      <c r="B43" s="18" t="inlineStr">
        <is>
          <t>Powszechny Zaklad Ubezpieczen SA</t>
        </is>
      </c>
      <c r="C43" s="18" t="inlineStr">
        <is>
          <t>7PZ</t>
        </is>
      </c>
      <c r="D43" s="18" t="inlineStr">
        <is>
          <t>PLPZU0000011</t>
        </is>
      </c>
      <c r="E43" s="18" t="inlineStr">
        <is>
          <t>GR</t>
        </is>
      </c>
      <c r="F43" s="18" t="inlineStr">
        <is>
          <t>Financials</t>
        </is>
      </c>
      <c r="G43" s="18" t="inlineStr">
        <is>
          <t>Insurance</t>
        </is>
      </c>
      <c r="H43" s="18" t="n"/>
      <c r="I43" s="18" t="n"/>
      <c r="J43" s="18" t="inlineStr">
        <is>
          <t>Light Screen</t>
        </is>
      </c>
      <c r="K43" s="18" t="n"/>
      <c r="L43" s="18" t="n"/>
      <c r="M43" s="18" t="inlineStr">
        <is>
          <t>Not yet screened</t>
        </is>
      </c>
      <c r="N43" s="18" t="n"/>
      <c r="O43" s="18" t="n"/>
    </row>
    <row r="44" ht="15.75" customHeight="1" s="60">
      <c r="A44" s="19" t="inlineStr">
        <is>
          <t>SUL1_CH0038</t>
        </is>
      </c>
      <c r="B44" s="19" t="inlineStr">
        <is>
          <t>Sulzer AG</t>
        </is>
      </c>
      <c r="C44" s="19" t="inlineStr">
        <is>
          <t>SUL1</t>
        </is>
      </c>
      <c r="D44" s="19" t="inlineStr">
        <is>
          <t>CH0038388911</t>
        </is>
      </c>
      <c r="E44" s="19" t="inlineStr">
        <is>
          <t>GR</t>
        </is>
      </c>
      <c r="F44" s="19" t="inlineStr">
        <is>
          <t>Industrials</t>
        </is>
      </c>
      <c r="G44" s="19" t="inlineStr">
        <is>
          <t>Industrial Products</t>
        </is>
      </c>
      <c r="H44" s="19" t="n"/>
      <c r="I44" s="19" t="n"/>
      <c r="J44" s="19" t="inlineStr">
        <is>
          <t>Light Screen</t>
        </is>
      </c>
      <c r="K44" s="19" t="n"/>
      <c r="L44" s="19" t="n"/>
      <c r="M44" s="19" t="inlineStr">
        <is>
          <t>Not yet screened</t>
        </is>
      </c>
      <c r="N44" s="19" t="n"/>
      <c r="O44" s="19" t="n"/>
    </row>
    <row r="45" ht="15.75" customHeight="1" s="60">
      <c r="A45" s="18" t="inlineStr">
        <is>
          <t>DNQ_NO0010</t>
        </is>
      </c>
      <c r="B45" s="18" t="inlineStr">
        <is>
          <t>Equinor ASA</t>
        </is>
      </c>
      <c r="C45" s="18" t="inlineStr">
        <is>
          <t>DNQ</t>
        </is>
      </c>
      <c r="D45" s="18" t="inlineStr">
        <is>
          <t>NO0010096985</t>
        </is>
      </c>
      <c r="E45" s="18" t="inlineStr">
        <is>
          <t>GR</t>
        </is>
      </c>
      <c r="F45" s="18" t="inlineStr">
        <is>
          <t>Energy</t>
        </is>
      </c>
      <c r="G45" s="18" t="inlineStr">
        <is>
          <t>Oil &amp; Gas</t>
        </is>
      </c>
      <c r="H45" s="18" t="n"/>
      <c r="I45" s="18" t="n"/>
      <c r="J45" s="18" t="inlineStr">
        <is>
          <t>Light Screen</t>
        </is>
      </c>
      <c r="K45" s="18" t="n"/>
      <c r="L45" s="18" t="n"/>
      <c r="M45" s="18" t="inlineStr">
        <is>
          <t>Not yet screened</t>
        </is>
      </c>
      <c r="N45" s="18" t="n"/>
      <c r="O45" s="18" t="n"/>
    </row>
    <row r="46" ht="15.75" customHeight="1" s="60">
      <c r="A46" s="19" t="inlineStr">
        <is>
          <t>H11_GB0004</t>
        </is>
      </c>
      <c r="B46" s="19" t="inlineStr">
        <is>
          <t>Halma PLC</t>
        </is>
      </c>
      <c r="C46" s="19" t="inlineStr">
        <is>
          <t>H11</t>
        </is>
      </c>
      <c r="D46" s="19" t="inlineStr">
        <is>
          <t>GB0004052071</t>
        </is>
      </c>
      <c r="E46" s="19" t="inlineStr">
        <is>
          <t>GR</t>
        </is>
      </c>
      <c r="F46" s="19" t="inlineStr">
        <is>
          <t>Industrials</t>
        </is>
      </c>
      <c r="G46" s="19" t="inlineStr">
        <is>
          <t>Industrial Products</t>
        </is>
      </c>
      <c r="H46" s="19" t="n"/>
      <c r="I46" s="19" t="n"/>
      <c r="J46" s="19" t="inlineStr">
        <is>
          <t>Light Screen</t>
        </is>
      </c>
      <c r="K46" s="19" t="n"/>
      <c r="L46" s="19" t="n"/>
      <c r="M46" s="19" t="inlineStr">
        <is>
          <t>Not yet screened</t>
        </is>
      </c>
      <c r="N46" s="19" t="n"/>
      <c r="O46" s="19" t="n"/>
    </row>
    <row r="47" ht="15.75" customHeight="1" s="60">
      <c r="A47" s="18" t="inlineStr">
        <is>
          <t>OMV_AT0000</t>
        </is>
      </c>
      <c r="B47" s="18" t="inlineStr">
        <is>
          <t>OMV AG</t>
        </is>
      </c>
      <c r="C47" s="18" t="inlineStr">
        <is>
          <t>OMV</t>
        </is>
      </c>
      <c r="D47" s="18" t="inlineStr">
        <is>
          <t>AT0000743059</t>
        </is>
      </c>
      <c r="E47" s="18" t="inlineStr">
        <is>
          <t>GR</t>
        </is>
      </c>
      <c r="F47" s="18" t="inlineStr">
        <is>
          <t>Energy</t>
        </is>
      </c>
      <c r="G47" s="18" t="inlineStr">
        <is>
          <t>Oil &amp; Gas</t>
        </is>
      </c>
      <c r="H47" s="18" t="n"/>
      <c r="I47" s="18" t="n"/>
      <c r="J47" s="18" t="inlineStr">
        <is>
          <t>Light Screen</t>
        </is>
      </c>
      <c r="K47" s="18" t="n"/>
      <c r="L47" s="18" t="n"/>
      <c r="M47" s="18" t="inlineStr">
        <is>
          <t>Not yet screened</t>
        </is>
      </c>
      <c r="N47" s="18" t="n"/>
      <c r="O47" s="18" t="n"/>
    </row>
    <row r="48" ht="15.75" customHeight="1" s="60">
      <c r="A48" s="19" t="inlineStr">
        <is>
          <t>RAW_AT0000</t>
        </is>
      </c>
      <c r="B48" s="19" t="inlineStr">
        <is>
          <t>Raiffeisen Bank International AG</t>
        </is>
      </c>
      <c r="C48" s="19" t="inlineStr">
        <is>
          <t>RAW</t>
        </is>
      </c>
      <c r="D48" s="19" t="inlineStr">
        <is>
          <t>AT0000606306</t>
        </is>
      </c>
      <c r="E48" s="19" t="inlineStr">
        <is>
          <t>GR</t>
        </is>
      </c>
      <c r="F48" s="19" t="inlineStr">
        <is>
          <t>Financials</t>
        </is>
      </c>
      <c r="G48" s="19" t="inlineStr">
        <is>
          <t>Banking</t>
        </is>
      </c>
      <c r="H48" s="19" t="n"/>
      <c r="I48" s="19" t="n"/>
      <c r="J48" s="19" t="inlineStr">
        <is>
          <t>Light Screen</t>
        </is>
      </c>
      <c r="K48" s="19" t="n"/>
      <c r="L48" s="19" t="n"/>
      <c r="M48" s="19" t="inlineStr">
        <is>
          <t>Not yet screened</t>
        </is>
      </c>
      <c r="N48" s="19" t="n"/>
      <c r="O48" s="19" t="n"/>
    </row>
    <row r="49" ht="15.75" customHeight="1" s="60">
      <c r="A49" s="18" t="inlineStr">
        <is>
          <t>IFX_DE0006</t>
        </is>
      </c>
      <c r="B49" s="18" t="inlineStr">
        <is>
          <t>Infineon Technologies AG</t>
        </is>
      </c>
      <c r="C49" s="18" t="inlineStr">
        <is>
          <t>IFX</t>
        </is>
      </c>
      <c r="D49" s="18" t="inlineStr">
        <is>
          <t>DE0006231004</t>
        </is>
      </c>
      <c r="E49" s="18" t="inlineStr">
        <is>
          <t>GR</t>
        </is>
      </c>
      <c r="F49" s="18" t="inlineStr">
        <is>
          <t>Technology</t>
        </is>
      </c>
      <c r="G49" s="18" t="inlineStr">
        <is>
          <t>Tech Hardware &amp; Semiconductors</t>
        </is>
      </c>
      <c r="H49" s="18" t="n"/>
      <c r="I49" s="18" t="n"/>
      <c r="J49" s="18" t="inlineStr">
        <is>
          <t>Light Screen</t>
        </is>
      </c>
      <c r="K49" s="18" t="n"/>
      <c r="L49" s="18" t="n"/>
      <c r="M49" s="18" t="inlineStr">
        <is>
          <t>Not yet screened</t>
        </is>
      </c>
      <c r="N49" s="18" t="n"/>
      <c r="O49" s="18" t="n"/>
    </row>
    <row r="50" ht="15.75" customHeight="1" s="60">
      <c r="A50" s="19" t="inlineStr">
        <is>
          <t>ASG_IT0000</t>
        </is>
      </c>
      <c r="B50" s="19" t="inlineStr">
        <is>
          <t>Assicurazioni Generali SpA</t>
        </is>
      </c>
      <c r="C50" s="19" t="inlineStr">
        <is>
          <t>ASG</t>
        </is>
      </c>
      <c r="D50" s="19" t="inlineStr">
        <is>
          <t>IT0000062072</t>
        </is>
      </c>
      <c r="E50" s="19" t="inlineStr">
        <is>
          <t>GR</t>
        </is>
      </c>
      <c r="F50" s="19" t="inlineStr">
        <is>
          <t>Financials</t>
        </is>
      </c>
      <c r="G50" s="19" t="inlineStr">
        <is>
          <t>Insurance</t>
        </is>
      </c>
      <c r="H50" s="19" t="n"/>
      <c r="I50" s="19" t="n"/>
      <c r="J50" s="19" t="inlineStr">
        <is>
          <t>Light Screen</t>
        </is>
      </c>
      <c r="K50" s="19" t="n"/>
      <c r="L50" s="19" t="n"/>
      <c r="M50" s="19" t="inlineStr">
        <is>
          <t>Not yet screened</t>
        </is>
      </c>
      <c r="N50" s="19" t="n"/>
      <c r="O50" s="19" t="n"/>
    </row>
    <row r="51" ht="15.75" customHeight="1" s="60">
      <c r="A51" s="18" t="inlineStr">
        <is>
          <t>ABJ_CH0012</t>
        </is>
      </c>
      <c r="B51" s="18" t="inlineStr">
        <is>
          <t>ABB Ltd</t>
        </is>
      </c>
      <c r="C51" s="18" t="inlineStr">
        <is>
          <t>ABJ</t>
        </is>
      </c>
      <c r="D51" s="18" t="inlineStr">
        <is>
          <t>CH0012221716</t>
        </is>
      </c>
      <c r="E51" s="18" t="inlineStr">
        <is>
          <t>GR</t>
        </is>
      </c>
      <c r="F51" s="18" t="inlineStr">
        <is>
          <t>Industrials</t>
        </is>
      </c>
      <c r="G51" s="18" t="inlineStr">
        <is>
          <t>Industrial Products</t>
        </is>
      </c>
      <c r="H51" s="18" t="n"/>
      <c r="I51" s="18" t="n"/>
      <c r="J51" s="18" t="inlineStr">
        <is>
          <t>Light Screen</t>
        </is>
      </c>
      <c r="K51" s="18" t="n"/>
      <c r="L51" s="18" t="n"/>
      <c r="M51" s="18" t="inlineStr">
        <is>
          <t>Not yet screened</t>
        </is>
      </c>
      <c r="N51" s="18" t="n"/>
      <c r="O51" s="18" t="n"/>
    </row>
    <row r="52" ht="15.75" customHeight="1" s="60">
      <c r="A52" s="19" t="inlineStr">
        <is>
          <t>VOL3_SE0000</t>
        </is>
      </c>
      <c r="B52" s="19" t="inlineStr">
        <is>
          <t>Volvo AB</t>
        </is>
      </c>
      <c r="C52" s="19" t="inlineStr">
        <is>
          <t>VOL3</t>
        </is>
      </c>
      <c r="D52" s="19" t="inlineStr">
        <is>
          <t>SE0000115420</t>
        </is>
      </c>
      <c r="E52" s="19" t="inlineStr">
        <is>
          <t>GR</t>
        </is>
      </c>
      <c r="F52" s="19" t="inlineStr">
        <is>
          <t>Industrials</t>
        </is>
      </c>
      <c r="G52" s="19" t="inlineStr">
        <is>
          <t>Industrial Products</t>
        </is>
      </c>
      <c r="H52" s="19" t="n"/>
      <c r="I52" s="19" t="n"/>
      <c r="J52" s="19" t="inlineStr">
        <is>
          <t>Light Screen</t>
        </is>
      </c>
      <c r="K52" s="19" t="n"/>
      <c r="L52" s="19" t="n"/>
      <c r="M52" s="19" t="inlineStr">
        <is>
          <t>Not yet screened</t>
        </is>
      </c>
      <c r="N52" s="19" t="n"/>
      <c r="O52" s="19" t="n"/>
    </row>
    <row r="53">
      <c r="A53" s="18" t="inlineStr">
        <is>
          <t>M3N_JE00BJ</t>
        </is>
      </c>
      <c r="B53" s="18" t="inlineStr">
        <is>
          <t>Man Group PLC/Jersey</t>
        </is>
      </c>
      <c r="C53" s="18" t="inlineStr">
        <is>
          <t>M3N</t>
        </is>
      </c>
      <c r="D53" s="18" t="inlineStr">
        <is>
          <t>JE00BJ1DLW90</t>
        </is>
      </c>
      <c r="E53" s="18" t="inlineStr">
        <is>
          <t>GR</t>
        </is>
      </c>
      <c r="F53" s="18" t="inlineStr">
        <is>
          <t>Financials</t>
        </is>
      </c>
      <c r="G53" s="18" t="inlineStr">
        <is>
          <t>Financial Services</t>
        </is>
      </c>
      <c r="H53" s="18" t="n"/>
      <c r="I53" s="18" t="n"/>
      <c r="J53" s="18" t="inlineStr">
        <is>
          <t>Pipeline Only</t>
        </is>
      </c>
      <c r="K53" s="18" t="n"/>
      <c r="L53" s="18" t="n"/>
      <c r="M53" s="18" t="inlineStr">
        <is>
          <t>Not yet screened</t>
        </is>
      </c>
      <c r="N53" s="18" t="n"/>
      <c r="O53" s="18" t="n"/>
    </row>
    <row r="54">
      <c r="A54" s="19" t="inlineStr">
        <is>
          <t>ASME_NL0010</t>
        </is>
      </c>
      <c r="B54" s="19" t="inlineStr">
        <is>
          <t>ASML Holding NV</t>
        </is>
      </c>
      <c r="C54" s="19" t="inlineStr">
        <is>
          <t>ASME</t>
        </is>
      </c>
      <c r="D54" s="19" t="inlineStr">
        <is>
          <t>NL0010273215</t>
        </is>
      </c>
      <c r="E54" s="19" t="inlineStr">
        <is>
          <t>GR</t>
        </is>
      </c>
      <c r="F54" s="19" t="inlineStr">
        <is>
          <t>Technology</t>
        </is>
      </c>
      <c r="G54" s="19" t="inlineStr">
        <is>
          <t>Tech Hardware &amp; Semiconductors</t>
        </is>
      </c>
      <c r="H54" s="19" t="n"/>
      <c r="I54" s="19" t="n"/>
      <c r="J54" s="19" t="inlineStr">
        <is>
          <t>Pipeline Only</t>
        </is>
      </c>
      <c r="K54" s="19" t="n"/>
      <c r="L54" s="19" t="n"/>
      <c r="M54" s="19" t="inlineStr">
        <is>
          <t>Not yet screened</t>
        </is>
      </c>
      <c r="N54" s="19" t="n"/>
      <c r="O54" s="19" t="n"/>
    </row>
    <row r="55">
      <c r="A55" s="18" t="inlineStr">
        <is>
          <t>ALV_DE0008</t>
        </is>
      </c>
      <c r="B55" s="18" t="inlineStr">
        <is>
          <t>Allianz SE</t>
        </is>
      </c>
      <c r="C55" s="18" t="inlineStr">
        <is>
          <t>ALV</t>
        </is>
      </c>
      <c r="D55" s="18" t="inlineStr">
        <is>
          <t>DE0008404005</t>
        </is>
      </c>
      <c r="E55" s="18" t="inlineStr">
        <is>
          <t>GR</t>
        </is>
      </c>
      <c r="F55" s="18" t="inlineStr">
        <is>
          <t>Financials</t>
        </is>
      </c>
      <c r="G55" s="18" t="inlineStr">
        <is>
          <t>Insurance</t>
        </is>
      </c>
      <c r="H55" s="18" t="n"/>
      <c r="I55" s="18" t="n"/>
      <c r="J55" s="18" t="inlineStr">
        <is>
          <t>Pipeline Only</t>
        </is>
      </c>
      <c r="K55" s="18" t="n"/>
      <c r="L55" s="18" t="n"/>
      <c r="M55" s="18" t="inlineStr">
        <is>
          <t>Not yet screened</t>
        </is>
      </c>
      <c r="N55" s="18" t="n"/>
      <c r="O55" s="18" t="n"/>
    </row>
    <row r="56">
      <c r="A56" s="19" t="inlineStr">
        <is>
          <t>B1V1_CH0531</t>
        </is>
      </c>
      <c r="B56" s="19" t="inlineStr">
        <is>
          <t>Banque Cantonale Vaudoise</t>
        </is>
      </c>
      <c r="C56" s="19" t="inlineStr">
        <is>
          <t>B1V1</t>
        </is>
      </c>
      <c r="D56" s="19" t="inlineStr">
        <is>
          <t>CH0531751755</t>
        </is>
      </c>
      <c r="E56" s="19" t="inlineStr">
        <is>
          <t>GR</t>
        </is>
      </c>
      <c r="F56" s="19" t="inlineStr">
        <is>
          <t>Financials</t>
        </is>
      </c>
      <c r="G56" s="19" t="inlineStr">
        <is>
          <t>Banking</t>
        </is>
      </c>
      <c r="H56" s="19" t="n"/>
      <c r="I56" s="19" t="n"/>
      <c r="J56" s="19" t="inlineStr">
        <is>
          <t>Pipeline Only</t>
        </is>
      </c>
      <c r="K56" s="19" t="n"/>
      <c r="L56" s="19" t="n"/>
      <c r="M56" s="19" t="inlineStr">
        <is>
          <t>Not yet screened</t>
        </is>
      </c>
      <c r="N56" s="19" t="n"/>
      <c r="O56" s="19" t="n"/>
    </row>
    <row r="57">
      <c r="A57" s="18" t="inlineStr">
        <is>
          <t>04Q_FI4000</t>
        </is>
      </c>
      <c r="B57" s="18" t="inlineStr">
        <is>
          <t>Nordea Bank Abp</t>
        </is>
      </c>
      <c r="C57" s="18" t="inlineStr">
        <is>
          <t>04Q</t>
        </is>
      </c>
      <c r="D57" s="18" t="inlineStr">
        <is>
          <t>FI4000297767</t>
        </is>
      </c>
      <c r="E57" s="18" t="inlineStr">
        <is>
          <t>GR</t>
        </is>
      </c>
      <c r="F57" s="18" t="inlineStr">
        <is>
          <t>Financials</t>
        </is>
      </c>
      <c r="G57" s="18" t="inlineStr">
        <is>
          <t>Banking</t>
        </is>
      </c>
      <c r="H57" s="18" t="n"/>
      <c r="I57" s="18" t="n"/>
      <c r="J57" s="18" t="inlineStr">
        <is>
          <t>Pipeline Only</t>
        </is>
      </c>
      <c r="K57" s="18" t="n"/>
      <c r="L57" s="18" t="n"/>
      <c r="M57" s="18" t="inlineStr">
        <is>
          <t>Not yet screened</t>
        </is>
      </c>
      <c r="N57" s="18" t="n"/>
      <c r="O57" s="18" t="n"/>
    </row>
    <row r="58">
      <c r="A58" s="19" t="inlineStr">
        <is>
          <t>BNP_FR0000</t>
        </is>
      </c>
      <c r="B58" s="19" t="inlineStr">
        <is>
          <t>BNP Paribas SA</t>
        </is>
      </c>
      <c r="C58" s="19" t="inlineStr">
        <is>
          <t>BNP</t>
        </is>
      </c>
      <c r="D58" s="19" t="inlineStr">
        <is>
          <t>FR0000131104</t>
        </is>
      </c>
      <c r="E58" s="19" t="inlineStr">
        <is>
          <t>GR</t>
        </is>
      </c>
      <c r="F58" s="19" t="inlineStr">
        <is>
          <t>Financials</t>
        </is>
      </c>
      <c r="G58" s="19" t="inlineStr">
        <is>
          <t>Banking</t>
        </is>
      </c>
      <c r="H58" s="19" t="n"/>
      <c r="I58" s="19" t="n"/>
      <c r="J58" s="19" t="inlineStr">
        <is>
          <t>Pipeline Only</t>
        </is>
      </c>
      <c r="K58" s="19" t="n"/>
      <c r="L58" s="19" t="n"/>
      <c r="M58" s="19" t="inlineStr">
        <is>
          <t>Not yet screened</t>
        </is>
      </c>
      <c r="N58" s="19" t="n"/>
      <c r="O58" s="19" t="n"/>
    </row>
    <row r="59">
      <c r="A59" s="18" t="inlineStr">
        <is>
          <t>SOC_LU0075</t>
        </is>
      </c>
      <c r="B59" s="18" t="inlineStr">
        <is>
          <t>Subsea 7 SA</t>
        </is>
      </c>
      <c r="C59" s="18" t="inlineStr">
        <is>
          <t>SOC</t>
        </is>
      </c>
      <c r="D59" s="18" t="inlineStr">
        <is>
          <t>LU0075646355</t>
        </is>
      </c>
      <c r="E59" s="18" t="inlineStr">
        <is>
          <t>GR</t>
        </is>
      </c>
      <c r="F59" s="18" t="inlineStr">
        <is>
          <t>Energy</t>
        </is>
      </c>
      <c r="G59" s="18" t="inlineStr">
        <is>
          <t>Oil &amp; Gas</t>
        </is>
      </c>
      <c r="H59" s="18" t="n"/>
      <c r="I59" s="18" t="n"/>
      <c r="J59" s="18" t="inlineStr">
        <is>
          <t>Pipeline Only</t>
        </is>
      </c>
      <c r="K59" s="18" t="n"/>
      <c r="L59" s="18" t="n"/>
      <c r="M59" s="18" t="inlineStr">
        <is>
          <t>Not yet screened</t>
        </is>
      </c>
      <c r="N59" s="18" t="n"/>
      <c r="O59" s="18" t="n"/>
    </row>
    <row r="60">
      <c r="A60" s="19" t="inlineStr">
        <is>
          <t>7PI_IT0003</t>
        </is>
      </c>
      <c r="B60" s="19" t="inlineStr">
        <is>
          <t>Poste Italiane SpA</t>
        </is>
      </c>
      <c r="C60" s="19" t="inlineStr">
        <is>
          <t>7PI</t>
        </is>
      </c>
      <c r="D60" s="19" t="inlineStr">
        <is>
          <t>IT0003796171</t>
        </is>
      </c>
      <c r="E60" s="19" t="inlineStr">
        <is>
          <t>GR</t>
        </is>
      </c>
      <c r="F60" s="19" t="inlineStr">
        <is>
          <t>Industrials</t>
        </is>
      </c>
      <c r="G60" s="19" t="inlineStr">
        <is>
          <t>Industrial Services</t>
        </is>
      </c>
      <c r="H60" s="19" t="n"/>
      <c r="I60" s="19" t="n"/>
      <c r="J60" s="19" t="inlineStr">
        <is>
          <t>Pipeline Only</t>
        </is>
      </c>
      <c r="K60" s="19" t="n"/>
      <c r="L60" s="19" t="n"/>
      <c r="M60" s="19" t="inlineStr">
        <is>
          <t>Not yet screened</t>
        </is>
      </c>
      <c r="N60" s="19" t="n"/>
      <c r="O60" s="19" t="n"/>
    </row>
    <row r="61">
      <c r="A61" s="18" t="inlineStr">
        <is>
          <t>AJ3_ES0125</t>
        </is>
      </c>
      <c r="B61" s="18" t="inlineStr">
        <is>
          <t>Acciona SA</t>
        </is>
      </c>
      <c r="C61" s="18" t="inlineStr">
        <is>
          <t>AJ3</t>
        </is>
      </c>
      <c r="D61" s="18" t="inlineStr">
        <is>
          <t>ES0125220311</t>
        </is>
      </c>
      <c r="E61" s="18" t="inlineStr">
        <is>
          <t>GR</t>
        </is>
      </c>
      <c r="F61" s="18" t="inlineStr">
        <is>
          <t>Industrials</t>
        </is>
      </c>
      <c r="G61" s="18" t="inlineStr">
        <is>
          <t>Industrial Services</t>
        </is>
      </c>
      <c r="H61" s="18" t="n"/>
      <c r="I61" s="18" t="n"/>
      <c r="J61" s="18" t="inlineStr">
        <is>
          <t>Pipeline Only</t>
        </is>
      </c>
      <c r="K61" s="18" t="n"/>
      <c r="L61" s="18" t="n"/>
      <c r="M61" s="18" t="inlineStr">
        <is>
          <t>Not yet screened</t>
        </is>
      </c>
      <c r="N61" s="18" t="n"/>
      <c r="O61" s="18" t="n"/>
    </row>
    <row r="62">
      <c r="A62" s="19" t="inlineStr">
        <is>
          <t>SND_FR0000</t>
        </is>
      </c>
      <c r="B62" s="19" t="inlineStr">
        <is>
          <t>Schneider Electric SE</t>
        </is>
      </c>
      <c r="C62" s="19" t="inlineStr">
        <is>
          <t>SND</t>
        </is>
      </c>
      <c r="D62" s="19" t="inlineStr">
        <is>
          <t>FR0000121972</t>
        </is>
      </c>
      <c r="E62" s="19" t="inlineStr">
        <is>
          <t>GR</t>
        </is>
      </c>
      <c r="F62" s="19" t="inlineStr">
        <is>
          <t>Industrials</t>
        </is>
      </c>
      <c r="G62" s="19" t="inlineStr">
        <is>
          <t>Industrial Products</t>
        </is>
      </c>
      <c r="H62" s="19" t="n"/>
      <c r="I62" s="19" t="n"/>
      <c r="J62" s="19" t="inlineStr">
        <is>
          <t>Pipeline Only</t>
        </is>
      </c>
      <c r="K62" s="19" t="n"/>
      <c r="L62" s="19" t="n"/>
      <c r="M62" s="19" t="inlineStr">
        <is>
          <t>Not yet screened</t>
        </is>
      </c>
      <c r="N62" s="19" t="n"/>
      <c r="O62" s="19" t="n"/>
    </row>
    <row r="63">
      <c r="A63" s="18" t="inlineStr">
        <is>
          <t>STD_GB0004</t>
        </is>
      </c>
      <c r="B63" s="18" t="inlineStr">
        <is>
          <t>Standard Chartered PLC</t>
        </is>
      </c>
      <c r="C63" s="18" t="inlineStr">
        <is>
          <t>STD</t>
        </is>
      </c>
      <c r="D63" s="18" t="inlineStr">
        <is>
          <t>GB0004082847</t>
        </is>
      </c>
      <c r="E63" s="18" t="inlineStr">
        <is>
          <t>GR</t>
        </is>
      </c>
      <c r="F63" s="18" t="inlineStr">
        <is>
          <t>Financials</t>
        </is>
      </c>
      <c r="G63" s="18" t="inlineStr">
        <is>
          <t>Banking</t>
        </is>
      </c>
      <c r="H63" s="18" t="n"/>
      <c r="I63" s="18" t="n"/>
      <c r="J63" s="18" t="inlineStr">
        <is>
          <t>Pipeline Only</t>
        </is>
      </c>
      <c r="K63" s="18" t="n"/>
      <c r="L63" s="18" t="n"/>
      <c r="M63" s="18" t="inlineStr">
        <is>
          <t>Not yet screened</t>
        </is>
      </c>
      <c r="N63" s="18" t="n"/>
      <c r="O63" s="18" t="n"/>
    </row>
    <row r="64">
      <c r="A64" s="19" t="inlineStr">
        <is>
          <t>SVKB_SE0000</t>
        </is>
      </c>
      <c r="B64" s="19" t="inlineStr">
        <is>
          <t>Sandvik AB</t>
        </is>
      </c>
      <c r="C64" s="19" t="inlineStr">
        <is>
          <t>SVKB</t>
        </is>
      </c>
      <c r="D64" s="19" t="inlineStr">
        <is>
          <t>SE0000667891</t>
        </is>
      </c>
      <c r="E64" s="19" t="inlineStr">
        <is>
          <t>GR</t>
        </is>
      </c>
      <c r="F64" s="19" t="inlineStr">
        <is>
          <t>Industrials</t>
        </is>
      </c>
      <c r="G64" s="19" t="inlineStr">
        <is>
          <t>Industrial Products</t>
        </is>
      </c>
      <c r="H64" s="19" t="n"/>
      <c r="I64" s="19" t="n"/>
      <c r="J64" s="19" t="inlineStr">
        <is>
          <t>Pipeline Only</t>
        </is>
      </c>
      <c r="K64" s="19" t="n"/>
      <c r="L64" s="19" t="n"/>
      <c r="M64" s="19" t="inlineStr">
        <is>
          <t>Not yet screened</t>
        </is>
      </c>
      <c r="N64" s="19" t="n"/>
      <c r="O64" s="19" t="n"/>
    </row>
    <row r="65">
      <c r="A65" s="18" t="inlineStr">
        <is>
          <t>ZFIN_CH0011</t>
        </is>
      </c>
      <c r="B65" s="18" t="inlineStr">
        <is>
          <t>Zurich Insurance Group AG</t>
        </is>
      </c>
      <c r="C65" s="18" t="inlineStr">
        <is>
          <t>ZFIN</t>
        </is>
      </c>
      <c r="D65" s="18" t="inlineStr">
        <is>
          <t>CH0011075394</t>
        </is>
      </c>
      <c r="E65" s="18" t="inlineStr">
        <is>
          <t>GR</t>
        </is>
      </c>
      <c r="F65" s="18" t="inlineStr">
        <is>
          <t>Financials</t>
        </is>
      </c>
      <c r="G65" s="18" t="inlineStr">
        <is>
          <t>Insurance</t>
        </is>
      </c>
      <c r="H65" s="18" t="n"/>
      <c r="I65" s="18" t="n"/>
      <c r="J65" s="18" t="inlineStr">
        <is>
          <t>Pipeline Only</t>
        </is>
      </c>
      <c r="K65" s="18" t="n"/>
      <c r="L65" s="18" t="n"/>
      <c r="M65" s="18" t="inlineStr">
        <is>
          <t>Not yet screened</t>
        </is>
      </c>
      <c r="N65" s="18" t="n"/>
      <c r="O65" s="18" t="n"/>
    </row>
    <row r="66">
      <c r="A66" s="19" t="inlineStr">
        <is>
          <t>K5X_NO0012</t>
        </is>
      </c>
      <c r="B66" s="19" t="inlineStr">
        <is>
          <t>Sparebanken More</t>
        </is>
      </c>
      <c r="C66" s="19" t="inlineStr">
        <is>
          <t>K5X</t>
        </is>
      </c>
      <c r="D66" s="19" t="inlineStr">
        <is>
          <t>NO0012483207</t>
        </is>
      </c>
      <c r="E66" s="19" t="inlineStr">
        <is>
          <t>GR</t>
        </is>
      </c>
      <c r="F66" s="19" t="inlineStr">
        <is>
          <t>Financials</t>
        </is>
      </c>
      <c r="G66" s="19" t="inlineStr">
        <is>
          <t>Banking</t>
        </is>
      </c>
      <c r="H66" s="19" t="n"/>
      <c r="I66" s="19" t="n"/>
      <c r="J66" s="19" t="inlineStr">
        <is>
          <t>Pipeline Only</t>
        </is>
      </c>
      <c r="K66" s="19" t="n"/>
      <c r="L66" s="19" t="n"/>
      <c r="M66" s="19" t="inlineStr">
        <is>
          <t>Not yet screened</t>
        </is>
      </c>
      <c r="N66" s="19" t="n"/>
      <c r="O66" s="19" t="n"/>
    </row>
    <row r="67">
      <c r="A67" s="18" t="inlineStr">
        <is>
          <t>E4S_BE0003</t>
        </is>
      </c>
      <c r="B67" s="18" t="inlineStr">
        <is>
          <t>Elia Group SA/NV</t>
        </is>
      </c>
      <c r="C67" s="18" t="inlineStr">
        <is>
          <t>E4S</t>
        </is>
      </c>
      <c r="D67" s="18" t="inlineStr">
        <is>
          <t>BE0003822393</t>
        </is>
      </c>
      <c r="E67" s="18" t="inlineStr">
        <is>
          <t>GR</t>
        </is>
      </c>
      <c r="F67" s="18" t="inlineStr">
        <is>
          <t>Utilities</t>
        </is>
      </c>
      <c r="G67" s="18" t="inlineStr">
        <is>
          <t>Utilities</t>
        </is>
      </c>
      <c r="H67" s="18" t="n"/>
      <c r="I67" s="18" t="n"/>
      <c r="J67" s="18" t="inlineStr">
        <is>
          <t>Pipeline Only</t>
        </is>
      </c>
      <c r="K67" s="18" t="n"/>
      <c r="L67" s="18" t="n"/>
      <c r="M67" s="18" t="inlineStr">
        <is>
          <t>Not yet screened</t>
        </is>
      </c>
      <c r="N67" s="18" t="n"/>
      <c r="O67" s="18" t="n"/>
    </row>
    <row r="68">
      <c r="A68" s="19" t="inlineStr">
        <is>
          <t>B6E_SE0000</t>
        </is>
      </c>
      <c r="B68" s="19" t="inlineStr">
        <is>
          <t>Swedish Orphan Biovitrum AB</t>
        </is>
      </c>
      <c r="C68" s="19" t="inlineStr">
        <is>
          <t>B6E</t>
        </is>
      </c>
      <c r="D68" s="19" t="inlineStr">
        <is>
          <t>SE0000872095</t>
        </is>
      </c>
      <c r="E68" s="19" t="inlineStr">
        <is>
          <t>GR</t>
        </is>
      </c>
      <c r="F68" s="19" t="inlineStr">
        <is>
          <t>Health Care</t>
        </is>
      </c>
      <c r="G68" s="19" t="inlineStr">
        <is>
          <t>Health Care</t>
        </is>
      </c>
      <c r="H68" s="19" t="n"/>
      <c r="I68" s="19" t="n"/>
      <c r="J68" s="19" t="inlineStr">
        <is>
          <t>Pipeline Only</t>
        </is>
      </c>
      <c r="K68" s="19" t="n"/>
      <c r="L68" s="19" t="n"/>
      <c r="M68" s="19" t="inlineStr">
        <is>
          <t>Not yet screened</t>
        </is>
      </c>
      <c r="N68" s="19" t="n"/>
      <c r="O68" s="19" t="n"/>
    </row>
    <row r="69">
      <c r="A69" s="18" t="inlineStr">
        <is>
          <t>SIE_DE0007</t>
        </is>
      </c>
      <c r="B69" s="18" t="inlineStr">
        <is>
          <t>Siemens AG</t>
        </is>
      </c>
      <c r="C69" s="18" t="inlineStr">
        <is>
          <t>SIE</t>
        </is>
      </c>
      <c r="D69" s="18" t="inlineStr">
        <is>
          <t>DE0007236101</t>
        </is>
      </c>
      <c r="E69" s="18" t="inlineStr">
        <is>
          <t>GR</t>
        </is>
      </c>
      <c r="F69" s="18" t="inlineStr">
        <is>
          <t>Industrials</t>
        </is>
      </c>
      <c r="G69" s="18" t="inlineStr">
        <is>
          <t>Industrial Products</t>
        </is>
      </c>
      <c r="H69" s="18" t="n"/>
      <c r="I69" s="18" t="n"/>
      <c r="J69" s="18" t="inlineStr">
        <is>
          <t>Pipeline Only</t>
        </is>
      </c>
      <c r="K69" s="18" t="n"/>
      <c r="L69" s="18" t="n"/>
      <c r="M69" s="18" t="inlineStr">
        <is>
          <t>Not yet screened</t>
        </is>
      </c>
      <c r="N69" s="18" t="n"/>
      <c r="O69" s="18" t="n"/>
    </row>
    <row r="70">
      <c r="A70" s="19" t="inlineStr">
        <is>
          <t>6GF_PLBSK0</t>
        </is>
      </c>
      <c r="B70" s="19" t="inlineStr">
        <is>
          <t>ING Bank Slaski SA</t>
        </is>
      </c>
      <c r="C70" s="19" t="inlineStr">
        <is>
          <t>6GF</t>
        </is>
      </c>
      <c r="D70" s="19" t="inlineStr">
        <is>
          <t>PLBSK0000017</t>
        </is>
      </c>
      <c r="E70" s="19" t="inlineStr">
        <is>
          <t>GR</t>
        </is>
      </c>
      <c r="F70" s="19" t="inlineStr">
        <is>
          <t>Financials</t>
        </is>
      </c>
      <c r="G70" s="19" t="inlineStr">
        <is>
          <t>Banking</t>
        </is>
      </c>
      <c r="H70" s="19" t="n"/>
      <c r="I70" s="19" t="n"/>
      <c r="J70" s="19" t="inlineStr">
        <is>
          <t>Pipeline Only</t>
        </is>
      </c>
      <c r="K70" s="19" t="n"/>
      <c r="L70" s="19" t="n"/>
      <c r="M70" s="19" t="inlineStr">
        <is>
          <t>Not yet screened</t>
        </is>
      </c>
      <c r="N70" s="19" t="n"/>
      <c r="O70" s="19" t="n"/>
    </row>
    <row r="71">
      <c r="A71" s="18" t="inlineStr">
        <is>
          <t>MLT_SE0000</t>
        </is>
      </c>
      <c r="B71" s="18" t="inlineStr">
        <is>
          <t>Mycronic AB</t>
        </is>
      </c>
      <c r="C71" s="18" t="inlineStr">
        <is>
          <t>MLT</t>
        </is>
      </c>
      <c r="D71" s="18" t="inlineStr">
        <is>
          <t>SE0000375115</t>
        </is>
      </c>
      <c r="E71" s="18" t="inlineStr">
        <is>
          <t>GR</t>
        </is>
      </c>
      <c r="F71" s="18" t="inlineStr">
        <is>
          <t>Technology</t>
        </is>
      </c>
      <c r="G71" s="18" t="inlineStr">
        <is>
          <t>Tech Hardware &amp; Semiconductors</t>
        </is>
      </c>
      <c r="H71" s="18" t="n"/>
      <c r="I71" s="18" t="n"/>
      <c r="J71" s="18" t="inlineStr">
        <is>
          <t>Pipeline Only</t>
        </is>
      </c>
      <c r="K71" s="18" t="n"/>
      <c r="L71" s="18" t="n"/>
      <c r="M71" s="18" t="inlineStr">
        <is>
          <t>Not yet screened</t>
        </is>
      </c>
      <c r="N71" s="18" t="n"/>
      <c r="O71" s="18" t="n"/>
    </row>
    <row r="72">
      <c r="A72" s="19" t="inlineStr">
        <is>
          <t>D1NC_NO0010</t>
        </is>
      </c>
      <c r="B72" s="19" t="inlineStr">
        <is>
          <t>DNB Bank ASA</t>
        </is>
      </c>
      <c r="C72" s="19" t="inlineStr">
        <is>
          <t>D1NC</t>
        </is>
      </c>
      <c r="D72" s="19" t="inlineStr">
        <is>
          <t>NO0010161896</t>
        </is>
      </c>
      <c r="E72" s="19" t="inlineStr">
        <is>
          <t>GR</t>
        </is>
      </c>
      <c r="F72" s="19" t="inlineStr">
        <is>
          <t>Financials</t>
        </is>
      </c>
      <c r="G72" s="19" t="inlineStr">
        <is>
          <t>Banking</t>
        </is>
      </c>
      <c r="H72" s="19" t="n"/>
      <c r="I72" s="19" t="n"/>
      <c r="J72" s="19" t="inlineStr">
        <is>
          <t>Pipeline Only</t>
        </is>
      </c>
      <c r="K72" s="19" t="n"/>
      <c r="L72" s="19" t="n"/>
      <c r="M72" s="19" t="inlineStr">
        <is>
          <t>Not yet screened</t>
        </is>
      </c>
      <c r="N72" s="19" t="n"/>
      <c r="O72" s="19" t="n"/>
    </row>
    <row r="73">
      <c r="A73" s="18" t="inlineStr">
        <is>
          <t>19V_CH0311</t>
        </is>
      </c>
      <c r="B73" s="18" t="inlineStr">
        <is>
          <t>VAT Group AG</t>
        </is>
      </c>
      <c r="C73" s="18" t="inlineStr">
        <is>
          <t>19V</t>
        </is>
      </c>
      <c r="D73" s="18" t="inlineStr">
        <is>
          <t>CH0311864901</t>
        </is>
      </c>
      <c r="E73" s="18" t="inlineStr">
        <is>
          <t>GR</t>
        </is>
      </c>
      <c r="F73" s="18" t="inlineStr">
        <is>
          <t>Industrials</t>
        </is>
      </c>
      <c r="G73" s="18" t="inlineStr">
        <is>
          <t>Industrial Products</t>
        </is>
      </c>
      <c r="H73" s="18" t="n"/>
      <c r="I73" s="18" t="n"/>
      <c r="J73" s="18" t="inlineStr">
        <is>
          <t>Pipeline Only</t>
        </is>
      </c>
      <c r="K73" s="18" t="n"/>
      <c r="L73" s="18" t="n"/>
      <c r="M73" s="18" t="inlineStr">
        <is>
          <t>Not yet screened</t>
        </is>
      </c>
      <c r="N73" s="18" t="n"/>
      <c r="O73" s="18" t="n"/>
    </row>
    <row r="74">
      <c r="A74" s="19" t="inlineStr">
        <is>
          <t>BSD2_ES0113</t>
        </is>
      </c>
      <c r="B74" s="19" t="inlineStr">
        <is>
          <t>Banco Santander SA</t>
        </is>
      </c>
      <c r="C74" s="19" t="inlineStr">
        <is>
          <t>BSD2</t>
        </is>
      </c>
      <c r="D74" s="19" t="inlineStr">
        <is>
          <t>ES0113900J37</t>
        </is>
      </c>
      <c r="E74" s="19" t="inlineStr">
        <is>
          <t>GR</t>
        </is>
      </c>
      <c r="F74" s="19" t="inlineStr">
        <is>
          <t>Financials</t>
        </is>
      </c>
      <c r="G74" s="19" t="inlineStr">
        <is>
          <t>Banking</t>
        </is>
      </c>
      <c r="H74" s="19" t="n"/>
      <c r="I74" s="19" t="n"/>
      <c r="J74" s="19" t="inlineStr">
        <is>
          <t>Pipeline Only</t>
        </is>
      </c>
      <c r="K74" s="19" t="n"/>
      <c r="L74" s="19" t="n"/>
      <c r="M74" s="19" t="inlineStr">
        <is>
          <t>Not yet screened</t>
        </is>
      </c>
      <c r="N74" s="19" t="n"/>
      <c r="O74" s="19" t="n"/>
    </row>
    <row r="75">
      <c r="A75" s="18" t="inlineStr">
        <is>
          <t>TCO0_GB00BL</t>
        </is>
      </c>
      <c r="B75" s="18" t="inlineStr">
        <is>
          <t>Tesco PLC</t>
        </is>
      </c>
      <c r="C75" s="18" t="inlineStr">
        <is>
          <t>TCO0</t>
        </is>
      </c>
      <c r="D75" s="18" t="inlineStr">
        <is>
          <t>GB00BLGZ9862</t>
        </is>
      </c>
      <c r="E75" s="18" t="inlineStr">
        <is>
          <t>GR</t>
        </is>
      </c>
      <c r="F75" s="18" t="inlineStr">
        <is>
          <t>Consumer Staples</t>
        </is>
      </c>
      <c r="G75" s="18" t="inlineStr">
        <is>
          <t>Retail &amp; Wholesale - Staples</t>
        </is>
      </c>
      <c r="H75" s="18" t="n"/>
      <c r="I75" s="18" t="n"/>
      <c r="J75" s="18" t="inlineStr">
        <is>
          <t>Pipeline Only</t>
        </is>
      </c>
      <c r="K75" s="18" t="n"/>
      <c r="L75" s="18" t="n"/>
      <c r="M75" s="18" t="inlineStr">
        <is>
          <t>Not yet screened</t>
        </is>
      </c>
      <c r="N75" s="18" t="n"/>
      <c r="O75" s="18" t="n"/>
    </row>
    <row r="76">
      <c r="A76" s="19" t="inlineStr">
        <is>
          <t>C0Q_CH0198</t>
        </is>
      </c>
      <c r="B76" s="19" t="inlineStr">
        <is>
          <t>Coca-Cola HBC AG</t>
        </is>
      </c>
      <c r="C76" s="19" t="inlineStr">
        <is>
          <t>C0Q</t>
        </is>
      </c>
      <c r="D76" s="19" t="inlineStr">
        <is>
          <t>CH0198251305</t>
        </is>
      </c>
      <c r="E76" s="19" t="inlineStr">
        <is>
          <t>GR</t>
        </is>
      </c>
      <c r="F76" s="19" t="inlineStr">
        <is>
          <t>Consumer Staples</t>
        </is>
      </c>
      <c r="G76" s="19" t="inlineStr">
        <is>
          <t>Consumer Staple Products</t>
        </is>
      </c>
      <c r="H76" s="19" t="n"/>
      <c r="I76" s="19" t="n"/>
      <c r="J76" s="19" t="inlineStr">
        <is>
          <t>Pipeline Only</t>
        </is>
      </c>
      <c r="K76" s="19" t="n"/>
      <c r="L76" s="19" t="n"/>
      <c r="M76" s="19" t="inlineStr">
        <is>
          <t>Not yet screened</t>
        </is>
      </c>
      <c r="N76" s="19" t="n"/>
      <c r="O76" s="19" t="n"/>
    </row>
    <row r="77">
      <c r="A77" s="18" t="inlineStr">
        <is>
          <t>XCA_FR0000</t>
        </is>
      </c>
      <c r="B77" s="18" t="inlineStr">
        <is>
          <t>Credit Agricole SA</t>
        </is>
      </c>
      <c r="C77" s="18" t="inlineStr">
        <is>
          <t>XCA</t>
        </is>
      </c>
      <c r="D77" s="18" t="inlineStr">
        <is>
          <t>FR0000045072</t>
        </is>
      </c>
      <c r="E77" s="18" t="inlineStr">
        <is>
          <t>GR</t>
        </is>
      </c>
      <c r="F77" s="18" t="inlineStr">
        <is>
          <t>Financials</t>
        </is>
      </c>
      <c r="G77" s="18" t="inlineStr">
        <is>
          <t>Banking</t>
        </is>
      </c>
      <c r="H77" s="18" t="n"/>
      <c r="I77" s="18" t="n"/>
      <c r="J77" s="18" t="inlineStr">
        <is>
          <t>Pipeline Only</t>
        </is>
      </c>
      <c r="K77" s="18" t="n"/>
      <c r="L77" s="18" t="n"/>
      <c r="M77" s="18" t="inlineStr">
        <is>
          <t>Not yet screened</t>
        </is>
      </c>
      <c r="N77" s="18" t="n"/>
      <c r="O77" s="18" t="n"/>
    </row>
    <row r="78">
      <c r="A78" s="19" t="inlineStr">
        <is>
          <t>BOY_ES0113</t>
        </is>
      </c>
      <c r="B78" s="19" t="inlineStr">
        <is>
          <t>Banco Bilbao Vizcaya Argentaria SA</t>
        </is>
      </c>
      <c r="C78" s="19" t="inlineStr">
        <is>
          <t>BOY</t>
        </is>
      </c>
      <c r="D78" s="19" t="inlineStr">
        <is>
          <t>ES0113211835</t>
        </is>
      </c>
      <c r="E78" s="19" t="inlineStr">
        <is>
          <t>GR</t>
        </is>
      </c>
      <c r="F78" s="19" t="inlineStr">
        <is>
          <t>Financials</t>
        </is>
      </c>
      <c r="G78" s="19" t="inlineStr">
        <is>
          <t>Banking</t>
        </is>
      </c>
      <c r="H78" s="19" t="n"/>
      <c r="I78" s="19" t="n"/>
      <c r="J78" s="19" t="inlineStr">
        <is>
          <t>Pipeline Only</t>
        </is>
      </c>
      <c r="K78" s="19" t="n"/>
      <c r="L78" s="19" t="n"/>
      <c r="M78" s="19" t="inlineStr">
        <is>
          <t>Not yet screened</t>
        </is>
      </c>
      <c r="N78" s="19" t="n"/>
      <c r="O78" s="19" t="n"/>
    </row>
    <row r="79">
      <c r="A79" s="18" t="inlineStr">
        <is>
          <t>EAM_IT0001</t>
        </is>
      </c>
      <c r="B79" s="18" t="inlineStr">
        <is>
          <t>A2A SpA</t>
        </is>
      </c>
      <c r="C79" s="18" t="inlineStr">
        <is>
          <t>EAM</t>
        </is>
      </c>
      <c r="D79" s="18" t="inlineStr">
        <is>
          <t>IT0001233417</t>
        </is>
      </c>
      <c r="E79" s="18" t="inlineStr">
        <is>
          <t>GR</t>
        </is>
      </c>
      <c r="F79" s="18" t="inlineStr">
        <is>
          <t>Utilities</t>
        </is>
      </c>
      <c r="G79" s="18" t="inlineStr">
        <is>
          <t>Utilities</t>
        </is>
      </c>
      <c r="H79" s="18" t="n"/>
      <c r="I79" s="18" t="n"/>
      <c r="J79" s="18" t="inlineStr">
        <is>
          <t>Pipeline Only</t>
        </is>
      </c>
      <c r="K79" s="18" t="n"/>
      <c r="L79" s="18" t="n"/>
      <c r="M79" s="18" t="inlineStr">
        <is>
          <t>Not yet screened</t>
        </is>
      </c>
      <c r="N79" s="18" t="n"/>
      <c r="O79" s="18" t="n"/>
    </row>
    <row r="80">
      <c r="A80" s="19" t="inlineStr">
        <is>
          <t>4AJ0_DK0061</t>
        </is>
      </c>
      <c r="B80" s="19" t="inlineStr">
        <is>
          <t>ALK-Abello A/S</t>
        </is>
      </c>
      <c r="C80" s="19" t="inlineStr">
        <is>
          <t>4AJ0</t>
        </is>
      </c>
      <c r="D80" s="19" t="inlineStr">
        <is>
          <t>DK0061802139</t>
        </is>
      </c>
      <c r="E80" s="19" t="inlineStr">
        <is>
          <t>GR</t>
        </is>
      </c>
      <c r="F80" s="19" t="inlineStr">
        <is>
          <t>Health Care</t>
        </is>
      </c>
      <c r="G80" s="19" t="inlineStr">
        <is>
          <t>Health Care</t>
        </is>
      </c>
      <c r="H80" s="19" t="n"/>
      <c r="I80" s="19" t="n"/>
      <c r="J80" s="19" t="inlineStr">
        <is>
          <t>Pipeline Only</t>
        </is>
      </c>
      <c r="K80" s="19" t="n"/>
      <c r="L80" s="19" t="n"/>
      <c r="M80" s="19" t="inlineStr">
        <is>
          <t>Not yet screened</t>
        </is>
      </c>
      <c r="N80" s="19" t="n"/>
      <c r="O80" s="19" t="n"/>
    </row>
    <row r="81">
      <c r="A81" s="18" t="inlineStr">
        <is>
          <t>OCI1_ES0167</t>
        </is>
      </c>
      <c r="B81" s="18" t="inlineStr">
        <is>
          <t>ACS Actividades de Construccion y Servicios SA</t>
        </is>
      </c>
      <c r="C81" s="18" t="inlineStr">
        <is>
          <t>OCI1</t>
        </is>
      </c>
      <c r="D81" s="18" t="inlineStr">
        <is>
          <t>ES0167050915</t>
        </is>
      </c>
      <c r="E81" s="18" t="inlineStr">
        <is>
          <t>GR</t>
        </is>
      </c>
      <c r="F81" s="18" t="inlineStr">
        <is>
          <t>Industrials</t>
        </is>
      </c>
      <c r="G81" s="18" t="inlineStr">
        <is>
          <t>Industrial Services</t>
        </is>
      </c>
      <c r="H81" s="18" t="n"/>
      <c r="I81" s="18" t="n"/>
      <c r="J81" s="18" t="inlineStr">
        <is>
          <t>Pipeline Only</t>
        </is>
      </c>
      <c r="K81" s="18" t="n"/>
      <c r="L81" s="18" t="n"/>
      <c r="M81" s="18" t="inlineStr">
        <is>
          <t>Not yet screened</t>
        </is>
      </c>
      <c r="N81" s="18" t="n"/>
      <c r="O81" s="18" t="n"/>
    </row>
    <row r="82">
      <c r="A82" s="19" t="inlineStr">
        <is>
          <t>2FE_NL0011</t>
        </is>
      </c>
      <c r="B82" s="19" t="inlineStr">
        <is>
          <t>Ferrari NV</t>
        </is>
      </c>
      <c r="C82" s="19" t="inlineStr">
        <is>
          <t>2FE</t>
        </is>
      </c>
      <c r="D82" s="19" t="inlineStr">
        <is>
          <t>NL0011585146</t>
        </is>
      </c>
      <c r="E82" s="19" t="inlineStr">
        <is>
          <t>GR</t>
        </is>
      </c>
      <c r="F82" s="19" t="inlineStr">
        <is>
          <t>Consumer Discretionary</t>
        </is>
      </c>
      <c r="G82" s="19" t="inlineStr">
        <is>
          <t>Consumer Discretionary Products</t>
        </is>
      </c>
      <c r="H82" s="19" t="n"/>
      <c r="I82" s="19" t="n"/>
      <c r="J82" s="19" t="inlineStr">
        <is>
          <t>Pipeline Only</t>
        </is>
      </c>
      <c r="K82" s="19" t="n"/>
      <c r="L82" s="19" t="n"/>
      <c r="M82" s="19" t="inlineStr">
        <is>
          <t>Not yet screened</t>
        </is>
      </c>
      <c r="N82" s="19" t="n"/>
      <c r="O82" s="19" t="n"/>
    </row>
    <row r="83">
      <c r="A83" s="18" t="inlineStr">
        <is>
          <t>8BU_IT0004</t>
        </is>
      </c>
      <c r="B83" s="18" t="inlineStr">
        <is>
          <t>Brunello Cucinelli SpA</t>
        </is>
      </c>
      <c r="C83" s="18" t="inlineStr">
        <is>
          <t>8BU</t>
        </is>
      </c>
      <c r="D83" s="18" t="inlineStr">
        <is>
          <t>IT0004764699</t>
        </is>
      </c>
      <c r="E83" s="18" t="inlineStr">
        <is>
          <t>GR</t>
        </is>
      </c>
      <c r="F83" s="18" t="inlineStr">
        <is>
          <t>Consumer Discretionary</t>
        </is>
      </c>
      <c r="G83" s="18" t="inlineStr">
        <is>
          <t>Retail &amp; Whsle - Discretionary</t>
        </is>
      </c>
      <c r="H83" s="18" t="n"/>
      <c r="I83" s="18" t="n"/>
      <c r="J83" s="18" t="inlineStr">
        <is>
          <t>Pipeline Only</t>
        </is>
      </c>
      <c r="K83" s="18" t="n"/>
      <c r="L83" s="18" t="n"/>
      <c r="M83" s="18" t="inlineStr">
        <is>
          <t>Not yet screened</t>
        </is>
      </c>
      <c r="N83" s="18" t="n"/>
      <c r="O83" s="18" t="n"/>
    </row>
    <row r="84">
      <c r="A84" s="19" t="inlineStr">
        <is>
          <t>IBE1_ES0144</t>
        </is>
      </c>
      <c r="B84" s="19" t="inlineStr">
        <is>
          <t>Iberdrola SA</t>
        </is>
      </c>
      <c r="C84" s="19" t="inlineStr">
        <is>
          <t>IBE1</t>
        </is>
      </c>
      <c r="D84" s="19" t="inlineStr">
        <is>
          <t>ES0144580Y14</t>
        </is>
      </c>
      <c r="E84" s="19" t="inlineStr">
        <is>
          <t>GR</t>
        </is>
      </c>
      <c r="F84" s="19" t="inlineStr">
        <is>
          <t>Utilities</t>
        </is>
      </c>
      <c r="G84" s="19" t="inlineStr">
        <is>
          <t>Utilities</t>
        </is>
      </c>
      <c r="H84" s="19" t="n"/>
      <c r="I84" s="19" t="n"/>
      <c r="J84" s="19" t="inlineStr">
        <is>
          <t>Pipeline Only</t>
        </is>
      </c>
      <c r="K84" s="19" t="n"/>
      <c r="L84" s="19" t="n"/>
      <c r="M84" s="19" t="inlineStr">
        <is>
          <t>Not yet screened</t>
        </is>
      </c>
      <c r="N84" s="19" t="n"/>
      <c r="O84" s="19" t="n"/>
    </row>
    <row r="85">
      <c r="A85" s="18" t="inlineStr">
        <is>
          <t>NCYD_SE0005</t>
        </is>
      </c>
      <c r="B85" s="18" t="inlineStr">
        <is>
          <t>Tele2 AB</t>
        </is>
      </c>
      <c r="C85" s="18" t="inlineStr">
        <is>
          <t>NCYD</t>
        </is>
      </c>
      <c r="D85" s="18" t="inlineStr">
        <is>
          <t>SE0005190238</t>
        </is>
      </c>
      <c r="E85" s="18" t="inlineStr">
        <is>
          <t>GR</t>
        </is>
      </c>
      <c r="F85" s="18" t="inlineStr">
        <is>
          <t>Communications</t>
        </is>
      </c>
      <c r="G85" s="18" t="inlineStr">
        <is>
          <t>Telecommunications</t>
        </is>
      </c>
      <c r="H85" s="18" t="n"/>
      <c r="I85" s="18" t="n"/>
      <c r="J85" s="18" t="inlineStr">
        <is>
          <t>Pipeline Only</t>
        </is>
      </c>
      <c r="K85" s="18" t="n"/>
      <c r="L85" s="18" t="n"/>
      <c r="M85" s="18" t="inlineStr">
        <is>
          <t>Not yet screened</t>
        </is>
      </c>
      <c r="N85" s="18" t="n"/>
      <c r="O85" s="18" t="n"/>
    </row>
    <row r="86">
      <c r="A86" s="19" t="inlineStr">
        <is>
          <t>48CA_ES0140</t>
        </is>
      </c>
      <c r="B86" s="19" t="inlineStr">
        <is>
          <t>CaixaBank SA</t>
        </is>
      </c>
      <c r="C86" s="19" t="inlineStr">
        <is>
          <t>48CA</t>
        </is>
      </c>
      <c r="D86" s="19" t="inlineStr">
        <is>
          <t>ES0140609019</t>
        </is>
      </c>
      <c r="E86" s="19" t="inlineStr">
        <is>
          <t>GR</t>
        </is>
      </c>
      <c r="F86" s="19" t="inlineStr">
        <is>
          <t>Financials</t>
        </is>
      </c>
      <c r="G86" s="19" t="inlineStr">
        <is>
          <t>Banking</t>
        </is>
      </c>
      <c r="H86" s="19" t="n"/>
      <c r="I86" s="19" t="n"/>
      <c r="J86" s="19" t="inlineStr">
        <is>
          <t>Pipeline Only</t>
        </is>
      </c>
      <c r="K86" s="19" t="n"/>
      <c r="L86" s="19" t="n"/>
      <c r="M86" s="19" t="inlineStr">
        <is>
          <t>Not yet screened</t>
        </is>
      </c>
      <c r="N86" s="19" t="n"/>
      <c r="O86" s="19" t="n"/>
    </row>
    <row r="87">
      <c r="A87" s="18" t="inlineStr">
        <is>
          <t>8GC_JE00B4</t>
        </is>
      </c>
      <c r="B87" s="18" t="inlineStr">
        <is>
          <t>Glencore PLC</t>
        </is>
      </c>
      <c r="C87" s="18" t="inlineStr">
        <is>
          <t>8GC</t>
        </is>
      </c>
      <c r="D87" s="18" t="inlineStr">
        <is>
          <t>JE00B4T3BW64</t>
        </is>
      </c>
      <c r="E87" s="18" t="inlineStr">
        <is>
          <t>GR</t>
        </is>
      </c>
      <c r="F87" s="18" t="inlineStr">
        <is>
          <t>Materials</t>
        </is>
      </c>
      <c r="G87" s="18" t="inlineStr">
        <is>
          <t>Materials</t>
        </is>
      </c>
      <c r="H87" s="18" t="n"/>
      <c r="I87" s="18" t="n"/>
      <c r="J87" s="18" t="inlineStr">
        <is>
          <t>Pipeline Only</t>
        </is>
      </c>
      <c r="K87" s="18" t="n"/>
      <c r="L87" s="18" t="n"/>
      <c r="M87" s="18" t="inlineStr">
        <is>
          <t>Not yet screened</t>
        </is>
      </c>
      <c r="N87" s="18" t="n"/>
      <c r="O87" s="18" t="n"/>
    </row>
    <row r="88">
      <c r="A88" s="19" t="inlineStr">
        <is>
          <t>EBO_AT0000</t>
        </is>
      </c>
      <c r="B88" s="19" t="inlineStr">
        <is>
          <t>Erste Group Bank AG</t>
        </is>
      </c>
      <c r="C88" s="19" t="inlineStr">
        <is>
          <t>EBO</t>
        </is>
      </c>
      <c r="D88" s="19" t="inlineStr">
        <is>
          <t>AT0000652011</t>
        </is>
      </c>
      <c r="E88" s="19" t="inlineStr">
        <is>
          <t>GR</t>
        </is>
      </c>
      <c r="F88" s="19" t="inlineStr">
        <is>
          <t>Financials</t>
        </is>
      </c>
      <c r="G88" s="19" t="inlineStr">
        <is>
          <t>Banking</t>
        </is>
      </c>
      <c r="H88" s="19" t="n"/>
      <c r="I88" s="19" t="n"/>
      <c r="J88" s="19" t="inlineStr">
        <is>
          <t>Pipeline Only</t>
        </is>
      </c>
      <c r="K88" s="19" t="n"/>
      <c r="L88" s="19" t="n"/>
      <c r="M88" s="19" t="inlineStr">
        <is>
          <t>Not yet screened</t>
        </is>
      </c>
      <c r="N88" s="19" t="n"/>
      <c r="O88" s="19" t="n"/>
    </row>
    <row r="89">
      <c r="A89" s="18" t="inlineStr">
        <is>
          <t>RITN_CH0210</t>
        </is>
      </c>
      <c r="B89" s="18" t="inlineStr">
        <is>
          <t>Cie Financiere Richemont SA</t>
        </is>
      </c>
      <c r="C89" s="18" t="inlineStr">
        <is>
          <t>RITN</t>
        </is>
      </c>
      <c r="D89" s="18" t="inlineStr">
        <is>
          <t>CH0210483332</t>
        </is>
      </c>
      <c r="E89" s="18" t="inlineStr">
        <is>
          <t>GR</t>
        </is>
      </c>
      <c r="F89" s="18" t="inlineStr">
        <is>
          <t>Consumer Discretionary</t>
        </is>
      </c>
      <c r="G89" s="18" t="inlineStr">
        <is>
          <t>Consumer Discretionary Products</t>
        </is>
      </c>
      <c r="H89" s="18" t="n"/>
      <c r="I89" s="18" t="n"/>
      <c r="J89" s="18" t="inlineStr">
        <is>
          <t>Pipeline Only</t>
        </is>
      </c>
      <c r="K89" s="18" t="n"/>
      <c r="L89" s="18" t="n"/>
      <c r="M89" s="18" t="inlineStr">
        <is>
          <t>Not yet screened</t>
        </is>
      </c>
      <c r="N89" s="18" t="n"/>
      <c r="O89" s="18" t="n"/>
    </row>
    <row r="90">
      <c r="A90" s="19" t="inlineStr">
        <is>
          <t>HVXA_CH0466</t>
        </is>
      </c>
      <c r="B90" s="19" t="inlineStr">
        <is>
          <t>Helvetia Holding AG</t>
        </is>
      </c>
      <c r="C90" s="19" t="inlineStr">
        <is>
          <t>HVXA</t>
        </is>
      </c>
      <c r="D90" s="19" t="inlineStr">
        <is>
          <t>CH0466642201</t>
        </is>
      </c>
      <c r="E90" s="19" t="inlineStr">
        <is>
          <t>GR</t>
        </is>
      </c>
      <c r="F90" s="19" t="inlineStr">
        <is>
          <t>Financials</t>
        </is>
      </c>
      <c r="G90" s="19" t="inlineStr">
        <is>
          <t>Insurance</t>
        </is>
      </c>
      <c r="H90" s="19" t="n"/>
      <c r="I90" s="19" t="n"/>
      <c r="J90" s="19" t="inlineStr">
        <is>
          <t>Pipeline Only</t>
        </is>
      </c>
      <c r="K90" s="19" t="n"/>
      <c r="L90" s="19" t="n"/>
      <c r="M90" s="19" t="inlineStr">
        <is>
          <t>Not yet screened</t>
        </is>
      </c>
      <c r="N90" s="19" t="n"/>
      <c r="O90" s="19" t="n"/>
    </row>
    <row r="91">
      <c r="A91" s="18" t="inlineStr">
        <is>
          <t>BAKA_ES0113</t>
        </is>
      </c>
      <c r="B91" s="18" t="inlineStr">
        <is>
          <t>Bankinter SA</t>
        </is>
      </c>
      <c r="C91" s="18" t="inlineStr">
        <is>
          <t>BAKA</t>
        </is>
      </c>
      <c r="D91" s="18" t="inlineStr">
        <is>
          <t>ES0113679I37</t>
        </is>
      </c>
      <c r="E91" s="18" t="inlineStr">
        <is>
          <t>GR</t>
        </is>
      </c>
      <c r="F91" s="18" t="inlineStr">
        <is>
          <t>Financials</t>
        </is>
      </c>
      <c r="G91" s="18" t="inlineStr">
        <is>
          <t>Banking</t>
        </is>
      </c>
      <c r="H91" s="18" t="n"/>
      <c r="I91" s="18" t="n"/>
      <c r="J91" s="18" t="inlineStr">
        <is>
          <t>Pipeline Only</t>
        </is>
      </c>
      <c r="K91" s="18" t="n"/>
      <c r="L91" s="18" t="n"/>
      <c r="M91" s="18" t="inlineStr">
        <is>
          <t>Not yet screened</t>
        </is>
      </c>
      <c r="N91" s="18" t="n"/>
      <c r="O91" s="18" t="n"/>
    </row>
    <row r="92">
      <c r="A92" s="19" t="inlineStr">
        <is>
          <t>ZS3_IT0000</t>
        </is>
      </c>
      <c r="B92" s="19" t="inlineStr">
        <is>
          <t>FinecoBank Banca Fineco SpA</t>
        </is>
      </c>
      <c r="C92" s="19" t="inlineStr">
        <is>
          <t>ZS3</t>
        </is>
      </c>
      <c r="D92" s="19" t="inlineStr">
        <is>
          <t>IT0000072170</t>
        </is>
      </c>
      <c r="E92" s="19" t="inlineStr">
        <is>
          <t>GR</t>
        </is>
      </c>
      <c r="F92" s="19" t="inlineStr">
        <is>
          <t>Financials</t>
        </is>
      </c>
      <c r="G92" s="19" t="inlineStr">
        <is>
          <t>Banking</t>
        </is>
      </c>
      <c r="H92" s="19" t="n"/>
      <c r="I92" s="19" t="n"/>
      <c r="J92" s="19" t="inlineStr">
        <is>
          <t>Pipeline Only</t>
        </is>
      </c>
      <c r="K92" s="19" t="n"/>
      <c r="L92" s="19" t="n"/>
      <c r="M92" s="19" t="inlineStr">
        <is>
          <t>Not yet screened</t>
        </is>
      </c>
      <c r="N92" s="19" t="n"/>
      <c r="O92" s="19" t="n"/>
    </row>
    <row r="93">
      <c r="A93" s="18" t="inlineStr">
        <is>
          <t>KGHA_PLKGHM</t>
        </is>
      </c>
      <c r="B93" s="18" t="inlineStr">
        <is>
          <t>KGHM Polska Miedz SA</t>
        </is>
      </c>
      <c r="C93" s="18" t="inlineStr">
        <is>
          <t>KGHA</t>
        </is>
      </c>
      <c r="D93" s="18" t="inlineStr">
        <is>
          <t>PLKGHM000017</t>
        </is>
      </c>
      <c r="E93" s="18" t="inlineStr">
        <is>
          <t>GR</t>
        </is>
      </c>
      <c r="F93" s="18" t="inlineStr">
        <is>
          <t>Materials</t>
        </is>
      </c>
      <c r="G93" s="18" t="inlineStr">
        <is>
          <t>Materials</t>
        </is>
      </c>
      <c r="H93" s="18" t="n"/>
      <c r="I93" s="18" t="n"/>
      <c r="J93" s="18" t="inlineStr">
        <is>
          <t>Pipeline Only</t>
        </is>
      </c>
      <c r="K93" s="18" t="n"/>
      <c r="L93" s="18" t="n"/>
      <c r="M93" s="18" t="inlineStr">
        <is>
          <t>Not yet screened</t>
        </is>
      </c>
      <c r="N93" s="18" t="n"/>
      <c r="O93" s="18" t="n"/>
    </row>
    <row r="94">
      <c r="A94" s="19" t="inlineStr">
        <is>
          <t>61L0_SE0018</t>
        </is>
      </c>
      <c r="B94" s="19" t="inlineStr">
        <is>
          <t>Sectra AB</t>
        </is>
      </c>
      <c r="C94" s="19" t="inlineStr">
        <is>
          <t>61L0</t>
        </is>
      </c>
      <c r="D94" s="19" t="inlineStr">
        <is>
          <t>SE0018245953</t>
        </is>
      </c>
      <c r="E94" s="19" t="inlineStr">
        <is>
          <t>GR</t>
        </is>
      </c>
      <c r="F94" s="19" t="inlineStr">
        <is>
          <t>Health Care</t>
        </is>
      </c>
      <c r="G94" s="19" t="inlineStr">
        <is>
          <t>Health Care</t>
        </is>
      </c>
      <c r="H94" s="19" t="n"/>
      <c r="I94" s="19" t="n"/>
      <c r="J94" s="19" t="inlineStr">
        <is>
          <t>Pipeline Only</t>
        </is>
      </c>
      <c r="K94" s="19" t="n"/>
      <c r="L94" s="19" t="n"/>
      <c r="M94" s="19" t="inlineStr">
        <is>
          <t>Not yet screened</t>
        </is>
      </c>
      <c r="N94" s="19" t="n"/>
      <c r="O94" s="19" t="n"/>
    </row>
    <row r="95">
      <c r="A95" s="18" t="inlineStr">
        <is>
          <t>MUV2_DE0008</t>
        </is>
      </c>
      <c r="B95" s="18" t="inlineStr">
        <is>
          <t>Muenchener Rueckversicherungs-Gesellschaft AG in Muenchen</t>
        </is>
      </c>
      <c r="C95" s="18" t="inlineStr">
        <is>
          <t>MUV2</t>
        </is>
      </c>
      <c r="D95" s="18" t="inlineStr">
        <is>
          <t>DE0008430026</t>
        </is>
      </c>
      <c r="E95" s="18" t="inlineStr">
        <is>
          <t>GR</t>
        </is>
      </c>
      <c r="F95" s="18" t="inlineStr">
        <is>
          <t>Financials</t>
        </is>
      </c>
      <c r="G95" s="18" t="inlineStr">
        <is>
          <t>Insurance</t>
        </is>
      </c>
      <c r="H95" s="18" t="n"/>
      <c r="I95" s="18" t="n"/>
      <c r="J95" s="18" t="inlineStr">
        <is>
          <t>Pipeline Only</t>
        </is>
      </c>
      <c r="K95" s="18" t="n"/>
      <c r="L95" s="18" t="n"/>
      <c r="M95" s="18" t="inlineStr">
        <is>
          <t>Not yet screened</t>
        </is>
      </c>
      <c r="N95" s="18" t="n"/>
      <c r="O95" s="18" t="n"/>
    </row>
    <row r="96">
      <c r="A96" s="19" t="inlineStr">
        <is>
          <t>IVS_SE0015</t>
        </is>
      </c>
      <c r="B96" s="19" t="inlineStr">
        <is>
          <t>Investor AB</t>
        </is>
      </c>
      <c r="C96" s="19" t="inlineStr">
        <is>
          <t>IVS</t>
        </is>
      </c>
      <c r="D96" s="19" t="inlineStr">
        <is>
          <t>SE0015811955</t>
        </is>
      </c>
      <c r="E96" s="19" t="inlineStr">
        <is>
          <t>GR</t>
        </is>
      </c>
      <c r="F96" s="19" t="inlineStr">
        <is>
          <t>Financials</t>
        </is>
      </c>
      <c r="G96" s="19" t="inlineStr">
        <is>
          <t>Financial Services</t>
        </is>
      </c>
      <c r="H96" s="19" t="n"/>
      <c r="I96" s="19" t="n"/>
      <c r="J96" s="19" t="inlineStr">
        <is>
          <t>Pipeline Only</t>
        </is>
      </c>
      <c r="K96" s="19" t="n"/>
      <c r="L96" s="19" t="n"/>
      <c r="M96" s="19" t="inlineStr">
        <is>
          <t>Not yet screened</t>
        </is>
      </c>
      <c r="N96" s="19" t="n"/>
      <c r="O96" s="19" t="n"/>
    </row>
    <row r="97">
      <c r="A97" s="18" t="inlineStr">
        <is>
          <t>IES_IT0000</t>
        </is>
      </c>
      <c r="B97" s="18" t="inlineStr">
        <is>
          <t>Intesa Sanpaolo SpA</t>
        </is>
      </c>
      <c r="C97" s="18" t="inlineStr">
        <is>
          <t>IES</t>
        </is>
      </c>
      <c r="D97" s="18" t="inlineStr">
        <is>
          <t>IT0000072618</t>
        </is>
      </c>
      <c r="E97" s="18" t="inlineStr">
        <is>
          <t>GR</t>
        </is>
      </c>
      <c r="F97" s="18" t="inlineStr">
        <is>
          <t>Financials</t>
        </is>
      </c>
      <c r="G97" s="18" t="inlineStr">
        <is>
          <t>Banking</t>
        </is>
      </c>
      <c r="H97" s="18" t="n"/>
      <c r="I97" s="18" t="n"/>
      <c r="J97" s="18" t="inlineStr">
        <is>
          <t>Pipeline Only</t>
        </is>
      </c>
      <c r="K97" s="18" t="n"/>
      <c r="L97" s="18" t="n"/>
      <c r="M97" s="18" t="inlineStr">
        <is>
          <t>Not yet screened</t>
        </is>
      </c>
      <c r="N97" s="18" t="n"/>
      <c r="O97" s="18" t="n"/>
    </row>
    <row r="98">
      <c r="A98" s="19" t="inlineStr">
        <is>
          <t>SEO_GB0007</t>
        </is>
      </c>
      <c r="B98" s="19" t="inlineStr">
        <is>
          <t>Serco Group PLC</t>
        </is>
      </c>
      <c r="C98" s="19" t="inlineStr">
        <is>
          <t>SEO</t>
        </is>
      </c>
      <c r="D98" s="19" t="inlineStr">
        <is>
          <t>GB0007973794</t>
        </is>
      </c>
      <c r="E98" s="19" t="inlineStr">
        <is>
          <t>GR</t>
        </is>
      </c>
      <c r="F98" s="19" t="inlineStr">
        <is>
          <t>Technology</t>
        </is>
      </c>
      <c r="G98" s="19" t="inlineStr">
        <is>
          <t>Software &amp; Tech Services</t>
        </is>
      </c>
      <c r="H98" s="19" t="n"/>
      <c r="I98" s="19" t="n"/>
      <c r="J98" s="19" t="inlineStr">
        <is>
          <t>Pipeline Only</t>
        </is>
      </c>
      <c r="K98" s="19" t="n"/>
      <c r="L98" s="19" t="n"/>
      <c r="M98" s="19" t="inlineStr">
        <is>
          <t>Not yet screened</t>
        </is>
      </c>
      <c r="N98" s="19" t="n"/>
      <c r="O98" s="19" t="n"/>
    </row>
    <row r="99">
      <c r="A99" s="18" t="inlineStr">
        <is>
          <t>NKT_DK0010</t>
        </is>
      </c>
      <c r="B99" s="18" t="inlineStr">
        <is>
          <t>NKT A/S</t>
        </is>
      </c>
      <c r="C99" s="18" t="inlineStr">
        <is>
          <t>NKT</t>
        </is>
      </c>
      <c r="D99" s="18" t="inlineStr">
        <is>
          <t>DK0010287663</t>
        </is>
      </c>
      <c r="E99" s="18" t="inlineStr">
        <is>
          <t>GR</t>
        </is>
      </c>
      <c r="F99" s="18" t="inlineStr">
        <is>
          <t>Industrials</t>
        </is>
      </c>
      <c r="G99" s="18" t="inlineStr">
        <is>
          <t>Industrial Products</t>
        </is>
      </c>
      <c r="H99" s="18" t="n"/>
      <c r="I99" s="18" t="n"/>
      <c r="J99" s="18" t="inlineStr">
        <is>
          <t>Pipeline Only</t>
        </is>
      </c>
      <c r="K99" s="18" t="n"/>
      <c r="L99" s="18" t="n"/>
      <c r="M99" s="18" t="inlineStr">
        <is>
          <t>Not yet screened</t>
        </is>
      </c>
      <c r="N99" s="18" t="n"/>
      <c r="O99" s="18" t="n"/>
    </row>
    <row r="100">
      <c r="A100" s="19" t="inlineStr">
        <is>
          <t>SKT_NO0003</t>
        </is>
      </c>
      <c r="B100" s="19" t="inlineStr">
        <is>
          <t>Storebrand ASA</t>
        </is>
      </c>
      <c r="C100" s="19" t="inlineStr">
        <is>
          <t>SKT</t>
        </is>
      </c>
      <c r="D100" s="19" t="inlineStr">
        <is>
          <t>NO0003053605</t>
        </is>
      </c>
      <c r="E100" s="19" t="inlineStr">
        <is>
          <t>GR</t>
        </is>
      </c>
      <c r="F100" s="19" t="inlineStr">
        <is>
          <t>Financials</t>
        </is>
      </c>
      <c r="G100" s="19" t="inlineStr">
        <is>
          <t>Insurance</t>
        </is>
      </c>
      <c r="H100" s="19" t="n"/>
      <c r="I100" s="19" t="n"/>
      <c r="J100" s="19" t="inlineStr">
        <is>
          <t>Pipeline Only</t>
        </is>
      </c>
      <c r="K100" s="19" t="n"/>
      <c r="L100" s="19" t="n"/>
      <c r="M100" s="19" t="inlineStr">
        <is>
          <t>Not yet screened</t>
        </is>
      </c>
      <c r="N100" s="19" t="n"/>
      <c r="O100" s="19" t="n"/>
    </row>
    <row r="101">
      <c r="A101" s="18" t="inlineStr">
        <is>
          <t>3ZV_PLBNFT</t>
        </is>
      </c>
      <c r="B101" s="18" t="inlineStr">
        <is>
          <t>Benefit Systems SA</t>
        </is>
      </c>
      <c r="C101" s="18" t="inlineStr">
        <is>
          <t>3ZV</t>
        </is>
      </c>
      <c r="D101" s="18" t="inlineStr">
        <is>
          <t>PLBNFTS00018</t>
        </is>
      </c>
      <c r="E101" s="18" t="inlineStr">
        <is>
          <t>GR</t>
        </is>
      </c>
      <c r="F101" s="18" t="inlineStr">
        <is>
          <t>Industrials</t>
        </is>
      </c>
      <c r="G101" s="18" t="inlineStr">
        <is>
          <t>Industrial Services</t>
        </is>
      </c>
      <c r="H101" s="18" t="n"/>
      <c r="I101" s="18" t="n"/>
      <c r="J101" s="18" t="inlineStr">
        <is>
          <t>Pipeline Only</t>
        </is>
      </c>
      <c r="K101" s="18" t="n"/>
      <c r="L101" s="18" t="n"/>
      <c r="M101" s="18" t="inlineStr">
        <is>
          <t>Not yet screened</t>
        </is>
      </c>
      <c r="N101" s="18" t="n"/>
      <c r="O101" s="18" t="n"/>
    </row>
    <row r="102">
      <c r="A102" s="19" t="inlineStr">
        <is>
          <t>TLX_DE000T</t>
        </is>
      </c>
      <c r="B102" s="19" t="inlineStr">
        <is>
          <t>Talanx AG</t>
        </is>
      </c>
      <c r="C102" s="19" t="inlineStr">
        <is>
          <t>TLX</t>
        </is>
      </c>
      <c r="D102" s="19" t="inlineStr">
        <is>
          <t>DE000TLX1005</t>
        </is>
      </c>
      <c r="E102" s="19" t="inlineStr">
        <is>
          <t>GR</t>
        </is>
      </c>
      <c r="F102" s="19" t="inlineStr">
        <is>
          <t>Financials</t>
        </is>
      </c>
      <c r="G102" s="19" t="inlineStr">
        <is>
          <t>Insurance</t>
        </is>
      </c>
      <c r="H102" s="19" t="n"/>
      <c r="I102" s="19" t="n"/>
      <c r="J102" s="19" t="inlineStr">
        <is>
          <t>Pipeline Only</t>
        </is>
      </c>
      <c r="K102" s="19" t="n"/>
      <c r="L102" s="19" t="n"/>
      <c r="M102" s="19" t="inlineStr">
        <is>
          <t>Not yet screened</t>
        </is>
      </c>
      <c r="N102" s="19" t="n"/>
      <c r="O102" s="19" t="n"/>
    </row>
    <row r="103">
      <c r="A103" s="18" t="inlineStr">
        <is>
          <t>K34_FI0009</t>
        </is>
      </c>
      <c r="B103" s="18" t="inlineStr">
        <is>
          <t>Konecranes Oyj</t>
        </is>
      </c>
      <c r="C103" s="18" t="inlineStr">
        <is>
          <t>K34</t>
        </is>
      </c>
      <c r="D103" s="18" t="inlineStr">
        <is>
          <t>FI0009005870</t>
        </is>
      </c>
      <c r="E103" s="18" t="inlineStr">
        <is>
          <t>GR</t>
        </is>
      </c>
      <c r="F103" s="18" t="inlineStr">
        <is>
          <t>Industrials</t>
        </is>
      </c>
      <c r="G103" s="18" t="inlineStr">
        <is>
          <t>Industrial Products</t>
        </is>
      </c>
      <c r="H103" s="18" t="n"/>
      <c r="I103" s="18" t="n"/>
      <c r="J103" s="18" t="inlineStr">
        <is>
          <t>Pipeline Only</t>
        </is>
      </c>
      <c r="K103" s="18" t="n"/>
      <c r="L103" s="18" t="n"/>
      <c r="M103" s="18" t="inlineStr">
        <is>
          <t>Not yet screened</t>
        </is>
      </c>
      <c r="N103" s="18" t="n"/>
      <c r="O103" s="18" t="n"/>
    </row>
    <row r="104">
      <c r="A104" s="19" t="inlineStr">
        <is>
          <t>AEU_IT0004</t>
        </is>
      </c>
      <c r="B104" s="19" t="inlineStr">
        <is>
          <t>Prysmian SpA</t>
        </is>
      </c>
      <c r="C104" s="19" t="inlineStr">
        <is>
          <t>AEU</t>
        </is>
      </c>
      <c r="D104" s="19" t="inlineStr">
        <is>
          <t>IT0004176001</t>
        </is>
      </c>
      <c r="E104" s="19" t="inlineStr">
        <is>
          <t>GR</t>
        </is>
      </c>
      <c r="F104" s="19" t="inlineStr">
        <is>
          <t>Industrials</t>
        </is>
      </c>
      <c r="G104" s="19" t="inlineStr">
        <is>
          <t>Industrial Products</t>
        </is>
      </c>
      <c r="H104" s="19" t="n"/>
      <c r="I104" s="19" t="n"/>
      <c r="J104" s="19" t="inlineStr">
        <is>
          <t>Pipeline Only</t>
        </is>
      </c>
      <c r="K104" s="19" t="n"/>
      <c r="L104" s="19" t="n"/>
      <c r="M104" s="19" t="inlineStr">
        <is>
          <t>Not yet screened</t>
        </is>
      </c>
      <c r="N104" s="19" t="n"/>
      <c r="O104" s="19" t="n"/>
    </row>
    <row r="105">
      <c r="A105" s="18" t="inlineStr">
        <is>
          <t>VHM_ES0182</t>
        </is>
      </c>
      <c r="B105" s="18" t="inlineStr">
        <is>
          <t>Sacyr SA</t>
        </is>
      </c>
      <c r="C105" s="18" t="inlineStr">
        <is>
          <t>VHM</t>
        </is>
      </c>
      <c r="D105" s="18" t="inlineStr">
        <is>
          <t>ES0182870214</t>
        </is>
      </c>
      <c r="E105" s="18" t="inlineStr">
        <is>
          <t>GR</t>
        </is>
      </c>
      <c r="F105" s="18" t="inlineStr">
        <is>
          <t>Industrials</t>
        </is>
      </c>
      <c r="G105" s="18" t="inlineStr">
        <is>
          <t>Industrial Services</t>
        </is>
      </c>
      <c r="H105" s="18" t="n"/>
      <c r="I105" s="18" t="n"/>
      <c r="J105" s="18" t="inlineStr">
        <is>
          <t>Pipeline Only</t>
        </is>
      </c>
      <c r="K105" s="18" t="n"/>
      <c r="L105" s="18" t="n"/>
      <c r="M105" s="18" t="inlineStr">
        <is>
          <t>Not yet screened</t>
        </is>
      </c>
      <c r="N105" s="18" t="n"/>
      <c r="O105" s="18" t="n"/>
    </row>
    <row r="106">
      <c r="A106" s="19" t="inlineStr">
        <is>
          <t>HLBN_CH0012</t>
        </is>
      </c>
      <c r="B106" s="19" t="inlineStr">
        <is>
          <t>Holcim AG</t>
        </is>
      </c>
      <c r="C106" s="19" t="inlineStr">
        <is>
          <t>HLBN</t>
        </is>
      </c>
      <c r="D106" s="19" t="inlineStr">
        <is>
          <t>CH0012214059</t>
        </is>
      </c>
      <c r="E106" s="19" t="inlineStr">
        <is>
          <t>GR</t>
        </is>
      </c>
      <c r="F106" s="19" t="inlineStr">
        <is>
          <t>Materials</t>
        </is>
      </c>
      <c r="G106" s="19" t="inlineStr">
        <is>
          <t>Materials</t>
        </is>
      </c>
      <c r="H106" s="19" t="n"/>
      <c r="I106" s="19" t="n"/>
      <c r="J106" s="19" t="inlineStr">
        <is>
          <t>Pipeline Only</t>
        </is>
      </c>
      <c r="K106" s="19" t="n"/>
      <c r="L106" s="19" t="n"/>
      <c r="M106" s="19" t="inlineStr">
        <is>
          <t>Not yet screened</t>
        </is>
      </c>
      <c r="N106" s="19" t="n"/>
      <c r="O106" s="19" t="n"/>
    </row>
    <row r="107">
      <c r="A107" s="18" t="inlineStr">
        <is>
          <t>IHJN_CH0528</t>
        </is>
      </c>
      <c r="B107" s="18" t="inlineStr">
        <is>
          <t>VZ Holding AG</t>
        </is>
      </c>
      <c r="C107" s="18" t="inlineStr">
        <is>
          <t>IHJN</t>
        </is>
      </c>
      <c r="D107" s="18" t="inlineStr">
        <is>
          <t>CH0528751586</t>
        </is>
      </c>
      <c r="E107" s="18" t="inlineStr">
        <is>
          <t>GR</t>
        </is>
      </c>
      <c r="F107" s="18" t="inlineStr">
        <is>
          <t>Financials</t>
        </is>
      </c>
      <c r="G107" s="18" t="inlineStr">
        <is>
          <t>Financial Services</t>
        </is>
      </c>
      <c r="H107" s="18" t="n"/>
      <c r="I107" s="18" t="n"/>
      <c r="J107" s="18" t="inlineStr">
        <is>
          <t>Pipeline Only</t>
        </is>
      </c>
      <c r="K107" s="18" t="n"/>
      <c r="L107" s="18" t="n"/>
      <c r="M107" s="18" t="inlineStr">
        <is>
          <t>Not yet screened</t>
        </is>
      </c>
      <c r="N107" s="18" t="n"/>
      <c r="O107" s="18" t="n"/>
    </row>
    <row r="108">
      <c r="A108" s="19" t="inlineStr">
        <is>
          <t>0UB_CH0244</t>
        </is>
      </c>
      <c r="B108" s="19" t="inlineStr">
        <is>
          <t>UBS Group AG</t>
        </is>
      </c>
      <c r="C108" s="19" t="inlineStr">
        <is>
          <t>0UB</t>
        </is>
      </c>
      <c r="D108" s="19" t="inlineStr">
        <is>
          <t>CH0244767585</t>
        </is>
      </c>
      <c r="E108" s="19" t="inlineStr">
        <is>
          <t>GR</t>
        </is>
      </c>
      <c r="F108" s="19" t="inlineStr">
        <is>
          <t>Financials</t>
        </is>
      </c>
      <c r="G108" s="19" t="inlineStr">
        <is>
          <t>Financial Services</t>
        </is>
      </c>
      <c r="H108" s="19" t="n"/>
      <c r="I108" s="19" t="n"/>
      <c r="J108" s="19" t="inlineStr">
        <is>
          <t>Pipeline Only</t>
        </is>
      </c>
      <c r="K108" s="19" t="n"/>
      <c r="L108" s="19" t="n"/>
      <c r="M108" s="19" t="inlineStr">
        <is>
          <t>Not yet screened</t>
        </is>
      </c>
      <c r="N108" s="19" t="n"/>
      <c r="O108" s="19" t="n"/>
    </row>
    <row r="109">
      <c r="A109" s="18" t="inlineStr">
        <is>
          <t>FG1_GB0000</t>
        </is>
      </c>
      <c r="B109" s="18" t="inlineStr">
        <is>
          <t>Antofagasta PLC</t>
        </is>
      </c>
      <c r="C109" s="18" t="inlineStr">
        <is>
          <t>FG1</t>
        </is>
      </c>
      <c r="D109" s="18" t="inlineStr">
        <is>
          <t>GB0000456144</t>
        </is>
      </c>
      <c r="E109" s="18" t="inlineStr">
        <is>
          <t>GR</t>
        </is>
      </c>
      <c r="F109" s="18" t="inlineStr">
        <is>
          <t>Materials</t>
        </is>
      </c>
      <c r="G109" s="18" t="inlineStr">
        <is>
          <t>Materials</t>
        </is>
      </c>
      <c r="H109" s="18" t="n"/>
      <c r="I109" s="18" t="n"/>
      <c r="J109" s="18" t="inlineStr">
        <is>
          <t>Pipeline Only</t>
        </is>
      </c>
      <c r="K109" s="18" t="n"/>
      <c r="L109" s="18" t="n"/>
      <c r="M109" s="18" t="inlineStr">
        <is>
          <t>Not yet screened</t>
        </is>
      </c>
      <c r="N109" s="18" t="n"/>
      <c r="O109" s="18" t="n"/>
    </row>
    <row r="110">
      <c r="A110" s="19" t="inlineStr">
        <is>
          <t>B9W_CH0130</t>
        </is>
      </c>
      <c r="B110" s="19" t="inlineStr">
        <is>
          <t>BKW AG</t>
        </is>
      </c>
      <c r="C110" s="19" t="inlineStr">
        <is>
          <t>B9W</t>
        </is>
      </c>
      <c r="D110" s="19" t="inlineStr">
        <is>
          <t>CH0130293662</t>
        </is>
      </c>
      <c r="E110" s="19" t="inlineStr">
        <is>
          <t>GR</t>
        </is>
      </c>
      <c r="F110" s="19" t="inlineStr">
        <is>
          <t>Utilities</t>
        </is>
      </c>
      <c r="G110" s="19" t="inlineStr">
        <is>
          <t>Utilities</t>
        </is>
      </c>
      <c r="H110" s="19" t="n"/>
      <c r="I110" s="19" t="n"/>
      <c r="J110" s="19" t="inlineStr">
        <is>
          <t>Pipeline Only</t>
        </is>
      </c>
      <c r="K110" s="19" t="n"/>
      <c r="L110" s="19" t="n"/>
      <c r="M110" s="19" t="inlineStr">
        <is>
          <t>Not yet screened</t>
        </is>
      </c>
      <c r="N110" s="19" t="n"/>
      <c r="O110" s="19" t="n"/>
    </row>
    <row r="111">
      <c r="A111" s="18" t="inlineStr">
        <is>
          <t>JYS1_DK0010</t>
        </is>
      </c>
      <c r="B111" s="18" t="inlineStr">
        <is>
          <t>Jyske Bank A/S</t>
        </is>
      </c>
      <c r="C111" s="18" t="inlineStr">
        <is>
          <t>JYS1</t>
        </is>
      </c>
      <c r="D111" s="18" t="inlineStr">
        <is>
          <t>DK0010307958</t>
        </is>
      </c>
      <c r="E111" s="18" t="inlineStr">
        <is>
          <t>GR</t>
        </is>
      </c>
      <c r="F111" s="18" t="inlineStr">
        <is>
          <t>Financials</t>
        </is>
      </c>
      <c r="G111" s="18" t="inlineStr">
        <is>
          <t>Banking</t>
        </is>
      </c>
      <c r="H111" s="18" t="n"/>
      <c r="I111" s="18" t="n"/>
      <c r="J111" s="18" t="inlineStr">
        <is>
          <t>Pipeline Only</t>
        </is>
      </c>
      <c r="K111" s="18" t="n"/>
      <c r="L111" s="18" t="n"/>
      <c r="M111" s="18" t="inlineStr">
        <is>
          <t>Not yet screened</t>
        </is>
      </c>
      <c r="N111" s="18" t="n"/>
      <c r="O111" s="18" t="n"/>
    </row>
    <row r="112">
      <c r="A112" s="19" t="inlineStr">
        <is>
          <t>ENA_ES0130</t>
        </is>
      </c>
      <c r="B112" s="19" t="inlineStr">
        <is>
          <t>Endesa SA</t>
        </is>
      </c>
      <c r="C112" s="19" t="inlineStr">
        <is>
          <t>ENA</t>
        </is>
      </c>
      <c r="D112" s="19" t="inlineStr">
        <is>
          <t>ES0130670112</t>
        </is>
      </c>
      <c r="E112" s="19" t="inlineStr">
        <is>
          <t>GR</t>
        </is>
      </c>
      <c r="F112" s="19" t="inlineStr">
        <is>
          <t>Utilities</t>
        </is>
      </c>
      <c r="G112" s="19" t="inlineStr">
        <is>
          <t>Utilities</t>
        </is>
      </c>
      <c r="H112" s="19" t="n"/>
      <c r="I112" s="19" t="n"/>
      <c r="J112" s="19" t="inlineStr">
        <is>
          <t>Pipeline Only</t>
        </is>
      </c>
      <c r="K112" s="19" t="n"/>
      <c r="L112" s="19" t="n"/>
      <c r="M112" s="19" t="inlineStr">
        <is>
          <t>Not yet screened</t>
        </is>
      </c>
      <c r="N112" s="19" t="n"/>
      <c r="O112" s="19" t="n"/>
    </row>
    <row r="113">
      <c r="A113" s="18" t="inlineStr">
        <is>
          <t>UFG_ES0118</t>
        </is>
      </c>
      <c r="B113" s="18" t="inlineStr">
        <is>
          <t>Ferrovial SA</t>
        </is>
      </c>
      <c r="C113" s="18" t="inlineStr">
        <is>
          <t>UFG</t>
        </is>
      </c>
      <c r="D113" s="18" t="inlineStr">
        <is>
          <t>ES0118900010</t>
        </is>
      </c>
      <c r="E113" s="18" t="inlineStr">
        <is>
          <t>GR</t>
        </is>
      </c>
      <c r="F113" s="18" t="inlineStr">
        <is>
          <t>Industrials</t>
        </is>
      </c>
      <c r="G113" s="18" t="inlineStr">
        <is>
          <t>Industrial Services</t>
        </is>
      </c>
      <c r="H113" s="18" t="n"/>
      <c r="I113" s="18" t="n"/>
      <c r="J113" s="18" t="inlineStr">
        <is>
          <t>Pipeline Only</t>
        </is>
      </c>
      <c r="K113" s="18" t="n"/>
      <c r="L113" s="18" t="n"/>
      <c r="M113" s="18" t="inlineStr">
        <is>
          <t>Not yet screened</t>
        </is>
      </c>
      <c r="N113" s="18" t="n"/>
      <c r="O113" s="18" t="n"/>
    </row>
    <row r="114">
      <c r="A114" s="19" t="inlineStr">
        <is>
          <t>NOA3_FI0009</t>
        </is>
      </c>
      <c r="B114" s="19" t="inlineStr">
        <is>
          <t>Nokia Oyj</t>
        </is>
      </c>
      <c r="C114" s="19" t="inlineStr">
        <is>
          <t>NOA3</t>
        </is>
      </c>
      <c r="D114" s="19" t="inlineStr">
        <is>
          <t>FI0009000681</t>
        </is>
      </c>
      <c r="E114" s="19" t="inlineStr">
        <is>
          <t>GR</t>
        </is>
      </c>
      <c r="F114" s="19" t="inlineStr">
        <is>
          <t>Technology</t>
        </is>
      </c>
      <c r="G114" s="19" t="inlineStr">
        <is>
          <t>Tech Hardware &amp; Semiconductors</t>
        </is>
      </c>
      <c r="H114" s="19" t="n"/>
      <c r="I114" s="19" t="n"/>
      <c r="J114" s="19" t="inlineStr">
        <is>
          <t>Pipeline Only</t>
        </is>
      </c>
      <c r="K114" s="19" t="n"/>
      <c r="L114" s="19" t="n"/>
      <c r="M114" s="19" t="inlineStr">
        <is>
          <t>Not yet screened</t>
        </is>
      </c>
      <c r="N114" s="19" t="n"/>
      <c r="O114" s="19" t="n"/>
    </row>
    <row r="115">
      <c r="A115" s="18" t="inlineStr">
        <is>
          <t>E7V_FR0010</t>
        </is>
      </c>
      <c r="B115" s="18" t="inlineStr">
        <is>
          <t>Rexel SA</t>
        </is>
      </c>
      <c r="C115" s="18" t="inlineStr">
        <is>
          <t>E7V</t>
        </is>
      </c>
      <c r="D115" s="18" t="inlineStr">
        <is>
          <t>FR0010451203</t>
        </is>
      </c>
      <c r="E115" s="18" t="inlineStr">
        <is>
          <t>GR</t>
        </is>
      </c>
      <c r="F115" s="18" t="inlineStr">
        <is>
          <t>Industrials</t>
        </is>
      </c>
      <c r="G115" s="18" t="inlineStr">
        <is>
          <t>Industrial Services</t>
        </is>
      </c>
      <c r="H115" s="18" t="n"/>
      <c r="I115" s="18" t="n"/>
      <c r="J115" s="18" t="inlineStr">
        <is>
          <t>Pipeline Only</t>
        </is>
      </c>
      <c r="K115" s="18" t="n"/>
      <c r="L115" s="18" t="n"/>
      <c r="M115" s="18" t="inlineStr">
        <is>
          <t>Not yet screened</t>
        </is>
      </c>
      <c r="N115" s="18" t="n"/>
      <c r="O115" s="18" t="n"/>
    </row>
    <row r="116">
      <c r="A116" s="19" t="inlineStr">
        <is>
          <t>NDA_DE0006</t>
        </is>
      </c>
      <c r="B116" s="19" t="inlineStr">
        <is>
          <t>Aurubis AG</t>
        </is>
      </c>
      <c r="C116" s="19" t="inlineStr">
        <is>
          <t>NDA</t>
        </is>
      </c>
      <c r="D116" s="19" t="inlineStr">
        <is>
          <t>DE0006766504</t>
        </is>
      </c>
      <c r="E116" s="19" t="inlineStr">
        <is>
          <t>GR</t>
        </is>
      </c>
      <c r="F116" s="19" t="inlineStr">
        <is>
          <t>Materials</t>
        </is>
      </c>
      <c r="G116" s="19" t="inlineStr">
        <is>
          <t>Materials</t>
        </is>
      </c>
      <c r="H116" s="19" t="n"/>
      <c r="I116" s="19" t="n"/>
      <c r="J116" s="19" t="inlineStr">
        <is>
          <t>Pipeline Only</t>
        </is>
      </c>
      <c r="K116" s="19" t="n"/>
      <c r="L116" s="19" t="n"/>
      <c r="M116" s="19" t="inlineStr">
        <is>
          <t>Not yet screened</t>
        </is>
      </c>
      <c r="N116" s="19" t="n"/>
      <c r="O116" s="19" t="n"/>
    </row>
    <row r="117">
      <c r="A117" s="18" t="inlineStr">
        <is>
          <t>I7G_FR0010</t>
        </is>
      </c>
      <c r="B117" s="18" t="inlineStr">
        <is>
          <t>Ipsen SA</t>
        </is>
      </c>
      <c r="C117" s="18" t="inlineStr">
        <is>
          <t>I7G</t>
        </is>
      </c>
      <c r="D117" s="18" t="inlineStr">
        <is>
          <t>FR0010259150</t>
        </is>
      </c>
      <c r="E117" s="18" t="inlineStr">
        <is>
          <t>GR</t>
        </is>
      </c>
      <c r="F117" s="18" t="inlineStr">
        <is>
          <t>Health Care</t>
        </is>
      </c>
      <c r="G117" s="18" t="inlineStr">
        <is>
          <t>Health Care</t>
        </is>
      </c>
      <c r="H117" s="18" t="n"/>
      <c r="I117" s="18" t="n"/>
      <c r="J117" s="18" t="inlineStr">
        <is>
          <t>Pipeline Only</t>
        </is>
      </c>
      <c r="K117" s="18" t="n"/>
      <c r="L117" s="18" t="n"/>
      <c r="M117" s="18" t="inlineStr">
        <is>
          <t>Not yet screened</t>
        </is>
      </c>
      <c r="N117" s="18" t="n"/>
      <c r="O117" s="18" t="n"/>
    </row>
    <row r="118">
      <c r="A118" s="19" t="inlineStr">
        <is>
          <t>SLW_CH0014</t>
        </is>
      </c>
      <c r="B118" s="19" t="inlineStr">
        <is>
          <t>Swiss Life Holding AG</t>
        </is>
      </c>
      <c r="C118" s="19" t="inlineStr">
        <is>
          <t>SLW</t>
        </is>
      </c>
      <c r="D118" s="19" t="inlineStr">
        <is>
          <t>CH0014852781</t>
        </is>
      </c>
      <c r="E118" s="19" t="inlineStr">
        <is>
          <t>GR</t>
        </is>
      </c>
      <c r="F118" s="19" t="inlineStr">
        <is>
          <t>Financials</t>
        </is>
      </c>
      <c r="G118" s="19" t="inlineStr">
        <is>
          <t>Insurance</t>
        </is>
      </c>
      <c r="H118" s="19" t="n"/>
      <c r="I118" s="19" t="n"/>
      <c r="J118" s="19" t="inlineStr">
        <is>
          <t>Pipeline Only</t>
        </is>
      </c>
      <c r="K118" s="19" t="n"/>
      <c r="L118" s="19" t="n"/>
      <c r="M118" s="19" t="inlineStr">
        <is>
          <t>Not yet screened</t>
        </is>
      </c>
      <c r="N118" s="19" t="n"/>
      <c r="O118" s="19" t="n"/>
    </row>
    <row r="119">
      <c r="A119" s="18" t="inlineStr">
        <is>
          <t>ARC_NO0010</t>
        </is>
      </c>
      <c r="B119" s="18" t="inlineStr">
        <is>
          <t>Aker BP ASA</t>
        </is>
      </c>
      <c r="C119" s="18" t="inlineStr">
        <is>
          <t>ARC</t>
        </is>
      </c>
      <c r="D119" s="18" t="inlineStr">
        <is>
          <t>NO0010345853</t>
        </is>
      </c>
      <c r="E119" s="18" t="inlineStr">
        <is>
          <t>GR</t>
        </is>
      </c>
      <c r="F119" s="18" t="inlineStr">
        <is>
          <t>Energy</t>
        </is>
      </c>
      <c r="G119" s="18" t="inlineStr">
        <is>
          <t>Oil &amp; Gas</t>
        </is>
      </c>
      <c r="H119" s="18" t="n"/>
      <c r="I119" s="18" t="n"/>
      <c r="J119" s="18" t="inlineStr">
        <is>
          <t>Pipeline Only</t>
        </is>
      </c>
      <c r="K119" s="18" t="n"/>
      <c r="L119" s="18" t="n"/>
      <c r="M119" s="18" t="inlineStr">
        <is>
          <t>Not yet screened</t>
        </is>
      </c>
      <c r="N119" s="18" t="n"/>
      <c r="O119" s="18" t="n"/>
    </row>
    <row r="120">
      <c r="A120" s="19" t="inlineStr">
        <is>
          <t>HGUA_CH0030</t>
        </is>
      </c>
      <c r="B120" s="19" t="inlineStr">
        <is>
          <t>Huber + Suhner AG</t>
        </is>
      </c>
      <c r="C120" s="19" t="inlineStr">
        <is>
          <t>HGUA</t>
        </is>
      </c>
      <c r="D120" s="19" t="inlineStr">
        <is>
          <t>CH0030380734</t>
        </is>
      </c>
      <c r="E120" s="19" t="inlineStr">
        <is>
          <t>GR</t>
        </is>
      </c>
      <c r="F120" s="19" t="inlineStr">
        <is>
          <t>Industrials</t>
        </is>
      </c>
      <c r="G120" s="19" t="inlineStr">
        <is>
          <t>Industrial Products</t>
        </is>
      </c>
      <c r="H120" s="19" t="n"/>
      <c r="I120" s="19" t="n"/>
      <c r="J120" s="19" t="inlineStr">
        <is>
          <t>Pipeline Only</t>
        </is>
      </c>
      <c r="K120" s="19" t="n"/>
      <c r="L120" s="19" t="n"/>
      <c r="M120" s="19" t="inlineStr">
        <is>
          <t>Not yet screened</t>
        </is>
      </c>
      <c r="N120" s="19" t="n"/>
      <c r="O120" s="19" t="n"/>
    </row>
    <row r="121">
      <c r="A121" s="18" t="inlineStr">
        <is>
          <t>GBF_DE0005</t>
        </is>
      </c>
      <c r="B121" s="18" t="inlineStr">
        <is>
          <t>Bilfinger SE</t>
        </is>
      </c>
      <c r="C121" s="18" t="inlineStr">
        <is>
          <t>GBF</t>
        </is>
      </c>
      <c r="D121" s="18" t="inlineStr">
        <is>
          <t>DE0005909006</t>
        </is>
      </c>
      <c r="E121" s="18" t="inlineStr">
        <is>
          <t>GR</t>
        </is>
      </c>
      <c r="F121" s="18" t="inlineStr">
        <is>
          <t>Industrials</t>
        </is>
      </c>
      <c r="G121" s="18" t="inlineStr">
        <is>
          <t>Industrial Services</t>
        </is>
      </c>
      <c r="H121" s="18" t="n"/>
      <c r="I121" s="18" t="n"/>
      <c r="J121" s="18" t="inlineStr">
        <is>
          <t>Pipeline Only</t>
        </is>
      </c>
      <c r="K121" s="18" t="n"/>
      <c r="L121" s="18" t="n"/>
      <c r="M121" s="18" t="inlineStr">
        <is>
          <t>Not yet screened</t>
        </is>
      </c>
      <c r="N121" s="18" t="n"/>
      <c r="O121" s="18" t="n"/>
    </row>
    <row r="122">
      <c r="A122" s="19" t="inlineStr">
        <is>
          <t>AA9_SE0000</t>
        </is>
      </c>
      <c r="B122" s="19" t="inlineStr">
        <is>
          <t>Alfa Laval AB</t>
        </is>
      </c>
      <c r="C122" s="19" t="inlineStr">
        <is>
          <t>AA9</t>
        </is>
      </c>
      <c r="D122" s="19" t="inlineStr">
        <is>
          <t>SE0000695876</t>
        </is>
      </c>
      <c r="E122" s="19" t="inlineStr">
        <is>
          <t>GR</t>
        </is>
      </c>
      <c r="F122" s="19" t="inlineStr">
        <is>
          <t>Industrials</t>
        </is>
      </c>
      <c r="G122" s="19" t="inlineStr">
        <is>
          <t>Industrial Products</t>
        </is>
      </c>
      <c r="H122" s="19" t="n"/>
      <c r="I122" s="19" t="n"/>
      <c r="J122" s="19" t="inlineStr">
        <is>
          <t>Pipeline Only</t>
        </is>
      </c>
      <c r="K122" s="19" t="n"/>
      <c r="L122" s="19" t="n"/>
      <c r="M122" s="19" t="inlineStr">
        <is>
          <t>Not yet screened</t>
        </is>
      </c>
      <c r="N122" s="19" t="n"/>
      <c r="O122" s="19" t="n"/>
    </row>
    <row r="123">
      <c r="A123" s="18" t="inlineStr">
        <is>
          <t>DB1_DE0005</t>
        </is>
      </c>
      <c r="B123" s="18" t="inlineStr">
        <is>
          <t>Deutsche Boerse AG</t>
        </is>
      </c>
      <c r="C123" s="18" t="inlineStr">
        <is>
          <t>DB1</t>
        </is>
      </c>
      <c r="D123" s="18" t="inlineStr">
        <is>
          <t>DE0005810055</t>
        </is>
      </c>
      <c r="E123" s="18" t="inlineStr">
        <is>
          <t>GR</t>
        </is>
      </c>
      <c r="F123" s="18" t="inlineStr">
        <is>
          <t>Financials</t>
        </is>
      </c>
      <c r="G123" s="18" t="inlineStr">
        <is>
          <t>Financial Services</t>
        </is>
      </c>
      <c r="H123" s="18" t="n"/>
      <c r="I123" s="18" t="n"/>
      <c r="J123" s="18" t="inlineStr">
        <is>
          <t>Pipeline Only</t>
        </is>
      </c>
      <c r="K123" s="18" t="n"/>
      <c r="L123" s="18" t="n"/>
      <c r="M123" s="18" t="inlineStr">
        <is>
          <t>Not yet screened</t>
        </is>
      </c>
      <c r="N123" s="18" t="n"/>
      <c r="O123" s="18" t="n"/>
    </row>
    <row r="124">
      <c r="A124" s="19" t="inlineStr">
        <is>
          <t>HEI_DE0006</t>
        </is>
      </c>
      <c r="B124" s="19" t="inlineStr">
        <is>
          <t>HeidelbergCement AG</t>
        </is>
      </c>
      <c r="C124" s="19" t="inlineStr">
        <is>
          <t>HEI</t>
        </is>
      </c>
      <c r="D124" s="19" t="inlineStr">
        <is>
          <t>DE0006047004</t>
        </is>
      </c>
      <c r="E124" s="19" t="inlineStr">
        <is>
          <t>GR</t>
        </is>
      </c>
      <c r="F124" s="19" t="inlineStr">
        <is>
          <t>Materials</t>
        </is>
      </c>
      <c r="G124" s="19" t="inlineStr">
        <is>
          <t>Materials</t>
        </is>
      </c>
      <c r="H124" s="19" t="n"/>
      <c r="I124" s="19" t="n"/>
      <c r="J124" s="19" t="inlineStr">
        <is>
          <t>Pipeline Only</t>
        </is>
      </c>
      <c r="K124" s="19" t="n"/>
      <c r="L124" s="19" t="n"/>
      <c r="M124" s="19" t="inlineStr">
        <is>
          <t>Not yet screened</t>
        </is>
      </c>
      <c r="N124" s="19" t="n"/>
      <c r="O124" s="19" t="n"/>
    </row>
    <row r="125">
      <c r="A125" s="18" t="inlineStr">
        <is>
          <t>HNR1_DE0008</t>
        </is>
      </c>
      <c r="B125" s="18" t="inlineStr">
        <is>
          <t>Hannover Rueck SE</t>
        </is>
      </c>
      <c r="C125" s="18" t="inlineStr">
        <is>
          <t>HNR1</t>
        </is>
      </c>
      <c r="D125" s="18" t="inlineStr">
        <is>
          <t>DE0008402215</t>
        </is>
      </c>
      <c r="E125" s="18" t="inlineStr">
        <is>
          <t>GR</t>
        </is>
      </c>
      <c r="F125" s="18" t="inlineStr">
        <is>
          <t>Financials</t>
        </is>
      </c>
      <c r="G125" s="18" t="inlineStr">
        <is>
          <t>Insurance</t>
        </is>
      </c>
      <c r="H125" s="18" t="n"/>
      <c r="I125" s="18" t="n"/>
      <c r="J125" s="18" t="inlineStr">
        <is>
          <t>Pipeline Only</t>
        </is>
      </c>
      <c r="K125" s="18" t="n"/>
      <c r="L125" s="18" t="n"/>
      <c r="M125" s="18" t="inlineStr">
        <is>
          <t>Not yet screened</t>
        </is>
      </c>
      <c r="N125" s="18" t="n"/>
      <c r="O125" s="18" t="n"/>
    </row>
    <row r="126">
      <c r="A126" s="19" t="inlineStr">
        <is>
          <t>7LB_BE0003</t>
        </is>
      </c>
      <c r="B126" s="19" t="inlineStr">
        <is>
          <t>Lotus Bakeries NV</t>
        </is>
      </c>
      <c r="C126" s="19" t="inlineStr">
        <is>
          <t>7LB</t>
        </is>
      </c>
      <c r="D126" s="19" t="inlineStr">
        <is>
          <t>BE0003604155</t>
        </is>
      </c>
      <c r="E126" s="19" t="inlineStr">
        <is>
          <t>GR</t>
        </is>
      </c>
      <c r="F126" s="19" t="inlineStr">
        <is>
          <t>Consumer Staples</t>
        </is>
      </c>
      <c r="G126" s="19" t="inlineStr">
        <is>
          <t>Consumer Staple Products</t>
        </is>
      </c>
      <c r="H126" s="19" t="n"/>
      <c r="I126" s="19" t="n"/>
      <c r="J126" s="19" t="inlineStr">
        <is>
          <t>Pipeline Only</t>
        </is>
      </c>
      <c r="K126" s="19" t="n"/>
      <c r="L126" s="19" t="n"/>
      <c r="M126" s="19" t="inlineStr">
        <is>
          <t>Not yet screened</t>
        </is>
      </c>
      <c r="N126" s="19" t="n"/>
      <c r="O126" s="19" t="n"/>
    </row>
    <row r="127">
      <c r="A127" s="18" t="inlineStr">
        <is>
          <t>ENXB_NL0006</t>
        </is>
      </c>
      <c r="B127" s="18" t="inlineStr">
        <is>
          <t>Euronext NV</t>
        </is>
      </c>
      <c r="C127" s="18" t="inlineStr">
        <is>
          <t>ENXB</t>
        </is>
      </c>
      <c r="D127" s="18" t="inlineStr">
        <is>
          <t>NL0006294274</t>
        </is>
      </c>
      <c r="E127" s="18" t="inlineStr">
        <is>
          <t>GR</t>
        </is>
      </c>
      <c r="F127" s="18" t="inlineStr">
        <is>
          <t>Financials</t>
        </is>
      </c>
      <c r="G127" s="18" t="inlineStr">
        <is>
          <t>Financial Services</t>
        </is>
      </c>
      <c r="H127" s="18" t="n"/>
      <c r="I127" s="18" t="n"/>
      <c r="J127" s="18" t="inlineStr">
        <is>
          <t>Pipeline Only</t>
        </is>
      </c>
      <c r="K127" s="18" t="n"/>
      <c r="L127" s="18" t="n"/>
      <c r="M127" s="18" t="inlineStr">
        <is>
          <t>Not yet screened</t>
        </is>
      </c>
      <c r="N127" s="18" t="n"/>
      <c r="O127" s="18" t="n"/>
    </row>
    <row r="128">
      <c r="A128" s="19" t="inlineStr">
        <is>
          <t>SFB1_PLSOFT</t>
        </is>
      </c>
      <c r="B128" s="19" t="inlineStr">
        <is>
          <t>Asseco Poland SA</t>
        </is>
      </c>
      <c r="C128" s="19" t="inlineStr">
        <is>
          <t>SFB1</t>
        </is>
      </c>
      <c r="D128" s="19" t="inlineStr">
        <is>
          <t>PLSOFTB00016</t>
        </is>
      </c>
      <c r="E128" s="19" t="inlineStr">
        <is>
          <t>GR</t>
        </is>
      </c>
      <c r="F128" s="19" t="inlineStr">
        <is>
          <t>Technology</t>
        </is>
      </c>
      <c r="G128" s="19" t="inlineStr">
        <is>
          <t>Software &amp; Tech Services</t>
        </is>
      </c>
      <c r="H128" s="19" t="n"/>
      <c r="I128" s="19" t="n"/>
      <c r="J128" s="19" t="inlineStr">
        <is>
          <t>Pipeline Only</t>
        </is>
      </c>
      <c r="K128" s="19" t="n"/>
      <c r="L128" s="19" t="n"/>
      <c r="M128" s="19" t="inlineStr">
        <is>
          <t>Not yet screened</t>
        </is>
      </c>
      <c r="N128" s="19" t="n"/>
      <c r="O128" s="19" t="n"/>
    </row>
    <row r="129">
      <c r="A129" s="18" t="inlineStr">
        <is>
          <t>EZ4_NO0006</t>
        </is>
      </c>
      <c r="B129" s="18" t="inlineStr">
        <is>
          <t>SpareBank 1 Sorost-Norge</t>
        </is>
      </c>
      <c r="C129" s="18" t="inlineStr">
        <is>
          <t>EZ4</t>
        </is>
      </c>
      <c r="D129" s="18" t="inlineStr">
        <is>
          <t>NO0006000207</t>
        </is>
      </c>
      <c r="E129" s="18" t="inlineStr">
        <is>
          <t>GR</t>
        </is>
      </c>
      <c r="F129" s="18" t="inlineStr">
        <is>
          <t>Financials</t>
        </is>
      </c>
      <c r="G129" s="18" t="inlineStr">
        <is>
          <t>Banking</t>
        </is>
      </c>
      <c r="H129" s="18" t="n"/>
      <c r="I129" s="18" t="n"/>
      <c r="J129" s="18" t="inlineStr">
        <is>
          <t>Pipeline Only</t>
        </is>
      </c>
      <c r="K129" s="18" t="n"/>
      <c r="L129" s="18" t="n"/>
      <c r="M129" s="18" t="inlineStr">
        <is>
          <t>Not yet screened</t>
        </is>
      </c>
      <c r="N129" s="18" t="n"/>
      <c r="O129" s="18" t="n"/>
    </row>
    <row r="130">
      <c r="A130" s="19" t="inlineStr">
        <is>
          <t>FTD_BE0003</t>
        </is>
      </c>
      <c r="B130" s="19" t="inlineStr">
        <is>
          <t>Financiere de Tubize SA</t>
        </is>
      </c>
      <c r="C130" s="19" t="inlineStr">
        <is>
          <t>FTD</t>
        </is>
      </c>
      <c r="D130" s="19" t="inlineStr">
        <is>
          <t>BE0003823409</t>
        </is>
      </c>
      <c r="E130" s="19" t="inlineStr">
        <is>
          <t>GR</t>
        </is>
      </c>
      <c r="F130" s="19" t="inlineStr">
        <is>
          <t>Health Care</t>
        </is>
      </c>
      <c r="G130" s="19" t="inlineStr">
        <is>
          <t>Health Care</t>
        </is>
      </c>
      <c r="H130" s="19" t="n"/>
      <c r="I130" s="19" t="n"/>
      <c r="J130" s="19" t="inlineStr">
        <is>
          <t>Pipeline Only</t>
        </is>
      </c>
      <c r="K130" s="19" t="n"/>
      <c r="L130" s="19" t="n"/>
      <c r="M130" s="19" t="inlineStr">
        <is>
          <t>Not yet screened</t>
        </is>
      </c>
      <c r="N130" s="19" t="n"/>
      <c r="O130" s="19" t="n"/>
    </row>
    <row r="131">
      <c r="A131" s="18" t="inlineStr">
        <is>
          <t>2D7_GB00BY</t>
        </is>
      </c>
      <c r="B131" s="18" t="inlineStr">
        <is>
          <t>Beazley PLC</t>
        </is>
      </c>
      <c r="C131" s="18" t="inlineStr">
        <is>
          <t>2D7</t>
        </is>
      </c>
      <c r="D131" s="18" t="inlineStr">
        <is>
          <t>GB00BYQ0JC66</t>
        </is>
      </c>
      <c r="E131" s="18" t="inlineStr">
        <is>
          <t>GR</t>
        </is>
      </c>
      <c r="F131" s="18" t="inlineStr">
        <is>
          <t>Financials</t>
        </is>
      </c>
      <c r="G131" s="18" t="inlineStr">
        <is>
          <t>Insurance</t>
        </is>
      </c>
      <c r="H131" s="18" t="n"/>
      <c r="I131" s="18" t="n"/>
      <c r="J131" s="18" t="inlineStr">
        <is>
          <t>Pipeline Only</t>
        </is>
      </c>
      <c r="K131" s="18" t="n"/>
      <c r="L131" s="18" t="n"/>
      <c r="M131" s="18" t="inlineStr">
        <is>
          <t>Not yet screened</t>
        </is>
      </c>
      <c r="N131" s="18" t="n"/>
      <c r="O131" s="18" t="n"/>
    </row>
    <row r="132">
      <c r="A132" s="19" t="inlineStr">
        <is>
          <t>AZZ2_SE0014</t>
        </is>
      </c>
      <c r="B132" s="19" t="inlineStr">
        <is>
          <t>AddTech AB</t>
        </is>
      </c>
      <c r="C132" s="19" t="inlineStr">
        <is>
          <t>AZZ2</t>
        </is>
      </c>
      <c r="D132" s="19" t="inlineStr">
        <is>
          <t>SE0014781795</t>
        </is>
      </c>
      <c r="E132" s="19" t="inlineStr">
        <is>
          <t>GR</t>
        </is>
      </c>
      <c r="F132" s="19" t="inlineStr">
        <is>
          <t>Industrials</t>
        </is>
      </c>
      <c r="G132" s="19" t="inlineStr">
        <is>
          <t>Industrial Services</t>
        </is>
      </c>
      <c r="H132" s="19" t="n"/>
      <c r="I132" s="19" t="n"/>
      <c r="J132" s="19" t="inlineStr">
        <is>
          <t>Pipeline Only</t>
        </is>
      </c>
      <c r="K132" s="19" t="n"/>
      <c r="L132" s="19" t="n"/>
      <c r="M132" s="19" t="inlineStr">
        <is>
          <t>Not yet screened</t>
        </is>
      </c>
      <c r="N132" s="19" t="n"/>
      <c r="O132" s="19" t="n"/>
    </row>
    <row r="133">
      <c r="A133" s="18" t="inlineStr">
        <is>
          <t>4SP_FR0012</t>
        </is>
      </c>
      <c r="B133" s="18" t="inlineStr">
        <is>
          <t>SPIE SA</t>
        </is>
      </c>
      <c r="C133" s="18" t="inlineStr">
        <is>
          <t>4SP</t>
        </is>
      </c>
      <c r="D133" s="18" t="inlineStr">
        <is>
          <t>FR0012757854</t>
        </is>
      </c>
      <c r="E133" s="18" t="inlineStr">
        <is>
          <t>GR</t>
        </is>
      </c>
      <c r="F133" s="18" t="inlineStr">
        <is>
          <t>Industrials</t>
        </is>
      </c>
      <c r="G133" s="18" t="inlineStr">
        <is>
          <t>Industrial Services</t>
        </is>
      </c>
      <c r="H133" s="18" t="n"/>
      <c r="I133" s="18" t="n"/>
      <c r="J133" s="18" t="inlineStr">
        <is>
          <t>Pipeline Only</t>
        </is>
      </c>
      <c r="K133" s="18" t="n"/>
      <c r="L133" s="18" t="n"/>
      <c r="M133" s="18" t="inlineStr">
        <is>
          <t>Not yet screened</t>
        </is>
      </c>
      <c r="N133" s="18" t="n"/>
      <c r="O133" s="18" t="n"/>
    </row>
    <row r="134">
      <c r="A134" s="19" t="inlineStr">
        <is>
          <t>SEBA_SE0000</t>
        </is>
      </c>
      <c r="B134" s="19" t="inlineStr">
        <is>
          <t>Skandinaviska Enskilda Banken AB</t>
        </is>
      </c>
      <c r="C134" s="19" t="inlineStr">
        <is>
          <t>SEBA</t>
        </is>
      </c>
      <c r="D134" s="19" t="inlineStr">
        <is>
          <t>SE0000148884</t>
        </is>
      </c>
      <c r="E134" s="19" t="inlineStr">
        <is>
          <t>GR</t>
        </is>
      </c>
      <c r="F134" s="19" t="inlineStr">
        <is>
          <t>Financials</t>
        </is>
      </c>
      <c r="G134" s="19" t="inlineStr">
        <is>
          <t>Banking</t>
        </is>
      </c>
      <c r="H134" s="19" t="n"/>
      <c r="I134" s="19" t="n"/>
      <c r="J134" s="19" t="inlineStr">
        <is>
          <t>Pipeline Only</t>
        </is>
      </c>
      <c r="K134" s="19" t="n"/>
      <c r="L134" s="19" t="n"/>
      <c r="M134" s="19" t="inlineStr">
        <is>
          <t>Not yet screened</t>
        </is>
      </c>
      <c r="N134" s="19" t="n"/>
      <c r="O134" s="19" t="n"/>
    </row>
    <row r="135">
      <c r="A135" s="18" t="inlineStr">
        <is>
          <t>HOT_DE0006</t>
        </is>
      </c>
      <c r="B135" s="18" t="inlineStr">
        <is>
          <t>HOCHTIEF AG</t>
        </is>
      </c>
      <c r="C135" s="18" t="inlineStr">
        <is>
          <t>HOT</t>
        </is>
      </c>
      <c r="D135" s="18" t="inlineStr">
        <is>
          <t>DE0006070006</t>
        </is>
      </c>
      <c r="E135" s="18" t="inlineStr">
        <is>
          <t>GR</t>
        </is>
      </c>
      <c r="F135" s="18" t="inlineStr">
        <is>
          <t>Industrials</t>
        </is>
      </c>
      <c r="G135" s="18" t="inlineStr">
        <is>
          <t>Industrial Services</t>
        </is>
      </c>
      <c r="H135" s="18" t="n"/>
      <c r="I135" s="18" t="n"/>
      <c r="J135" s="18" t="inlineStr">
        <is>
          <t>Pipeline Only</t>
        </is>
      </c>
      <c r="K135" s="18" t="n"/>
      <c r="L135" s="18" t="n"/>
      <c r="M135" s="18" t="inlineStr">
        <is>
          <t>Not yet screened</t>
        </is>
      </c>
      <c r="N135" s="18" t="n"/>
      <c r="O135" s="18" t="n"/>
    </row>
    <row r="136">
      <c r="A136" s="19" t="inlineStr">
        <is>
          <t>LG72_SE0014</t>
        </is>
      </c>
      <c r="B136" s="19" t="inlineStr">
        <is>
          <t>Lagercrantz Group AB</t>
        </is>
      </c>
      <c r="C136" s="19" t="inlineStr">
        <is>
          <t>LG72</t>
        </is>
      </c>
      <c r="D136" s="19" t="inlineStr">
        <is>
          <t>SE0014990966</t>
        </is>
      </c>
      <c r="E136" s="19" t="inlineStr">
        <is>
          <t>GR</t>
        </is>
      </c>
      <c r="F136" s="19" t="inlineStr">
        <is>
          <t>Technology</t>
        </is>
      </c>
      <c r="G136" s="19" t="inlineStr">
        <is>
          <t>Tech Hardware &amp; Semiconductors</t>
        </is>
      </c>
      <c r="H136" s="19" t="n"/>
      <c r="I136" s="19" t="n"/>
      <c r="J136" s="19" t="inlineStr">
        <is>
          <t>Pipeline Only</t>
        </is>
      </c>
      <c r="K136" s="19" t="n"/>
      <c r="L136" s="19" t="n"/>
      <c r="M136" s="19" t="inlineStr">
        <is>
          <t>Not yet screened</t>
        </is>
      </c>
      <c r="N136" s="19" t="n"/>
      <c r="O136" s="19" t="n"/>
    </row>
    <row r="137">
      <c r="A137" s="18" t="inlineStr">
        <is>
          <t>RWE_DE0007</t>
        </is>
      </c>
      <c r="B137" s="18" t="inlineStr">
        <is>
          <t>RWE AG</t>
        </is>
      </c>
      <c r="C137" s="18" t="inlineStr">
        <is>
          <t>RWE</t>
        </is>
      </c>
      <c r="D137" s="18" t="inlineStr">
        <is>
          <t>DE0007037129</t>
        </is>
      </c>
      <c r="E137" s="18" t="inlineStr">
        <is>
          <t>GR</t>
        </is>
      </c>
      <c r="F137" s="18" t="inlineStr">
        <is>
          <t>Utilities</t>
        </is>
      </c>
      <c r="G137" s="18" t="inlineStr">
        <is>
          <t>Utilities</t>
        </is>
      </c>
      <c r="H137" s="18" t="n"/>
      <c r="I137" s="18" t="n"/>
      <c r="J137" s="18" t="inlineStr">
        <is>
          <t>Pipeline Only</t>
        </is>
      </c>
      <c r="K137" s="18" t="n"/>
      <c r="L137" s="18" t="n"/>
      <c r="M137" s="18" t="inlineStr">
        <is>
          <t>Not yet screened</t>
        </is>
      </c>
      <c r="N137" s="18" t="n"/>
      <c r="O137" s="18" t="n"/>
    </row>
    <row r="138">
      <c r="A138" s="19" t="inlineStr">
        <is>
          <t>GZF_FR0010</t>
        </is>
      </c>
      <c r="B138" s="19" t="inlineStr">
        <is>
          <t>Engie SA</t>
        </is>
      </c>
      <c r="C138" s="19" t="inlineStr">
        <is>
          <t>GZF</t>
        </is>
      </c>
      <c r="D138" s="19" t="inlineStr">
        <is>
          <t>FR0010208488</t>
        </is>
      </c>
      <c r="E138" s="19" t="inlineStr">
        <is>
          <t>GR</t>
        </is>
      </c>
      <c r="F138" s="19" t="inlineStr">
        <is>
          <t>Utilities</t>
        </is>
      </c>
      <c r="G138" s="19" t="inlineStr">
        <is>
          <t>Utilities</t>
        </is>
      </c>
      <c r="H138" s="19" t="n"/>
      <c r="I138" s="19" t="n"/>
      <c r="J138" s="19" t="inlineStr">
        <is>
          <t>Pipeline Only</t>
        </is>
      </c>
      <c r="K138" s="19" t="n"/>
      <c r="L138" s="19" t="n"/>
      <c r="M138" s="19" t="inlineStr">
        <is>
          <t>Not yet screened</t>
        </is>
      </c>
      <c r="N138" s="19" t="n"/>
      <c r="O138" s="19" t="n"/>
    </row>
    <row r="139">
      <c r="A139" s="18" t="inlineStr">
        <is>
          <t>DJDA_BE0974</t>
        </is>
      </c>
      <c r="B139" s="18" t="inlineStr">
        <is>
          <t>D'ieteren Group</t>
        </is>
      </c>
      <c r="C139" s="18" t="inlineStr">
        <is>
          <t>DJDA</t>
        </is>
      </c>
      <c r="D139" s="18" t="inlineStr">
        <is>
          <t>BE0974259880</t>
        </is>
      </c>
      <c r="E139" s="18" t="inlineStr">
        <is>
          <t>GR</t>
        </is>
      </c>
      <c r="F139" s="18" t="inlineStr">
        <is>
          <t>Consumer Discretionary</t>
        </is>
      </c>
      <c r="G139" s="18" t="inlineStr">
        <is>
          <t>Retail &amp; Whsle - Discretionary</t>
        </is>
      </c>
      <c r="H139" s="18" t="n"/>
      <c r="I139" s="18" t="n"/>
      <c r="J139" s="18" t="inlineStr">
        <is>
          <t>Pipeline Only</t>
        </is>
      </c>
      <c r="K139" s="18" t="n"/>
      <c r="L139" s="18" t="n"/>
      <c r="M139" s="18" t="inlineStr">
        <is>
          <t>Not yet screened</t>
        </is>
      </c>
      <c r="N139" s="18" t="n"/>
      <c r="O139" s="18" t="n"/>
    </row>
    <row r="140">
      <c r="A140" s="19" t="inlineStr">
        <is>
          <t>NXS_FR0000</t>
        </is>
      </c>
      <c r="B140" s="19" t="inlineStr">
        <is>
          <t>Nexans SA</t>
        </is>
      </c>
      <c r="C140" s="19" t="inlineStr">
        <is>
          <t>NXS</t>
        </is>
      </c>
      <c r="D140" s="19" t="inlineStr">
        <is>
          <t>FR0000044448</t>
        </is>
      </c>
      <c r="E140" s="19" t="inlineStr">
        <is>
          <t>GR</t>
        </is>
      </c>
      <c r="F140" s="19" t="inlineStr">
        <is>
          <t>Industrials</t>
        </is>
      </c>
      <c r="G140" s="19" t="inlineStr">
        <is>
          <t>Industrial Products</t>
        </is>
      </c>
      <c r="H140" s="19" t="n"/>
      <c r="I140" s="19" t="n"/>
      <c r="J140" s="19" t="inlineStr">
        <is>
          <t>Pipeline Only</t>
        </is>
      </c>
      <c r="K140" s="19" t="n"/>
      <c r="L140" s="19" t="n"/>
      <c r="M140" s="19" t="inlineStr">
        <is>
          <t>Not yet screened</t>
        </is>
      </c>
      <c r="N140" s="19" t="n"/>
      <c r="O140" s="19" t="n"/>
    </row>
    <row r="141">
      <c r="A141" s="18" t="inlineStr">
        <is>
          <t>TLLB_SE0000</t>
        </is>
      </c>
      <c r="B141" s="18" t="inlineStr">
        <is>
          <t>Trelleborg AB</t>
        </is>
      </c>
      <c r="C141" s="18" t="inlineStr">
        <is>
          <t>TLLB</t>
        </is>
      </c>
      <c r="D141" s="18" t="inlineStr">
        <is>
          <t>SE0000114837</t>
        </is>
      </c>
      <c r="E141" s="18" t="inlineStr">
        <is>
          <t>GR</t>
        </is>
      </c>
      <c r="F141" s="18" t="inlineStr">
        <is>
          <t>Industrials</t>
        </is>
      </c>
      <c r="G141" s="18" t="inlineStr">
        <is>
          <t>Industrial Products</t>
        </is>
      </c>
      <c r="H141" s="18" t="n"/>
      <c r="I141" s="18" t="n"/>
      <c r="J141" s="18" t="inlineStr">
        <is>
          <t>Pipeline Only</t>
        </is>
      </c>
      <c r="K141" s="18" t="n"/>
      <c r="L141" s="18" t="n"/>
      <c r="M141" s="18" t="inlineStr">
        <is>
          <t>Not yet screened</t>
        </is>
      </c>
      <c r="N141" s="18" t="n"/>
      <c r="O141" s="18" t="n"/>
    </row>
    <row r="142">
      <c r="A142" s="19" t="inlineStr">
        <is>
          <t>KDB_BE0003</t>
        </is>
      </c>
      <c r="B142" s="19" t="inlineStr">
        <is>
          <t>KBC Group NV</t>
        </is>
      </c>
      <c r="C142" s="19" t="inlineStr">
        <is>
          <t>KDB</t>
        </is>
      </c>
      <c r="D142" s="19" t="inlineStr">
        <is>
          <t>BE0003565737</t>
        </is>
      </c>
      <c r="E142" s="19" t="inlineStr">
        <is>
          <t>GR</t>
        </is>
      </c>
      <c r="F142" s="19" t="inlineStr">
        <is>
          <t>Financials</t>
        </is>
      </c>
      <c r="G142" s="19" t="inlineStr">
        <is>
          <t>Banking</t>
        </is>
      </c>
      <c r="H142" s="19" t="n"/>
      <c r="I142" s="19" t="n"/>
      <c r="J142" s="19" t="inlineStr">
        <is>
          <t>Pipeline Only</t>
        </is>
      </c>
      <c r="K142" s="19" t="n"/>
      <c r="L142" s="19" t="n"/>
      <c r="M142" s="19" t="inlineStr">
        <is>
          <t>Not yet screened</t>
        </is>
      </c>
      <c r="N142" s="19" t="n"/>
      <c r="O142" s="19" t="n"/>
    </row>
    <row r="143">
      <c r="A143" s="18" t="inlineStr">
        <is>
          <t>KB9_BE0003</t>
        </is>
      </c>
      <c r="B143" s="18" t="inlineStr">
        <is>
          <t>KBC Ancora</t>
        </is>
      </c>
      <c r="C143" s="18" t="inlineStr">
        <is>
          <t>KB9</t>
        </is>
      </c>
      <c r="D143" s="18" t="inlineStr">
        <is>
          <t>BE0003867844</t>
        </is>
      </c>
      <c r="E143" s="18" t="inlineStr">
        <is>
          <t>GR</t>
        </is>
      </c>
      <c r="F143" s="18" t="inlineStr">
        <is>
          <t>Financials</t>
        </is>
      </c>
      <c r="G143" s="18" t="inlineStr">
        <is>
          <t>Banking</t>
        </is>
      </c>
      <c r="H143" s="18" t="n"/>
      <c r="I143" s="18" t="n"/>
      <c r="J143" s="18" t="inlineStr">
        <is>
          <t>Pipeline Only</t>
        </is>
      </c>
      <c r="K143" s="18" t="n"/>
      <c r="L143" s="18" t="n"/>
      <c r="M143" s="18" t="inlineStr">
        <is>
          <t>Not yet screened</t>
        </is>
      </c>
      <c r="N143" s="18" t="n"/>
      <c r="O143" s="18" t="n"/>
    </row>
    <row r="144">
      <c r="A144" s="19" t="inlineStr">
        <is>
          <t>8RJ_CH1101</t>
        </is>
      </c>
      <c r="B144" s="19" t="inlineStr">
        <is>
          <t>Belimo Holding AG</t>
        </is>
      </c>
      <c r="C144" s="19" t="inlineStr">
        <is>
          <t>8RJ</t>
        </is>
      </c>
      <c r="D144" s="19" t="inlineStr">
        <is>
          <t>CH1101098163</t>
        </is>
      </c>
      <c r="E144" s="19" t="inlineStr">
        <is>
          <t>GR</t>
        </is>
      </c>
      <c r="F144" s="19" t="inlineStr">
        <is>
          <t>Industrials</t>
        </is>
      </c>
      <c r="G144" s="19" t="inlineStr">
        <is>
          <t>Industrial Products</t>
        </is>
      </c>
      <c r="H144" s="19" t="n"/>
      <c r="I144" s="19" t="n"/>
      <c r="J144" s="19" t="inlineStr">
        <is>
          <t>Pipeline Only</t>
        </is>
      </c>
      <c r="K144" s="19" t="n"/>
      <c r="L144" s="19" t="n"/>
      <c r="M144" s="19" t="inlineStr">
        <is>
          <t>Not yet screened</t>
        </is>
      </c>
      <c r="N144" s="19" t="n"/>
      <c r="O144" s="19" t="n"/>
    </row>
    <row r="145">
      <c r="A145" s="18" t="inlineStr">
        <is>
          <t>UCM_IT0001</t>
        </is>
      </c>
      <c r="B145" s="18" t="inlineStr">
        <is>
          <t>Buzzi Unicem SpA</t>
        </is>
      </c>
      <c r="C145" s="18" t="inlineStr">
        <is>
          <t>UCM</t>
        </is>
      </c>
      <c r="D145" s="18" t="inlineStr">
        <is>
          <t>IT0001347308</t>
        </is>
      </c>
      <c r="E145" s="18" t="inlineStr">
        <is>
          <t>GR</t>
        </is>
      </c>
      <c r="F145" s="18" t="inlineStr">
        <is>
          <t>Materials</t>
        </is>
      </c>
      <c r="G145" s="18" t="inlineStr">
        <is>
          <t>Materials</t>
        </is>
      </c>
      <c r="H145" s="18" t="n"/>
      <c r="I145" s="18" t="n"/>
      <c r="J145" s="18" t="inlineStr">
        <is>
          <t>Pipeline Only</t>
        </is>
      </c>
      <c r="K145" s="18" t="n"/>
      <c r="L145" s="18" t="n"/>
      <c r="M145" s="18" t="inlineStr">
        <is>
          <t>Not yet screened</t>
        </is>
      </c>
      <c r="N145" s="18" t="n"/>
      <c r="O145" s="18" t="n"/>
    </row>
    <row r="146">
      <c r="A146" s="19" t="inlineStr">
        <is>
          <t>HDB_IT0003</t>
        </is>
      </c>
      <c r="B146" s="19" t="inlineStr">
        <is>
          <t>Azimut Holding SpA</t>
        </is>
      </c>
      <c r="C146" s="19" t="inlineStr">
        <is>
          <t>HDB</t>
        </is>
      </c>
      <c r="D146" s="19" t="inlineStr">
        <is>
          <t>IT0003261697</t>
        </is>
      </c>
      <c r="E146" s="19" t="inlineStr">
        <is>
          <t>GR</t>
        </is>
      </c>
      <c r="F146" s="19" t="inlineStr">
        <is>
          <t>Financials</t>
        </is>
      </c>
      <c r="G146" s="19" t="inlineStr">
        <is>
          <t>Financial Services</t>
        </is>
      </c>
      <c r="H146" s="19" t="n"/>
      <c r="I146" s="19" t="n"/>
      <c r="J146" s="19" t="inlineStr">
        <is>
          <t>Pipeline Only</t>
        </is>
      </c>
      <c r="K146" s="19" t="n"/>
      <c r="L146" s="19" t="n"/>
      <c r="M146" s="19" t="inlineStr">
        <is>
          <t>Not yet screened</t>
        </is>
      </c>
      <c r="N146" s="19" t="n"/>
      <c r="O146" s="19" t="n"/>
    </row>
    <row r="147">
      <c r="A147" s="18" t="inlineStr">
        <is>
          <t>CBK_DE000C</t>
        </is>
      </c>
      <c r="B147" s="18" t="inlineStr">
        <is>
          <t>Commerzbank AG</t>
        </is>
      </c>
      <c r="C147" s="18" t="inlineStr">
        <is>
          <t>CBK</t>
        </is>
      </c>
      <c r="D147" s="18" t="inlineStr">
        <is>
          <t>DE000CBK1001</t>
        </is>
      </c>
      <c r="E147" s="18" t="inlineStr">
        <is>
          <t>GR</t>
        </is>
      </c>
      <c r="F147" s="18" t="inlineStr">
        <is>
          <t>Financials</t>
        </is>
      </c>
      <c r="G147" s="18" t="inlineStr">
        <is>
          <t>Banking</t>
        </is>
      </c>
      <c r="H147" s="18" t="n"/>
      <c r="I147" s="18" t="n"/>
      <c r="J147" s="18" t="inlineStr">
        <is>
          <t>Excluded — Vol Cap</t>
        </is>
      </c>
      <c r="K147" s="18" t="n"/>
      <c r="L147" s="18" t="n"/>
      <c r="M147" s="18" t="inlineStr">
        <is>
          <t>Not yet screened</t>
        </is>
      </c>
      <c r="N147" s="18" t="n"/>
      <c r="O147" s="18" t="n"/>
    </row>
    <row r="148">
      <c r="A148" s="19" t="inlineStr">
        <is>
          <t>AIXA_DE000A</t>
        </is>
      </c>
      <c r="B148" s="19" t="inlineStr">
        <is>
          <t>AIXTRON SE</t>
        </is>
      </c>
      <c r="C148" s="19" t="inlineStr">
        <is>
          <t>AIXA</t>
        </is>
      </c>
      <c r="D148" s="19" t="inlineStr">
        <is>
          <t>DE000A0WMPJ6</t>
        </is>
      </c>
      <c r="E148" s="19" t="inlineStr">
        <is>
          <t>GR</t>
        </is>
      </c>
      <c r="F148" s="19" t="inlineStr">
        <is>
          <t>Technology</t>
        </is>
      </c>
      <c r="G148" s="19" t="inlineStr">
        <is>
          <t>Tech Hardware &amp; Semiconductors</t>
        </is>
      </c>
      <c r="H148" s="19" t="n"/>
      <c r="I148" s="19" t="n"/>
      <c r="J148" s="19" t="inlineStr">
        <is>
          <t>Excluded — Vol Cap</t>
        </is>
      </c>
      <c r="K148" s="19" t="n"/>
      <c r="L148" s="19" t="n"/>
      <c r="M148" s="19" t="inlineStr">
        <is>
          <t>Not yet screened</t>
        </is>
      </c>
      <c r="N148" s="19" t="n"/>
      <c r="O148" s="19" t="n"/>
    </row>
    <row r="149">
      <c r="A149" s="18" t="inlineStr">
        <is>
          <t>BSI_NL0012</t>
        </is>
      </c>
      <c r="B149" s="18" t="inlineStr">
        <is>
          <t>BE Semiconductor Industries NV</t>
        </is>
      </c>
      <c r="C149" s="18" t="inlineStr">
        <is>
          <t>BSI</t>
        </is>
      </c>
      <c r="D149" s="18" t="inlineStr">
        <is>
          <t>NL0012866412</t>
        </is>
      </c>
      <c r="E149" s="18" t="inlineStr">
        <is>
          <t>GR</t>
        </is>
      </c>
      <c r="F149" s="18" t="inlineStr">
        <is>
          <t>Technology</t>
        </is>
      </c>
      <c r="G149" s="18" t="inlineStr">
        <is>
          <t>Tech Hardware &amp; Semiconductors</t>
        </is>
      </c>
      <c r="H149" s="18" t="n"/>
      <c r="I149" s="18" t="n"/>
      <c r="J149" s="18" t="inlineStr">
        <is>
          <t>Excluded — Vol Cap</t>
        </is>
      </c>
      <c r="K149" s="18" t="n"/>
      <c r="L149" s="18" t="n"/>
      <c r="M149" s="18" t="inlineStr">
        <is>
          <t>Not yet screened</t>
        </is>
      </c>
      <c r="N149" s="18" t="n"/>
      <c r="O149" s="18" t="n"/>
    </row>
    <row r="150">
      <c r="A150" s="19" t="inlineStr">
        <is>
          <t>SGM_NL0000</t>
        </is>
      </c>
      <c r="B150" s="19" t="inlineStr">
        <is>
          <t>STMicroelectronics NV</t>
        </is>
      </c>
      <c r="C150" s="19" t="inlineStr">
        <is>
          <t>SGM</t>
        </is>
      </c>
      <c r="D150" s="19" t="inlineStr">
        <is>
          <t>NL0000226223</t>
        </is>
      </c>
      <c r="E150" s="19" t="inlineStr">
        <is>
          <t>GR</t>
        </is>
      </c>
      <c r="F150" s="19" t="inlineStr">
        <is>
          <t>Technology</t>
        </is>
      </c>
      <c r="G150" s="19" t="inlineStr">
        <is>
          <t>Tech Hardware &amp; Semiconductors</t>
        </is>
      </c>
      <c r="H150" s="19" t="n"/>
      <c r="I150" s="19" t="n"/>
      <c r="J150" s="19" t="inlineStr">
        <is>
          <t>Excluded — Vol Cap</t>
        </is>
      </c>
      <c r="K150" s="19" t="n"/>
      <c r="L150" s="19" t="n"/>
      <c r="M150" s="19" t="inlineStr">
        <is>
          <t>Not yet screened</t>
        </is>
      </c>
      <c r="N150" s="19" t="n"/>
      <c r="O150" s="19" t="n"/>
    </row>
    <row r="151">
      <c r="A151" s="18" t="inlineStr">
        <is>
          <t>AVS_NL0000</t>
        </is>
      </c>
      <c r="B151" s="18" t="inlineStr">
        <is>
          <t>ASM International NV</t>
        </is>
      </c>
      <c r="C151" s="18" t="inlineStr">
        <is>
          <t>AVS</t>
        </is>
      </c>
      <c r="D151" s="18" t="inlineStr">
        <is>
          <t>NL0000334118</t>
        </is>
      </c>
      <c r="E151" s="18" t="inlineStr">
        <is>
          <t>GR</t>
        </is>
      </c>
      <c r="F151" s="18" t="inlineStr">
        <is>
          <t>Technology</t>
        </is>
      </c>
      <c r="G151" s="18" t="inlineStr">
        <is>
          <t>Tech Hardware &amp; Semiconductors</t>
        </is>
      </c>
      <c r="H151" s="18" t="n"/>
      <c r="I151" s="18" t="n"/>
      <c r="J151" s="18" t="inlineStr">
        <is>
          <t>Excluded — Vol Cap</t>
        </is>
      </c>
      <c r="K151" s="18" t="n"/>
      <c r="L151" s="18" t="n"/>
      <c r="M151" s="18" t="inlineStr">
        <is>
          <t>Not yet screened</t>
        </is>
      </c>
      <c r="N151" s="18" t="n"/>
      <c r="O151" s="18" t="n"/>
    </row>
    <row r="152">
      <c r="A152" s="19" t="inlineStr">
        <is>
          <t>HF6_CY0200</t>
        </is>
      </c>
      <c r="B152" s="19" t="inlineStr">
        <is>
          <t>Frontline PLC</t>
        </is>
      </c>
      <c r="C152" s="19" t="inlineStr">
        <is>
          <t>HF6</t>
        </is>
      </c>
      <c r="D152" s="19" t="inlineStr">
        <is>
          <t>CY0200352116</t>
        </is>
      </c>
      <c r="E152" s="19" t="inlineStr">
        <is>
          <t>GR</t>
        </is>
      </c>
      <c r="F152" s="19" t="inlineStr">
        <is>
          <t>Industrials</t>
        </is>
      </c>
      <c r="G152" s="19" t="inlineStr">
        <is>
          <t>Industrial Services</t>
        </is>
      </c>
      <c r="H152" s="19" t="n"/>
      <c r="I152" s="19" t="n"/>
      <c r="J152" s="19" t="inlineStr">
        <is>
          <t>Excluded — Vol Cap</t>
        </is>
      </c>
      <c r="K152" s="19" t="n"/>
      <c r="L152" s="19" t="n"/>
      <c r="M152" s="19" t="inlineStr">
        <is>
          <t>Not yet screened</t>
        </is>
      </c>
      <c r="N152" s="19" t="n"/>
      <c r="O152" s="19" t="n"/>
    </row>
    <row r="153">
      <c r="A153" s="18" t="inlineStr">
        <is>
          <t>RTZ_GB0004</t>
        </is>
      </c>
      <c r="B153" s="18" t="inlineStr">
        <is>
          <t>Pan African Resources PLC</t>
        </is>
      </c>
      <c r="C153" s="18" t="inlineStr">
        <is>
          <t>RTZ</t>
        </is>
      </c>
      <c r="D153" s="18" t="inlineStr">
        <is>
          <t>GB0004300496</t>
        </is>
      </c>
      <c r="E153" s="18" t="inlineStr">
        <is>
          <t>GR</t>
        </is>
      </c>
      <c r="F153" s="18" t="inlineStr">
        <is>
          <t>Materials</t>
        </is>
      </c>
      <c r="G153" s="18" t="inlineStr">
        <is>
          <t>Materials</t>
        </is>
      </c>
      <c r="H153" s="18" t="n"/>
      <c r="I153" s="18" t="n"/>
      <c r="J153" s="18" t="inlineStr">
        <is>
          <t>Excluded — Vol Cap</t>
        </is>
      </c>
      <c r="K153" s="18" t="n"/>
      <c r="L153" s="18" t="n"/>
      <c r="M153" s="18" t="inlineStr">
        <is>
          <t>Not yet screened</t>
        </is>
      </c>
      <c r="N153" s="18" t="n"/>
      <c r="O153" s="18" t="n"/>
    </row>
    <row r="154">
      <c r="A154" s="19" t="inlineStr">
        <is>
          <t>H3M_GB00B1</t>
        </is>
      </c>
      <c r="B154" s="19" t="inlineStr">
        <is>
          <t>Hochschild Mining PLC</t>
        </is>
      </c>
      <c r="C154" s="19" t="inlineStr">
        <is>
          <t>H3M</t>
        </is>
      </c>
      <c r="D154" s="19" t="inlineStr">
        <is>
          <t>GB00B1FW5029</t>
        </is>
      </c>
      <c r="E154" s="19" t="inlineStr">
        <is>
          <t>GR</t>
        </is>
      </c>
      <c r="F154" s="19" t="inlineStr">
        <is>
          <t>Materials</t>
        </is>
      </c>
      <c r="G154" s="19" t="inlineStr">
        <is>
          <t>Materials</t>
        </is>
      </c>
      <c r="H154" s="19" t="n"/>
      <c r="I154" s="19" t="n"/>
      <c r="J154" s="19" t="inlineStr">
        <is>
          <t>Excluded — Vol Cap</t>
        </is>
      </c>
      <c r="K154" s="19" t="n"/>
      <c r="L154" s="19" t="n"/>
      <c r="M154" s="19" t="inlineStr">
        <is>
          <t>Not yet screened</t>
        </is>
      </c>
      <c r="N154" s="19" t="n"/>
      <c r="O154" s="19" t="n"/>
    </row>
    <row r="155">
      <c r="A155" s="18" t="inlineStr">
        <is>
          <t>ARRD_LU1598</t>
        </is>
      </c>
      <c r="B155" s="18" t="inlineStr">
        <is>
          <t>ArcelorMittal SA</t>
        </is>
      </c>
      <c r="C155" s="18" t="inlineStr">
        <is>
          <t>ARRD</t>
        </is>
      </c>
      <c r="D155" s="18" t="inlineStr">
        <is>
          <t>LU1598757687</t>
        </is>
      </c>
      <c r="E155" s="18" t="inlineStr">
        <is>
          <t>GR</t>
        </is>
      </c>
      <c r="F155" s="18" t="inlineStr">
        <is>
          <t>Materials</t>
        </is>
      </c>
      <c r="G155" s="18" t="inlineStr">
        <is>
          <t>Materials</t>
        </is>
      </c>
      <c r="H155" s="18" t="n"/>
      <c r="I155" s="18" t="n"/>
      <c r="J155" s="18" t="inlineStr">
        <is>
          <t>Excluded — Vol Cap</t>
        </is>
      </c>
      <c r="K155" s="18" t="n"/>
      <c r="L155" s="18" t="n"/>
      <c r="M155" s="18" t="inlineStr">
        <is>
          <t>Not yet screened</t>
        </is>
      </c>
      <c r="N155" s="18" t="n"/>
      <c r="O155" s="18" t="n"/>
    </row>
    <row r="156">
      <c r="A156" s="19" t="inlineStr">
        <is>
          <t>M6Q_FI0009</t>
        </is>
      </c>
      <c r="B156" s="19" t="inlineStr">
        <is>
          <t>Metso Outotec Oyj</t>
        </is>
      </c>
      <c r="C156" s="19" t="inlineStr">
        <is>
          <t>M6Q</t>
        </is>
      </c>
      <c r="D156" s="19" t="inlineStr">
        <is>
          <t>FI0009014575</t>
        </is>
      </c>
      <c r="E156" s="19" t="inlineStr">
        <is>
          <t>GR</t>
        </is>
      </c>
      <c r="F156" s="19" t="inlineStr">
        <is>
          <t>Industrials</t>
        </is>
      </c>
      <c r="G156" s="19" t="inlineStr">
        <is>
          <t>Industrial Products</t>
        </is>
      </c>
      <c r="H156" s="19" t="n"/>
      <c r="I156" s="19" t="n"/>
      <c r="J156" s="19" t="inlineStr">
        <is>
          <t>Excluded — Vol Cap</t>
        </is>
      </c>
      <c r="K156" s="19" t="n"/>
      <c r="L156" s="19" t="n"/>
      <c r="M156" s="19" t="inlineStr">
        <is>
          <t>Not yet screened</t>
        </is>
      </c>
      <c r="N156" s="19" t="n"/>
      <c r="O156" s="19" t="n"/>
    </row>
    <row r="157">
      <c r="A157" s="18" t="inlineStr">
        <is>
          <t>FNL_GB00B2</t>
        </is>
      </c>
      <c r="B157" s="18" t="inlineStr">
        <is>
          <t>Fresnillo PLC</t>
        </is>
      </c>
      <c r="C157" s="18" t="inlineStr">
        <is>
          <t>FNL</t>
        </is>
      </c>
      <c r="D157" s="18" t="inlineStr">
        <is>
          <t>GB00B2QPKJ12</t>
        </is>
      </c>
      <c r="E157" s="18" t="inlineStr">
        <is>
          <t>GR</t>
        </is>
      </c>
      <c r="F157" s="18" t="inlineStr">
        <is>
          <t>Materials</t>
        </is>
      </c>
      <c r="G157" s="18" t="inlineStr">
        <is>
          <t>Materials</t>
        </is>
      </c>
      <c r="H157" s="18" t="n"/>
      <c r="I157" s="18" t="n"/>
      <c r="J157" s="18" t="inlineStr">
        <is>
          <t>Excluded — Vol Cap</t>
        </is>
      </c>
      <c r="K157" s="18" t="n"/>
      <c r="L157" s="18" t="n"/>
      <c r="M157" s="18" t="inlineStr">
        <is>
          <t>Not yet screened</t>
        </is>
      </c>
      <c r="N157" s="18" t="n"/>
      <c r="O157" s="18" t="n"/>
    </row>
    <row r="158">
      <c r="A158" s="19" t="inlineStr">
        <is>
          <t>4BE_IT0000</t>
        </is>
      </c>
      <c r="B158" s="19" t="inlineStr">
        <is>
          <t>BPER Banca</t>
        </is>
      </c>
      <c r="C158" s="19" t="inlineStr">
        <is>
          <t>4BE</t>
        </is>
      </c>
      <c r="D158" s="19" t="inlineStr">
        <is>
          <t>IT0000066123</t>
        </is>
      </c>
      <c r="E158" s="19" t="inlineStr">
        <is>
          <t>GR</t>
        </is>
      </c>
      <c r="F158" s="19" t="inlineStr">
        <is>
          <t>Financials</t>
        </is>
      </c>
      <c r="G158" s="19" t="inlineStr">
        <is>
          <t>Banking</t>
        </is>
      </c>
      <c r="H158" s="19" t="n"/>
      <c r="I158" s="19" t="n"/>
      <c r="J158" s="19" t="inlineStr">
        <is>
          <t>Excluded — Vol Cap</t>
        </is>
      </c>
      <c r="K158" s="19" t="n"/>
      <c r="L158" s="19" t="n"/>
      <c r="M158" s="19" t="inlineStr">
        <is>
          <t>Not yet screened</t>
        </is>
      </c>
      <c r="N158" s="19" t="n"/>
      <c r="O158" s="19" t="n"/>
    </row>
    <row r="159">
      <c r="A159" s="18" t="inlineStr">
        <is>
          <t>22Z_DK0060</t>
        </is>
      </c>
      <c r="B159" s="18" t="inlineStr">
        <is>
          <t>Zealand Pharma A/S</t>
        </is>
      </c>
      <c r="C159" s="18" t="inlineStr">
        <is>
          <t>22Z</t>
        </is>
      </c>
      <c r="D159" s="18" t="inlineStr">
        <is>
          <t>DK0060257814</t>
        </is>
      </c>
      <c r="E159" s="18" t="inlineStr">
        <is>
          <t>GR</t>
        </is>
      </c>
      <c r="F159" s="18" t="inlineStr">
        <is>
          <t>Health Care</t>
        </is>
      </c>
      <c r="G159" s="18" t="inlineStr">
        <is>
          <t>Health Care</t>
        </is>
      </c>
      <c r="H159" s="18" t="n"/>
      <c r="I159" s="18" t="n"/>
      <c r="J159" s="18" t="inlineStr">
        <is>
          <t>Excluded — Vol Cap</t>
        </is>
      </c>
      <c r="K159" s="18" t="n"/>
      <c r="L159" s="18" t="n"/>
      <c r="M159" s="18" t="inlineStr">
        <is>
          <t>Not yet screened</t>
        </is>
      </c>
      <c r="N159" s="18" t="n"/>
      <c r="O159" s="18" t="n"/>
    </row>
    <row r="160">
      <c r="A160" s="19" t="inlineStr">
        <is>
          <t>1T5_PLTAUR</t>
        </is>
      </c>
      <c r="B160" s="19" t="inlineStr">
        <is>
          <t>Tauron Polska Energia SA</t>
        </is>
      </c>
      <c r="C160" s="19" t="inlineStr">
        <is>
          <t>1T5</t>
        </is>
      </c>
      <c r="D160" s="19" t="inlineStr">
        <is>
          <t>PLTAURN00011</t>
        </is>
      </c>
      <c r="E160" s="19" t="inlineStr">
        <is>
          <t>GR</t>
        </is>
      </c>
      <c r="F160" s="19" t="inlineStr">
        <is>
          <t>Utilities</t>
        </is>
      </c>
      <c r="G160" s="19" t="inlineStr">
        <is>
          <t>Utilities</t>
        </is>
      </c>
      <c r="H160" s="19" t="n"/>
      <c r="I160" s="19" t="n"/>
      <c r="J160" s="19" t="inlineStr">
        <is>
          <t>Excluded — Vol Cap</t>
        </is>
      </c>
      <c r="K160" s="19" t="n"/>
      <c r="L160" s="19" t="n"/>
      <c r="M160" s="19" t="inlineStr">
        <is>
          <t>Not yet screened</t>
        </is>
      </c>
      <c r="N160" s="19" t="n"/>
      <c r="O160" s="19" t="n"/>
    </row>
    <row r="161">
      <c r="A161" s="18" t="inlineStr">
        <is>
          <t>BRU_PLBRE0</t>
        </is>
      </c>
      <c r="B161" s="18" t="inlineStr">
        <is>
          <t>mBank SA</t>
        </is>
      </c>
      <c r="C161" s="18" t="inlineStr">
        <is>
          <t>BRU</t>
        </is>
      </c>
      <c r="D161" s="18" t="inlineStr">
        <is>
          <t>PLBRE0000012</t>
        </is>
      </c>
      <c r="E161" s="18" t="inlineStr">
        <is>
          <t>GR</t>
        </is>
      </c>
      <c r="F161" s="18" t="inlineStr">
        <is>
          <t>Financials</t>
        </is>
      </c>
      <c r="G161" s="18" t="inlineStr">
        <is>
          <t>Banking</t>
        </is>
      </c>
      <c r="H161" s="18" t="n"/>
      <c r="I161" s="18" t="n"/>
      <c r="J161" s="18" t="inlineStr">
        <is>
          <t>Excluded — Vol Cap</t>
        </is>
      </c>
      <c r="K161" s="18" t="n"/>
      <c r="L161" s="18" t="n"/>
      <c r="M161" s="18" t="inlineStr">
        <is>
          <t>Not yet screened</t>
        </is>
      </c>
      <c r="N161" s="18" t="n"/>
      <c r="O161" s="18" t="n"/>
    </row>
    <row r="162">
      <c r="A162" s="19" t="inlineStr">
        <is>
          <t>7CD_PLOPTT</t>
        </is>
      </c>
      <c r="B162" s="19" t="inlineStr">
        <is>
          <t>CD Projekt SA</t>
        </is>
      </c>
      <c r="C162" s="19" t="inlineStr">
        <is>
          <t>7CD</t>
        </is>
      </c>
      <c r="D162" s="19" t="inlineStr">
        <is>
          <t>PLOPTTC00011</t>
        </is>
      </c>
      <c r="E162" s="19" t="inlineStr">
        <is>
          <t>GR</t>
        </is>
      </c>
      <c r="F162" s="19" t="inlineStr">
        <is>
          <t>Communications</t>
        </is>
      </c>
      <c r="G162" s="19" t="inlineStr">
        <is>
          <t>Media</t>
        </is>
      </c>
      <c r="H162" s="19" t="n"/>
      <c r="I162" s="19" t="n"/>
      <c r="J162" s="19" t="inlineStr">
        <is>
          <t>Excluded — Vol Cap</t>
        </is>
      </c>
      <c r="K162" s="19" t="n"/>
      <c r="L162" s="19" t="n"/>
      <c r="M162" s="19" t="inlineStr">
        <is>
          <t>Not yet screened</t>
        </is>
      </c>
      <c r="N162" s="19" t="n"/>
      <c r="O162" s="19" t="n"/>
    </row>
    <row r="163">
      <c r="A163" s="18" t="inlineStr">
        <is>
          <t>1AE_NL0010</t>
        </is>
      </c>
      <c r="B163" s="18" t="inlineStr">
        <is>
          <t>Argenx SE</t>
        </is>
      </c>
      <c r="C163" s="18" t="inlineStr">
        <is>
          <t>1AE</t>
        </is>
      </c>
      <c r="D163" s="18" t="inlineStr">
        <is>
          <t>NL0010832176</t>
        </is>
      </c>
      <c r="E163" s="18" t="inlineStr">
        <is>
          <t>GR</t>
        </is>
      </c>
      <c r="F163" s="18" t="inlineStr">
        <is>
          <t>Health Care</t>
        </is>
      </c>
      <c r="G163" s="18" t="inlineStr">
        <is>
          <t>Health Care</t>
        </is>
      </c>
      <c r="H163" s="18" t="n"/>
      <c r="I163" s="18" t="n"/>
      <c r="J163" s="18" t="inlineStr">
        <is>
          <t>Excluded — Vol Cap</t>
        </is>
      </c>
      <c r="K163" s="18" t="n"/>
      <c r="L163" s="18" t="n"/>
      <c r="M163" s="18" t="inlineStr">
        <is>
          <t>Not yet screened</t>
        </is>
      </c>
      <c r="N163" s="18" t="n"/>
      <c r="O163" s="18" t="n"/>
    </row>
    <row r="164">
      <c r="A164" s="19" t="inlineStr">
        <is>
          <t>1ZG_GB00BV</t>
        </is>
      </c>
      <c r="B164" s="19" t="inlineStr">
        <is>
          <t>Zegona Communications plc</t>
        </is>
      </c>
      <c r="C164" s="19" t="inlineStr">
        <is>
          <t>1ZG</t>
        </is>
      </c>
      <c r="D164" s="19" t="inlineStr">
        <is>
          <t>GB00BVGBY890</t>
        </is>
      </c>
      <c r="E164" s="19" t="inlineStr">
        <is>
          <t>GR</t>
        </is>
      </c>
      <c r="F164" s="19" t="inlineStr">
        <is>
          <t>Financials</t>
        </is>
      </c>
      <c r="G164" s="19" t="inlineStr">
        <is>
          <t>Financial Services</t>
        </is>
      </c>
      <c r="H164" s="19" t="n"/>
      <c r="I164" s="19" t="n"/>
      <c r="J164" s="19" t="inlineStr">
        <is>
          <t>Excluded — Vol Cap</t>
        </is>
      </c>
      <c r="K164" s="19" t="n"/>
      <c r="L164" s="19" t="n"/>
      <c r="M164" s="19" t="inlineStr">
        <is>
          <t>Not yet screened</t>
        </is>
      </c>
      <c r="N164" s="19" t="n"/>
      <c r="O164" s="19" t="n"/>
    </row>
    <row r="165">
      <c r="A165" s="18" t="inlineStr">
        <is>
          <t>7CA_SE0007</t>
        </is>
      </c>
      <c r="B165" s="18" t="inlineStr">
        <is>
          <t>Camurus AB</t>
        </is>
      </c>
      <c r="C165" s="18" t="inlineStr">
        <is>
          <t>7CA</t>
        </is>
      </c>
      <c r="D165" s="18" t="inlineStr">
        <is>
          <t>SE0007692850</t>
        </is>
      </c>
      <c r="E165" s="18" t="inlineStr">
        <is>
          <t>GR</t>
        </is>
      </c>
      <c r="F165" s="18" t="inlineStr">
        <is>
          <t>Health Care</t>
        </is>
      </c>
      <c r="G165" s="18" t="inlineStr">
        <is>
          <t>Health Care</t>
        </is>
      </c>
      <c r="H165" s="18" t="n"/>
      <c r="I165" s="18" t="n"/>
      <c r="J165" s="18" t="inlineStr">
        <is>
          <t>Excluded — Vol Cap</t>
        </is>
      </c>
      <c r="K165" s="18" t="n"/>
      <c r="L165" s="18" t="n"/>
      <c r="M165" s="18" t="inlineStr">
        <is>
          <t>Not yet screened</t>
        </is>
      </c>
      <c r="N165" s="18" t="n"/>
      <c r="O165" s="18" t="n"/>
    </row>
    <row r="166">
      <c r="A166" s="19" t="inlineStr">
        <is>
          <t>BPM_IT0005</t>
        </is>
      </c>
      <c r="B166" s="19" t="inlineStr">
        <is>
          <t>Banco BPM SpA</t>
        </is>
      </c>
      <c r="C166" s="19" t="inlineStr">
        <is>
          <t>BPM</t>
        </is>
      </c>
      <c r="D166" s="19" t="inlineStr">
        <is>
          <t>IT0005218380</t>
        </is>
      </c>
      <c r="E166" s="19" t="inlineStr">
        <is>
          <t>GR</t>
        </is>
      </c>
      <c r="F166" s="19" t="inlineStr">
        <is>
          <t>Financials</t>
        </is>
      </c>
      <c r="G166" s="19" t="inlineStr">
        <is>
          <t>Banking</t>
        </is>
      </c>
      <c r="H166" s="19" t="n"/>
      <c r="I166" s="19" t="n"/>
      <c r="J166" s="19" t="inlineStr">
        <is>
          <t>Excluded — Vol Cap</t>
        </is>
      </c>
      <c r="K166" s="19" t="n"/>
      <c r="L166" s="19" t="n"/>
      <c r="M166" s="19" t="inlineStr">
        <is>
          <t>Not yet screened</t>
        </is>
      </c>
      <c r="N166" s="19" t="n"/>
      <c r="O166" s="19" t="n"/>
    </row>
    <row r="167">
      <c r="A167" s="18" t="inlineStr">
        <is>
          <t>2X1_FR0012</t>
        </is>
      </c>
      <c r="B167" s="18" t="inlineStr">
        <is>
          <t>Abivax SA</t>
        </is>
      </c>
      <c r="C167" s="18" t="inlineStr">
        <is>
          <t>2X1</t>
        </is>
      </c>
      <c r="D167" s="18" t="inlineStr">
        <is>
          <t>FR0012333284</t>
        </is>
      </c>
      <c r="E167" s="18" t="inlineStr">
        <is>
          <t>GR</t>
        </is>
      </c>
      <c r="F167" s="18" t="inlineStr">
        <is>
          <t>Health Care</t>
        </is>
      </c>
      <c r="G167" s="18" t="inlineStr">
        <is>
          <t>Health Care</t>
        </is>
      </c>
      <c r="H167" s="18" t="n"/>
      <c r="I167" s="18" t="n"/>
      <c r="J167" s="18" t="inlineStr">
        <is>
          <t>Excluded — Vol Cap</t>
        </is>
      </c>
      <c r="K167" s="18" t="n"/>
      <c r="L167" s="18" t="n"/>
      <c r="M167" s="18" t="inlineStr">
        <is>
          <t>Not yet screened</t>
        </is>
      </c>
      <c r="N167" s="18" t="n"/>
      <c r="O167" s="18" t="n"/>
    </row>
    <row r="168">
      <c r="A168" s="19" t="inlineStr">
        <is>
          <t>BIRG_IE00BD</t>
        </is>
      </c>
      <c r="B168" s="19" t="inlineStr">
        <is>
          <t>Bank of Ireland Group PLC</t>
        </is>
      </c>
      <c r="C168" s="19" t="inlineStr">
        <is>
          <t>BIRG</t>
        </is>
      </c>
      <c r="D168" s="19" t="inlineStr">
        <is>
          <t>IE00BD1RP616</t>
        </is>
      </c>
      <c r="E168" s="19" t="inlineStr">
        <is>
          <t>GR</t>
        </is>
      </c>
      <c r="F168" s="19" t="inlineStr">
        <is>
          <t>Financials</t>
        </is>
      </c>
      <c r="G168" s="19" t="inlineStr">
        <is>
          <t>Banking</t>
        </is>
      </c>
      <c r="H168" s="19" t="n"/>
      <c r="I168" s="19" t="n"/>
      <c r="J168" s="19" t="inlineStr">
        <is>
          <t>Excluded — Vol Cap</t>
        </is>
      </c>
      <c r="K168" s="19" t="n"/>
      <c r="L168" s="19" t="n"/>
      <c r="M168" s="19" t="inlineStr">
        <is>
          <t>Not yet screened</t>
        </is>
      </c>
      <c r="N168" s="19" t="n"/>
      <c r="O168" s="19" t="n"/>
    </row>
    <row r="169">
      <c r="A169" s="18" t="inlineStr">
        <is>
          <t>1RY_PLLPP0</t>
        </is>
      </c>
      <c r="B169" s="18" t="inlineStr">
        <is>
          <t>LPP SA</t>
        </is>
      </c>
      <c r="C169" s="18" t="inlineStr">
        <is>
          <t>1RY</t>
        </is>
      </c>
      <c r="D169" s="18" t="inlineStr">
        <is>
          <t>PLLPP0000011</t>
        </is>
      </c>
      <c r="E169" s="18" t="inlineStr">
        <is>
          <t>GR</t>
        </is>
      </c>
      <c r="F169" s="18" t="inlineStr">
        <is>
          <t>Consumer Discretionary</t>
        </is>
      </c>
      <c r="G169" s="18" t="inlineStr">
        <is>
          <t>Retail &amp; Whsle - Discretionary</t>
        </is>
      </c>
      <c r="H169" s="18" t="n"/>
      <c r="I169" s="18" t="n"/>
      <c r="J169" s="18" t="inlineStr">
        <is>
          <t>Excluded — Vol Cap</t>
        </is>
      </c>
      <c r="K169" s="18" t="n"/>
      <c r="L169" s="18" t="n"/>
      <c r="M169" s="18" t="inlineStr">
        <is>
          <t>Not yet screened</t>
        </is>
      </c>
      <c r="N169" s="18" t="n"/>
      <c r="O169" s="18" t="n"/>
    </row>
  </sheetData>
  <mergeCells count="1">
    <mergeCell ref="A1:O1"/>
  </mergeCells>
  <dataValidations count="3">
    <dataValidation sqref="H3:H52 J3:K52" showDropDown="0" showInputMessage="0" showErrorMessage="0" allowBlank="1" type="list">
      <formula1>"Yes,No"</formula1>
      <formula2>0</formula2>
    </dataValidation>
    <dataValidation sqref="I3:I52" showDropDown="0" showInputMessage="0" showErrorMessage="0" allowBlank="1" type="list">
      <formula1>"Deep Review,Light Screen,Pending"</formula1>
      <formula2>0</formula2>
    </dataValidation>
    <dataValidation sqref="L3:L52" showDropDown="0" showInputMessage="0" showErrorMessage="0" allowBlank="1" type="list">
      <formula1>"Not Started,Light Screen In Progress,Light Screen Complete,Deep Review In Progress,Deep Review Complete"</formula1>
      <formula2>0</formula2>
    </dataValidation>
  </dataValidation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J145"/>
  <sheetViews>
    <sheetView showGridLines="0" zoomScaleNormal="100" workbookViewId="0">
      <pane xSplit="2" ySplit="3" topLeftCell="C4" activePane="bottomRight" state="frozen"/>
      <selection pane="topRight" activeCell="C1" sqref="C1"/>
      <selection pane="bottomLeft" activeCell="A4" sqref="A4"/>
      <selection pane="bottomRight" activeCell="G6" sqref="G6"/>
    </sheetView>
  </sheetViews>
  <sheetFormatPr baseColWidth="10" defaultColWidth="8.6640625" defaultRowHeight="14"/>
  <cols>
    <col width="28" customWidth="1" style="57" min="1" max="1"/>
    <col width="12" customWidth="1" style="57" min="2" max="2"/>
    <col width="20" customWidth="1" style="57" min="3" max="3"/>
    <col width="22" customWidth="1" style="57" min="4" max="4"/>
    <col width="24" customWidth="1" style="57" min="5" max="6"/>
    <col width="16" customWidth="1" style="57" min="7" max="7"/>
    <col width="36" customWidth="1" style="57" min="8" max="8"/>
    <col width="8.6640625" customWidth="1" style="57" min="9" max="9"/>
    <col width="8.6640625" customWidth="1" style="57" min="10" max="16384"/>
  </cols>
  <sheetData>
    <row r="1" ht="27.75" customHeight="1" s="60">
      <c r="A1" s="56" t="inlineStr">
        <is>
          <t>WATCHLIST &amp; EXCLUSION SUMMARY  |  For Captain and ESG Specialist  |  Updated from RAG Screening Sheet</t>
        </is>
      </c>
    </row>
    <row r="3" ht="21.75" customHeight="1" s="60">
      <c r="A3" s="58" t="inlineStr">
        <is>
          <t>A — HARD EXCLUSIONS</t>
        </is>
      </c>
    </row>
    <row r="4" ht="30" customHeight="1" s="60">
      <c r="A4" s="20" t="inlineStr">
        <is>
          <t>Company</t>
        </is>
      </c>
      <c r="B4" s="20" t="inlineStr">
        <is>
          <t>Ticker</t>
        </is>
      </c>
      <c r="C4" s="20" t="inlineStr">
        <is>
          <t>Exclusion Trigger</t>
        </is>
      </c>
      <c r="D4" s="20" t="inlineStr">
        <is>
          <t>Evidence Source</t>
        </is>
      </c>
      <c r="E4" s="20" t="inlineStr">
        <is>
          <t>Page Ref</t>
        </is>
      </c>
      <c r="F4" s="20" t="inlineStr">
        <is>
          <t>Verified By</t>
        </is>
      </c>
      <c r="G4" s="20" t="inlineStr">
        <is>
          <t>Date</t>
        </is>
      </c>
      <c r="H4" s="20" t="inlineStr">
        <is>
          <t>Captain Confirmed</t>
        </is>
      </c>
    </row>
    <row r="5" ht="15.75" customHeight="1" s="60">
      <c r="A5" s="18">
        <f t="array" ref="A5">IFERROR(_xlfn._xlws.FILTER('RAG Screening Sheet'!A7:A56,'RAG Screening Sheet'!DU7:DU56="Exclusion Risk"),"")</f>
        <v/>
      </c>
      <c r="B5" s="18">
        <f t="array" ref="B5">IFERROR(_xlfn._xlws.FILTER('RAG Screening Sheet'!B7:B56,'RAG Screening Sheet'!DU7:DU56="Exclusion Risk"),"")</f>
        <v/>
      </c>
      <c r="C5" s="18">
        <f t="array" ref="C5">IFERROR(_xlfn._xlws.FILTER('RAG Screening Sheet'!DB7:DB56,'RAG Screening Sheet'!DU7:DU56="Exclusion Risk"),"")</f>
        <v/>
      </c>
      <c r="D5" s="18">
        <f t="array" ref="D5">IFERROR(_xlfn._xlws.FILTER('RAG Screening Sheet'!DD7:DD56,'RAG Screening Sheet'!DU7:DU56="Exclusion Risk"),"")</f>
        <v/>
      </c>
      <c r="E5" s="18">
        <f t="array" ref="E5">IFERROR(_xlfn._xlws.FILTER('RAG Screening Sheet'!DE7:DE56,'RAG Screening Sheet'!DU7:DU56="Exclusion Risk"),"")</f>
        <v/>
      </c>
      <c r="F5" s="18">
        <f t="array" ref="F5">IFERROR(_xlfn._xlws.FILTER('RAG Screening Sheet'!DI7:DI56,'RAG Screening Sheet'!DU7:DU56="Exclusion Risk"),"")</f>
        <v/>
      </c>
      <c r="G5" s="18">
        <f t="array" ref="G5">IFERROR(_xlfn._xlws.FILTER('RAG Screening Sheet'!DJ7:DJ56,'RAG Screening Sheet'!DU7:DU56="Exclusion Risk"),"")</f>
        <v/>
      </c>
      <c r="H5" s="18" t="n"/>
    </row>
    <row r="6" ht="15.75" customHeight="1" s="60">
      <c r="A6" s="18" t="n"/>
      <c r="B6" s="18" t="n"/>
      <c r="C6" s="18" t="n"/>
      <c r="D6" s="18" t="n"/>
      <c r="E6" s="18" t="n"/>
      <c r="F6" s="18" t="n"/>
      <c r="G6" s="18" t="n"/>
      <c r="H6" s="18" t="n"/>
    </row>
    <row r="7" ht="15.75" customHeight="1" s="60">
      <c r="A7" s="18" t="n"/>
      <c r="B7" s="18" t="n"/>
      <c r="C7" s="18" t="n"/>
      <c r="D7" s="18" t="n"/>
      <c r="E7" s="18" t="n"/>
      <c r="F7" s="18" t="n"/>
      <c r="G7" s="18" t="n"/>
      <c r="H7" s="18" t="n"/>
    </row>
    <row r="8" ht="15.75" customHeight="1" s="60">
      <c r="A8" s="18" t="n"/>
      <c r="B8" s="18" t="n"/>
      <c r="C8" s="18" t="n"/>
      <c r="D8" s="18" t="n"/>
      <c r="E8" s="18" t="n"/>
      <c r="F8" s="18" t="n"/>
      <c r="G8" s="18" t="n"/>
      <c r="H8" s="18" t="n"/>
    </row>
    <row r="9" ht="15.75" customHeight="1" s="60">
      <c r="A9" s="18" t="n"/>
      <c r="B9" s="18" t="n"/>
      <c r="C9" s="18" t="n"/>
      <c r="D9" s="18" t="n"/>
      <c r="E9" s="18" t="n"/>
      <c r="F9" s="18" t="n"/>
      <c r="G9" s="18" t="n"/>
      <c r="H9" s="18" t="n"/>
    </row>
    <row r="10" ht="15.75" customHeight="1" s="60">
      <c r="A10" s="18" t="n"/>
      <c r="B10" s="18" t="n"/>
      <c r="C10" s="18" t="n"/>
      <c r="D10" s="18" t="n"/>
      <c r="E10" s="18" t="n"/>
      <c r="F10" s="18" t="n"/>
      <c r="G10" s="18" t="n"/>
      <c r="H10" s="18" t="n"/>
    </row>
    <row r="11" ht="15.75" customHeight="1" s="60">
      <c r="A11" s="18" t="n"/>
      <c r="B11" s="18" t="n"/>
      <c r="C11" s="18" t="n"/>
      <c r="D11" s="18" t="n"/>
      <c r="E11" s="18" t="n"/>
      <c r="F11" s="18" t="n"/>
      <c r="G11" s="18" t="n"/>
      <c r="H11" s="18" t="n"/>
    </row>
    <row r="12" ht="15.75" customHeight="1" s="60">
      <c r="A12" s="18" t="n"/>
      <c r="B12" s="18" t="n"/>
      <c r="C12" s="18" t="n"/>
      <c r="D12" s="18" t="n"/>
      <c r="E12" s="18" t="n"/>
      <c r="F12" s="18" t="n"/>
      <c r="G12" s="18" t="n"/>
      <c r="H12" s="18" t="n"/>
    </row>
    <row r="13" ht="15.75" customHeight="1" s="60">
      <c r="A13" s="18" t="n"/>
      <c r="B13" s="18" t="n"/>
      <c r="C13" s="18" t="n"/>
      <c r="D13" s="18" t="n"/>
      <c r="E13" s="18" t="n"/>
      <c r="F13" s="18" t="n"/>
      <c r="G13" s="18" t="n"/>
      <c r="H13" s="18" t="n"/>
    </row>
    <row r="14" ht="15.75" customHeight="1" s="60">
      <c r="A14" s="18" t="n"/>
      <c r="B14" s="18" t="n"/>
      <c r="C14" s="18" t="n"/>
      <c r="D14" s="18" t="n"/>
      <c r="E14" s="18" t="n"/>
      <c r="F14" s="18" t="n"/>
      <c r="G14" s="18" t="n"/>
      <c r="H14" s="18" t="n"/>
    </row>
    <row r="15" ht="15.75" customHeight="1" s="60">
      <c r="A15" s="18" t="n"/>
      <c r="B15" s="18" t="n"/>
      <c r="C15" s="18" t="n"/>
      <c r="D15" s="18" t="n"/>
      <c r="E15" s="18" t="n"/>
      <c r="F15" s="18" t="n"/>
      <c r="G15" s="18" t="n"/>
      <c r="H15" s="18" t="n"/>
    </row>
    <row r="16" ht="15.75" customHeight="1" s="60">
      <c r="A16" s="18" t="n"/>
      <c r="B16" s="18" t="n"/>
      <c r="C16" s="18" t="n"/>
      <c r="D16" s="18" t="n"/>
      <c r="E16" s="18" t="n"/>
      <c r="F16" s="18" t="n"/>
      <c r="G16" s="18" t="n"/>
      <c r="H16" s="18" t="n"/>
    </row>
    <row r="17" ht="15.75" customHeight="1" s="60">
      <c r="A17" s="18" t="n"/>
      <c r="B17" s="18" t="n"/>
      <c r="C17" s="18" t="n"/>
      <c r="D17" s="18" t="n"/>
      <c r="E17" s="18" t="n"/>
      <c r="F17" s="18" t="n"/>
      <c r="G17" s="18" t="n"/>
      <c r="H17" s="18" t="n"/>
    </row>
    <row r="18" ht="15.75" customHeight="1" s="60">
      <c r="A18" s="18" t="n"/>
      <c r="B18" s="18" t="n"/>
      <c r="C18" s="18" t="n"/>
      <c r="D18" s="18" t="n"/>
      <c r="E18" s="18" t="n"/>
      <c r="F18" s="18" t="n"/>
      <c r="G18" s="18" t="n"/>
      <c r="H18" s="18" t="n"/>
    </row>
    <row r="19" ht="15.75" customHeight="1" s="60">
      <c r="A19" s="18" t="n"/>
      <c r="B19" s="18" t="n"/>
      <c r="C19" s="18" t="n"/>
      <c r="D19" s="18" t="n"/>
      <c r="E19" s="18" t="n"/>
      <c r="F19" s="18" t="n"/>
      <c r="G19" s="18" t="n"/>
      <c r="H19" s="18" t="n"/>
    </row>
    <row r="20" ht="15.75" customHeight="1" s="60">
      <c r="A20" s="18" t="n"/>
      <c r="B20" s="18" t="n"/>
      <c r="C20" s="18" t="n"/>
      <c r="D20" s="18" t="n"/>
      <c r="E20" s="18" t="n"/>
      <c r="F20" s="18" t="n"/>
      <c r="G20" s="18" t="n"/>
      <c r="H20" s="18" t="n"/>
    </row>
    <row r="21" ht="15.75" customHeight="1" s="60">
      <c r="A21" s="18" t="n"/>
      <c r="B21" s="18" t="n"/>
      <c r="C21" s="18" t="n"/>
      <c r="D21" s="18" t="n"/>
      <c r="E21" s="18" t="n"/>
      <c r="F21" s="18" t="n"/>
      <c r="G21" s="18" t="n"/>
      <c r="H21" s="18" t="n"/>
    </row>
    <row r="22" ht="15.75" customHeight="1" s="60">
      <c r="A22" s="18" t="n"/>
      <c r="B22" s="18" t="n"/>
      <c r="C22" s="18" t="n"/>
      <c r="D22" s="18" t="n"/>
      <c r="E22" s="18" t="n"/>
      <c r="F22" s="18" t="n"/>
      <c r="G22" s="18" t="n"/>
      <c r="H22" s="18" t="n"/>
    </row>
    <row r="23" ht="15.75" customHeight="1" s="60">
      <c r="A23" s="18" t="n"/>
      <c r="B23" s="18" t="n"/>
      <c r="C23" s="18" t="n"/>
      <c r="D23" s="18" t="n"/>
      <c r="E23" s="18" t="n"/>
      <c r="F23" s="18" t="n"/>
      <c r="G23" s="18" t="n"/>
      <c r="H23" s="18" t="n"/>
    </row>
    <row r="24" ht="15.75" customHeight="1" s="60">
      <c r="A24" s="18" t="n"/>
      <c r="B24" s="18" t="n"/>
      <c r="C24" s="18" t="n"/>
      <c r="D24" s="18" t="n"/>
      <c r="E24" s="18" t="n"/>
      <c r="F24" s="18" t="n"/>
      <c r="G24" s="18" t="n"/>
      <c r="H24" s="18" t="n"/>
    </row>
    <row r="25" ht="15.75" customHeight="1" s="60">
      <c r="A25" s="18" t="n"/>
      <c r="B25" s="18" t="n"/>
      <c r="C25" s="18" t="n"/>
      <c r="D25" s="18" t="n"/>
      <c r="E25" s="18" t="n"/>
      <c r="F25" s="18" t="n"/>
      <c r="G25" s="18" t="n"/>
      <c r="H25" s="18" t="n"/>
    </row>
    <row r="28" ht="21.75" customHeight="1" s="60">
      <c r="A28" s="58" t="inlineStr">
        <is>
          <t>B — WATCHLIST</t>
        </is>
      </c>
    </row>
    <row r="29" ht="30" customHeight="1" s="60">
      <c r="A29" s="21" t="inlineStr">
        <is>
          <t>Company</t>
        </is>
      </c>
      <c r="B29" s="21" t="inlineStr">
        <is>
          <t>Ticker</t>
        </is>
      </c>
      <c r="C29" s="21" t="inlineStr">
        <is>
          <t>Watchlist Reason</t>
        </is>
      </c>
      <c r="D29" s="21" t="inlineStr">
        <is>
          <t>Worst 8-Test Dim.</t>
        </is>
      </c>
      <c r="E29" s="21" t="inlineStr">
        <is>
          <t>GRS Score</t>
        </is>
      </c>
      <c r="F29" s="21" t="inlineStr">
        <is>
          <t>Climate Flag</t>
        </is>
      </c>
      <c r="G29" s="21" t="inlineStr">
        <is>
          <t>Safeguards Flag</t>
        </is>
      </c>
      <c r="H29" s="21" t="inlineStr">
        <is>
          <t>Open Questions</t>
        </is>
      </c>
    </row>
    <row r="30" ht="15.75" customHeight="1" s="60">
      <c r="A30" s="18">
        <f t="array" ref="A30">IFERROR(_xlfn._xlws.FILTER('RAG Screening Sheet'!A7:A56,'RAG Screening Sheet'!DU7:DU56="Watchlist"),"")</f>
        <v/>
      </c>
      <c r="B30" s="18">
        <f t="array" ref="B30">IFERROR(_xlfn._xlws.FILTER('RAG Screening Sheet'!B7:B56,'RAG Screening Sheet'!DU7:DU56="Watchlist"),"")</f>
        <v/>
      </c>
      <c r="C30" s="18">
        <f t="array" ref="C30">IFERROR(_xlfn._xlws.FILTER('RAG Screening Sheet'!DX7:DX56,'RAG Screening Sheet'!DU7:DU56="Watchlist"),"")</f>
        <v/>
      </c>
      <c r="D30" s="18">
        <f t="array" ref="D30">IFERROR(_xlfn._xlws.FILTER('RAG Screening Sheet'!CV7:CV56,'RAG Screening Sheet'!DU7:DU56="Watchlist"),"")</f>
        <v/>
      </c>
      <c r="E30" s="18">
        <f t="array" ref="E30">IFERROR(_xlfn._xlws.FILTER('RAG Screening Sheet'!CU7:CU56,'RAG Screening Sheet'!DU7:DU56="Watchlist"),"")</f>
        <v/>
      </c>
      <c r="F30" s="18">
        <f t="array" ref="F30">IFERROR(_xlfn._xlws.FILTER('RAG Screening Sheet'!AS7:AS56,'RAG Screening Sheet'!DU7:DU56="Watchlist"),"")</f>
        <v/>
      </c>
      <c r="G30" s="18">
        <f t="array" ref="G30">IFERROR(_xlfn._xlws.FILTER('RAG Screening Sheet'!BF7:BF56,'RAG Screening Sheet'!DU7:DU56="Watchlist"),"")</f>
        <v/>
      </c>
      <c r="H30" s="18">
        <f t="array" ref="H30">IFERROR(_xlfn._xlws.FILTER('RAG Screening Sheet'!DY7:DY56,'RAG Screening Sheet'!DU7:DU56="Watchlist"),"")</f>
        <v/>
      </c>
    </row>
    <row r="31" ht="15.75" customHeight="1" s="60">
      <c r="A31" s="18" t="n"/>
      <c r="B31" s="18" t="n"/>
      <c r="C31" s="18" t="n"/>
      <c r="D31" s="18" t="n"/>
      <c r="E31" s="18" t="n"/>
      <c r="F31" s="18" t="n"/>
      <c r="G31" s="18" t="n"/>
      <c r="H31" s="18" t="n"/>
    </row>
    <row r="32" ht="15.75" customHeight="1" s="60">
      <c r="A32" s="18" t="n"/>
      <c r="B32" s="18" t="n"/>
      <c r="C32" s="18" t="n"/>
      <c r="D32" s="18" t="n"/>
      <c r="E32" s="18" t="n"/>
      <c r="F32" s="18" t="n"/>
      <c r="G32" s="18" t="n"/>
      <c r="H32" s="18" t="n"/>
    </row>
    <row r="33" ht="15.75" customHeight="1" s="60">
      <c r="A33" s="18" t="n"/>
      <c r="B33" s="18" t="n"/>
      <c r="C33" s="18" t="n"/>
      <c r="D33" s="18" t="n"/>
      <c r="E33" s="18" t="n"/>
      <c r="F33" s="18" t="n"/>
      <c r="G33" s="18" t="n"/>
      <c r="H33" s="18" t="n"/>
    </row>
    <row r="34" ht="15.75" customHeight="1" s="60">
      <c r="A34" s="18" t="n"/>
      <c r="B34" s="18" t="n"/>
      <c r="C34" s="18" t="n"/>
      <c r="D34" s="18" t="n"/>
      <c r="E34" s="18" t="n"/>
      <c r="F34" s="18" t="n"/>
      <c r="G34" s="18" t="n"/>
      <c r="H34" s="18" t="n"/>
    </row>
    <row r="35" ht="15.75" customHeight="1" s="60">
      <c r="A35" s="18" t="n"/>
      <c r="B35" s="18" t="n"/>
      <c r="C35" s="18" t="n"/>
      <c r="D35" s="18" t="n"/>
      <c r="E35" s="18" t="n"/>
      <c r="F35" s="18" t="n"/>
      <c r="G35" s="18" t="n"/>
      <c r="H35" s="18" t="n"/>
    </row>
    <row r="36" ht="15.75" customHeight="1" s="60">
      <c r="A36" s="18" t="n"/>
      <c r="B36" s="18" t="n"/>
      <c r="C36" s="18" t="n"/>
      <c r="D36" s="18" t="n"/>
      <c r="E36" s="18" t="n"/>
      <c r="F36" s="18" t="n"/>
      <c r="G36" s="18" t="n"/>
      <c r="H36" s="18" t="n"/>
    </row>
    <row r="37" ht="15.75" customHeight="1" s="60">
      <c r="A37" s="18" t="n"/>
      <c r="B37" s="18" t="n"/>
      <c r="C37" s="18" t="n"/>
      <c r="D37" s="18" t="n"/>
      <c r="E37" s="18" t="n"/>
      <c r="F37" s="18" t="n"/>
      <c r="G37" s="18" t="n"/>
      <c r="H37" s="18" t="n"/>
    </row>
    <row r="38" ht="15.75" customHeight="1" s="60">
      <c r="A38" s="18" t="n"/>
      <c r="B38" s="18" t="n"/>
      <c r="C38" s="18" t="n"/>
      <c r="D38" s="18" t="n"/>
      <c r="E38" s="18" t="n"/>
      <c r="F38" s="18" t="n"/>
      <c r="G38" s="18" t="n"/>
      <c r="H38" s="18" t="n"/>
    </row>
    <row r="39" ht="15.75" customHeight="1" s="60">
      <c r="A39" s="18" t="n"/>
      <c r="B39" s="18" t="n"/>
      <c r="C39" s="18" t="n"/>
      <c r="D39" s="18" t="n"/>
      <c r="E39" s="18" t="n"/>
      <c r="F39" s="18" t="n"/>
      <c r="G39" s="18" t="n"/>
      <c r="H39" s="18" t="n"/>
    </row>
    <row r="40" ht="15.75" customHeight="1" s="60">
      <c r="A40" s="18" t="n"/>
      <c r="B40" s="18" t="n"/>
      <c r="C40" s="18" t="n"/>
      <c r="D40" s="18" t="n"/>
      <c r="E40" s="18" t="n"/>
      <c r="F40" s="18" t="n"/>
      <c r="G40" s="18" t="n"/>
      <c r="H40" s="18" t="n"/>
    </row>
    <row r="41" ht="15.75" customHeight="1" s="60">
      <c r="A41" s="18" t="n"/>
      <c r="B41" s="18" t="n"/>
      <c r="C41" s="18" t="n"/>
      <c r="D41" s="18" t="n"/>
      <c r="E41" s="18" t="n"/>
      <c r="F41" s="18" t="n"/>
      <c r="G41" s="18" t="n"/>
      <c r="H41" s="18" t="n"/>
    </row>
    <row r="42" ht="15.75" customHeight="1" s="60">
      <c r="A42" s="18" t="n"/>
      <c r="B42" s="18" t="n"/>
      <c r="C42" s="18" t="n"/>
      <c r="D42" s="18" t="n"/>
      <c r="E42" s="18" t="n"/>
      <c r="F42" s="18" t="n"/>
      <c r="G42" s="18" t="n"/>
      <c r="H42" s="18" t="n"/>
    </row>
    <row r="43" ht="15.75" customHeight="1" s="60">
      <c r="A43" s="18" t="n"/>
      <c r="B43" s="18" t="n"/>
      <c r="C43" s="18" t="n"/>
      <c r="D43" s="18" t="n"/>
      <c r="E43" s="18" t="n"/>
      <c r="F43" s="18" t="n"/>
      <c r="G43" s="18" t="n"/>
      <c r="H43" s="18" t="n"/>
    </row>
    <row r="44" ht="15.75" customHeight="1" s="60">
      <c r="A44" s="18" t="n"/>
      <c r="B44" s="18" t="n"/>
      <c r="C44" s="18" t="n"/>
      <c r="D44" s="18" t="n"/>
      <c r="E44" s="18" t="n"/>
      <c r="F44" s="18" t="n"/>
      <c r="G44" s="18" t="n"/>
      <c r="H44" s="18" t="n"/>
    </row>
    <row r="45" ht="15.75" customHeight="1" s="60">
      <c r="A45" s="18" t="n"/>
      <c r="B45" s="18" t="n"/>
      <c r="C45" s="18" t="n"/>
      <c r="D45" s="18" t="n"/>
      <c r="E45" s="18" t="n"/>
      <c r="F45" s="18" t="n"/>
      <c r="G45" s="18" t="n"/>
      <c r="H45" s="18" t="n"/>
    </row>
    <row r="46" ht="15.75" customHeight="1" s="60">
      <c r="A46" s="18" t="n"/>
      <c r="B46" s="18" t="n"/>
      <c r="C46" s="18" t="n"/>
      <c r="D46" s="18" t="n"/>
      <c r="E46" s="18" t="n"/>
      <c r="F46" s="18" t="n"/>
      <c r="G46" s="18" t="n"/>
      <c r="H46" s="18" t="n"/>
    </row>
    <row r="47" ht="15.75" customHeight="1" s="60">
      <c r="A47" s="18" t="n"/>
      <c r="B47" s="18" t="n"/>
      <c r="C47" s="18" t="n"/>
      <c r="D47" s="18" t="n"/>
      <c r="E47" s="18" t="n"/>
      <c r="F47" s="18" t="n"/>
      <c r="G47" s="18" t="n"/>
      <c r="H47" s="18" t="n"/>
    </row>
    <row r="48" ht="15.75" customHeight="1" s="60">
      <c r="A48" s="18" t="n"/>
      <c r="B48" s="18" t="n"/>
      <c r="C48" s="18" t="n"/>
      <c r="D48" s="18" t="n"/>
      <c r="E48" s="18" t="n"/>
      <c r="F48" s="18" t="n"/>
      <c r="G48" s="18" t="n"/>
      <c r="H48" s="18" t="n"/>
    </row>
    <row r="49" ht="15.75" customHeight="1" s="60">
      <c r="A49" s="18" t="n"/>
      <c r="B49" s="18" t="n"/>
      <c r="C49" s="18" t="n"/>
      <c r="D49" s="18" t="n"/>
      <c r="E49" s="18" t="n"/>
      <c r="F49" s="18" t="n"/>
      <c r="G49" s="18" t="n"/>
      <c r="H49" s="18" t="n"/>
    </row>
    <row r="50" ht="15.75" customHeight="1" s="60">
      <c r="A50" s="18" t="n"/>
      <c r="B50" s="18" t="n"/>
      <c r="C50" s="18" t="n"/>
      <c r="D50" s="18" t="n"/>
      <c r="E50" s="18" t="n"/>
      <c r="F50" s="18" t="n"/>
      <c r="G50" s="18" t="n"/>
      <c r="H50" s="18" t="n"/>
    </row>
    <row r="51" ht="15.75" customHeight="1" s="60">
      <c r="A51" s="18" t="n"/>
      <c r="B51" s="18" t="n"/>
      <c r="C51" s="18" t="n"/>
      <c r="D51" s="18" t="n"/>
      <c r="E51" s="18" t="n"/>
      <c r="F51" s="18" t="n"/>
      <c r="G51" s="18" t="n"/>
      <c r="H51" s="18" t="n"/>
    </row>
    <row r="52" ht="15.75" customHeight="1" s="60">
      <c r="A52" s="18" t="n"/>
      <c r="B52" s="18" t="n"/>
      <c r="C52" s="18" t="n"/>
      <c r="D52" s="18" t="n"/>
      <c r="E52" s="18" t="n"/>
      <c r="F52" s="18" t="n"/>
      <c r="G52" s="18" t="n"/>
      <c r="H52" s="18" t="n"/>
    </row>
    <row r="53" ht="15.75" customHeight="1" s="60">
      <c r="A53" s="18" t="n"/>
      <c r="B53" s="18" t="n"/>
      <c r="C53" s="18" t="n"/>
      <c r="D53" s="18" t="n"/>
      <c r="E53" s="18" t="n"/>
      <c r="F53" s="18" t="n"/>
      <c r="G53" s="18" t="n"/>
      <c r="H53" s="18" t="n"/>
    </row>
    <row r="54" ht="15.75" customHeight="1" s="60">
      <c r="A54" s="18" t="n"/>
      <c r="B54" s="18" t="n"/>
      <c r="C54" s="18" t="n"/>
      <c r="D54" s="18" t="n"/>
      <c r="E54" s="18" t="n"/>
      <c r="F54" s="18" t="n"/>
      <c r="G54" s="18" t="n"/>
      <c r="H54" s="18" t="n"/>
    </row>
    <row r="55" ht="15.75" customHeight="1" s="60">
      <c r="A55" s="18" t="n"/>
      <c r="B55" s="18" t="n"/>
      <c r="C55" s="18" t="n"/>
      <c r="D55" s="18" t="n"/>
      <c r="E55" s="18" t="n"/>
      <c r="F55" s="18" t="n"/>
      <c r="G55" s="18" t="n"/>
      <c r="H55" s="18" t="n"/>
    </row>
    <row r="58" ht="21.75" customHeight="1" s="60">
      <c r="A58" s="58" t="inlineStr">
        <is>
          <t>C — INSUFFICIENT EVIDENCE</t>
        </is>
      </c>
    </row>
    <row r="59" ht="30" customHeight="1" s="60">
      <c r="A59" s="22" t="inlineStr">
        <is>
          <t>Company</t>
        </is>
      </c>
      <c r="B59" s="22" t="inlineStr">
        <is>
          <t>Ticker</t>
        </is>
      </c>
      <c r="C59" s="22" t="inlineStr">
        <is>
          <t>EQS Score</t>
        </is>
      </c>
      <c r="D59" s="22" t="inlineStr">
        <is>
          <t>Docs Reviewed</t>
        </is>
      </c>
      <c r="E59" s="22" t="inlineStr">
        <is>
          <t>Missing Evidence</t>
        </is>
      </c>
      <c r="F59" s="22" t="inlineStr">
        <is>
          <t>Action Required</t>
        </is>
      </c>
    </row>
    <row r="60" ht="15.75" customHeight="1" s="60">
      <c r="A60" s="18">
        <f t="array" ref="A60:A107">IFERROR(_xlfn._xlws.FILTER('RAG Screening Sheet'!A7:A56,'RAG Screening Sheet'!DU7:DU56="Insufficient Evidence"),"")</f>
        <v/>
      </c>
      <c r="B60" s="18">
        <f t="array" ref="B60:B107">IFERROR(_xlfn._xlws.FILTER('RAG Screening Sheet'!B7:B56,'RAG Screening Sheet'!DU7:DU56="Insufficient Evidence"),"")</f>
        <v/>
      </c>
      <c r="C60" s="18">
        <f t="array" ref="C60:C107">IFERROR(_xlfn._xlws.FILTER('RAG Screening Sheet'!DN7:DN56,'RAG Screening Sheet'!DU7:DU56="Insufficient Evidence"),"")</f>
        <v/>
      </c>
      <c r="D60" s="18">
        <f t="array" ref="D60:D107">IFERROR(_xlfn._xlws.FILTER('RAG Screening Sheet'!V7:V56,'RAG Screening Sheet'!DU7:DU56="Insufficient Evidence"),"")</f>
        <v/>
      </c>
      <c r="E60" s="18">
        <f t="array" ref="E60:E107">IFERROR(_xlfn._xlws.FILTER('RAG Screening Sheet'!DY7:DY56,'RAG Screening Sheet'!DU7:DU56="Insufficient Evidence"),"")</f>
        <v/>
      </c>
      <c r="F60" s="18">
        <f t="array" ref="F60:F107">IFERROR(_xlfn._xlws.FILTER('RAG Screening Sheet'!DW7:DW56,'RAG Screening Sheet'!DU7:DU56="Insufficient Evidence"),"")</f>
        <v/>
      </c>
    </row>
    <row r="61" ht="15.75" customHeight="1" s="60">
      <c r="A61" s="18" t="inlineStr">
        <is>
          <t>SBM Offshore NV</t>
        </is>
      </c>
      <c r="B61" s="18" t="inlineStr">
        <is>
          <t>IHCB</t>
        </is>
      </c>
      <c r="C61" s="18" t="n">
        <v>30</v>
      </c>
      <c r="D61" s="18" t="n">
        <v>0</v>
      </c>
      <c r="E61" s="18" t="n">
        <v>0</v>
      </c>
      <c r="F61" s="18" t="inlineStr">
        <is>
          <t>Watchlist — Further Evidence Needed</t>
        </is>
      </c>
    </row>
    <row r="62" ht="15.75" customHeight="1" s="60">
      <c r="A62" s="18" t="inlineStr">
        <is>
          <t>Drax Group PLC</t>
        </is>
      </c>
      <c r="B62" s="18" t="inlineStr">
        <is>
          <t>D9F2</t>
        </is>
      </c>
      <c r="C62" s="18" t="n">
        <v>30</v>
      </c>
      <c r="D62" s="18" t="n">
        <v>0</v>
      </c>
      <c r="E62" s="18" t="n">
        <v>0</v>
      </c>
      <c r="F62" s="18" t="inlineStr">
        <is>
          <t>Watchlist — Further Evidence Needed</t>
        </is>
      </c>
    </row>
    <row r="63" ht="15.75" customHeight="1" s="60">
      <c r="A63" s="18" t="inlineStr">
        <is>
          <t>SSAB AB</t>
        </is>
      </c>
      <c r="B63" s="18" t="inlineStr">
        <is>
          <t>SKWA</t>
        </is>
      </c>
      <c r="C63" s="18" t="n">
        <v>30</v>
      </c>
      <c r="D63" s="18" t="n">
        <v>0</v>
      </c>
      <c r="E63" s="18" t="n">
        <v>0</v>
      </c>
      <c r="F63" s="18" t="inlineStr">
        <is>
          <t>Watchlist — Further Evidence Needed</t>
        </is>
      </c>
    </row>
    <row r="64" ht="15.75" customHeight="1" s="60">
      <c r="A64" s="18" t="inlineStr">
        <is>
          <t>Tenaris SA</t>
        </is>
      </c>
      <c r="B64" s="18" t="inlineStr">
        <is>
          <t>TW11</t>
        </is>
      </c>
      <c r="C64" s="18" t="n">
        <v>30</v>
      </c>
      <c r="D64" s="18" t="n">
        <v>0</v>
      </c>
      <c r="E64" s="18" t="n">
        <v>0</v>
      </c>
      <c r="F64" s="18" t="inlineStr">
        <is>
          <t>Watchlist — Further Evidence Needed</t>
        </is>
      </c>
    </row>
    <row r="65" ht="15.75" customHeight="1" s="60">
      <c r="A65" s="18" t="inlineStr">
        <is>
          <t>Ackermans &amp; van Haaren NV</t>
        </is>
      </c>
      <c r="B65" s="18" t="inlineStr">
        <is>
          <t>B3K</t>
        </is>
      </c>
      <c r="C65" s="18" t="n">
        <v>30</v>
      </c>
      <c r="D65" s="18" t="n">
        <v>0</v>
      </c>
      <c r="E65" s="18" t="n">
        <v>0</v>
      </c>
      <c r="F65" s="18" t="inlineStr">
        <is>
          <t>Watchlist — Further Evidence Needed</t>
        </is>
      </c>
    </row>
    <row r="66" ht="15.75" customHeight="1" s="60">
      <c r="A66" s="18" t="inlineStr">
        <is>
          <t>Novartis AG</t>
        </is>
      </c>
      <c r="B66" s="18" t="inlineStr">
        <is>
          <t>NOT</t>
        </is>
      </c>
      <c r="C66" s="18" t="n">
        <v>30</v>
      </c>
      <c r="D66" s="18" t="n">
        <v>0</v>
      </c>
      <c r="E66" s="18" t="n">
        <v>0</v>
      </c>
      <c r="F66" s="18" t="inlineStr">
        <is>
          <t>Watchlist — Further Evidence Needed</t>
        </is>
      </c>
    </row>
    <row r="67" ht="15.75" customHeight="1" s="60">
      <c r="A67" s="18" t="inlineStr">
        <is>
          <t>Terna - Rete Elettrica Nazionale</t>
        </is>
      </c>
      <c r="B67" s="18" t="inlineStr">
        <is>
          <t>UEI</t>
        </is>
      </c>
      <c r="C67" s="18" t="n">
        <v>30</v>
      </c>
      <c r="D67" s="18" t="n">
        <v>0</v>
      </c>
      <c r="E67" s="18" t="n">
        <v>0</v>
      </c>
      <c r="F67" s="18" t="inlineStr">
        <is>
          <t>Watchlist — Further Evidence Needed</t>
        </is>
      </c>
    </row>
    <row r="68" ht="15.75" customHeight="1" s="60">
      <c r="A68" s="18" t="inlineStr">
        <is>
          <t>NatWest Group PLC</t>
        </is>
      </c>
      <c r="B68" s="18" t="inlineStr">
        <is>
          <t>RYSD</t>
        </is>
      </c>
      <c r="C68" s="18" t="n">
        <v>30</v>
      </c>
      <c r="D68" s="18" t="n">
        <v>0</v>
      </c>
      <c r="E68" s="18" t="n">
        <v>0</v>
      </c>
      <c r="F68" s="18" t="inlineStr">
        <is>
          <t>Watchlist — Further Evidence Needed</t>
        </is>
      </c>
    </row>
    <row r="69" ht="15.75" customHeight="1" s="60">
      <c r="A69" s="18" t="inlineStr">
        <is>
          <t>Wartsila OYJ Abp</t>
        </is>
      </c>
      <c r="B69" s="18" t="inlineStr">
        <is>
          <t>MTA</t>
        </is>
      </c>
      <c r="C69" s="18" t="n">
        <v>30</v>
      </c>
      <c r="D69" s="18" t="n">
        <v>0</v>
      </c>
      <c r="E69" s="18" t="n">
        <v>0</v>
      </c>
      <c r="F69" s="18" t="inlineStr">
        <is>
          <t>Watchlist — Further Evidence Needed</t>
        </is>
      </c>
    </row>
    <row r="70" ht="15.75" customHeight="1" s="60">
      <c r="A70" s="18" t="inlineStr">
        <is>
          <t>UniCredit SpA</t>
        </is>
      </c>
      <c r="B70" s="18" t="inlineStr">
        <is>
          <t>CRIN</t>
        </is>
      </c>
      <c r="C70" s="18" t="n">
        <v>30</v>
      </c>
      <c r="D70" s="18" t="n">
        <v>0</v>
      </c>
      <c r="E70" s="18" t="n">
        <v>0</v>
      </c>
      <c r="F70" s="18" t="inlineStr">
        <is>
          <t>Watchlist — Further Evidence Needed</t>
        </is>
      </c>
    </row>
    <row r="71" ht="15.75" customHeight="1" s="60">
      <c r="A71" s="18" t="inlineStr">
        <is>
          <t>Games Workshop Group PLC</t>
        </is>
      </c>
      <c r="B71" s="18" t="inlineStr">
        <is>
          <t>G7W</t>
        </is>
      </c>
      <c r="C71" s="18" t="n">
        <v>30</v>
      </c>
      <c r="D71" s="18" t="n">
        <v>0</v>
      </c>
      <c r="E71" s="18" t="n">
        <v>0</v>
      </c>
      <c r="F71" s="18" t="inlineStr">
        <is>
          <t>Watchlist — Further Evidence Needed</t>
        </is>
      </c>
    </row>
    <row r="72" ht="15.75" customHeight="1" s="60">
      <c r="A72" s="18" t="inlineStr">
        <is>
          <t>3i Group PLC</t>
        </is>
      </c>
      <c r="B72" s="18" t="inlineStr">
        <is>
          <t>IGQ5</t>
        </is>
      </c>
      <c r="C72" s="18" t="n">
        <v>30</v>
      </c>
      <c r="D72" s="18" t="n">
        <v>0</v>
      </c>
      <c r="E72" s="18" t="n">
        <v>0</v>
      </c>
      <c r="F72" s="18" t="inlineStr">
        <is>
          <t>Watchlist — Further Evidence Needed</t>
        </is>
      </c>
    </row>
    <row r="73" ht="15.75" customHeight="1" s="60">
      <c r="A73" s="18" t="inlineStr">
        <is>
          <t>Powszechna Kasa Oszczednosci Bank Polski SA</t>
        </is>
      </c>
      <c r="B73" s="18" t="inlineStr">
        <is>
          <t>P9O</t>
        </is>
      </c>
      <c r="C73" s="18" t="n">
        <v>30</v>
      </c>
      <c r="D73" s="18" t="n">
        <v>0</v>
      </c>
      <c r="E73" s="18" t="n">
        <v>0</v>
      </c>
      <c r="F73" s="18" t="inlineStr">
        <is>
          <t>Watchlist — Further Evidence Needed</t>
        </is>
      </c>
    </row>
    <row r="74" ht="15.75" customHeight="1" s="60">
      <c r="A74" s="18" t="inlineStr">
        <is>
          <t>Legrand SA</t>
        </is>
      </c>
      <c r="B74" s="18" t="inlineStr">
        <is>
          <t>LRC</t>
        </is>
      </c>
      <c r="C74" s="18" t="n">
        <v>30</v>
      </c>
      <c r="D74" s="18" t="n">
        <v>0</v>
      </c>
      <c r="E74" s="18" t="n">
        <v>0</v>
      </c>
      <c r="F74" s="18" t="inlineStr">
        <is>
          <t>Watchlist — Further Evidence Needed</t>
        </is>
      </c>
    </row>
    <row r="75" ht="15.75" customHeight="1" s="60">
      <c r="A75" s="18" t="inlineStr">
        <is>
          <t>Swissquote Group Holding SA</t>
        </is>
      </c>
      <c r="B75" s="18" t="inlineStr">
        <is>
          <t>1SQ</t>
        </is>
      </c>
      <c r="C75" s="18" t="n">
        <v>30</v>
      </c>
      <c r="D75" s="18" t="n">
        <v>0</v>
      </c>
      <c r="E75" s="18" t="n">
        <v>0</v>
      </c>
      <c r="F75" s="18" t="inlineStr">
        <is>
          <t>Watchlist — Further Evidence Needed</t>
        </is>
      </c>
    </row>
    <row r="76" ht="15.75" customHeight="1" s="60">
      <c r="A76" s="18" t="inlineStr">
        <is>
          <t>AXA SA</t>
        </is>
      </c>
      <c r="B76" s="18" t="inlineStr">
        <is>
          <t>AXA</t>
        </is>
      </c>
      <c r="C76" s="18" t="n">
        <v>30</v>
      </c>
      <c r="D76" s="18" t="n">
        <v>0</v>
      </c>
      <c r="E76" s="18" t="n">
        <v>0</v>
      </c>
      <c r="F76" s="18" t="inlineStr">
        <is>
          <t>Watchlist — Further Evidence Needed</t>
        </is>
      </c>
    </row>
    <row r="77" ht="15.75" customHeight="1" s="60">
      <c r="A77" s="18" t="inlineStr">
        <is>
          <t>E.ON SE</t>
        </is>
      </c>
      <c r="B77" s="18" t="inlineStr">
        <is>
          <t>EOAN</t>
        </is>
      </c>
      <c r="C77" s="18" t="n">
        <v>30</v>
      </c>
      <c r="D77" s="18" t="n">
        <v>0</v>
      </c>
      <c r="E77" s="18" t="n">
        <v>0</v>
      </c>
      <c r="F77" s="18" t="inlineStr">
        <is>
          <t>Watchlist — Further Evidence Needed</t>
        </is>
      </c>
    </row>
    <row r="78" ht="15.75" customHeight="1" s="60">
      <c r="A78" s="18" t="inlineStr">
        <is>
          <t>NN Group NV</t>
        </is>
      </c>
      <c r="B78" s="18" t="inlineStr">
        <is>
          <t>2NN</t>
        </is>
      </c>
      <c r="C78" s="18" t="n">
        <v>30</v>
      </c>
      <c r="D78" s="18" t="n">
        <v>0</v>
      </c>
      <c r="E78" s="18" t="n">
        <v>0</v>
      </c>
      <c r="F78" s="18" t="inlineStr">
        <is>
          <t>Watchlist — Further Evidence Needed</t>
        </is>
      </c>
    </row>
    <row r="79" ht="15.75" customHeight="1" s="60">
      <c r="A79" s="18" t="inlineStr">
        <is>
          <t>Orion Oyj</t>
        </is>
      </c>
      <c r="B79" s="18" t="inlineStr">
        <is>
          <t>OFK</t>
        </is>
      </c>
      <c r="C79" s="18" t="n">
        <v>30</v>
      </c>
      <c r="D79" s="18" t="n">
        <v>0</v>
      </c>
      <c r="E79" s="18" t="n">
        <v>0</v>
      </c>
      <c r="F79" s="18" t="inlineStr">
        <is>
          <t>Watchlist — Further Evidence Needed</t>
        </is>
      </c>
    </row>
    <row r="80" ht="15.75" customHeight="1" s="60">
      <c r="A80" s="18" t="inlineStr">
        <is>
          <t>Balfour Beatty PLC</t>
        </is>
      </c>
      <c r="B80" s="18" t="inlineStr">
        <is>
          <t>BIH</t>
        </is>
      </c>
      <c r="C80" s="18" t="n">
        <v>30</v>
      </c>
      <c r="D80" s="18" t="n">
        <v>0</v>
      </c>
      <c r="E80" s="18" t="n">
        <v>0</v>
      </c>
      <c r="F80" s="18" t="inlineStr">
        <is>
          <t>Watchlist — Further Evidence Needed</t>
        </is>
      </c>
    </row>
    <row r="81" ht="15.75" customHeight="1" s="60">
      <c r="A81" s="18" t="inlineStr">
        <is>
          <t>UCB SA</t>
        </is>
      </c>
      <c r="B81" s="18" t="inlineStr">
        <is>
          <t>UNC</t>
        </is>
      </c>
      <c r="C81" s="18" t="n">
        <v>30</v>
      </c>
      <c r="D81" s="18" t="n">
        <v>0</v>
      </c>
      <c r="E81" s="18" t="n">
        <v>0</v>
      </c>
      <c r="F81" s="18" t="inlineStr">
        <is>
          <t>Watchlist — Further Evidence Needed</t>
        </is>
      </c>
    </row>
    <row r="82" ht="15.75" customHeight="1" s="60">
      <c r="A82" s="18" t="inlineStr">
        <is>
          <t>AstraZeneca PLC</t>
        </is>
      </c>
      <c r="B82" s="18" t="inlineStr">
        <is>
          <t>ZEG</t>
        </is>
      </c>
      <c r="C82" s="18" t="n">
        <v>30</v>
      </c>
      <c r="D82" s="18" t="n">
        <v>0</v>
      </c>
      <c r="E82" s="18" t="n">
        <v>0</v>
      </c>
      <c r="F82" s="18" t="inlineStr">
        <is>
          <t>Watchlist — Further Evidence Needed</t>
        </is>
      </c>
    </row>
    <row r="83" ht="15.75" customHeight="1" s="60">
      <c r="A83" s="18" t="inlineStr">
        <is>
          <t>Gaztransport Et Technigaz SA</t>
        </is>
      </c>
      <c r="B83" s="18" t="inlineStr">
        <is>
          <t>9TG</t>
        </is>
      </c>
      <c r="C83" s="18" t="n">
        <v>30</v>
      </c>
      <c r="D83" s="18" t="n">
        <v>0</v>
      </c>
      <c r="E83" s="18" t="n">
        <v>0</v>
      </c>
      <c r="F83" s="18" t="inlineStr">
        <is>
          <t>Watchlist — Further Evidence Needed</t>
        </is>
      </c>
    </row>
    <row r="84" ht="15.75" customHeight="1" s="60">
      <c r="A84" s="18" t="inlineStr">
        <is>
          <t>Norsk Hydro ASA</t>
        </is>
      </c>
      <c r="B84" s="18" t="inlineStr">
        <is>
          <t>NOH1</t>
        </is>
      </c>
      <c r="C84" s="18" t="n">
        <v>30</v>
      </c>
      <c r="D84" s="18" t="n">
        <v>0</v>
      </c>
      <c r="E84" s="18" t="n">
        <v>0</v>
      </c>
      <c r="F84" s="18" t="inlineStr">
        <is>
          <t>Watchlist — Further Evidence Needed</t>
        </is>
      </c>
    </row>
    <row r="85" ht="15.75" customHeight="1" s="60">
      <c r="A85" s="18" t="inlineStr">
        <is>
          <t>Polski Koncern Naftowy ORLEN SA</t>
        </is>
      </c>
      <c r="B85" s="18" t="inlineStr">
        <is>
          <t>PKY1</t>
        </is>
      </c>
      <c r="C85" s="18" t="n">
        <v>30</v>
      </c>
      <c r="D85" s="18" t="n">
        <v>0</v>
      </c>
      <c r="E85" s="18" t="n">
        <v>0</v>
      </c>
      <c r="F85" s="18" t="inlineStr">
        <is>
          <t>Watchlist — Further Evidence Needed</t>
        </is>
      </c>
    </row>
    <row r="86" ht="15.75" customHeight="1" s="60">
      <c r="A86" s="18" t="inlineStr">
        <is>
          <t>InterContinental Hotels Group PLC</t>
        </is>
      </c>
      <c r="B86" s="18" t="inlineStr">
        <is>
          <t>IC1H</t>
        </is>
      </c>
      <c r="C86" s="18" t="n">
        <v>30</v>
      </c>
      <c r="D86" s="18" t="n">
        <v>0</v>
      </c>
      <c r="E86" s="18" t="n">
        <v>0</v>
      </c>
      <c r="F86" s="18" t="inlineStr">
        <is>
          <t>Watchlist — Further Evidence Needed</t>
        </is>
      </c>
    </row>
    <row r="87" ht="15.75" customHeight="1" s="60">
      <c r="A87" s="18" t="inlineStr">
        <is>
          <t>Sydbank AS</t>
        </is>
      </c>
      <c r="B87" s="18" t="inlineStr">
        <is>
          <t>TM2</t>
        </is>
      </c>
      <c r="C87" s="18" t="n">
        <v>30</v>
      </c>
      <c r="D87" s="18" t="n">
        <v>0</v>
      </c>
      <c r="E87" s="18" t="n">
        <v>0</v>
      </c>
      <c r="F87" s="18" t="inlineStr">
        <is>
          <t>Watchlist — Further Evidence Needed</t>
        </is>
      </c>
    </row>
    <row r="88" ht="15.75" customHeight="1" s="60">
      <c r="A88" s="18" t="inlineStr">
        <is>
          <t>Julius Baer Group Ltd</t>
        </is>
      </c>
      <c r="B88" s="18" t="inlineStr">
        <is>
          <t>JGE</t>
        </is>
      </c>
      <c r="C88" s="18" t="n">
        <v>30</v>
      </c>
      <c r="D88" s="18" t="n">
        <v>0</v>
      </c>
      <c r="E88" s="18" t="n">
        <v>0</v>
      </c>
      <c r="F88" s="18" t="inlineStr">
        <is>
          <t>Watchlist — Further Evidence Needed</t>
        </is>
      </c>
    </row>
    <row r="89" ht="15.75" customHeight="1" s="60">
      <c r="A89" s="18" t="inlineStr">
        <is>
          <t>UnipolSai Assicurazioni SpA</t>
        </is>
      </c>
      <c r="B89" s="18" t="inlineStr">
        <is>
          <t>SOAN</t>
        </is>
      </c>
      <c r="C89" s="18" t="n">
        <v>30</v>
      </c>
      <c r="D89" s="18" t="n">
        <v>0</v>
      </c>
      <c r="E89" s="18" t="n">
        <v>0</v>
      </c>
      <c r="F89" s="18" t="inlineStr">
        <is>
          <t>Watchlist — Further Evidence Needed</t>
        </is>
      </c>
    </row>
    <row r="90" ht="15.75" customHeight="1" s="60">
      <c r="A90" s="18" t="inlineStr">
        <is>
          <t>Repsol SA</t>
        </is>
      </c>
      <c r="B90" s="18" t="inlineStr">
        <is>
          <t>REP</t>
        </is>
      </c>
      <c r="C90" s="18" t="n">
        <v>30</v>
      </c>
      <c r="D90" s="18" t="n">
        <v>0</v>
      </c>
      <c r="E90" s="18" t="n">
        <v>0</v>
      </c>
      <c r="F90" s="18" t="inlineStr">
        <is>
          <t>Watchlist — Further Evidence Needed</t>
        </is>
      </c>
    </row>
    <row r="91" ht="15.75" customHeight="1" s="60">
      <c r="A91" s="18" t="inlineStr">
        <is>
          <t>ING Groep NV</t>
        </is>
      </c>
      <c r="B91" s="18" t="inlineStr">
        <is>
          <t>INN1</t>
        </is>
      </c>
      <c r="C91" s="18" t="n">
        <v>30</v>
      </c>
      <c r="D91" s="18" t="n">
        <v>0</v>
      </c>
      <c r="E91" s="18" t="n">
        <v>0</v>
      </c>
      <c r="F91" s="18" t="inlineStr">
        <is>
          <t>Watchlist — Further Evidence Needed</t>
        </is>
      </c>
    </row>
    <row r="92" ht="15.75" customHeight="1" s="60">
      <c r="A92" s="18" t="inlineStr">
        <is>
          <t>Diploma PLC</t>
        </is>
      </c>
      <c r="B92" s="18" t="inlineStr">
        <is>
          <t>DP9</t>
        </is>
      </c>
      <c r="C92" s="18" t="n">
        <v>30</v>
      </c>
      <c r="D92" s="18" t="n">
        <v>0</v>
      </c>
      <c r="E92" s="18" t="n">
        <v>0</v>
      </c>
      <c r="F92" s="18" t="inlineStr">
        <is>
          <t>Watchlist — Further Evidence Needed</t>
        </is>
      </c>
    </row>
    <row r="93" ht="15.75" customHeight="1" s="60">
      <c r="A93" s="18" t="inlineStr">
        <is>
          <t>Barclays PLC</t>
        </is>
      </c>
      <c r="B93" s="18" t="inlineStr">
        <is>
          <t>BCY</t>
        </is>
      </c>
      <c r="C93" s="18" t="n">
        <v>30</v>
      </c>
      <c r="D93" s="18" t="n">
        <v>0</v>
      </c>
      <c r="E93" s="18" t="n">
        <v>0</v>
      </c>
      <c r="F93" s="18" t="inlineStr">
        <is>
          <t>Watchlist — Further Evidence Needed</t>
        </is>
      </c>
    </row>
    <row r="94" ht="15.75" customHeight="1" s="60">
      <c r="A94" s="18" t="inlineStr">
        <is>
          <t>Ringkjoebing Landbobank A/S</t>
        </is>
      </c>
      <c r="B94" s="18" t="inlineStr">
        <is>
          <t>CJ2</t>
        </is>
      </c>
      <c r="C94" s="18" t="n">
        <v>30</v>
      </c>
      <c r="D94" s="18" t="n">
        <v>0</v>
      </c>
      <c r="E94" s="18" t="n">
        <v>0</v>
      </c>
      <c r="F94" s="18" t="inlineStr">
        <is>
          <t>Watchlist — Further Evidence Needed</t>
        </is>
      </c>
    </row>
    <row r="95" ht="15.75" customHeight="1" s="60">
      <c r="A95" s="18" t="inlineStr">
        <is>
          <t>Banca Generali SpA</t>
        </is>
      </c>
      <c r="B95" s="18" t="inlineStr">
        <is>
          <t>B7A</t>
        </is>
      </c>
      <c r="C95" s="18" t="n">
        <v>30</v>
      </c>
      <c r="D95" s="18" t="n">
        <v>0</v>
      </c>
      <c r="E95" s="18" t="n">
        <v>0</v>
      </c>
      <c r="F95" s="18" t="inlineStr">
        <is>
          <t>Watchlist — Further Evidence Needed</t>
        </is>
      </c>
    </row>
    <row r="96" ht="15.75" customHeight="1" s="60">
      <c r="A96" s="18" t="inlineStr">
        <is>
          <t>Bank of Georgia Group PLC</t>
        </is>
      </c>
      <c r="B96" s="18" t="inlineStr">
        <is>
          <t>GEB</t>
        </is>
      </c>
      <c r="C96" s="18" t="n">
        <v>30</v>
      </c>
      <c r="D96" s="18" t="n">
        <v>0</v>
      </c>
      <c r="E96" s="18" t="n">
        <v>0</v>
      </c>
      <c r="F96" s="18" t="inlineStr">
        <is>
          <t>Watchlist — Further Evidence Needed</t>
        </is>
      </c>
    </row>
    <row r="97" ht="15.75" customHeight="1" s="60">
      <c r="A97" s="18" t="inlineStr">
        <is>
          <t>Banca Mediolanum SpA</t>
        </is>
      </c>
      <c r="B97" s="18" t="inlineStr">
        <is>
          <t>ME1</t>
        </is>
      </c>
      <c r="C97" s="18" t="n">
        <v>30</v>
      </c>
      <c r="D97" s="18" t="n">
        <v>0</v>
      </c>
      <c r="E97" s="18" t="n">
        <v>0</v>
      </c>
      <c r="F97" s="18" t="inlineStr">
        <is>
          <t>Watchlist — Further Evidence Needed</t>
        </is>
      </c>
    </row>
    <row r="98" ht="15.75" customHeight="1" s="60">
      <c r="A98" s="18" t="inlineStr">
        <is>
          <t>IMI PLC</t>
        </is>
      </c>
      <c r="B98" s="18" t="inlineStr">
        <is>
          <t>IMI1</t>
        </is>
      </c>
      <c r="C98" s="18" t="n">
        <v>30</v>
      </c>
      <c r="D98" s="18" t="n">
        <v>0</v>
      </c>
      <c r="E98" s="18" t="n">
        <v>0</v>
      </c>
      <c r="F98" s="18" t="inlineStr">
        <is>
          <t>Watchlist — Further Evidence Needed</t>
        </is>
      </c>
    </row>
    <row r="99" ht="15.75" customHeight="1" s="60">
      <c r="A99" s="18" t="inlineStr">
        <is>
          <t>HSBC Holdings PLC</t>
        </is>
      </c>
      <c r="B99" s="18" t="inlineStr">
        <is>
          <t>HBC1</t>
        </is>
      </c>
      <c r="C99" s="18" t="n">
        <v>30</v>
      </c>
      <c r="D99" s="18" t="n">
        <v>0</v>
      </c>
      <c r="E99" s="18" t="n">
        <v>0</v>
      </c>
      <c r="F99" s="18" t="inlineStr">
        <is>
          <t>Watchlist — Further Evidence Needed</t>
        </is>
      </c>
    </row>
    <row r="100" ht="15.75" customHeight="1" s="60">
      <c r="A100" s="18" t="inlineStr">
        <is>
          <t>Powszechny Zaklad Ubezpieczen SA</t>
        </is>
      </c>
      <c r="B100" s="18" t="inlineStr">
        <is>
          <t>7PZ</t>
        </is>
      </c>
      <c r="C100" s="18" t="n">
        <v>30</v>
      </c>
      <c r="D100" s="18" t="n">
        <v>0</v>
      </c>
      <c r="E100" s="18" t="n">
        <v>0</v>
      </c>
      <c r="F100" s="18" t="inlineStr">
        <is>
          <t>Watchlist — Further Evidence Needed</t>
        </is>
      </c>
    </row>
    <row r="101" ht="15.75" customHeight="1" s="60">
      <c r="A101" s="18" t="inlineStr">
        <is>
          <t>Sulzer AG</t>
        </is>
      </c>
      <c r="B101" s="18" t="inlineStr">
        <is>
          <t>SUL1</t>
        </is>
      </c>
      <c r="C101" s="18" t="n">
        <v>30</v>
      </c>
      <c r="D101" s="18" t="n">
        <v>0</v>
      </c>
      <c r="E101" s="18" t="n">
        <v>0</v>
      </c>
      <c r="F101" s="18" t="inlineStr">
        <is>
          <t>Watchlist — Further Evidence Needed</t>
        </is>
      </c>
    </row>
    <row r="102" ht="15.75" customHeight="1" s="60">
      <c r="A102" s="18" t="inlineStr">
        <is>
          <t>Equinor ASA</t>
        </is>
      </c>
      <c r="B102" s="18" t="inlineStr">
        <is>
          <t>DNQ</t>
        </is>
      </c>
      <c r="C102" s="18" t="n">
        <v>30</v>
      </c>
      <c r="D102" s="18" t="n">
        <v>0</v>
      </c>
      <c r="E102" s="18" t="n">
        <v>0</v>
      </c>
      <c r="F102" s="18" t="inlineStr">
        <is>
          <t>Watchlist — Further Evidence Needed</t>
        </is>
      </c>
    </row>
    <row r="103" ht="15.75" customHeight="1" s="60">
      <c r="A103" s="18" t="inlineStr">
        <is>
          <t>Halma PLC</t>
        </is>
      </c>
      <c r="B103" s="18" t="inlineStr">
        <is>
          <t>H11</t>
        </is>
      </c>
      <c r="C103" s="18" t="n">
        <v>30</v>
      </c>
      <c r="D103" s="18" t="n">
        <v>0</v>
      </c>
      <c r="E103" s="18" t="n">
        <v>0</v>
      </c>
      <c r="F103" s="18" t="inlineStr">
        <is>
          <t>Watchlist — Further Evidence Needed</t>
        </is>
      </c>
    </row>
    <row r="104" ht="15.75" customHeight="1" s="60">
      <c r="A104" s="18" t="inlineStr">
        <is>
          <t>OMV AG</t>
        </is>
      </c>
      <c r="B104" s="18" t="inlineStr">
        <is>
          <t>OMV</t>
        </is>
      </c>
      <c r="C104" s="18" t="n">
        <v>30</v>
      </c>
      <c r="D104" s="18" t="n">
        <v>0</v>
      </c>
      <c r="E104" s="18" t="n">
        <v>0</v>
      </c>
      <c r="F104" s="18" t="inlineStr">
        <is>
          <t>Watchlist — Further Evidence Needed</t>
        </is>
      </c>
    </row>
    <row r="105" ht="15.75" customHeight="1" s="60">
      <c r="A105" s="18" t="inlineStr">
        <is>
          <t>Raiffeisen Bank International AG</t>
        </is>
      </c>
      <c r="B105" s="18" t="inlineStr">
        <is>
          <t>RAW</t>
        </is>
      </c>
      <c r="C105" s="18" t="n">
        <v>30</v>
      </c>
      <c r="D105" s="18" t="n">
        <v>0</v>
      </c>
      <c r="E105" s="18" t="n">
        <v>0</v>
      </c>
      <c r="F105" s="18" t="inlineStr">
        <is>
          <t>Watchlist — Further Evidence Needed</t>
        </is>
      </c>
    </row>
    <row r="106" ht="15.75" customHeight="1" s="60">
      <c r="A106" s="18" t="inlineStr">
        <is>
          <t>Infineon Technologies AG</t>
        </is>
      </c>
      <c r="B106" s="18" t="inlineStr">
        <is>
          <t>IFX</t>
        </is>
      </c>
      <c r="C106" s="18" t="n">
        <v>30</v>
      </c>
      <c r="D106" s="18" t="n">
        <v>0</v>
      </c>
      <c r="E106" s="18" t="n">
        <v>0</v>
      </c>
      <c r="F106" s="18" t="inlineStr">
        <is>
          <t>Watchlist — Further Evidence Needed</t>
        </is>
      </c>
    </row>
    <row r="107" ht="15.75" customHeight="1" s="60">
      <c r="A107" s="18" t="inlineStr">
        <is>
          <t>Assicurazioni Generali SpA</t>
        </is>
      </c>
      <c r="B107" s="18" t="inlineStr">
        <is>
          <t>ASG</t>
        </is>
      </c>
      <c r="C107" s="18" t="n">
        <v>30</v>
      </c>
      <c r="D107" s="18" t="n">
        <v>0</v>
      </c>
      <c r="E107" s="18" t="n">
        <v>0</v>
      </c>
      <c r="F107" s="18" t="inlineStr">
        <is>
          <t>Watchlist — Further Evidence Needed</t>
        </is>
      </c>
    </row>
    <row r="108" ht="15.75" customHeight="1" s="60">
      <c r="A108" s="18" t="n"/>
      <c r="B108" s="18" t="n"/>
      <c r="C108" s="18" t="n"/>
      <c r="D108" s="18" t="n"/>
      <c r="E108" s="18" t="n"/>
      <c r="F108" s="18" t="n"/>
    </row>
    <row r="109" ht="15.75" customHeight="1" s="60">
      <c r="A109" s="18" t="n"/>
      <c r="B109" s="18" t="n"/>
      <c r="C109" s="18" t="n"/>
      <c r="D109" s="18" t="n"/>
      <c r="E109" s="18" t="n"/>
      <c r="F109" s="18" t="n"/>
    </row>
    <row r="110" ht="15.75" customHeight="1" s="60">
      <c r="A110" s="18" t="n"/>
      <c r="B110" s="18" t="n"/>
      <c r="C110" s="18" t="n"/>
      <c r="D110" s="18" t="n"/>
      <c r="E110" s="18" t="n"/>
      <c r="F110" s="18" t="n"/>
    </row>
    <row r="111" ht="15.75" customHeight="1" s="60">
      <c r="A111" s="46" t="n"/>
      <c r="B111" s="46" t="n"/>
      <c r="C111" s="46" t="n"/>
      <c r="D111" s="46" t="n"/>
      <c r="E111" s="46" t="n"/>
      <c r="F111" s="46" t="n"/>
    </row>
    <row r="112" ht="15.75" customHeight="1" s="60">
      <c r="A112" s="46" t="n"/>
      <c r="B112" s="46" t="n"/>
      <c r="C112" s="46" t="n"/>
      <c r="D112" s="46" t="n"/>
      <c r="E112" s="46" t="n"/>
      <c r="F112" s="46" t="n"/>
    </row>
    <row r="113" ht="21.75" customHeight="1" s="60">
      <c r="A113" s="58" t="inlineStr">
        <is>
          <t>D — CLEAR — PROCEED TO ESG SCORING</t>
        </is>
      </c>
    </row>
    <row r="114" ht="30" customHeight="1" s="60">
      <c r="A114" s="23" t="inlineStr">
        <is>
          <t>Company</t>
        </is>
      </c>
      <c r="B114" s="23" t="inlineStr">
        <is>
          <t>Ticker</t>
        </is>
      </c>
      <c r="C114" s="23" t="inlineStr">
        <is>
          <t>Overall RAG Score</t>
        </is>
      </c>
      <c r="D114" s="23" t="inlineStr">
        <is>
          <t>Climate Verdict</t>
        </is>
      </c>
      <c r="E114" s="23" t="inlineStr">
        <is>
          <t>Biodiversity Verdict</t>
        </is>
      </c>
      <c r="F114" s="23" t="inlineStr">
        <is>
          <t>Greenwashing Verdict</t>
        </is>
      </c>
      <c r="G114" s="23" t="inlineStr">
        <is>
          <t>Handoff Date</t>
        </is>
      </c>
    </row>
    <row r="115" ht="15.75" customHeight="1" s="60">
      <c r="A115" s="18">
        <f t="array" ref="A115">IFERROR(_xlfn._xlws.FILTER('RAG Screening Sheet'!A7:A56,'RAG Screening Sheet'!DU7:DU56="Clear"),"")</f>
        <v/>
      </c>
      <c r="B115" s="18">
        <f t="array" ref="B115">IFERROR(_xlfn._xlws.FILTER('RAG Screening Sheet'!B7:B56,'RAG Screening Sheet'!DU7:DU56="Clear"),"")</f>
        <v/>
      </c>
      <c r="C115" s="18">
        <f t="array" ref="C115">IFERROR(_xlfn._xlws.FILTER('RAG Screening Sheet'!DT7:DT56,'RAG Screening Sheet'!DU7:DU56="Clear"),"")</f>
        <v/>
      </c>
      <c r="D115" s="18">
        <f t="array" ref="D115">IFERROR(_xlfn._xlws.FILTER('RAG Screening Sheet'!DO7:DO56,'RAG Screening Sheet'!DU7:DU56="Clear"),"")</f>
        <v/>
      </c>
      <c r="E115" s="18">
        <f t="array" ref="E115">IFERROR(_xlfn._xlws.FILTER('RAG Screening Sheet'!DP7:DP56,'RAG Screening Sheet'!DU7:DU56="Clear"),"")</f>
        <v/>
      </c>
      <c r="F115" s="18">
        <f t="array" ref="F115">IFERROR(_xlfn._xlws.FILTER('RAG Screening Sheet'!DR7:DR56,'RAG Screening Sheet'!DU7:DU56="Clear"),"")</f>
        <v/>
      </c>
      <c r="G115" s="18" t="n"/>
    </row>
    <row r="116" ht="15.75" customHeight="1" s="60">
      <c r="A116" s="18" t="n"/>
      <c r="B116" s="18" t="n"/>
      <c r="C116" s="18" t="n"/>
      <c r="D116" s="18" t="n"/>
      <c r="E116" s="18" t="n"/>
      <c r="F116" s="18" t="n"/>
      <c r="G116" s="18" t="n"/>
    </row>
    <row r="117" ht="15.75" customHeight="1" s="60">
      <c r="A117" s="18" t="n"/>
      <c r="B117" s="18" t="n"/>
      <c r="C117" s="18" t="n"/>
      <c r="D117" s="18" t="n"/>
      <c r="E117" s="18" t="n"/>
      <c r="F117" s="18" t="n"/>
      <c r="G117" s="18" t="n"/>
    </row>
    <row r="118" ht="15.75" customHeight="1" s="60">
      <c r="A118" s="18" t="n"/>
      <c r="B118" s="18" t="n"/>
      <c r="C118" s="18" t="n"/>
      <c r="D118" s="18" t="n"/>
      <c r="E118" s="18" t="n"/>
      <c r="F118" s="18" t="n"/>
      <c r="G118" s="18" t="n"/>
    </row>
    <row r="119" ht="15.75" customHeight="1" s="60">
      <c r="A119" s="18" t="n"/>
      <c r="B119" s="18" t="n"/>
      <c r="C119" s="18" t="n"/>
      <c r="D119" s="18" t="n"/>
      <c r="E119" s="18" t="n"/>
      <c r="F119" s="18" t="n"/>
      <c r="G119" s="18" t="n"/>
    </row>
    <row r="120" ht="15.75" customHeight="1" s="60">
      <c r="A120" s="18" t="n"/>
      <c r="B120" s="18" t="n"/>
      <c r="C120" s="18" t="n"/>
      <c r="D120" s="18" t="n"/>
      <c r="E120" s="18" t="n"/>
      <c r="F120" s="18" t="n"/>
      <c r="G120" s="18" t="n"/>
    </row>
    <row r="121" ht="15.75" customHeight="1" s="60">
      <c r="A121" s="18" t="n"/>
      <c r="B121" s="18" t="n"/>
      <c r="C121" s="18" t="n"/>
      <c r="D121" s="18" t="n"/>
      <c r="E121" s="18" t="n"/>
      <c r="F121" s="18" t="n"/>
      <c r="G121" s="18" t="n"/>
    </row>
    <row r="122" ht="15.75" customHeight="1" s="60">
      <c r="A122" s="18" t="n"/>
      <c r="B122" s="18" t="n"/>
      <c r="C122" s="18" t="n"/>
      <c r="D122" s="18" t="n"/>
      <c r="E122" s="18" t="n"/>
      <c r="F122" s="18" t="n"/>
      <c r="G122" s="18" t="n"/>
    </row>
    <row r="123" ht="15.75" customHeight="1" s="60">
      <c r="A123" s="18" t="n"/>
      <c r="B123" s="18" t="n"/>
      <c r="C123" s="18" t="n"/>
      <c r="D123" s="18" t="n"/>
      <c r="E123" s="18" t="n"/>
      <c r="F123" s="18" t="n"/>
      <c r="G123" s="18" t="n"/>
    </row>
    <row r="124" ht="15.75" customHeight="1" s="60">
      <c r="A124" s="18" t="n"/>
      <c r="B124" s="18" t="n"/>
      <c r="C124" s="18" t="n"/>
      <c r="D124" s="18" t="n"/>
      <c r="E124" s="18" t="n"/>
      <c r="F124" s="18" t="n"/>
      <c r="G124" s="18" t="n"/>
    </row>
    <row r="125" ht="15.75" customHeight="1" s="60">
      <c r="A125" s="18" t="n"/>
      <c r="B125" s="18" t="n"/>
      <c r="C125" s="18" t="n"/>
      <c r="D125" s="18" t="n"/>
      <c r="E125" s="18" t="n"/>
      <c r="F125" s="18" t="n"/>
      <c r="G125" s="18" t="n"/>
    </row>
    <row r="126" ht="15.75" customHeight="1" s="60">
      <c r="A126" s="18" t="n"/>
      <c r="B126" s="18" t="n"/>
      <c r="C126" s="18" t="n"/>
      <c r="D126" s="18" t="n"/>
      <c r="E126" s="18" t="n"/>
      <c r="F126" s="18" t="n"/>
      <c r="G126" s="18" t="n"/>
    </row>
    <row r="127" ht="15.75" customHeight="1" s="60">
      <c r="A127" s="18" t="n"/>
      <c r="B127" s="18" t="n"/>
      <c r="C127" s="18" t="n"/>
      <c r="D127" s="18" t="n"/>
      <c r="E127" s="18" t="n"/>
      <c r="F127" s="18" t="n"/>
      <c r="G127" s="18" t="n"/>
    </row>
    <row r="128" ht="15.75" customHeight="1" s="60">
      <c r="A128" s="18" t="n"/>
      <c r="B128" s="18" t="n"/>
      <c r="C128" s="18" t="n"/>
      <c r="D128" s="18" t="n"/>
      <c r="E128" s="18" t="n"/>
      <c r="F128" s="18" t="n"/>
      <c r="G128" s="18" t="n"/>
    </row>
    <row r="129" ht="15.75" customHeight="1" s="60">
      <c r="A129" s="18" t="n"/>
      <c r="B129" s="18" t="n"/>
      <c r="C129" s="18" t="n"/>
      <c r="D129" s="18" t="n"/>
      <c r="E129" s="18" t="n"/>
      <c r="F129" s="18" t="n"/>
      <c r="G129" s="18" t="n"/>
    </row>
    <row r="130" ht="15.75" customHeight="1" s="60">
      <c r="A130" s="18" t="n"/>
      <c r="B130" s="18" t="n"/>
      <c r="C130" s="18" t="n"/>
      <c r="D130" s="18" t="n"/>
      <c r="E130" s="18" t="n"/>
      <c r="F130" s="18" t="n"/>
      <c r="G130" s="18" t="n"/>
    </row>
    <row r="131" ht="15.75" customHeight="1" s="60">
      <c r="A131" s="18" t="n"/>
      <c r="B131" s="18" t="n"/>
      <c r="C131" s="18" t="n"/>
      <c r="D131" s="18" t="n"/>
      <c r="E131" s="18" t="n"/>
      <c r="F131" s="18" t="n"/>
      <c r="G131" s="18" t="n"/>
    </row>
    <row r="132" ht="15.75" customHeight="1" s="60">
      <c r="A132" s="18" t="n"/>
      <c r="B132" s="18" t="n"/>
      <c r="C132" s="18" t="n"/>
      <c r="D132" s="18" t="n"/>
      <c r="E132" s="18" t="n"/>
      <c r="F132" s="18" t="n"/>
      <c r="G132" s="18" t="n"/>
    </row>
    <row r="133" ht="15.75" customHeight="1" s="60">
      <c r="A133" s="18" t="n"/>
      <c r="B133" s="18" t="n"/>
      <c r="C133" s="18" t="n"/>
      <c r="D133" s="18" t="n"/>
      <c r="E133" s="18" t="n"/>
      <c r="F133" s="18" t="n"/>
      <c r="G133" s="18" t="n"/>
    </row>
    <row r="134" ht="15.75" customHeight="1" s="60">
      <c r="A134" s="18" t="n"/>
      <c r="B134" s="18" t="n"/>
      <c r="C134" s="18" t="n"/>
      <c r="D134" s="18" t="n"/>
      <c r="E134" s="18" t="n"/>
      <c r="F134" s="18" t="n"/>
      <c r="G134" s="18" t="n"/>
    </row>
    <row r="135" ht="15.75" customHeight="1" s="60">
      <c r="A135" s="18" t="n"/>
      <c r="B135" s="18" t="n"/>
      <c r="C135" s="18" t="n"/>
      <c r="D135" s="18" t="n"/>
      <c r="E135" s="18" t="n"/>
      <c r="F135" s="18" t="n"/>
      <c r="G135" s="18" t="n"/>
    </row>
    <row r="136" ht="15.75" customHeight="1" s="60">
      <c r="A136" s="18" t="n"/>
      <c r="B136" s="18" t="n"/>
      <c r="C136" s="18" t="n"/>
      <c r="D136" s="18" t="n"/>
      <c r="E136" s="18" t="n"/>
      <c r="F136" s="18" t="n"/>
      <c r="G136" s="18" t="n"/>
    </row>
    <row r="137" ht="15.75" customHeight="1" s="60">
      <c r="A137" s="18" t="n"/>
      <c r="B137" s="18" t="n"/>
      <c r="C137" s="18" t="n"/>
      <c r="D137" s="18" t="n"/>
      <c r="E137" s="18" t="n"/>
      <c r="F137" s="18" t="n"/>
      <c r="G137" s="18" t="n"/>
    </row>
    <row r="138" ht="15.75" customHeight="1" s="60">
      <c r="A138" s="18" t="n"/>
      <c r="B138" s="18" t="n"/>
      <c r="C138" s="18" t="n"/>
      <c r="D138" s="18" t="n"/>
      <c r="E138" s="18" t="n"/>
      <c r="F138" s="18" t="n"/>
      <c r="G138" s="18" t="n"/>
    </row>
    <row r="139" ht="15.75" customHeight="1" s="60">
      <c r="A139" s="18" t="n"/>
      <c r="B139" s="18" t="n"/>
      <c r="C139" s="18" t="n"/>
      <c r="D139" s="18" t="n"/>
      <c r="E139" s="18" t="n"/>
      <c r="F139" s="18" t="n"/>
      <c r="G139" s="18" t="n"/>
    </row>
    <row r="140" ht="15.75" customHeight="1" s="60">
      <c r="A140" s="18" t="n"/>
      <c r="B140" s="18" t="n"/>
      <c r="C140" s="18" t="n"/>
      <c r="D140" s="18" t="n"/>
      <c r="E140" s="18" t="n"/>
      <c r="F140" s="18" t="n"/>
      <c r="G140" s="18" t="n"/>
    </row>
    <row r="141" ht="15.75" customHeight="1" s="60">
      <c r="A141" s="18" t="n"/>
      <c r="B141" s="18" t="n"/>
      <c r="C141" s="18" t="n"/>
      <c r="D141" s="18" t="n"/>
      <c r="E141" s="18" t="n"/>
      <c r="F141" s="18" t="n"/>
      <c r="G141" s="18" t="n"/>
    </row>
    <row r="142" ht="15.75" customHeight="1" s="60">
      <c r="A142" s="18" t="n"/>
      <c r="B142" s="18" t="n"/>
      <c r="C142" s="18" t="n"/>
      <c r="D142" s="18" t="n"/>
      <c r="E142" s="18" t="n"/>
      <c r="F142" s="18" t="n"/>
      <c r="G142" s="18" t="n"/>
    </row>
    <row r="143" ht="15.75" customHeight="1" s="60">
      <c r="A143" s="18" t="n"/>
      <c r="B143" s="18" t="n"/>
      <c r="C143" s="18" t="n"/>
      <c r="D143" s="18" t="n"/>
      <c r="E143" s="18" t="n"/>
      <c r="F143" s="18" t="n"/>
      <c r="G143" s="18" t="n"/>
    </row>
    <row r="144" ht="15.75" customHeight="1" s="60">
      <c r="A144" s="18" t="n"/>
      <c r="B144" s="18" t="n"/>
      <c r="C144" s="18" t="n"/>
      <c r="D144" s="18" t="n"/>
      <c r="E144" s="18" t="n"/>
      <c r="F144" s="18" t="n"/>
      <c r="G144" s="18" t="n"/>
    </row>
    <row r="145" ht="15.75" customHeight="1" s="60">
      <c r="A145" s="18" t="n"/>
      <c r="B145" s="18" t="n"/>
      <c r="C145" s="18" t="n"/>
      <c r="D145" s="18" t="n"/>
      <c r="E145" s="18" t="n"/>
      <c r="F145" s="18" t="n"/>
      <c r="G145" s="18" t="n"/>
    </row>
  </sheetData>
  <mergeCells count="5">
    <mergeCell ref="A1:J1"/>
    <mergeCell ref="A3:H3"/>
    <mergeCell ref="A28:H28"/>
    <mergeCell ref="A58:F58"/>
    <mergeCell ref="A113:G113"/>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G14"/>
  <sheetViews>
    <sheetView showGridLines="0" topLeftCell="A7" zoomScaleNormal="100" workbookViewId="0">
      <selection activeCell="D3" sqref="D3"/>
    </sheetView>
  </sheetViews>
  <sheetFormatPr baseColWidth="10" defaultColWidth="8.6640625" defaultRowHeight="14"/>
  <cols>
    <col width="5" customWidth="1" style="57" min="1" max="1"/>
    <col width="22" customWidth="1" style="57" min="2" max="2"/>
    <col width="40" customWidth="1" style="57" min="3" max="6"/>
    <col width="18" customWidth="1" style="57" min="7" max="7"/>
    <col width="8.6640625" customWidth="1" style="57" min="8" max="8"/>
    <col width="8.6640625" customWidth="1" style="57" min="9" max="16384"/>
  </cols>
  <sheetData>
    <row r="1" ht="27.75" customHeight="1" s="60">
      <c r="A1" s="56" t="inlineStr">
        <is>
          <t>8-TEST GREENWASHING FRAMEWORK  |  Applied uniformly across all 50 candidate companies</t>
        </is>
      </c>
    </row>
    <row r="2">
      <c r="A2" s="16" t="inlineStr">
        <is>
          <t>#</t>
        </is>
      </c>
      <c r="B2" s="16" t="inlineStr">
        <is>
          <t>Dimension</t>
        </is>
      </c>
      <c r="C2" s="16" t="inlineStr">
        <is>
          <t>PASS Criteria</t>
        </is>
      </c>
      <c r="D2" s="16" t="inlineStr">
        <is>
          <t>PARTIAL Criteria</t>
        </is>
      </c>
      <c r="E2" s="16" t="inlineStr">
        <is>
          <t>FAIL Criteria</t>
        </is>
      </c>
      <c r="F2" s="16" t="inlineStr">
        <is>
          <t>MISSING</t>
        </is>
      </c>
      <c r="G2" s="16" t="inlineStr">
        <is>
          <t>Output Field</t>
        </is>
      </c>
    </row>
    <row r="3" ht="54.75" customHeight="1" s="60">
      <c r="A3" s="24" t="inlineStr">
        <is>
          <t>1</t>
        </is>
      </c>
      <c r="B3" s="25" t="inlineStr">
        <is>
          <t>Specificity</t>
        </is>
      </c>
      <c r="C3" s="26" t="inlineStr">
        <is>
          <t>Named asset / product / division with exact claim</t>
        </is>
      </c>
      <c r="D3" s="27" t="inlineStr">
        <is>
          <t>General direction with some constraint</t>
        </is>
      </c>
      <c r="E3" s="28" t="inlineStr">
        <is>
          <t>"Committed to sustainability" or equivalent vague language</t>
        </is>
      </c>
      <c r="F3" s="29" t="inlineStr">
        <is>
          <t>No sustainability claim found in documents</t>
        </is>
      </c>
      <c r="G3" s="25" t="inlineStr">
        <is>
          <t>G4 — test1_specificity</t>
        </is>
      </c>
    </row>
    <row r="4" ht="54.75" customHeight="1" s="60">
      <c r="A4" s="24" t="inlineStr">
        <is>
          <t>2</t>
        </is>
      </c>
      <c r="B4" s="25" t="inlineStr">
        <is>
          <t>Metric</t>
        </is>
      </c>
      <c r="C4" s="26" t="inlineStr">
        <is>
          <t>Specific number with unit and context (%, tCO2, GWh)</t>
        </is>
      </c>
      <c r="D4" s="27" t="inlineStr">
        <is>
          <t>Direction stated, no quantity given</t>
        </is>
      </c>
      <c r="E4" s="28" t="inlineStr">
        <is>
          <t>Claim quantified but number is misleading or restated after restructuring</t>
        </is>
      </c>
      <c r="F4" s="29" t="inlineStr">
        <is>
          <t>No quantitative data on the topic</t>
        </is>
      </c>
      <c r="G4" s="25" t="inlineStr">
        <is>
          <t>G5 — test2_metric</t>
        </is>
      </c>
    </row>
    <row r="5" ht="54.75" customHeight="1" s="60">
      <c r="A5" s="24" t="inlineStr">
        <is>
          <t>3</t>
        </is>
      </c>
      <c r="B5" s="25" t="inlineStr">
        <is>
          <t>Baseline</t>
        </is>
      </c>
      <c r="C5" s="26" t="inlineStr">
        <is>
          <t>Explicit baseline year + figure, methodology stable</t>
        </is>
      </c>
      <c r="D5" s="27" t="inlineStr">
        <is>
          <t>Baseline year stated but no value; or methodology changed</t>
        </is>
      </c>
      <c r="E5" s="28" t="inlineStr">
        <is>
          <t>Baseline cherry-picked or shifted post-acquisition / disposal</t>
        </is>
      </c>
      <c r="F5" s="29" t="inlineStr">
        <is>
          <t>No baseline information in documents</t>
        </is>
      </c>
      <c r="G5" s="25" t="inlineStr">
        <is>
          <t>G6 — test3_baseline</t>
        </is>
      </c>
    </row>
    <row r="6" ht="54.75" customHeight="1" s="60">
      <c r="A6" s="24" t="inlineStr">
        <is>
          <t>4</t>
        </is>
      </c>
      <c r="B6" s="25" t="inlineStr">
        <is>
          <t>Target</t>
        </is>
      </c>
      <c r="C6" s="26" t="inlineStr">
        <is>
          <t>SBTi-approved OR legally binding OR board-approved with documented governance</t>
        </is>
      </c>
      <c r="D6" s="27" t="inlineStr">
        <is>
          <t>Company-stated target only, non-binding</t>
        </is>
      </c>
      <c r="E6" s="28" t="inlineStr">
        <is>
          <t>No target exists; or target contradicts stated behaviour</t>
        </is>
      </c>
      <c r="F6" s="29" t="inlineStr">
        <is>
          <t>No target information found</t>
        </is>
      </c>
      <c r="G6" s="25" t="inlineStr">
        <is>
          <t>G7 — test4_target</t>
        </is>
      </c>
    </row>
    <row r="7" ht="54.75" customHeight="1" s="60">
      <c r="A7" s="24" t="inlineStr">
        <is>
          <t>5</t>
        </is>
      </c>
      <c r="B7" s="25" t="inlineStr">
        <is>
          <t>Time Horizon</t>
        </is>
      </c>
      <c r="C7" s="26" t="inlineStr">
        <is>
          <t>Near-term date ≤2030 with reported interim progress</t>
        </is>
      </c>
      <c r="D7" s="27" t="inlineStr">
        <is>
          <t>Long-term date only (&gt;2040); or near-term date with no progress reported</t>
        </is>
      </c>
      <c r="E7" s="28" t="inlineStr">
        <is>
          <t>No date given; or date stated with no evidence of progress toward it</t>
        </is>
      </c>
      <c r="F7" s="29" t="inlineStr">
        <is>
          <t>No time-related information found</t>
        </is>
      </c>
      <c r="G7" s="25" t="inlineStr">
        <is>
          <t>G8 — test5_time_horizon</t>
        </is>
      </c>
    </row>
    <row r="8" ht="54.75" customHeight="1" s="60">
      <c r="A8" s="24" t="inlineStr">
        <is>
          <t>6</t>
        </is>
      </c>
      <c r="B8" s="25" t="inlineStr">
        <is>
          <t>Scope</t>
        </is>
      </c>
      <c r="C8" s="26" t="inlineStr">
        <is>
          <t>Named entities, scopes (1/2/3), geographies all clearly defined</t>
        </is>
      </c>
      <c r="D8" s="27" t="inlineStr">
        <is>
          <t>"Most operations" or "core business" without clear definition</t>
        </is>
      </c>
      <c r="E8" s="28" t="inlineStr">
        <is>
          <t>Ambiguous scope that likely excludes problem assets or activities</t>
        </is>
      </c>
      <c r="F8" s="29" t="inlineStr">
        <is>
          <t>No scope definition found</t>
        </is>
      </c>
      <c r="G8" s="25" t="inlineStr">
        <is>
          <t>G9 — test6_scope</t>
        </is>
      </c>
    </row>
    <row r="9" ht="54.75" customHeight="1" s="60">
      <c r="A9" s="24" t="inlineStr">
        <is>
          <t>7</t>
        </is>
      </c>
      <c r="B9" s="25" t="inlineStr">
        <is>
          <t>External Validation</t>
        </is>
      </c>
      <c r="C9" s="26" t="inlineStr">
        <is>
          <t>Named verifier + standard (ISAE 3000 / 3410) + reasonable assurance level</t>
        </is>
      </c>
      <c r="D9" s="27" t="inlineStr">
        <is>
          <t>Limited assurance only; or verification of a subset of data only</t>
        </is>
      </c>
      <c r="E9" s="28" t="inlineStr">
        <is>
          <t>Self-reported only; or "reviewed by management" with no external party</t>
        </is>
      </c>
      <c r="F9" s="29" t="inlineStr">
        <is>
          <t>No assurance statement found in documents reviewed</t>
        </is>
      </c>
      <c r="G9" s="25" t="inlineStr">
        <is>
          <t>G10 — test7_verification</t>
        </is>
      </c>
    </row>
    <row r="10" ht="54.75" customHeight="1" s="60">
      <c r="A10" s="24" t="inlineStr">
        <is>
          <t>8</t>
        </is>
      </c>
      <c r="B10" s="25" t="inlineStr">
        <is>
          <t>Behavioural Consistency</t>
        </is>
      </c>
      <c r="C10" s="26" t="inlineStr">
        <is>
          <t>Capex aligned with claim; no contradictory lobbying; no relevant controversy</t>
        </is>
      </c>
      <c r="D10" s="27" t="inlineStr">
        <is>
          <t>Some capex misalignment; minor contradiction; minor controversy</t>
        </is>
      </c>
      <c r="E10" s="28" t="inlineStr">
        <is>
          <t>Capex directly contradicts claim; active lobbying against stated position; severe controversy</t>
        </is>
      </c>
      <c r="F10" s="29" t="inlineStr">
        <is>
          <t>Insufficient capex or lobbying disclosure to assess</t>
        </is>
      </c>
      <c r="G10" s="25" t="inlineStr">
        <is>
          <t>G11 — test8_consistency</t>
        </is>
      </c>
    </row>
    <row r="13" ht="21.75" customHeight="1" s="60">
      <c r="A13" s="58" t="inlineStr">
        <is>
          <t>STANDARD CLAUDE PROJECT SYSTEM PROMPT  (copy into each company Claude Project)</t>
        </is>
      </c>
    </row>
    <row r="14" ht="80" customHeight="1" s="60">
      <c r="A14" s="59" t="inlineStr">
        <is>
          <t>You are an ESG forensic analyst. For [COMPANY NAME], analyse the uploaded sustainability report and assess each of the 8 greenwashing dimensions below.
For each dimension provide: (a) direct quote with page number, (b) numerical value or factual statement, (c) result: PASS / PARTIAL / FAIL / MISSING, (d) 1–2 sentences of reasoning.
RULES: Use only uploaded documents. Never invent quotes, page numbers, or figures. If a dimension has no information, mark it MISSING — not FAIL. MISSING = evidence absent. FAIL = evidence contradicts the claim. Separate reported facts from your analytical conclusions. Output as a JSON object with exactly 8 fields: test1 through test8. Each field: result, quote, page_ref, numeric_value, reasoning.</t>
        </is>
      </c>
      <c r="B14" s="48" t="n"/>
      <c r="C14" s="48" t="n"/>
      <c r="D14" s="48" t="n"/>
      <c r="E14" s="48" t="n"/>
      <c r="F14" s="48" t="n"/>
      <c r="G14" s="48" t="n"/>
    </row>
  </sheetData>
  <mergeCells count="3">
    <mergeCell ref="A13:G13"/>
    <mergeCell ref="A14:G14"/>
    <mergeCell ref="A1:G1"/>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E70"/>
  <sheetViews>
    <sheetView showGridLines="0" zoomScaleNormal="100" workbookViewId="0">
      <pane ySplit="2" topLeftCell="A3" activePane="bottomLeft" state="frozen"/>
      <selection pane="bottomLeft" activeCell="E4" sqref="E4"/>
    </sheetView>
  </sheetViews>
  <sheetFormatPr baseColWidth="10" defaultColWidth="8.6640625" defaultRowHeight="14"/>
  <cols>
    <col width="32" customWidth="1" style="57" min="1" max="1"/>
    <col width="55" customWidth="1" style="57" min="2" max="2"/>
    <col width="18" customWidth="1" style="57" min="3" max="5"/>
    <col width="8.6640625" customWidth="1" style="57" min="6" max="6"/>
    <col width="8.6640625" customWidth="1" style="57" min="7" max="16384"/>
  </cols>
  <sheetData>
    <row r="1" ht="27.75" customHeight="1" s="60">
      <c r="A1" s="56" t="inlineStr">
        <is>
          <t>SCORING LOGIC  |  All formulas, weights and override rules</t>
        </is>
      </c>
    </row>
    <row r="2" ht="18" customHeight="1" s="60">
      <c r="A2" s="30" t="inlineStr">
        <is>
          <t>SCORE</t>
        </is>
      </c>
      <c r="B2" s="30" t="inlineStr">
        <is>
          <t>FORMULA / LOGIC</t>
        </is>
      </c>
      <c r="C2" s="30" t="inlineStr">
        <is>
          <t>WEIGHT IN I6</t>
        </is>
      </c>
      <c r="D2" s="30" t="inlineStr">
        <is>
          <t>DIRECTION</t>
        </is>
      </c>
      <c r="E2" s="30" t="inlineStr">
        <is>
          <t>SCREENING COL</t>
        </is>
      </c>
    </row>
    <row r="3" ht="9.75" customHeight="1" s="60">
      <c r="A3" s="6" t="n"/>
      <c r="B3" s="6" t="n"/>
      <c r="C3" s="6" t="n"/>
      <c r="D3" s="6" t="n"/>
      <c r="E3" s="6" t="n"/>
    </row>
    <row r="4" ht="18" customHeight="1" s="60">
      <c r="A4" s="5" t="inlineStr">
        <is>
          <t>Climate Credibility Score (C19)</t>
        </is>
      </c>
      <c r="B4" s="5" t="inlineStr">
        <is>
          <t>Points-based — see table below. Implemented via IFS or helper columns. Max 100.</t>
        </is>
      </c>
      <c r="C4" s="31" t="n">
        <v>0.3</v>
      </c>
      <c r="D4" s="5" t="inlineStr">
        <is>
          <t>Higher = Better</t>
        </is>
      </c>
      <c r="E4" s="5" t="inlineStr">
        <is>
          <t>C19</t>
        </is>
      </c>
    </row>
    <row r="5" ht="18" customHeight="1" s="60">
      <c r="A5" s="3" t="inlineStr">
        <is>
          <t>Biodiversity Score (E13)</t>
        </is>
      </c>
      <c r="B5" s="3" t="inlineStr">
        <is>
          <t>Points-based — see table below. Sector penalty applied. Max 100.</t>
        </is>
      </c>
      <c r="C5" s="32" t="n">
        <v>0.2</v>
      </c>
      <c r="D5" s="3" t="inlineStr">
        <is>
          <t>Higher = Better</t>
        </is>
      </c>
      <c r="E5" s="3" t="inlineStr">
        <is>
          <t>E13</t>
        </is>
      </c>
    </row>
    <row r="6" ht="18" customHeight="1" s="60">
      <c r="A6" s="5" t="inlineStr">
        <is>
          <t>Safeguards Score (D12)</t>
        </is>
      </c>
      <c r="B6" s="5" t="inlineStr">
        <is>
          <t>Points-based — see table below. Violation penalty applied. Max 100.</t>
        </is>
      </c>
      <c r="C6" s="31" t="n">
        <v>0.2</v>
      </c>
      <c r="D6" s="5" t="inlineStr">
        <is>
          <t>Higher = Better</t>
        </is>
      </c>
      <c r="E6" s="5" t="inlineStr">
        <is>
          <t>D12</t>
        </is>
      </c>
    </row>
    <row r="7" ht="18" customHeight="1" s="60">
      <c r="A7" s="3" t="inlineStr">
        <is>
          <t>EU Reg Evidence Score (F11)</t>
        </is>
      </c>
      <c r="B7" s="3" t="inlineStr">
        <is>
          <t>Points-based — see table below. Overclaiming penalty applied. Max 100.</t>
        </is>
      </c>
      <c r="C7" s="32" t="n">
        <v>0.15</v>
      </c>
      <c r="D7" s="3" t="inlineStr">
        <is>
          <t>Higher = Better</t>
        </is>
      </c>
      <c r="E7" s="3" t="inlineStr">
        <is>
          <t>F11</t>
        </is>
      </c>
    </row>
    <row r="8" ht="18" customHeight="1" s="60">
      <c r="A8" s="5" t="inlineStr">
        <is>
          <t>Greenwashing Risk Score (G15)</t>
        </is>
      </c>
      <c r="B8" s="5" t="inlineStr">
        <is>
          <t>G12×15 + G13×6 + G14×3 + controversy modifier. Higher = worse.</t>
        </is>
      </c>
      <c r="C8" s="5" t="inlineStr">
        <is>
          <t>15% (inverted)</t>
        </is>
      </c>
      <c r="D8" s="5" t="inlineStr">
        <is>
          <t>Lower = Better</t>
        </is>
      </c>
      <c r="E8" s="5" t="inlineStr">
        <is>
          <t>G15</t>
        </is>
      </c>
    </row>
    <row r="9" ht="18" customHeight="1" s="60">
      <c r="A9" s="3" t="inlineStr">
        <is>
          <t>Evidence Quality Score (H12)</t>
        </is>
      </c>
      <c r="B9" s="3" t="inlineStr">
        <is>
          <t>Points for sources, confidence, verification. Applied as multiplier on I6.</t>
        </is>
      </c>
      <c r="C9" s="3" t="inlineStr">
        <is>
          <t>Modifier</t>
        </is>
      </c>
      <c r="D9" s="3" t="inlineStr">
        <is>
          <t>Higher = Better</t>
        </is>
      </c>
      <c r="E9" s="3" t="inlineStr">
        <is>
          <t>H12</t>
        </is>
      </c>
    </row>
    <row r="10" ht="18" customHeight="1" s="60">
      <c r="A10" s="5" t="inlineStr">
        <is>
          <t>Overall RAG Score (I6)</t>
        </is>
      </c>
      <c r="B10" s="5" t="inlineStr">
        <is>
          <t>(C19×0.30 + E13×0.20 + D12×0.20 + F11×0.15 + (100-G15)×0.15) × EQS modifier</t>
        </is>
      </c>
      <c r="C10" s="5" t="inlineStr">
        <is>
          <t>—</t>
        </is>
      </c>
      <c r="D10" s="5" t="inlineStr">
        <is>
          <t>Higher = Better</t>
        </is>
      </c>
      <c r="E10" s="5" t="inlineStr">
        <is>
          <t>I6</t>
        </is>
      </c>
    </row>
    <row r="11" ht="9.75" customHeight="1" s="60">
      <c r="A11" s="6" t="n"/>
      <c r="B11" s="6" t="n"/>
      <c r="C11" s="6" t="n"/>
      <c r="D11" s="6" t="n"/>
      <c r="E11" s="6" t="n"/>
    </row>
    <row r="12" ht="18" customHeight="1" s="60">
      <c r="A12" s="30" t="inlineStr">
        <is>
          <t>EQS MODIFIER TABLE</t>
        </is>
      </c>
      <c r="B12" s="30" t="n"/>
      <c r="C12" s="30" t="n"/>
      <c r="D12" s="30" t="n"/>
      <c r="E12" s="30" t="n"/>
    </row>
    <row r="13" ht="18" customHeight="1" s="60">
      <c r="A13" s="3" t="inlineStr">
        <is>
          <t>EQS ≥ 75</t>
        </is>
      </c>
      <c r="B13" s="3" t="inlineStr">
        <is>
          <t>No reduction applied</t>
        </is>
      </c>
      <c r="C13" s="3" t="inlineStr">
        <is>
          <t>×1.00</t>
        </is>
      </c>
      <c r="D13" s="3" t="n"/>
      <c r="E13" s="3" t="n"/>
    </row>
    <row r="14" ht="18" customHeight="1" s="60">
      <c r="A14" s="5" t="inlineStr">
        <is>
          <t>EQS 50–74</t>
        </is>
      </c>
      <c r="B14" s="5" t="inlineStr">
        <is>
          <t>10% reduction</t>
        </is>
      </c>
      <c r="C14" s="5" t="inlineStr">
        <is>
          <t>×0.90</t>
        </is>
      </c>
      <c r="D14" s="5" t="n"/>
      <c r="E14" s="5" t="n"/>
    </row>
    <row r="15" ht="18" customHeight="1" s="60">
      <c r="A15" s="3" t="inlineStr">
        <is>
          <t>EQS 25–49</t>
        </is>
      </c>
      <c r="B15" s="3" t="inlineStr">
        <is>
          <t>25% reduction</t>
        </is>
      </c>
      <c r="C15" s="3" t="inlineStr">
        <is>
          <t>×0.75</t>
        </is>
      </c>
      <c r="D15" s="3" t="n"/>
      <c r="E15" s="3" t="n"/>
    </row>
    <row r="16" ht="18" customHeight="1" s="60">
      <c r="A16" s="5" t="inlineStr">
        <is>
          <t>EQS &lt; 25</t>
        </is>
      </c>
      <c r="B16" s="5" t="inlineStr">
        <is>
          <t>40% reduction — score largely unreliable</t>
        </is>
      </c>
      <c r="C16" s="5" t="inlineStr">
        <is>
          <t>×0.60</t>
        </is>
      </c>
      <c r="D16" s="5" t="n"/>
      <c r="E16" s="5" t="n"/>
    </row>
    <row r="17" ht="9.75" customHeight="1" s="60">
      <c r="A17" s="6" t="n"/>
      <c r="B17" s="6" t="n"/>
      <c r="C17" s="6" t="n"/>
      <c r="D17" s="6" t="n"/>
      <c r="E17" s="6" t="n"/>
    </row>
    <row r="18" ht="18" customHeight="1" s="60">
      <c r="A18" s="30" t="inlineStr">
        <is>
          <t>OVERRIDE RULES</t>
        </is>
      </c>
      <c r="B18" s="30" t="n"/>
      <c r="C18" s="30" t="n"/>
      <c r="D18" s="30" t="n"/>
      <c r="E18" s="30" t="n"/>
    </row>
    <row r="19" ht="18" customHeight="1" s="60">
      <c r="A19" s="3" t="inlineStr">
        <is>
          <t>Hard exclusion triggered (G22=Automatic)</t>
        </is>
      </c>
      <c r="B19" s="3" t="inlineStr">
        <is>
          <t>I6 forced to 0. Final verdict = Exclusion Risk regardless of scores.</t>
        </is>
      </c>
      <c r="C19" s="3" t="inlineStr">
        <is>
          <t>Override all</t>
        </is>
      </c>
      <c r="D19" s="3" t="n"/>
      <c r="E19" s="3" t="n"/>
    </row>
    <row r="20" ht="18" customHeight="1" s="60">
      <c r="A20" s="5" t="inlineStr">
        <is>
          <t>EQS &lt; 20 or B12 = 0</t>
        </is>
      </c>
      <c r="B20" s="5" t="inlineStr">
        <is>
          <t>Final verdict forced to Insufficient Evidence regardless of scores.</t>
        </is>
      </c>
      <c r="C20" s="5" t="inlineStr">
        <is>
          <t>Override all</t>
        </is>
      </c>
      <c r="D20" s="5" t="n"/>
      <c r="E20" s="5" t="n"/>
    </row>
    <row r="21" ht="18" customHeight="1" s="60">
      <c r="A21" s="3" t="inlineStr">
        <is>
          <t>G12 ≥ 6 (6+ tests FAIL)</t>
        </is>
      </c>
      <c r="B21" s="3" t="inlineStr">
        <is>
          <t>G22 auto = Exclusion Trigger. Captain must confirm.</t>
        </is>
      </c>
      <c r="C21" s="3" t="inlineStr">
        <is>
          <t>Hard trigger</t>
        </is>
      </c>
      <c r="D21" s="3" t="n"/>
      <c r="E21" s="3" t="n"/>
    </row>
    <row r="22" ht="18" customHeight="1" s="60">
      <c r="A22" s="5" t="inlineStr">
        <is>
          <t>Human override (I8)</t>
        </is>
      </c>
      <c r="B22" s="5" t="inlineStr">
        <is>
          <t>Always takes precedence. Rationale must be documented in I10.</t>
        </is>
      </c>
      <c r="C22" s="5" t="inlineStr">
        <is>
          <t>Override all</t>
        </is>
      </c>
      <c r="D22" s="5" t="n"/>
      <c r="E22" s="5" t="n"/>
    </row>
    <row r="23" ht="9.75" customHeight="1" s="60">
      <c r="A23" s="6" t="n"/>
      <c r="B23" s="6" t="n"/>
      <c r="C23" s="6" t="n"/>
      <c r="D23" s="6" t="n"/>
      <c r="E23" s="6" t="n"/>
    </row>
    <row r="24" ht="18" customHeight="1" s="60">
      <c r="A24" s="30" t="inlineStr">
        <is>
          <t>CLIMATE CREDIBILITY SCORE — POINTS TABLE</t>
        </is>
      </c>
      <c r="B24" s="30" t="n"/>
      <c r="C24" s="30" t="n"/>
      <c r="D24" s="30" t="n"/>
      <c r="E24" s="30" t="n"/>
    </row>
    <row r="25" ht="18" customHeight="1" s="60">
      <c r="A25" s="3" t="inlineStr">
        <is>
          <t>Net-zero target claimed</t>
        </is>
      </c>
      <c r="B25" s="3" t="inlineStr">
        <is>
          <t>+5 base</t>
        </is>
      </c>
      <c r="C25" s="3" t="n"/>
      <c r="D25" s="3" t="n"/>
      <c r="E25" s="3" t="n"/>
    </row>
    <row r="26" ht="18" customHeight="1" s="60">
      <c r="A26" s="5" t="inlineStr">
        <is>
          <t xml:space="preserve">  + SBTi Approved</t>
        </is>
      </c>
      <c r="B26" s="5" t="inlineStr">
        <is>
          <t>+15 additional (total 20)</t>
        </is>
      </c>
      <c r="C26" s="5" t="n"/>
      <c r="D26" s="5" t="n"/>
      <c r="E26" s="5" t="n"/>
    </row>
    <row r="27" ht="18" customHeight="1" s="60">
      <c r="A27" s="3" t="inlineStr">
        <is>
          <t xml:space="preserve">  + SBTi Committed only</t>
        </is>
      </c>
      <c r="B27" s="3" t="inlineStr">
        <is>
          <t>+5 additional (total 10)</t>
        </is>
      </c>
      <c r="C27" s="3" t="n"/>
      <c r="D27" s="3" t="n"/>
      <c r="E27" s="3" t="n"/>
    </row>
    <row r="28" ht="18" customHeight="1" s="60">
      <c r="A28" s="5" t="inlineStr">
        <is>
          <t>Interim target ≤ 2030 with baseline</t>
        </is>
      </c>
      <c r="B28" s="5" t="inlineStr">
        <is>
          <t>+15 (else +10 if target exists)</t>
        </is>
      </c>
      <c r="C28" s="5" t="n"/>
      <c r="D28" s="5" t="n"/>
      <c r="E28" s="5" t="n"/>
    </row>
    <row r="29" ht="18" customHeight="1" s="60">
      <c r="A29" s="3" t="inlineStr">
        <is>
          <t>Scope 1+2 fully covered</t>
        </is>
      </c>
      <c r="B29" s="3" t="inlineStr">
        <is>
          <t>+10</t>
        </is>
      </c>
      <c r="C29" s="3" t="n"/>
      <c r="D29" s="3" t="n"/>
      <c r="E29" s="3" t="n"/>
    </row>
    <row r="30" ht="18" customHeight="1" s="60">
      <c r="A30" s="5" t="inlineStr">
        <is>
          <t>Scope 3 disclosed (≥5 categories)</t>
        </is>
      </c>
      <c r="B30" s="5" t="inlineStr">
        <is>
          <t>+10</t>
        </is>
      </c>
      <c r="C30" s="5" t="n"/>
      <c r="D30" s="5" t="n"/>
      <c r="E30" s="5" t="n"/>
    </row>
    <row r="31" ht="18" customHeight="1" s="60">
      <c r="A31" s="3" t="inlineStr">
        <is>
          <t>Scope 3 included in target</t>
        </is>
      </c>
      <c r="B31" s="3" t="inlineStr">
        <is>
          <t>+5</t>
        </is>
      </c>
      <c r="C31" s="3" t="n"/>
      <c r="D31" s="3" t="n"/>
      <c r="E31" s="3" t="n"/>
    </row>
    <row r="32" ht="18" customHeight="1" s="60">
      <c r="A32" s="5" t="inlineStr">
        <is>
          <t>Transition plan (detailed)</t>
        </is>
      </c>
      <c r="B32" s="5" t="inlineStr">
        <is>
          <t>+10 (high level: +5)</t>
        </is>
      </c>
      <c r="C32" s="5" t="n"/>
      <c r="D32" s="5" t="n"/>
      <c r="E32" s="5" t="n"/>
    </row>
    <row r="33" ht="18" customHeight="1" s="60">
      <c r="A33" s="3" t="inlineStr">
        <is>
          <t>Capex alignment quantified</t>
        </is>
      </c>
      <c r="B33" s="3" t="inlineStr">
        <is>
          <t>+15 (directional only: +7)</t>
        </is>
      </c>
      <c r="C33" s="3" t="n"/>
      <c r="D33" s="3" t="n"/>
      <c r="E33" s="3" t="n"/>
    </row>
    <row r="34" ht="18" customHeight="1" s="60">
      <c r="A34" s="5" t="inlineStr">
        <is>
          <t>Climate governance formal</t>
        </is>
      </c>
      <c r="B34" s="5" t="inlineStr">
        <is>
          <t>+5</t>
        </is>
      </c>
      <c r="C34" s="5" t="n"/>
      <c r="D34" s="5" t="n"/>
      <c r="E34" s="5" t="n"/>
    </row>
    <row r="35" ht="18" customHeight="1" s="60">
      <c r="A35" s="3" t="inlineStr">
        <is>
          <t>No lobbying contradiction</t>
        </is>
      </c>
      <c r="B35" s="3" t="inlineStr">
        <is>
          <t>+5</t>
        </is>
      </c>
      <c r="C35" s="3" t="n"/>
      <c r="D35" s="3" t="n"/>
      <c r="E35" s="3" t="n"/>
    </row>
    <row r="36" ht="18" customHeight="1" s="60">
      <c r="A36" s="5" t="inlineStr">
        <is>
          <t>External assurance on emissions</t>
        </is>
      </c>
      <c r="B36" s="5" t="inlineStr">
        <is>
          <t>+5</t>
        </is>
      </c>
      <c r="C36" s="5" t="n"/>
      <c r="D36" s="5" t="n"/>
      <c r="E36" s="5" t="n"/>
    </row>
    <row r="37" ht="18" customHeight="1" s="60">
      <c r="A37" s="3" t="inlineStr">
        <is>
          <t>PENALTY: Scope 3 not in target despite net-zero</t>
        </is>
      </c>
      <c r="B37" s="3" t="inlineStr">
        <is>
          <t>-10</t>
        </is>
      </c>
      <c r="C37" s="3" t="n"/>
      <c r="D37" s="3" t="n"/>
      <c r="E37" s="3" t="n"/>
    </row>
    <row r="38" ht="18" customHeight="1" s="60">
      <c r="A38" s="5" t="inlineStr">
        <is>
          <t>PENALTY: No capex evidence despite net-zero claim</t>
        </is>
      </c>
      <c r="B38" s="5" t="inlineStr">
        <is>
          <t>-10</t>
        </is>
      </c>
      <c r="C38" s="5" t="n"/>
      <c r="D38" s="5" t="n"/>
      <c r="E38" s="5" t="n"/>
    </row>
    <row r="39" ht="9.75" customHeight="1" s="60">
      <c r="A39" s="6" t="n"/>
      <c r="B39" s="6" t="n"/>
      <c r="C39" s="6" t="n"/>
      <c r="D39" s="6" t="n"/>
      <c r="E39" s="6" t="n"/>
    </row>
    <row r="40" ht="18" customHeight="1" s="60">
      <c r="A40" s="30" t="inlineStr">
        <is>
          <t>SAFEGUARDS SCORE — POINTS TABLE</t>
        </is>
      </c>
      <c r="B40" s="30" t="n"/>
      <c r="C40" s="30" t="n"/>
      <c r="D40" s="30" t="n"/>
      <c r="E40" s="30" t="n"/>
    </row>
    <row r="41" ht="18" customHeight="1" s="60">
      <c r="A41" s="3" t="inlineStr">
        <is>
          <t>HR policy — Formal with grievance mechanism</t>
        </is>
      </c>
      <c r="B41" s="3" t="inlineStr">
        <is>
          <t>+20 (limited scope: +10; mention: +5)</t>
        </is>
      </c>
      <c r="C41" s="3" t="n"/>
      <c r="D41" s="3" t="n"/>
      <c r="E41" s="3" t="n"/>
    </row>
    <row r="42" ht="18" customHeight="1" s="60">
      <c r="A42" s="5" t="inlineStr">
        <is>
          <t>UNGC Active Signatory</t>
        </is>
      </c>
      <c r="B42" s="5" t="inlineStr">
        <is>
          <t>+15 (overdue COP: +5)</t>
        </is>
      </c>
      <c r="C42" s="5" t="n"/>
      <c r="D42" s="5" t="n"/>
      <c r="E42" s="5" t="n"/>
    </row>
    <row r="43" ht="18" customHeight="1" s="60">
      <c r="A43" s="3" t="inlineStr">
        <is>
          <t>No UNGC violation confirmed</t>
        </is>
      </c>
      <c r="B43" s="3" t="inlineStr">
        <is>
          <t>+15</t>
        </is>
      </c>
      <c r="C43" s="3" t="n"/>
      <c r="D43" s="3" t="n"/>
      <c r="E43" s="3" t="n"/>
    </row>
    <row r="44" ht="18" customHeight="1" s="60">
      <c r="A44" s="5" t="inlineStr">
        <is>
          <t>No OECD breach confirmed</t>
        </is>
      </c>
      <c r="B44" s="5" t="inlineStr">
        <is>
          <t>+10</t>
        </is>
      </c>
      <c r="C44" s="5" t="n"/>
      <c r="D44" s="5" t="n"/>
      <c r="E44" s="5" t="n"/>
    </row>
    <row r="45" ht="18" customHeight="1" s="60">
      <c r="A45" s="3" t="inlineStr">
        <is>
          <t>Supply chain HRDD — Full process</t>
        </is>
      </c>
      <c r="B45" s="3" t="inlineStr">
        <is>
          <t>+15 (audit programme: +8)</t>
        </is>
      </c>
      <c r="C45" s="3" t="n"/>
      <c r="D45" s="3" t="n"/>
      <c r="E45" s="3" t="n"/>
    </row>
    <row r="46" ht="18" customHeight="1" s="60">
      <c r="A46" s="5" t="inlineStr">
        <is>
          <t>No labour/HS controversy</t>
        </is>
      </c>
      <c r="B46" s="5" t="inlineStr">
        <is>
          <t>+10 (material: 0; severe: -15)</t>
        </is>
      </c>
      <c r="C46" s="5" t="n"/>
      <c r="D46" s="5" t="n"/>
      <c r="E46" s="5" t="n"/>
    </row>
    <row r="47" ht="18" customHeight="1" s="60">
      <c r="A47" s="3" t="inlineStr">
        <is>
          <t>Board oversight formal</t>
        </is>
      </c>
      <c r="B47" s="3" t="inlineStr">
        <is>
          <t>+5</t>
        </is>
      </c>
      <c r="C47" s="3" t="n"/>
      <c r="D47" s="3" t="n"/>
      <c r="E47" s="3" t="n"/>
    </row>
    <row r="48" ht="18" customHeight="1" s="60">
      <c r="A48" s="5" t="inlineStr">
        <is>
          <t>ESG exec pay quantified</t>
        </is>
      </c>
      <c r="B48" s="5" t="inlineStr">
        <is>
          <t>+5</t>
        </is>
      </c>
      <c r="C48" s="5" t="n"/>
      <c r="D48" s="5" t="n"/>
      <c r="E48" s="5" t="n"/>
    </row>
    <row r="49" ht="18" customHeight="1" s="60">
      <c r="A49" s="3" t="inlineStr">
        <is>
          <t>ESG data reasonably assured</t>
        </is>
      </c>
      <c r="B49" s="3" t="inlineStr">
        <is>
          <t>+5</t>
        </is>
      </c>
      <c r="C49" s="3" t="n"/>
      <c r="D49" s="3" t="n"/>
      <c r="E49" s="3" t="n"/>
    </row>
    <row r="50" ht="9.75" customHeight="1" s="60">
      <c r="A50" s="6" t="n"/>
      <c r="B50" s="6" t="n"/>
      <c r="C50" s="6" t="n"/>
      <c r="D50" s="6" t="n"/>
      <c r="E50" s="6" t="n"/>
    </row>
    <row r="51" ht="18" customHeight="1" s="60">
      <c r="A51" s="30" t="inlineStr">
        <is>
          <t>BIODIVERSITY SCORE — POINTS TABLE</t>
        </is>
      </c>
      <c r="B51" s="30" t="n"/>
      <c r="C51" s="30" t="n"/>
      <c r="D51" s="30" t="n"/>
      <c r="E51" s="30" t="n"/>
    </row>
    <row r="52" ht="18" customHeight="1" s="60">
      <c r="A52" s="5" t="inlineStr">
        <is>
          <t>Biodiversity policy formal</t>
        </is>
      </c>
      <c r="B52" s="5" t="inlineStr">
        <is>
          <t>+15 (referenced: +5)</t>
        </is>
      </c>
      <c r="C52" s="5" t="n"/>
      <c r="D52" s="5" t="n"/>
      <c r="E52" s="5" t="n"/>
    </row>
    <row r="53" ht="18" customHeight="1" s="60">
      <c r="A53" s="3" t="inlineStr">
        <is>
          <t>TNFD aligned</t>
        </is>
      </c>
      <c r="B53" s="3" t="inlineStr">
        <is>
          <t>+15 (partial: +7)</t>
        </is>
      </c>
      <c r="C53" s="3" t="n"/>
      <c r="D53" s="3" t="n"/>
      <c r="E53" s="3" t="n"/>
    </row>
    <row r="54" ht="18" customHeight="1" s="60">
      <c r="A54" s="5" t="inlineStr">
        <is>
          <t>Mitigation hierarchy full</t>
        </is>
      </c>
      <c r="B54" s="5" t="inlineStr">
        <is>
          <t>+15 (partial: +7; offset only: +2)</t>
        </is>
      </c>
      <c r="C54" s="5" t="n"/>
      <c r="D54" s="5" t="n"/>
      <c r="E54" s="5" t="n"/>
    </row>
    <row r="55" ht="18" customHeight="1" s="60">
      <c r="A55" s="3" t="inlineStr">
        <is>
          <t>Nature dependency LOW</t>
        </is>
      </c>
      <c r="B55" s="3" t="inlineStr">
        <is>
          <t>+15; MEDIUM: +10; HIGH: +5; VERY HIGH: 0</t>
        </is>
      </c>
      <c r="C55" s="3" t="n"/>
      <c r="D55" s="3" t="n"/>
      <c r="E55" s="3" t="n"/>
    </row>
    <row r="56" ht="18" customHeight="1" s="60">
      <c r="A56" s="5" t="inlineStr">
        <is>
          <t>Water risk LOW/LOW-MEDIUM</t>
        </is>
      </c>
      <c r="B56" s="5" t="inlineStr">
        <is>
          <t>+15; MEDIUM-HIGH: +8; HIGH: +3; EXT HIGH: 0</t>
        </is>
      </c>
      <c r="C56" s="5" t="n"/>
      <c r="D56" s="5" t="n"/>
      <c r="E56" s="5" t="n"/>
    </row>
    <row r="57" ht="18" customHeight="1" s="60">
      <c r="A57" s="3" t="inlineStr">
        <is>
          <t>PAI 7 disclosed and quantified</t>
        </is>
      </c>
      <c r="B57" s="3" t="inlineStr">
        <is>
          <t>+10 (referenced: +5)</t>
        </is>
      </c>
      <c r="C57" s="3" t="n"/>
      <c r="D57" s="3" t="n"/>
      <c r="E57" s="3" t="n"/>
    </row>
    <row r="58" ht="18" customHeight="1" s="60">
      <c r="A58" s="5" t="inlineStr">
        <is>
          <t>No biodiversity-sensitive site conflict</t>
        </is>
      </c>
      <c r="B58" s="5" t="inlineStr">
        <is>
          <t>+10 (unknown: +3)</t>
        </is>
      </c>
      <c r="C58" s="5" t="n"/>
      <c r="D58" s="5" t="n"/>
      <c r="E58" s="5" t="n"/>
    </row>
    <row r="59" ht="18" customHeight="1" s="60">
      <c r="A59" s="3" t="inlineStr">
        <is>
          <t>SECTOR PENALTY: Critical nature risk class</t>
        </is>
      </c>
      <c r="B59" s="3" t="inlineStr">
        <is>
          <t>-20 from base</t>
        </is>
      </c>
      <c r="C59" s="3" t="n"/>
      <c r="D59" s="3" t="n"/>
      <c r="E59" s="3" t="n"/>
    </row>
    <row r="60" ht="18" customHeight="1" s="60">
      <c r="A60" s="5" t="inlineStr">
        <is>
          <t>SECTOR PENALTY: High nature risk class</t>
        </is>
      </c>
      <c r="B60" s="5" t="inlineStr">
        <is>
          <t>-10 from base</t>
        </is>
      </c>
      <c r="C60" s="5" t="n"/>
      <c r="D60" s="5" t="n"/>
      <c r="E60" s="5" t="n"/>
    </row>
    <row r="61" ht="9.75" customHeight="1" s="60">
      <c r="A61" s="6" t="n"/>
      <c r="B61" s="6" t="n"/>
      <c r="C61" s="6" t="n"/>
      <c r="D61" s="6" t="n"/>
      <c r="E61" s="6" t="n"/>
    </row>
    <row r="62" ht="18" customHeight="1" s="60">
      <c r="A62" s="30" t="inlineStr">
        <is>
          <t>EU REGULATION EVIDENCE SCORE — POINTS TABLE</t>
        </is>
      </c>
      <c r="B62" s="30" t="n"/>
      <c r="C62" s="30" t="n"/>
      <c r="D62" s="30" t="n"/>
      <c r="E62" s="30" t="n"/>
    </row>
    <row r="63" ht="18" customHeight="1" s="60">
      <c r="A63" s="3" t="inlineStr">
        <is>
          <t>Taxonomy eligible revenue disclosed</t>
        </is>
      </c>
      <c r="B63" s="3" t="inlineStr">
        <is>
          <t>+10</t>
        </is>
      </c>
      <c r="C63" s="3" t="n"/>
      <c r="D63" s="3" t="n"/>
      <c r="E63" s="3" t="n"/>
    </row>
    <row r="64" ht="18" customHeight="1" s="60">
      <c r="A64" s="5" t="inlineStr">
        <is>
          <t>Taxonomy aligned revenue — company stated</t>
        </is>
      </c>
      <c r="B64" s="5" t="inlineStr">
        <is>
          <t>+15 (independently verified: +25)</t>
        </is>
      </c>
      <c r="C64" s="5" t="n"/>
      <c r="D64" s="5" t="n"/>
      <c r="E64" s="5" t="n"/>
    </row>
    <row r="65" ht="18" customHeight="1" s="60">
      <c r="A65" s="3" t="inlineStr">
        <is>
          <t>DNSH explicitly assessed</t>
        </is>
      </c>
      <c r="B65" s="3" t="inlineStr">
        <is>
          <t>+20 (referenced: +10)</t>
        </is>
      </c>
      <c r="C65" s="3" t="n"/>
      <c r="D65" s="3" t="n"/>
      <c r="E65" s="3" t="n"/>
    </row>
    <row r="66" ht="18" customHeight="1" s="60">
      <c r="A66" s="5" t="inlineStr">
        <is>
          <t>Minimum safeguards evidenced</t>
        </is>
      </c>
      <c r="B66" s="5" t="inlineStr">
        <is>
          <t>+15</t>
        </is>
      </c>
      <c r="C66" s="5" t="n"/>
      <c r="D66" s="5" t="n"/>
      <c r="E66" s="5" t="n"/>
    </row>
    <row r="67" ht="18" customHeight="1" s="60">
      <c r="A67" s="3" t="inlineStr">
        <is>
          <t>PAI indicators: 1–5 reported</t>
        </is>
      </c>
      <c r="B67" s="3" t="inlineStr">
        <is>
          <t>+5; 6–10: +10; 11–18: +15</t>
        </is>
      </c>
      <c r="C67" s="3" t="n"/>
      <c r="D67" s="3" t="n"/>
      <c r="E67" s="3" t="n"/>
    </row>
    <row r="68" ht="18" customHeight="1" s="60">
      <c r="A68" s="5" t="inlineStr">
        <is>
          <t>CSRD/ESRS full disclosure</t>
        </is>
      </c>
      <c r="B68" s="5" t="inlineStr">
        <is>
          <t>+15 (substantial: +8; basic: +3)</t>
        </is>
      </c>
      <c r="C68" s="5" t="n"/>
      <c r="D68" s="5" t="n"/>
      <c r="E68" s="5" t="n"/>
    </row>
    <row r="69" ht="18" customHeight="1" s="60">
      <c r="A69" s="3" t="inlineStr">
        <is>
          <t>PENALTY: Aligned % &gt; Eligible %</t>
        </is>
      </c>
      <c r="B69" s="3" t="inlineStr">
        <is>
          <t>-20 (overclaiming detected)</t>
        </is>
      </c>
      <c r="C69" s="3" t="n"/>
      <c r="D69" s="3" t="n"/>
      <c r="E69" s="3" t="n"/>
    </row>
    <row r="70" ht="18" customHeight="1" s="60">
      <c r="A70" s="5" t="inlineStr">
        <is>
          <t>PENALTY: Company-stated alignment &gt;60% unverified</t>
        </is>
      </c>
      <c r="B70" s="5" t="inlineStr">
        <is>
          <t>-10 (high overclaiming risk)</t>
        </is>
      </c>
      <c r="C70" s="5" t="n"/>
      <c r="D70" s="5" t="n"/>
      <c r="E70" s="5" t="n"/>
    </row>
  </sheetData>
  <mergeCells count="1">
    <mergeCell ref="A1:E1"/>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W56"/>
  <sheetViews>
    <sheetView showGridLines="0" zoomScaleNormal="100" workbookViewId="0">
      <selection activeCell="D6" sqref="D6"/>
    </sheetView>
  </sheetViews>
  <sheetFormatPr baseColWidth="10" defaultColWidth="8.6640625" defaultRowHeight="14"/>
  <cols>
    <col width="19.1640625" bestFit="1" customWidth="1" style="57" min="1" max="1"/>
    <col width="6.6640625" bestFit="1" customWidth="1" style="57" min="2" max="2"/>
    <col width="4.33203125" customWidth="1" style="57" min="3" max="3"/>
    <col width="28.1640625" bestFit="1" customWidth="1" style="57" min="4" max="4"/>
    <col width="6.6640625" bestFit="1" customWidth="1" style="57" min="5" max="5"/>
    <col width="4.33203125" customWidth="1" style="57" min="6" max="6"/>
    <col width="24" bestFit="1" customWidth="1" style="57" min="7" max="7"/>
    <col width="6.6640625" bestFit="1" customWidth="1" style="57" min="8" max="8"/>
    <col width="4.33203125" customWidth="1" style="57" min="9" max="9"/>
    <col width="22.83203125" bestFit="1" customWidth="1" style="57" min="10" max="10"/>
    <col width="6.6640625" bestFit="1" customWidth="1" style="57" min="11" max="11"/>
    <col width="4.33203125" customWidth="1" style="57" min="12" max="12"/>
    <col width="22.5" bestFit="1" customWidth="1" style="57" min="13" max="13"/>
    <col width="6.6640625" bestFit="1" customWidth="1" style="57" min="14" max="14"/>
    <col width="4.33203125" customWidth="1" style="57" min="15" max="15"/>
    <col width="23.5" bestFit="1" customWidth="1" style="57" min="16" max="16"/>
    <col width="6.6640625" bestFit="1" customWidth="1" style="57" min="17" max="17"/>
    <col width="8.6640625" customWidth="1" style="57" min="18" max="18"/>
    <col width="8.6640625" customWidth="1" style="57" min="19" max="16384"/>
  </cols>
  <sheetData>
    <row r="1" ht="18" customHeight="1" s="60">
      <c r="A1" s="30" t="inlineStr">
        <is>
          <t>SBTi STATUS</t>
        </is>
      </c>
      <c r="B1" s="30" t="inlineStr">
        <is>
          <t>POINTS</t>
        </is>
      </c>
      <c r="D1" s="30" t="inlineStr">
        <is>
          <t>HR POLICY STATUS</t>
        </is>
      </c>
      <c r="E1" s="30" t="inlineStr">
        <is>
          <t>POINTS</t>
        </is>
      </c>
      <c r="G1" s="30" t="inlineStr">
        <is>
          <t>UNGC SIGNATORY</t>
        </is>
      </c>
      <c r="H1" s="30" t="inlineStr">
        <is>
          <t>POINTS</t>
        </is>
      </c>
      <c r="J1" s="30" t="inlineStr">
        <is>
          <t>UNGC VIOLATION EVIDENCE</t>
        </is>
      </c>
      <c r="K1" s="30" t="inlineStr">
        <is>
          <t>POINTS</t>
        </is>
      </c>
      <c r="M1" s="30" t="inlineStr">
        <is>
          <t>SUPPLY CHAIN DD EVIDENCE</t>
        </is>
      </c>
      <c r="N1" s="30" t="inlineStr">
        <is>
          <t>POINTS</t>
        </is>
      </c>
      <c r="P1" s="30" t="inlineStr">
        <is>
          <t>LABOUR / H&amp;S CONTROVERSY</t>
        </is>
      </c>
      <c r="Q1" s="30" t="inlineStr">
        <is>
          <t>POINTS</t>
        </is>
      </c>
    </row>
    <row r="2" ht="18" customHeight="1" s="60">
      <c r="A2" s="5" t="inlineStr">
        <is>
          <t>Approved</t>
        </is>
      </c>
      <c r="B2" s="5" t="n">
        <v>20</v>
      </c>
      <c r="D2" s="3" t="inlineStr">
        <is>
          <t>Formal Policy with Grievance Mechanism</t>
        </is>
      </c>
      <c r="E2" s="3" t="n">
        <v>20</v>
      </c>
      <c r="G2" s="3" t="inlineStr">
        <is>
          <t>Signatory — Active</t>
        </is>
      </c>
      <c r="H2" s="3" t="n">
        <v>15</v>
      </c>
      <c r="J2" s="3" t="inlineStr">
        <is>
          <t>No Issues</t>
        </is>
      </c>
      <c r="K2" s="3" t="n">
        <v>15</v>
      </c>
      <c r="M2" s="3" t="inlineStr">
        <is>
          <t>Full HRDD Process</t>
        </is>
      </c>
      <c r="N2" s="3" t="n">
        <v>15</v>
      </c>
      <c r="P2" s="5" t="inlineStr">
        <is>
          <t>None</t>
        </is>
      </c>
      <c r="Q2" s="5" t="n">
        <v>10</v>
      </c>
    </row>
    <row r="3" ht="18" customHeight="1" s="60">
      <c r="A3" s="3" t="inlineStr">
        <is>
          <t>Achieved</t>
        </is>
      </c>
      <c r="B3" s="3" t="n">
        <v>20</v>
      </c>
      <c r="D3" s="5" t="inlineStr">
        <is>
          <t>Policy Exists – Limited Scope</t>
        </is>
      </c>
      <c r="E3" s="5" t="n">
        <v>10</v>
      </c>
      <c r="G3" s="5" t="inlineStr">
        <is>
          <t>Signatory — COP Overdue</t>
        </is>
      </c>
      <c r="H3" s="5" t="n">
        <v>5</v>
      </c>
      <c r="J3" s="5" t="inlineStr">
        <is>
          <t>Concern Flagged</t>
        </is>
      </c>
      <c r="K3" s="5" t="n">
        <v>5</v>
      </c>
      <c r="M3" s="5" t="inlineStr">
        <is>
          <t>Audit Programme Only</t>
        </is>
      </c>
      <c r="N3" s="5" t="n">
        <v>8</v>
      </c>
      <c r="P3" s="3" t="inlineStr">
        <is>
          <t>Minor</t>
        </is>
      </c>
      <c r="Q3" s="3" t="n">
        <v>6</v>
      </c>
    </row>
    <row r="4" ht="18" customHeight="1" s="60">
      <c r="A4" s="5" t="inlineStr">
        <is>
          <t>Targets Submitted</t>
        </is>
      </c>
      <c r="B4" s="5" t="n">
        <v>10</v>
      </c>
      <c r="D4" s="3" t="inlineStr">
        <is>
          <t>Mention Only</t>
        </is>
      </c>
      <c r="E4" s="3" t="n">
        <v>5</v>
      </c>
      <c r="G4" s="3" t="inlineStr">
        <is>
          <t>Non-Signatory</t>
        </is>
      </c>
      <c r="H4" s="3" t="n">
        <v>0</v>
      </c>
      <c r="J4" s="3" t="inlineStr">
        <is>
          <t>Confirmed Violation</t>
        </is>
      </c>
      <c r="K4" s="3" t="n">
        <v>-25</v>
      </c>
      <c r="M4" s="3" t="inlineStr">
        <is>
          <t>Policy Without Process</t>
        </is>
      </c>
      <c r="N4" s="3" t="n">
        <v>3</v>
      </c>
      <c r="P4" s="5" t="inlineStr">
        <is>
          <t>Material</t>
        </is>
      </c>
      <c r="Q4" s="5" t="n">
        <v>0</v>
      </c>
    </row>
    <row r="5" ht="18" customHeight="1" s="60">
      <c r="A5" s="3" t="inlineStr">
        <is>
          <t>Committed</t>
        </is>
      </c>
      <c r="B5" s="3" t="n">
        <v>7</v>
      </c>
      <c r="D5" s="5" t="inlineStr">
        <is>
          <t>Absent</t>
        </is>
      </c>
      <c r="E5" s="5" t="n">
        <v>0</v>
      </c>
      <c r="G5" s="5" t="inlineStr">
        <is>
          <t>(blank)</t>
        </is>
      </c>
      <c r="H5" s="5" t="n">
        <v>0</v>
      </c>
      <c r="J5" s="5" t="inlineStr">
        <is>
          <t>(blank)</t>
        </is>
      </c>
      <c r="K5" s="5" t="n">
        <v>0</v>
      </c>
      <c r="M5" s="5" t="inlineStr">
        <is>
          <t>Absent</t>
        </is>
      </c>
      <c r="N5" s="5" t="n">
        <v>0</v>
      </c>
      <c r="P5" s="3" t="inlineStr">
        <is>
          <t>Severe</t>
        </is>
      </c>
      <c r="Q5" s="3" t="n">
        <v>-15</v>
      </c>
    </row>
    <row r="6" ht="18" customHeight="1" s="60">
      <c r="A6" s="5" t="inlineStr">
        <is>
          <t>Commitment Lapsed</t>
        </is>
      </c>
      <c r="B6" s="5" t="n">
        <v>2</v>
      </c>
      <c r="D6" s="3" t="inlineStr">
        <is>
          <t>(blank)</t>
        </is>
      </c>
      <c r="E6" s="3" t="n">
        <v>0</v>
      </c>
      <c r="M6" s="3" t="inlineStr">
        <is>
          <t>(blank)</t>
        </is>
      </c>
      <c r="N6" s="3" t="n">
        <v>0</v>
      </c>
      <c r="P6" s="5" t="inlineStr">
        <is>
          <t>(blank)</t>
        </is>
      </c>
      <c r="Q6" s="5" t="n">
        <v>5</v>
      </c>
    </row>
    <row r="7" ht="18" customHeight="1" s="60">
      <c r="A7" s="3" t="inlineStr">
        <is>
          <t>No commitment</t>
        </is>
      </c>
      <c r="B7" s="3" t="n">
        <v>0</v>
      </c>
    </row>
    <row r="8" ht="18" customHeight="1" s="60">
      <c r="A8" s="5" t="inlineStr">
        <is>
          <t>(blank)</t>
        </is>
      </c>
      <c r="B8" s="5" t="n">
        <v>0</v>
      </c>
    </row>
    <row r="9" ht="18" customHeight="1" s="60"/>
    <row r="10" ht="18" customHeight="1" s="60">
      <c r="A10" s="30" t="inlineStr">
        <is>
          <t>BIODIVERSITY POLICY</t>
        </is>
      </c>
      <c r="B10" s="30" t="inlineStr">
        <is>
          <t>POINTS</t>
        </is>
      </c>
      <c r="D10" s="30" t="inlineStr">
        <is>
          <t>NATURE DEPENDENCY (ENCORE)</t>
        </is>
      </c>
      <c r="E10" s="30" t="inlineStr">
        <is>
          <t>POINTS</t>
        </is>
      </c>
      <c r="G10" s="30" t="inlineStr">
        <is>
          <t>WATER RISK (WRI AQUEDUCT)</t>
        </is>
      </c>
      <c r="H10" s="30" t="inlineStr">
        <is>
          <t>POINTS</t>
        </is>
      </c>
      <c r="J10" s="30" t="inlineStr">
        <is>
          <t>MITIGATION HIERARCHY</t>
        </is>
      </c>
      <c r="K10" s="30" t="inlineStr">
        <is>
          <t>POINTS</t>
        </is>
      </c>
      <c r="M10" s="30" t="inlineStr">
        <is>
          <t>TNFD ALIGNMENT</t>
        </is>
      </c>
      <c r="N10" s="30" t="inlineStr">
        <is>
          <t>POINTS</t>
        </is>
      </c>
      <c r="P10" s="30" t="inlineStr">
        <is>
          <t>PAI 7 RELEVANCE</t>
        </is>
      </c>
      <c r="Q10" s="30" t="inlineStr">
        <is>
          <t>POINTS</t>
        </is>
      </c>
    </row>
    <row r="11" ht="18" customHeight="1" s="60">
      <c r="A11" s="3" t="inlineStr">
        <is>
          <t>TNFD Aligned</t>
        </is>
      </c>
      <c r="B11" s="3" t="n">
        <v>15</v>
      </c>
      <c r="D11" s="3" t="inlineStr">
        <is>
          <t>Low</t>
        </is>
      </c>
      <c r="E11" s="3" t="n">
        <v>15</v>
      </c>
      <c r="G11" s="3" t="inlineStr">
        <is>
          <t>Low</t>
        </is>
      </c>
      <c r="H11" s="3" t="n">
        <v>15</v>
      </c>
      <c r="J11" s="3" t="inlineStr">
        <is>
          <t>Full Hierarchy Applied</t>
        </is>
      </c>
      <c r="K11" s="3" t="n">
        <v>15</v>
      </c>
      <c r="M11" s="3" t="inlineStr">
        <is>
          <t>Aligned</t>
        </is>
      </c>
      <c r="N11" s="3" t="n">
        <v>15</v>
      </c>
      <c r="P11" s="3" t="inlineStr">
        <is>
          <t>Disclosed and Quantified</t>
        </is>
      </c>
      <c r="Q11" s="3" t="n">
        <v>10</v>
      </c>
    </row>
    <row r="12" ht="18" customHeight="1" s="60">
      <c r="A12" s="5" t="inlineStr">
        <is>
          <t>Formal Policy</t>
        </is>
      </c>
      <c r="B12" s="5" t="n">
        <v>13</v>
      </c>
      <c r="D12" s="5" t="inlineStr">
        <is>
          <t>Medium</t>
        </is>
      </c>
      <c r="E12" s="5" t="n">
        <v>10</v>
      </c>
      <c r="G12" s="5" t="inlineStr">
        <is>
          <t>Low-Medium</t>
        </is>
      </c>
      <c r="H12" s="5" t="n">
        <v>12</v>
      </c>
      <c r="J12" s="5" t="inlineStr">
        <is>
          <t>Partial</t>
        </is>
      </c>
      <c r="K12" s="5" t="n">
        <v>7</v>
      </c>
      <c r="M12" s="5" t="inlineStr">
        <is>
          <t>Partial</t>
        </is>
      </c>
      <c r="N12" s="5" t="n">
        <v>7</v>
      </c>
      <c r="P12" s="5" t="inlineStr">
        <is>
          <t>Referenced but not Quantified</t>
        </is>
      </c>
      <c r="Q12" s="5" t="n">
        <v>5</v>
      </c>
    </row>
    <row r="13" ht="18" customHeight="1" s="60">
      <c r="A13" s="3" t="inlineStr">
        <is>
          <t>Referenced in ESG Report</t>
        </is>
      </c>
      <c r="B13" s="3" t="n">
        <v>8</v>
      </c>
      <c r="D13" s="3" t="inlineStr">
        <is>
          <t>High</t>
        </is>
      </c>
      <c r="E13" s="3" t="n">
        <v>5</v>
      </c>
      <c r="G13" s="3" t="inlineStr">
        <is>
          <t>Medium-High</t>
        </is>
      </c>
      <c r="H13" s="3" t="n">
        <v>8</v>
      </c>
      <c r="J13" s="3" t="inlineStr">
        <is>
          <t>Offset Only</t>
        </is>
      </c>
      <c r="K13" s="3" t="n">
        <v>2</v>
      </c>
      <c r="M13" s="3" t="inlineStr">
        <is>
          <t>None</t>
        </is>
      </c>
      <c r="N13" s="3" t="n">
        <v>0</v>
      </c>
      <c r="P13" s="3" t="inlineStr">
        <is>
          <t>Not Applicable</t>
        </is>
      </c>
      <c r="Q13" s="3" t="n">
        <v>8</v>
      </c>
    </row>
    <row r="14" ht="18" customHeight="1" s="60">
      <c r="A14" s="5" t="inlineStr">
        <is>
          <t>Mention Only</t>
        </is>
      </c>
      <c r="B14" s="5" t="n">
        <v>3</v>
      </c>
      <c r="D14" s="5" t="inlineStr">
        <is>
          <t>Very High</t>
        </is>
      </c>
      <c r="E14" s="5" t="n">
        <v>0</v>
      </c>
      <c r="G14" s="5" t="inlineStr">
        <is>
          <t>High</t>
        </is>
      </c>
      <c r="H14" s="5" t="n">
        <v>3</v>
      </c>
      <c r="J14" s="5" t="inlineStr">
        <is>
          <t>No Evidence</t>
        </is>
      </c>
      <c r="K14" s="5" t="n">
        <v>0</v>
      </c>
      <c r="M14" s="5" t="inlineStr">
        <is>
          <t>(blank)</t>
        </is>
      </c>
      <c r="N14" s="5" t="n">
        <v>0</v>
      </c>
      <c r="P14" s="5" t="inlineStr">
        <is>
          <t>Not Disclosed</t>
        </is>
      </c>
      <c r="Q14" s="5" t="n">
        <v>0</v>
      </c>
    </row>
    <row r="15" ht="18" customHeight="1" s="60">
      <c r="A15" s="3" t="inlineStr">
        <is>
          <t>Absent</t>
        </is>
      </c>
      <c r="B15" s="3" t="n">
        <v>0</v>
      </c>
      <c r="D15" s="3" t="inlineStr">
        <is>
          <t>Not Assessed</t>
        </is>
      </c>
      <c r="E15" s="3" t="n">
        <v>5</v>
      </c>
      <c r="G15" s="3" t="inlineStr">
        <is>
          <t>Extremely High</t>
        </is>
      </c>
      <c r="H15" s="3" t="n">
        <v>0</v>
      </c>
      <c r="J15" s="5" t="inlineStr">
        <is>
          <t>(blank)</t>
        </is>
      </c>
      <c r="K15" s="5" t="n">
        <v>0</v>
      </c>
      <c r="P15" s="3" t="inlineStr">
        <is>
          <t>(blank)</t>
        </is>
      </c>
      <c r="Q15" s="3" t="n">
        <v>0</v>
      </c>
    </row>
    <row r="16" ht="18" customHeight="1" s="60">
      <c r="A16" s="5" t="inlineStr">
        <is>
          <t>(blank)</t>
        </is>
      </c>
      <c r="B16" s="5" t="n">
        <v>0</v>
      </c>
      <c r="D16" s="5" t="inlineStr">
        <is>
          <t>(blank)</t>
        </is>
      </c>
      <c r="E16" s="5" t="n">
        <v>0</v>
      </c>
      <c r="G16" s="5" t="inlineStr">
        <is>
          <t>Not Assessed</t>
        </is>
      </c>
      <c r="H16" s="5" t="n">
        <v>5</v>
      </c>
    </row>
    <row r="17" ht="18" customHeight="1" s="60">
      <c r="D17" s="6" t="n"/>
      <c r="E17" s="6" t="n"/>
      <c r="G17" s="3" t="inlineStr">
        <is>
          <t>(blank)</t>
        </is>
      </c>
      <c r="H17" s="3" t="n">
        <v>5</v>
      </c>
    </row>
    <row r="18" ht="18" customHeight="1" s="60"/>
    <row r="19" ht="18" customHeight="1" s="60"/>
    <row r="20" ht="18" customHeight="1" s="60">
      <c r="A20" s="30" t="inlineStr">
        <is>
          <t>DNSH EVIDENCE</t>
        </is>
      </c>
      <c r="B20" s="30" t="inlineStr">
        <is>
          <t>POINTS</t>
        </is>
      </c>
      <c r="D20" s="30" t="inlineStr">
        <is>
          <t>MINIMUM SAFEGUARDS EVIDENCE</t>
        </is>
      </c>
      <c r="E20" s="30" t="inlineStr">
        <is>
          <t>POINTS</t>
        </is>
      </c>
      <c r="G20" s="30" t="inlineStr">
        <is>
          <t>CSRD / ESRS QUALITY</t>
        </is>
      </c>
      <c r="H20" s="30" t="inlineStr">
        <is>
          <t>POINTS</t>
        </is>
      </c>
      <c r="J20" s="30" t="inlineStr">
        <is>
          <t>SECTOR NATURE RISK CLASS</t>
        </is>
      </c>
      <c r="K20" s="30" t="inlineStr">
        <is>
          <t>POINTS</t>
        </is>
      </c>
      <c r="M20" s="30" t="inlineStr">
        <is>
          <t>CONTROVERSY SEVERITY</t>
        </is>
      </c>
      <c r="N20" s="30" t="inlineStr">
        <is>
          <t>POINTS</t>
        </is>
      </c>
    </row>
    <row r="21" ht="18" customHeight="1" s="60">
      <c r="A21" s="3" t="inlineStr">
        <is>
          <t>Explicit DNSH Assessment</t>
        </is>
      </c>
      <c r="B21" s="3" t="n">
        <v>20</v>
      </c>
      <c r="D21" s="3" t="inlineStr">
        <is>
          <t>Explicit</t>
        </is>
      </c>
      <c r="E21" s="3" t="n">
        <v>15</v>
      </c>
      <c r="G21" s="3" t="inlineStr">
        <is>
          <t>Full</t>
        </is>
      </c>
      <c r="H21" s="3" t="n">
        <v>15</v>
      </c>
      <c r="J21" s="3" t="inlineStr">
        <is>
          <t>Critical</t>
        </is>
      </c>
      <c r="K21" s="3" t="n">
        <v>-20</v>
      </c>
      <c r="M21" s="3" t="inlineStr">
        <is>
          <t>Severe</t>
        </is>
      </c>
      <c r="N21" s="3" t="n">
        <v>25</v>
      </c>
    </row>
    <row r="22" ht="18" customHeight="1" s="60">
      <c r="A22" s="5" t="inlineStr">
        <is>
          <t>Referenced</t>
        </is>
      </c>
      <c r="B22" s="5" t="n">
        <v>10</v>
      </c>
      <c r="D22" s="5" t="inlineStr">
        <is>
          <t>Referenced</t>
        </is>
      </c>
      <c r="E22" s="5" t="n">
        <v>8</v>
      </c>
      <c r="G22" s="5" t="inlineStr">
        <is>
          <t>Substantial</t>
        </is>
      </c>
      <c r="H22" s="5" t="n">
        <v>8</v>
      </c>
      <c r="J22" s="5" t="inlineStr">
        <is>
          <t>High</t>
        </is>
      </c>
      <c r="K22" s="5" t="n">
        <v>-10</v>
      </c>
      <c r="M22" s="5" t="inlineStr">
        <is>
          <t>Material</t>
        </is>
      </c>
      <c r="N22" s="5" t="n">
        <v>15</v>
      </c>
    </row>
    <row r="23" ht="18" customHeight="1" s="60">
      <c r="A23" s="3" t="inlineStr">
        <is>
          <t>Not Disclosed</t>
        </is>
      </c>
      <c r="B23" s="3" t="n">
        <v>0</v>
      </c>
      <c r="D23" s="3" t="inlineStr">
        <is>
          <t>Absent</t>
        </is>
      </c>
      <c r="E23" s="3" t="n">
        <v>0</v>
      </c>
      <c r="G23" s="3" t="inlineStr">
        <is>
          <t>Basic</t>
        </is>
      </c>
      <c r="H23" s="3" t="n">
        <v>3</v>
      </c>
      <c r="J23" s="3" t="inlineStr">
        <is>
          <t>Moderate</t>
        </is>
      </c>
      <c r="K23" s="3" t="n">
        <v>0</v>
      </c>
      <c r="M23" s="3" t="inlineStr">
        <is>
          <t>Moderate</t>
        </is>
      </c>
      <c r="N23" s="3" t="n">
        <v>8</v>
      </c>
    </row>
    <row r="24" ht="18" customHeight="1" s="60">
      <c r="A24" s="5" t="inlineStr">
        <is>
          <t>(blank)</t>
        </is>
      </c>
      <c r="B24" s="5" t="n">
        <v>0</v>
      </c>
      <c r="D24" s="5" t="inlineStr">
        <is>
          <t>(blank)</t>
        </is>
      </c>
      <c r="E24" s="5" t="n">
        <v>0</v>
      </c>
      <c r="G24" s="5" t="inlineStr">
        <is>
          <t>None</t>
        </is>
      </c>
      <c r="H24" s="5" t="n">
        <v>0</v>
      </c>
      <c r="J24" s="5" t="inlineStr">
        <is>
          <t>Low</t>
        </is>
      </c>
      <c r="K24" s="5" t="n">
        <v>0</v>
      </c>
      <c r="M24" s="5" t="inlineStr">
        <is>
          <t>Minor</t>
        </is>
      </c>
      <c r="N24" s="5" t="n">
        <v>3</v>
      </c>
    </row>
    <row r="25" ht="18" customHeight="1" s="60">
      <c r="G25" s="3" t="inlineStr">
        <is>
          <t>(blank)</t>
        </is>
      </c>
      <c r="H25" s="3" t="n">
        <v>0</v>
      </c>
      <c r="J25" s="3" t="inlineStr">
        <is>
          <t>(blank)</t>
        </is>
      </c>
      <c r="K25" s="3" t="n">
        <v>0</v>
      </c>
      <c r="M25" s="3" t="inlineStr">
        <is>
          <t>None</t>
        </is>
      </c>
      <c r="N25" s="3" t="n">
        <v>0</v>
      </c>
    </row>
    <row r="26" ht="18" customHeight="1" s="60">
      <c r="J26" s="6" t="n"/>
      <c r="K26" s="6" t="n"/>
      <c r="M26" s="5" t="inlineStr">
        <is>
          <t>(blank)</t>
        </is>
      </c>
      <c r="N26" s="5" t="n">
        <v>0</v>
      </c>
    </row>
    <row r="27" ht="18" customHeight="1" s="60"/>
    <row r="28" ht="18" customHeight="1" s="60"/>
    <row r="29" ht="18" customHeight="1" s="60"/>
    <row r="30" ht="18" customHeight="1" s="60"/>
    <row r="31" ht="18" customHeight="1" s="60"/>
    <row r="32" ht="18" customHeight="1" s="60"/>
    <row r="33" ht="18" customHeight="1" s="60"/>
    <row r="34" ht="18" customHeight="1" s="60"/>
    <row r="35" ht="18" customHeight="1" s="60"/>
    <row r="36" ht="18" customHeight="1" s="60"/>
    <row r="37" ht="18" customHeight="1" s="60"/>
    <row r="38" ht="18" customHeight="1" s="60"/>
    <row r="39" ht="18" customHeight="1" s="60"/>
    <row r="40" ht="18" customHeight="1" s="60"/>
    <row r="41" ht="18" customHeight="1" s="60"/>
    <row r="42" ht="18" customHeight="1" s="60"/>
    <row r="43" ht="18" customHeight="1" s="60"/>
    <row r="44" ht="18" customHeight="1" s="60"/>
    <row r="45" ht="18" customHeight="1" s="60"/>
    <row r="46" ht="18" customHeight="1" s="60"/>
    <row r="47" ht="18" customHeight="1" s="60"/>
    <row r="48" ht="18" customHeight="1" s="60"/>
    <row r="49" ht="18" customHeight="1" s="60"/>
    <row r="50" ht="18" customHeight="1" s="60"/>
    <row r="51" ht="18" customHeight="1" s="60"/>
    <row r="52" ht="18" customHeight="1" s="60"/>
    <row r="53" ht="18" customHeight="1" s="60"/>
    <row r="54" ht="18" customHeight="1" s="60"/>
    <row r="55" ht="18" customHeight="1" s="60"/>
    <row r="56" ht="18" customHeight="1" s="60">
      <c r="V56" s="6" t="n"/>
      <c r="W56" s="6" t="n"/>
    </row>
    <row r="57" ht="18" customHeight="1" s="60"/>
    <row r="58" ht="9.75" customHeight="1" s="60"/>
    <row r="59" ht="18" customHeight="1" s="60"/>
    <row r="60" ht="18" customHeight="1" s="60"/>
    <row r="61" ht="18" customHeight="1" s="60"/>
    <row r="62" ht="18" customHeight="1" s="60"/>
    <row r="63" ht="18" customHeight="1" s="60"/>
    <row r="64" ht="18" customHeight="1" s="60"/>
    <row r="65" ht="18" customHeight="1" s="60"/>
    <row r="66" ht="18" customHeight="1" s="60"/>
    <row r="67" ht="9.75" customHeight="1" s="60"/>
    <row r="68" ht="18" customHeight="1" s="60"/>
    <row r="69" ht="18" customHeight="1" s="60"/>
    <row r="70" ht="18" customHeight="1" s="60"/>
    <row r="71" ht="18" customHeight="1" s="60"/>
    <row r="72" ht="18" customHeight="1" s="60"/>
    <row r="73" ht="18" customHeight="1" s="60"/>
    <row r="74" ht="9.75" customHeight="1" s="60"/>
    <row r="75" ht="18" customHeight="1" s="60"/>
    <row r="76" ht="18" customHeight="1" s="60"/>
    <row r="77" ht="18" customHeight="1" s="60"/>
    <row r="78" ht="18" customHeight="1" s="60"/>
    <row r="79" ht="18" customHeight="1" s="60"/>
    <row r="80" ht="9.75" customHeight="1" s="60"/>
    <row r="81" ht="18" customHeight="1" s="60"/>
    <row r="82" ht="18" customHeight="1" s="60"/>
    <row r="83" ht="18" customHeight="1" s="60"/>
    <row r="84" ht="18" customHeight="1" s="60"/>
    <row r="85" ht="18" customHeight="1" s="60"/>
    <row r="86" ht="18" customHeight="1" s="60"/>
    <row r="87" ht="9.75" customHeight="1" s="60"/>
    <row r="88" ht="18" customHeight="1" s="60"/>
    <row r="89" ht="18" customHeight="1" s="60"/>
    <row r="90" ht="18" customHeight="1" s="60"/>
    <row r="91" ht="18" customHeight="1" s="60"/>
    <row r="92" ht="18" customHeight="1" s="60"/>
    <row r="93" ht="9.75" customHeight="1" s="60"/>
    <row r="94" ht="18" customHeight="1" s="60"/>
    <row r="95" ht="18" customHeight="1" s="60"/>
    <row r="96" ht="18" customHeight="1" s="60"/>
    <row r="97" ht="18" customHeight="1" s="60"/>
    <row r="98" ht="18" customHeight="1" s="60"/>
    <row r="99" ht="9.75" customHeight="1" s="60"/>
    <row r="100" ht="18" customHeight="1" s="60"/>
    <row r="101" ht="18" customHeight="1" s="60"/>
    <row r="102" ht="18" customHeight="1" s="60"/>
    <row r="103" ht="18" customHeight="1" s="60"/>
    <row r="104" ht="18" customHeight="1" s="60"/>
    <row r="105" ht="18" customHeight="1" s="60"/>
    <row r="106" ht="9.75" customHeight="1" s="60"/>
    <row r="107" ht="18" customHeight="1" s="60"/>
    <row r="108" ht="18" customHeight="1" s="60"/>
    <row r="109" ht="18" customHeight="1" s="60"/>
    <row r="110" ht="18" customHeight="1" s="60"/>
    <row r="111" ht="18" customHeight="1" s="60"/>
    <row r="112" ht="18" customHeight="1" s="60"/>
    <row r="113" ht="9.75" customHeight="1" s="60"/>
    <row r="114" ht="18" customHeight="1" s="60"/>
    <row r="115" ht="18" customHeight="1" s="60"/>
    <row r="116" ht="18" customHeight="1" s="60"/>
    <row r="117" ht="18" customHeight="1" s="60"/>
    <row r="118" ht="18" customHeight="1" s="60"/>
    <row r="119" ht="18" customHeight="1" s="60"/>
    <row r="120" ht="18" customHeight="1" s="60"/>
  </sheetData>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D33"/>
  <sheetViews>
    <sheetView showGridLines="0" zoomScaleNormal="100" workbookViewId="0">
      <selection activeCell="G9" sqref="G9"/>
    </sheetView>
  </sheetViews>
  <sheetFormatPr baseColWidth="10" defaultColWidth="8.6640625" defaultRowHeight="14"/>
  <cols>
    <col width="28" customWidth="1" style="57" min="1" max="1"/>
    <col width="55" customWidth="1" style="57" min="2" max="2"/>
    <col width="20" customWidth="1" style="57" min="3" max="4"/>
    <col width="8.6640625" customWidth="1" style="57" min="5" max="5"/>
    <col width="8.6640625" customWidth="1" style="57" min="6" max="16384"/>
  </cols>
  <sheetData>
    <row r="1" ht="27.75" customHeight="1" s="60">
      <c r="A1" s="56" t="inlineStr">
        <is>
          <t>BIODIVERSITY / NATURE-RISK FRAMEWORK  |  ENCORE + WWF BRF + WRI Aqueduct + TNFD</t>
        </is>
      </c>
    </row>
    <row r="2" ht="22.75" customHeight="1" s="60">
      <c r="A2" s="30" t="inlineStr">
        <is>
          <t>STEP 1 — SECTOR CLASSIFICATION (ENCORE)</t>
        </is>
      </c>
      <c r="B2" s="30" t="inlineStr">
        <is>
          <t>Map BICS sector to ENCORE nature dependency and impact ratings</t>
        </is>
      </c>
      <c r="C2" s="30" t="n"/>
      <c r="D2" s="30" t="n"/>
    </row>
    <row r="3" ht="24" customHeight="1" s="60">
      <c r="A3" s="3" t="inlineStr">
        <is>
          <t>Nature Dependency Rating</t>
        </is>
      </c>
      <c r="B3" s="3" t="inlineStr">
        <is>
          <t>What nature provides to the business (regulating services, provisioning services)</t>
        </is>
      </c>
      <c r="C3" s="3" t="inlineStr">
        <is>
          <t>Very High / High / Medium / Low</t>
        </is>
      </c>
      <c r="D3" s="3" t="inlineStr">
        <is>
          <t>Column E2</t>
        </is>
      </c>
    </row>
    <row r="4" ht="24" customHeight="1" s="60">
      <c r="A4" s="33" t="inlineStr">
        <is>
          <t>Nature Impact Rating</t>
        </is>
      </c>
      <c r="B4" s="33" t="inlineStr">
        <is>
          <t>What the business does to nature (GHG, water, land, pollution, waste)</t>
        </is>
      </c>
      <c r="C4" s="33" t="inlineStr">
        <is>
          <t>Very High / High / Medium / Low</t>
        </is>
      </c>
      <c r="D4" s="33" t="inlineStr">
        <is>
          <t>Column E3</t>
        </is>
      </c>
    </row>
    <row r="5" ht="9.75" customHeight="1" s="60">
      <c r="A5" s="6" t="n"/>
      <c r="B5" s="6" t="n"/>
      <c r="C5" s="6" t="n"/>
      <c r="D5" s="6" t="n"/>
    </row>
    <row r="6" ht="22.75" customHeight="1" s="60">
      <c r="A6" s="30" t="inlineStr">
        <is>
          <t>STEP 2 — WATER RISK (WRI AQUEDUCT)</t>
        </is>
      </c>
      <c r="B6" s="30" t="inlineStr">
        <is>
          <t>Map primary operating geographies to Aqueduct basin-level water stress scores</t>
        </is>
      </c>
      <c r="C6" s="30" t="n"/>
      <c r="D6" s="30" t="n"/>
    </row>
    <row r="7" ht="24" customHeight="1" s="60">
      <c r="A7" s="3" t="inlineStr">
        <is>
          <t>Water Risk Score</t>
        </is>
      </c>
      <c r="B7" s="3" t="inlineStr">
        <is>
          <t>Overall water risk for primary country of operations</t>
        </is>
      </c>
      <c r="C7" s="3" t="inlineStr">
        <is>
          <t>Ext High / High / Med-High / Low-Med / Low</t>
        </is>
      </c>
      <c r="D7" s="3" t="inlineStr">
        <is>
          <t>Column E4</t>
        </is>
      </c>
    </row>
    <row r="8" ht="9.75" customHeight="1" s="60">
      <c r="A8" s="6" t="n"/>
      <c r="B8" s="6" t="n"/>
      <c r="C8" s="6" t="n"/>
      <c r="D8" s="6" t="n"/>
    </row>
    <row r="9" ht="22.75" customHeight="1" s="60">
      <c r="A9" s="30" t="inlineStr">
        <is>
          <t>STEP 3 — WWF BIODIVERSITY RISK FILTER</t>
        </is>
      </c>
      <c r="B9" s="30" t="inlineStr">
        <is>
          <t>Apply sector-level biodiversity risk score (physical + reputational risk)</t>
        </is>
      </c>
      <c r="C9" s="30" t="n"/>
      <c r="D9" s="30" t="n"/>
    </row>
    <row r="10" ht="24" customHeight="1" s="60">
      <c r="A10" s="33" t="inlineStr">
        <is>
          <t>Sector Risk Level</t>
        </is>
      </c>
      <c r="B10" s="33" t="inlineStr">
        <is>
          <t>Combined physical (proximity to sensitive areas) and reputational risk</t>
        </is>
      </c>
      <c r="C10" s="33" t="inlineStr">
        <is>
          <t>Use as qualitative input to E10</t>
        </is>
      </c>
      <c r="D10" s="33" t="inlineStr">
        <is>
          <t>Column E10</t>
        </is>
      </c>
    </row>
    <row r="11" ht="9.75" customHeight="1" s="60">
      <c r="A11" s="6" t="n"/>
      <c r="B11" s="6" t="n"/>
      <c r="C11" s="6" t="n"/>
      <c r="D11" s="6" t="n"/>
    </row>
    <row r="12" ht="22.75" customHeight="1" s="60">
      <c r="A12" s="30" t="inlineStr">
        <is>
          <t>STEP 4 — COMPANY-LEVEL RAG EXTRACTION</t>
        </is>
      </c>
      <c r="B12" s="30" t="inlineStr">
        <is>
          <t>Extract from sustainability PDFs via Claude Project</t>
        </is>
      </c>
      <c r="C12" s="30" t="n"/>
      <c r="D12" s="30" t="n"/>
    </row>
    <row r="13" ht="24" customHeight="1" s="60">
      <c r="A13" s="3" t="inlineStr">
        <is>
          <t>Biodiversity policy</t>
        </is>
      </c>
      <c r="B13" s="3" t="inlineStr">
        <is>
          <t>Formal policy existence and quality</t>
        </is>
      </c>
      <c r="C13" s="3" t="inlineStr">
        <is>
          <t>Formal / Referenced / TNFD / Mention / Absent</t>
        </is>
      </c>
      <c r="D13" s="3" t="inlineStr">
        <is>
          <t>Column E1</t>
        </is>
      </c>
    </row>
    <row r="14">
      <c r="A14" s="33" t="inlineStr">
        <is>
          <t>TNFD alignment</t>
        </is>
      </c>
      <c r="B14" s="33" t="inlineStr">
        <is>
          <t>Evidence of TNFD framework adoption</t>
        </is>
      </c>
      <c r="C14" s="33" t="inlineStr">
        <is>
          <t>Aligned / Partial / None</t>
        </is>
      </c>
      <c r="D14" s="33" t="inlineStr">
        <is>
          <t>Column E12</t>
        </is>
      </c>
    </row>
    <row r="15" ht="24" customHeight="1" s="60">
      <c r="A15" s="3" t="inlineStr">
        <is>
          <t>PAI 7 reporting</t>
        </is>
      </c>
      <c r="B15" s="3" t="inlineStr">
        <is>
          <t>SFDR PAI 7: % revenue from biodiversity-sensitive activities</t>
        </is>
      </c>
      <c r="C15" s="3" t="inlineStr">
        <is>
          <t>Disclosed &amp; Quantified / Referenced / Not Disclosed</t>
        </is>
      </c>
      <c r="D15" s="3" t="inlineStr">
        <is>
          <t>Column E8/E9</t>
        </is>
      </c>
    </row>
    <row r="16" ht="24" customHeight="1" s="60">
      <c r="A16" s="33" t="inlineStr">
        <is>
          <t>Mitigation hierarchy</t>
        </is>
      </c>
      <c r="B16" s="33" t="inlineStr">
        <is>
          <t>Avoid → Minimise → Restore → Offset evidence</t>
        </is>
      </c>
      <c r="C16" s="33" t="inlineStr">
        <is>
          <t>Full / Partial / Offset Only / No Evidence</t>
        </is>
      </c>
      <c r="D16" s="33" t="inlineStr">
        <is>
          <t>Column E11</t>
        </is>
      </c>
    </row>
    <row r="17" ht="9.75" customHeight="1" s="60">
      <c r="A17" s="6" t="n"/>
      <c r="B17" s="6" t="n"/>
      <c r="C17" s="6" t="n"/>
      <c r="D17" s="6" t="n"/>
    </row>
    <row r="18" ht="22.75" customHeight="1" s="60">
      <c r="A18" s="30" t="inlineStr">
        <is>
          <t>ENCORE SECTOR CLASSIFICATION TABLE</t>
        </is>
      </c>
      <c r="B18" s="30" t="n"/>
      <c r="C18" s="30" t="n"/>
      <c r="D18" s="30" t="n"/>
    </row>
    <row r="19" ht="24" customHeight="1" s="60">
      <c r="A19" s="3" t="inlineStr">
        <is>
          <t>Critical (Very High dep. + Very High/High impact)</t>
        </is>
      </c>
      <c r="B19" s="3" t="inlineStr">
        <is>
          <t>Agriculture, Forestry, Mining, Fisheries, Food &amp; Beverage</t>
        </is>
      </c>
      <c r="C19" s="3" t="inlineStr">
        <is>
          <t>Sector penalty: -20</t>
        </is>
      </c>
      <c r="D19" s="3" t="n"/>
    </row>
    <row r="20">
      <c r="A20" s="33" t="inlineStr">
        <is>
          <t>High (High dep. + High/Medium impact)</t>
        </is>
      </c>
      <c r="B20" s="33" t="inlineStr">
        <is>
          <t>Chemicals, Water-intensive Utilities, Textiles, Paper &amp; Pulp</t>
        </is>
      </c>
      <c r="C20" s="33" t="inlineStr">
        <is>
          <t>Sector penalty: -10</t>
        </is>
      </c>
      <c r="D20" s="33" t="n"/>
    </row>
    <row r="21" ht="24" customHeight="1" s="60">
      <c r="A21" s="3" t="inlineStr">
        <is>
          <t>Moderate (Medium dep. + Medium/Low impact)</t>
        </is>
      </c>
      <c r="B21" s="3" t="inlineStr">
        <is>
          <t>Construction, Pharma, Autos, Semiconductors (water)</t>
        </is>
      </c>
      <c r="C21" s="3" t="inlineStr">
        <is>
          <t>No sector penalty</t>
        </is>
      </c>
      <c r="D21" s="3" t="n"/>
    </row>
    <row r="22">
      <c r="A22" s="33" t="inlineStr">
        <is>
          <t>Low (Low dep. + Low impact)</t>
        </is>
      </c>
      <c r="B22" s="33" t="inlineStr">
        <is>
          <t>Software, Financial Services, Telecoms, Insurance</t>
        </is>
      </c>
      <c r="C22" s="33" t="inlineStr">
        <is>
          <t>No sector penalty</t>
        </is>
      </c>
      <c r="D22" s="33" t="n"/>
    </row>
    <row r="23" ht="9.75" customHeight="1" s="60">
      <c r="A23" s="6" t="n"/>
      <c r="B23" s="6" t="n"/>
      <c r="C23" s="6" t="n"/>
      <c r="D23" s="6" t="n"/>
    </row>
    <row r="24">
      <c r="A24" s="30" t="inlineStr">
        <is>
          <t>PAI 7 ASSESSMENT NOTE</t>
        </is>
      </c>
      <c r="B24" s="30" t="n"/>
      <c r="C24" s="30" t="n"/>
      <c r="D24" s="30" t="n"/>
    </row>
    <row r="25" ht="36" customHeight="1" s="60">
      <c r="A25" s="3" t="inlineStr">
        <is>
          <t>What PAI 7 covers</t>
        </is>
      </c>
      <c r="B25" s="3" t="inlineStr">
        <is>
          <t>SFDR Delegated Regulation (2022/1288) Annex I: revenue from activities negatively affecting biodiversity-sensitive areas (UNESCO World Heritage Sites, IUCN Cat I–IV, Ramsar Wetlands, Key Biodiversity Areas)</t>
        </is>
      </c>
      <c r="C25" s="3" t="n"/>
      <c r="D25" s="3" t="n"/>
    </row>
    <row r="26" ht="36" customHeight="1" s="60">
      <c r="A26" s="33" t="inlineStr">
        <is>
          <t>Data availability</t>
        </is>
      </c>
      <c r="B26" s="33" t="inlineStr">
        <is>
          <t>Most companies do not proactively disclose PAI 7. Use sector proxy for light screen. Deep review: search for TCFD/TNFD location disclosures and known controversies involving protected areas.</t>
        </is>
      </c>
      <c r="C26" s="33" t="n"/>
      <c r="D26" s="33" t="n"/>
    </row>
    <row r="27" ht="9.75" customHeight="1" s="60">
      <c r="A27" s="6" t="n"/>
      <c r="B27" s="6" t="n"/>
      <c r="C27" s="6" t="n"/>
      <c r="D27" s="6" t="n"/>
    </row>
    <row r="28" ht="22.75" customHeight="1" s="60">
      <c r="A28" s="30" t="inlineStr">
        <is>
          <t>MITIGATION HIERARCHY (TNFD / Kunming-Montreal)</t>
        </is>
      </c>
      <c r="B28" s="30" t="n"/>
      <c r="C28" s="30" t="n"/>
      <c r="D28" s="30" t="n"/>
    </row>
    <row r="29">
      <c r="A29" s="3" t="inlineStr">
        <is>
          <t>Avoid</t>
        </is>
      </c>
      <c r="B29" s="3" t="inlineStr">
        <is>
          <t>Site selection that avoids sensitive areas in the first place — strongest level</t>
        </is>
      </c>
      <c r="C29" s="3" t="inlineStr">
        <is>
          <t>Score contribution: highest</t>
        </is>
      </c>
      <c r="D29" s="3" t="n"/>
    </row>
    <row r="30">
      <c r="A30" s="33" t="inlineStr">
        <is>
          <t>Minimise</t>
        </is>
      </c>
      <c r="B30" s="33" t="inlineStr">
        <is>
          <t>Operational controls to reduce biodiversity impact during operations</t>
        </is>
      </c>
      <c r="C30" s="33" t="inlineStr">
        <is>
          <t>Score contribution: high</t>
        </is>
      </c>
      <c r="D30" s="33" t="n"/>
    </row>
    <row r="31">
      <c r="A31" s="3" t="inlineStr">
        <is>
          <t>Restore</t>
        </is>
      </c>
      <c r="B31" s="3" t="inlineStr">
        <is>
          <t>Active habitat restoration programmes for impacted areas</t>
        </is>
      </c>
      <c r="C31" s="3" t="inlineStr">
        <is>
          <t>Score contribution: medium</t>
        </is>
      </c>
      <c r="D31" s="3" t="n"/>
    </row>
    <row r="32">
      <c r="A32" s="33" t="inlineStr">
        <is>
          <t>Offset</t>
        </is>
      </c>
      <c r="B32" s="33" t="inlineStr">
        <is>
          <t>Biodiversity credits / offsets as a last resort only — weakest level</t>
        </is>
      </c>
      <c r="C32" s="33" t="inlineStr">
        <is>
          <t>Score contribution: lowest</t>
        </is>
      </c>
      <c r="D32" s="33" t="n"/>
    </row>
    <row r="33" ht="24" customHeight="1" s="60">
      <c r="A33" s="3" t="inlineStr">
        <is>
          <t>Offset-only claim</t>
        </is>
      </c>
      <c r="B33" s="3" t="inlineStr">
        <is>
          <t>Company claims biodiversity neutrality primarily through offsets — significant red flag</t>
        </is>
      </c>
      <c r="C33" s="3" t="inlineStr">
        <is>
          <t>Scores E11 as "Offset Only"</t>
        </is>
      </c>
      <c r="D33" s="3" t="n"/>
    </row>
  </sheetData>
  <mergeCells count="1">
    <mergeCell ref="A1:D1"/>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M102"/>
  <sheetViews>
    <sheetView showGridLines="0" zoomScaleNormal="100" workbookViewId="0">
      <pane xSplit="2" ySplit="2" topLeftCell="C3" activePane="bottomRight" state="frozen"/>
      <selection pane="topRight" activeCell="C1" sqref="C1"/>
      <selection pane="bottomLeft" activeCell="A3" sqref="A3"/>
      <selection pane="bottomRight" activeCell="D13" sqref="D13"/>
    </sheetView>
  </sheetViews>
  <sheetFormatPr baseColWidth="10" defaultColWidth="8.6640625" defaultRowHeight="14"/>
  <cols>
    <col width="24" customWidth="1" style="57" min="1" max="1"/>
    <col width="12" customWidth="1" style="57" min="2" max="2"/>
    <col width="24" customWidth="1" style="57" min="3" max="3"/>
    <col width="32" customWidth="1" style="57" min="4" max="4"/>
    <col width="28" customWidth="1" style="57" min="5" max="5"/>
    <col width="14" customWidth="1" style="57" min="6" max="6"/>
    <col width="36" customWidth="1" style="57" min="7" max="8"/>
    <col width="22" customWidth="1" style="57" min="9" max="9"/>
    <col width="30" customWidth="1" style="57" min="10" max="10"/>
    <col width="14" customWidth="1" style="57" min="11" max="11"/>
    <col width="18" customWidth="1" style="57" min="12" max="12"/>
    <col width="16" customWidth="1" style="57" min="13" max="13"/>
    <col width="8.6640625" customWidth="1" style="57" min="14" max="14"/>
    <col width="8.6640625" customWidth="1" style="57" min="15" max="16384"/>
  </cols>
  <sheetData>
    <row r="1" ht="27.75" customHeight="1" s="60">
      <c r="A1" s="56" t="inlineStr">
        <is>
          <t>EVIDENCE QUALITY &amp; VERIFICATION LOG  |  30% random sample minimum  |  100% for any Watchlist or Exclusion item</t>
        </is>
      </c>
    </row>
    <row r="2" ht="36" customHeight="1" s="60">
      <c r="A2" s="16" t="inlineStr">
        <is>
          <t>Company Name</t>
        </is>
      </c>
      <c r="B2" s="16" t="inlineStr">
        <is>
          <t>Ticker</t>
        </is>
      </c>
      <c r="C2" s="16" t="inlineStr">
        <is>
          <t>Field Verified</t>
        </is>
      </c>
      <c r="D2" s="16" t="inlineStr">
        <is>
          <t>Claim / Figure Checked</t>
        </is>
      </c>
      <c r="E2" s="16" t="inlineStr">
        <is>
          <t>Source Doc Checked</t>
        </is>
      </c>
      <c r="F2" s="16" t="inlineStr">
        <is>
          <t>Page Checked</t>
        </is>
      </c>
      <c r="G2" s="16" t="inlineStr">
        <is>
          <t>AI Extraction Output</t>
        </is>
      </c>
      <c r="H2" s="16" t="inlineStr">
        <is>
          <t>Human Finding in Doc</t>
        </is>
      </c>
      <c r="I2" s="16" t="inlineStr">
        <is>
          <t>Match Status</t>
        </is>
      </c>
      <c r="J2" s="16" t="inlineStr">
        <is>
          <t>Correction Applied</t>
        </is>
      </c>
      <c r="K2" s="16" t="inlineStr">
        <is>
          <t>Verified By</t>
        </is>
      </c>
      <c r="L2" s="16" t="inlineStr">
        <is>
          <t>Verification Date</t>
        </is>
      </c>
      <c r="M2" s="16" t="inlineStr">
        <is>
          <t>Time Spent (mins)</t>
        </is>
      </c>
    </row>
    <row r="3" ht="18" customHeight="1" s="60">
      <c r="A3" s="3" t="n"/>
      <c r="B3" s="3" t="n"/>
      <c r="C3" s="3" t="n"/>
      <c r="D3" s="3" t="n"/>
      <c r="E3" s="3" t="n"/>
      <c r="F3" s="3" t="n"/>
      <c r="G3" s="3" t="n"/>
      <c r="H3" s="3" t="n"/>
      <c r="I3" s="3" t="n"/>
      <c r="J3" s="3" t="n"/>
      <c r="K3" s="3" t="n"/>
      <c r="L3" s="3" t="n"/>
      <c r="M3" s="3" t="n"/>
    </row>
    <row r="4" ht="18" customHeight="1" s="60">
      <c r="A4" s="5" t="n"/>
      <c r="B4" s="5" t="n"/>
      <c r="C4" s="5" t="n"/>
      <c r="D4" s="5" t="n"/>
      <c r="E4" s="5" t="n"/>
      <c r="F4" s="5" t="n"/>
      <c r="G4" s="5" t="n"/>
      <c r="H4" s="5" t="n"/>
      <c r="I4" s="5" t="n"/>
      <c r="J4" s="5" t="n"/>
      <c r="K4" s="5" t="n"/>
      <c r="L4" s="5" t="n"/>
      <c r="M4" s="5" t="n"/>
    </row>
    <row r="5" ht="18" customHeight="1" s="60">
      <c r="A5" s="3" t="n"/>
      <c r="B5" s="3" t="n"/>
      <c r="C5" s="3" t="n"/>
      <c r="D5" s="3" t="n"/>
      <c r="E5" s="3" t="n"/>
      <c r="F5" s="3" t="n"/>
      <c r="G5" s="3" t="n"/>
      <c r="H5" s="3" t="n"/>
      <c r="I5" s="3" t="n"/>
      <c r="J5" s="3" t="n"/>
      <c r="K5" s="3" t="n"/>
      <c r="L5" s="3" t="n"/>
      <c r="M5" s="3" t="n"/>
    </row>
    <row r="6" ht="18" customHeight="1" s="60">
      <c r="A6" s="5" t="n"/>
      <c r="B6" s="5" t="n"/>
      <c r="C6" s="5" t="n"/>
      <c r="D6" s="5" t="n"/>
      <c r="E6" s="5" t="n"/>
      <c r="F6" s="5" t="n"/>
      <c r="G6" s="5" t="n"/>
      <c r="H6" s="5" t="n"/>
      <c r="I6" s="5" t="n"/>
      <c r="J6" s="5" t="n"/>
      <c r="K6" s="5" t="n"/>
      <c r="L6" s="5" t="n"/>
      <c r="M6" s="5" t="n"/>
    </row>
    <row r="7" ht="18" customHeight="1" s="60">
      <c r="A7" s="3" t="n"/>
      <c r="B7" s="3" t="n"/>
      <c r="C7" s="3" t="n"/>
      <c r="D7" s="3" t="n"/>
      <c r="E7" s="3" t="n"/>
      <c r="F7" s="3" t="n"/>
      <c r="G7" s="3" t="n"/>
      <c r="H7" s="3" t="n"/>
      <c r="I7" s="3" t="n"/>
      <c r="J7" s="3" t="n"/>
      <c r="K7" s="3" t="n"/>
      <c r="L7" s="3" t="n"/>
      <c r="M7" s="3" t="n"/>
    </row>
    <row r="8" ht="18" customHeight="1" s="60">
      <c r="A8" s="5" t="n"/>
      <c r="B8" s="5" t="n"/>
      <c r="C8" s="5" t="n"/>
      <c r="D8" s="5" t="n"/>
      <c r="E8" s="5" t="n"/>
      <c r="F8" s="5" t="n"/>
      <c r="G8" s="5" t="n"/>
      <c r="H8" s="5" t="n"/>
      <c r="I8" s="5" t="n"/>
      <c r="J8" s="5" t="n"/>
      <c r="K8" s="5" t="n"/>
      <c r="L8" s="5" t="n"/>
      <c r="M8" s="5" t="n"/>
    </row>
    <row r="9" ht="18" customHeight="1" s="60">
      <c r="A9" s="3" t="n"/>
      <c r="B9" s="3" t="n"/>
      <c r="C9" s="3" t="n"/>
      <c r="D9" s="3" t="n"/>
      <c r="E9" s="3" t="n"/>
      <c r="F9" s="3" t="n"/>
      <c r="G9" s="3" t="n"/>
      <c r="H9" s="3" t="n"/>
      <c r="I9" s="3" t="n"/>
      <c r="J9" s="3" t="n"/>
      <c r="K9" s="3" t="n"/>
      <c r="L9" s="3" t="n"/>
      <c r="M9" s="3" t="n"/>
    </row>
    <row r="10" ht="18" customHeight="1" s="60">
      <c r="A10" s="5" t="n"/>
      <c r="B10" s="5" t="n"/>
      <c r="C10" s="5" t="n"/>
      <c r="D10" s="5" t="n"/>
      <c r="E10" s="5" t="n"/>
      <c r="F10" s="5" t="n"/>
      <c r="G10" s="5" t="n"/>
      <c r="H10" s="5" t="n"/>
      <c r="I10" s="5" t="n"/>
      <c r="J10" s="5" t="n"/>
      <c r="K10" s="5" t="n"/>
      <c r="L10" s="5" t="n"/>
      <c r="M10" s="5" t="n"/>
    </row>
    <row r="11" ht="18" customHeight="1" s="60">
      <c r="A11" s="3" t="n"/>
      <c r="B11" s="3" t="n"/>
      <c r="C11" s="3" t="n"/>
      <c r="D11" s="3" t="n"/>
      <c r="E11" s="3" t="n"/>
      <c r="F11" s="3" t="n"/>
      <c r="G11" s="3" t="n"/>
      <c r="H11" s="3" t="n"/>
      <c r="I11" s="3" t="n"/>
      <c r="J11" s="3" t="n"/>
      <c r="K11" s="3" t="n"/>
      <c r="L11" s="3" t="n"/>
      <c r="M11" s="3" t="n"/>
    </row>
    <row r="12" ht="18" customHeight="1" s="60">
      <c r="A12" s="5" t="n"/>
      <c r="B12" s="5" t="n"/>
      <c r="C12" s="5" t="n"/>
      <c r="D12" s="5" t="n"/>
      <c r="E12" s="5" t="n"/>
      <c r="F12" s="5" t="n"/>
      <c r="G12" s="5" t="n"/>
      <c r="H12" s="5" t="n"/>
      <c r="I12" s="5" t="n"/>
      <c r="J12" s="5" t="n"/>
      <c r="K12" s="5" t="n"/>
      <c r="L12" s="5" t="n"/>
      <c r="M12" s="5" t="n"/>
    </row>
    <row r="13" ht="18" customHeight="1" s="60">
      <c r="A13" s="3" t="n"/>
      <c r="B13" s="3" t="n"/>
      <c r="C13" s="3" t="n"/>
      <c r="D13" s="3" t="n"/>
      <c r="E13" s="3" t="n"/>
      <c r="F13" s="3" t="n"/>
      <c r="G13" s="3" t="n"/>
      <c r="H13" s="3" t="n"/>
      <c r="I13" s="3" t="n"/>
      <c r="J13" s="3" t="n"/>
      <c r="K13" s="3" t="n"/>
      <c r="L13" s="3" t="n"/>
      <c r="M13" s="3" t="n"/>
    </row>
    <row r="14" ht="18" customHeight="1" s="60">
      <c r="A14" s="5" t="n"/>
      <c r="B14" s="5" t="n"/>
      <c r="C14" s="5" t="n"/>
      <c r="D14" s="5" t="n"/>
      <c r="E14" s="5" t="n"/>
      <c r="F14" s="5" t="n"/>
      <c r="G14" s="5" t="n"/>
      <c r="H14" s="5" t="n"/>
      <c r="I14" s="5" t="n"/>
      <c r="J14" s="5" t="n"/>
      <c r="K14" s="5" t="n"/>
      <c r="L14" s="5" t="n"/>
      <c r="M14" s="5" t="n"/>
    </row>
    <row r="15" ht="18" customHeight="1" s="60">
      <c r="A15" s="3" t="n"/>
      <c r="B15" s="3" t="n"/>
      <c r="C15" s="3" t="n"/>
      <c r="D15" s="3" t="n"/>
      <c r="E15" s="3" t="n"/>
      <c r="F15" s="3" t="n"/>
      <c r="G15" s="3" t="n"/>
      <c r="H15" s="3" t="n"/>
      <c r="I15" s="3" t="n"/>
      <c r="J15" s="3" t="n"/>
      <c r="K15" s="3" t="n"/>
      <c r="L15" s="3" t="n"/>
      <c r="M15" s="3" t="n"/>
    </row>
    <row r="16" ht="18" customHeight="1" s="60">
      <c r="A16" s="5" t="n"/>
      <c r="B16" s="5" t="n"/>
      <c r="C16" s="5" t="n"/>
      <c r="D16" s="5" t="n"/>
      <c r="E16" s="5" t="n"/>
      <c r="F16" s="5" t="n"/>
      <c r="G16" s="5" t="n"/>
      <c r="H16" s="5" t="n"/>
      <c r="I16" s="5" t="n"/>
      <c r="J16" s="5" t="n"/>
      <c r="K16" s="5" t="n"/>
      <c r="L16" s="5" t="n"/>
      <c r="M16" s="5" t="n"/>
    </row>
    <row r="17" ht="18" customHeight="1" s="60">
      <c r="A17" s="3" t="n"/>
      <c r="B17" s="3" t="n"/>
      <c r="C17" s="3" t="n"/>
      <c r="D17" s="3" t="n"/>
      <c r="E17" s="3" t="n"/>
      <c r="F17" s="3" t="n"/>
      <c r="G17" s="3" t="n"/>
      <c r="H17" s="3" t="n"/>
      <c r="I17" s="3" t="n"/>
      <c r="J17" s="3" t="n"/>
      <c r="K17" s="3" t="n"/>
      <c r="L17" s="3" t="n"/>
      <c r="M17" s="3" t="n"/>
    </row>
    <row r="18" ht="18" customHeight="1" s="60">
      <c r="A18" s="5" t="n"/>
      <c r="B18" s="5" t="n"/>
      <c r="C18" s="5" t="n"/>
      <c r="D18" s="5" t="n"/>
      <c r="E18" s="5" t="n"/>
      <c r="F18" s="5" t="n"/>
      <c r="G18" s="5" t="n"/>
      <c r="H18" s="5" t="n"/>
      <c r="I18" s="5" t="n"/>
      <c r="J18" s="5" t="n"/>
      <c r="K18" s="5" t="n"/>
      <c r="L18" s="5" t="n"/>
      <c r="M18" s="5" t="n"/>
    </row>
    <row r="19" ht="18" customHeight="1" s="60">
      <c r="A19" s="3" t="n"/>
      <c r="B19" s="3" t="n"/>
      <c r="C19" s="3" t="n"/>
      <c r="D19" s="3" t="n"/>
      <c r="E19" s="3" t="n"/>
      <c r="F19" s="3" t="n"/>
      <c r="G19" s="3" t="n"/>
      <c r="H19" s="3" t="n"/>
      <c r="I19" s="3" t="n"/>
      <c r="J19" s="3" t="n"/>
      <c r="K19" s="3" t="n"/>
      <c r="L19" s="3" t="n"/>
      <c r="M19" s="3" t="n"/>
    </row>
    <row r="20" ht="18" customHeight="1" s="60">
      <c r="A20" s="5" t="n"/>
      <c r="B20" s="5" t="n"/>
      <c r="C20" s="5" t="n"/>
      <c r="D20" s="5" t="n"/>
      <c r="E20" s="5" t="n"/>
      <c r="F20" s="5" t="n"/>
      <c r="G20" s="5" t="n"/>
      <c r="H20" s="5" t="n"/>
      <c r="I20" s="5" t="n"/>
      <c r="J20" s="5" t="n"/>
      <c r="K20" s="5" t="n"/>
      <c r="L20" s="5" t="n"/>
      <c r="M20" s="5" t="n"/>
    </row>
    <row r="21" ht="18" customHeight="1" s="60">
      <c r="A21" s="3" t="n"/>
      <c r="B21" s="3" t="n"/>
      <c r="C21" s="3" t="n"/>
      <c r="D21" s="3" t="n"/>
      <c r="E21" s="3" t="n"/>
      <c r="F21" s="3" t="n"/>
      <c r="G21" s="3" t="n"/>
      <c r="H21" s="3" t="n"/>
      <c r="I21" s="3" t="n"/>
      <c r="J21" s="3" t="n"/>
      <c r="K21" s="3" t="n"/>
      <c r="L21" s="3" t="n"/>
      <c r="M21" s="3" t="n"/>
    </row>
    <row r="22" ht="18" customHeight="1" s="60">
      <c r="A22" s="5" t="n"/>
      <c r="B22" s="5" t="n"/>
      <c r="C22" s="5" t="n"/>
      <c r="D22" s="5" t="n"/>
      <c r="E22" s="5" t="n"/>
      <c r="F22" s="5" t="n"/>
      <c r="G22" s="5" t="n"/>
      <c r="H22" s="5" t="n"/>
      <c r="I22" s="5" t="n"/>
      <c r="J22" s="5" t="n"/>
      <c r="K22" s="5" t="n"/>
      <c r="L22" s="5" t="n"/>
      <c r="M22" s="5" t="n"/>
    </row>
    <row r="23" ht="18" customHeight="1" s="60">
      <c r="A23" s="3" t="n"/>
      <c r="B23" s="3" t="n"/>
      <c r="C23" s="3" t="n"/>
      <c r="D23" s="3" t="n"/>
      <c r="E23" s="3" t="n"/>
      <c r="F23" s="3" t="n"/>
      <c r="G23" s="3" t="n"/>
      <c r="H23" s="3" t="n"/>
      <c r="I23" s="3" t="n"/>
      <c r="J23" s="3" t="n"/>
      <c r="K23" s="3" t="n"/>
      <c r="L23" s="3" t="n"/>
      <c r="M23" s="3" t="n"/>
    </row>
    <row r="24" ht="18" customHeight="1" s="60">
      <c r="A24" s="5" t="n"/>
      <c r="B24" s="5" t="n"/>
      <c r="C24" s="5" t="n"/>
      <c r="D24" s="5" t="n"/>
      <c r="E24" s="5" t="n"/>
      <c r="F24" s="5" t="n"/>
      <c r="G24" s="5" t="n"/>
      <c r="H24" s="5" t="n"/>
      <c r="I24" s="5" t="n"/>
      <c r="J24" s="5" t="n"/>
      <c r="K24" s="5" t="n"/>
      <c r="L24" s="5" t="n"/>
      <c r="M24" s="5" t="n"/>
    </row>
    <row r="25" ht="18" customHeight="1" s="60">
      <c r="A25" s="3" t="n"/>
      <c r="B25" s="3" t="n"/>
      <c r="C25" s="3" t="n"/>
      <c r="D25" s="3" t="n"/>
      <c r="E25" s="3" t="n"/>
      <c r="F25" s="3" t="n"/>
      <c r="G25" s="3" t="n"/>
      <c r="H25" s="3" t="n"/>
      <c r="I25" s="3" t="n"/>
      <c r="J25" s="3" t="n"/>
      <c r="K25" s="3" t="n"/>
      <c r="L25" s="3" t="n"/>
      <c r="M25" s="3" t="n"/>
    </row>
    <row r="26" ht="18" customHeight="1" s="60">
      <c r="A26" s="5" t="n"/>
      <c r="B26" s="5" t="n"/>
      <c r="C26" s="5" t="n"/>
      <c r="D26" s="5" t="n"/>
      <c r="E26" s="5" t="n"/>
      <c r="F26" s="5" t="n"/>
      <c r="G26" s="5" t="n"/>
      <c r="H26" s="5" t="n"/>
      <c r="I26" s="5" t="n"/>
      <c r="J26" s="5" t="n"/>
      <c r="K26" s="5" t="n"/>
      <c r="L26" s="5" t="n"/>
      <c r="M26" s="5" t="n"/>
    </row>
    <row r="27" ht="18" customHeight="1" s="60">
      <c r="A27" s="3" t="n"/>
      <c r="B27" s="3" t="n"/>
      <c r="C27" s="3" t="n"/>
      <c r="D27" s="3" t="n"/>
      <c r="E27" s="3" t="n"/>
      <c r="F27" s="3" t="n"/>
      <c r="G27" s="3" t="n"/>
      <c r="H27" s="3" t="n"/>
      <c r="I27" s="3" t="n"/>
      <c r="J27" s="3" t="n"/>
      <c r="K27" s="3" t="n"/>
      <c r="L27" s="3" t="n"/>
      <c r="M27" s="3" t="n"/>
    </row>
    <row r="28" ht="18" customHeight="1" s="60">
      <c r="A28" s="5" t="n"/>
      <c r="B28" s="5" t="n"/>
      <c r="C28" s="5" t="n"/>
      <c r="D28" s="5" t="n"/>
      <c r="E28" s="5" t="n"/>
      <c r="F28" s="5" t="n"/>
      <c r="G28" s="5" t="n"/>
      <c r="H28" s="5" t="n"/>
      <c r="I28" s="5" t="n"/>
      <c r="J28" s="5" t="n"/>
      <c r="K28" s="5" t="n"/>
      <c r="L28" s="5" t="n"/>
      <c r="M28" s="5" t="n"/>
    </row>
    <row r="29" ht="18" customHeight="1" s="60">
      <c r="A29" s="3" t="n"/>
      <c r="B29" s="3" t="n"/>
      <c r="C29" s="3" t="n"/>
      <c r="D29" s="3" t="n"/>
      <c r="E29" s="3" t="n"/>
      <c r="F29" s="3" t="n"/>
      <c r="G29" s="3" t="n"/>
      <c r="H29" s="3" t="n"/>
      <c r="I29" s="3" t="n"/>
      <c r="J29" s="3" t="n"/>
      <c r="K29" s="3" t="n"/>
      <c r="L29" s="3" t="n"/>
      <c r="M29" s="3" t="n"/>
    </row>
    <row r="30" ht="18" customHeight="1" s="60">
      <c r="A30" s="5" t="n"/>
      <c r="B30" s="5" t="n"/>
      <c r="C30" s="5" t="n"/>
      <c r="D30" s="5" t="n"/>
      <c r="E30" s="5" t="n"/>
      <c r="F30" s="5" t="n"/>
      <c r="G30" s="5" t="n"/>
      <c r="H30" s="5" t="n"/>
      <c r="I30" s="5" t="n"/>
      <c r="J30" s="5" t="n"/>
      <c r="K30" s="5" t="n"/>
      <c r="L30" s="5" t="n"/>
      <c r="M30" s="5" t="n"/>
    </row>
    <row r="31" ht="18" customHeight="1" s="60">
      <c r="A31" s="3" t="n"/>
      <c r="B31" s="3" t="n"/>
      <c r="C31" s="3" t="n"/>
      <c r="D31" s="3" t="n"/>
      <c r="E31" s="3" t="n"/>
      <c r="F31" s="3" t="n"/>
      <c r="G31" s="3" t="n"/>
      <c r="H31" s="3" t="n"/>
      <c r="I31" s="3" t="n"/>
      <c r="J31" s="3" t="n"/>
      <c r="K31" s="3" t="n"/>
      <c r="L31" s="3" t="n"/>
      <c r="M31" s="3" t="n"/>
    </row>
    <row r="32" ht="18" customHeight="1" s="60">
      <c r="A32" s="5" t="n"/>
      <c r="B32" s="5" t="n"/>
      <c r="C32" s="5" t="n"/>
      <c r="D32" s="5" t="n"/>
      <c r="E32" s="5" t="n"/>
      <c r="F32" s="5" t="n"/>
      <c r="G32" s="5" t="n"/>
      <c r="H32" s="5" t="n"/>
      <c r="I32" s="5" t="n"/>
      <c r="J32" s="5" t="n"/>
      <c r="K32" s="5" t="n"/>
      <c r="L32" s="5" t="n"/>
      <c r="M32" s="5" t="n"/>
    </row>
    <row r="33" ht="18" customHeight="1" s="60">
      <c r="A33" s="3" t="n"/>
      <c r="B33" s="3" t="n"/>
      <c r="C33" s="3" t="n"/>
      <c r="D33" s="3" t="n"/>
      <c r="E33" s="3" t="n"/>
      <c r="F33" s="3" t="n"/>
      <c r="G33" s="3" t="n"/>
      <c r="H33" s="3" t="n"/>
      <c r="I33" s="3" t="n"/>
      <c r="J33" s="3" t="n"/>
      <c r="K33" s="3" t="n"/>
      <c r="L33" s="3" t="n"/>
      <c r="M33" s="3" t="n"/>
    </row>
    <row r="34" ht="18" customHeight="1" s="60">
      <c r="A34" s="5" t="n"/>
      <c r="B34" s="5" t="n"/>
      <c r="C34" s="5" t="n"/>
      <c r="D34" s="5" t="n"/>
      <c r="E34" s="5" t="n"/>
      <c r="F34" s="5" t="n"/>
      <c r="G34" s="5" t="n"/>
      <c r="H34" s="5" t="n"/>
      <c r="I34" s="5" t="n"/>
      <c r="J34" s="5" t="n"/>
      <c r="K34" s="5" t="n"/>
      <c r="L34" s="5" t="n"/>
      <c r="M34" s="5" t="n"/>
    </row>
    <row r="35" ht="18" customHeight="1" s="60">
      <c r="A35" s="3" t="n"/>
      <c r="B35" s="3" t="n"/>
      <c r="C35" s="3" t="n"/>
      <c r="D35" s="3" t="n"/>
      <c r="E35" s="3" t="n"/>
      <c r="F35" s="3" t="n"/>
      <c r="G35" s="3" t="n"/>
      <c r="H35" s="3" t="n"/>
      <c r="I35" s="3" t="n"/>
      <c r="J35" s="3" t="n"/>
      <c r="K35" s="3" t="n"/>
      <c r="L35" s="3" t="n"/>
      <c r="M35" s="3" t="n"/>
    </row>
    <row r="36" ht="18" customHeight="1" s="60">
      <c r="A36" s="5" t="n"/>
      <c r="B36" s="5" t="n"/>
      <c r="C36" s="5" t="n"/>
      <c r="D36" s="5" t="n"/>
      <c r="E36" s="5" t="n"/>
      <c r="F36" s="5" t="n"/>
      <c r="G36" s="5" t="n"/>
      <c r="H36" s="5" t="n"/>
      <c r="I36" s="5" t="n"/>
      <c r="J36" s="5" t="n"/>
      <c r="K36" s="5" t="n"/>
      <c r="L36" s="5" t="n"/>
      <c r="M36" s="5" t="n"/>
    </row>
    <row r="37" ht="18" customHeight="1" s="60">
      <c r="A37" s="3" t="n"/>
      <c r="B37" s="3" t="n"/>
      <c r="C37" s="3" t="n"/>
      <c r="D37" s="3" t="n"/>
      <c r="E37" s="3" t="n"/>
      <c r="F37" s="3" t="n"/>
      <c r="G37" s="3" t="n"/>
      <c r="H37" s="3" t="n"/>
      <c r="I37" s="3" t="n"/>
      <c r="J37" s="3" t="n"/>
      <c r="K37" s="3" t="n"/>
      <c r="L37" s="3" t="n"/>
      <c r="M37" s="3" t="n"/>
    </row>
    <row r="38" ht="18" customHeight="1" s="60">
      <c r="A38" s="5" t="n"/>
      <c r="B38" s="5" t="n"/>
      <c r="C38" s="5" t="n"/>
      <c r="D38" s="5" t="n"/>
      <c r="E38" s="5" t="n"/>
      <c r="F38" s="5" t="n"/>
      <c r="G38" s="5" t="n"/>
      <c r="H38" s="5" t="n"/>
      <c r="I38" s="5" t="n"/>
      <c r="J38" s="5" t="n"/>
      <c r="K38" s="5" t="n"/>
      <c r="L38" s="5" t="n"/>
      <c r="M38" s="5" t="n"/>
    </row>
    <row r="39" ht="18" customHeight="1" s="60">
      <c r="A39" s="3" t="n"/>
      <c r="B39" s="3" t="n"/>
      <c r="C39" s="3" t="n"/>
      <c r="D39" s="3" t="n"/>
      <c r="E39" s="3" t="n"/>
      <c r="F39" s="3" t="n"/>
      <c r="G39" s="3" t="n"/>
      <c r="H39" s="3" t="n"/>
      <c r="I39" s="3" t="n"/>
      <c r="J39" s="3" t="n"/>
      <c r="K39" s="3" t="n"/>
      <c r="L39" s="3" t="n"/>
      <c r="M39" s="3" t="n"/>
    </row>
    <row r="40" ht="18" customHeight="1" s="60">
      <c r="A40" s="5" t="n"/>
      <c r="B40" s="5" t="n"/>
      <c r="C40" s="5" t="n"/>
      <c r="D40" s="5" t="n"/>
      <c r="E40" s="5" t="n"/>
      <c r="F40" s="5" t="n"/>
      <c r="G40" s="5" t="n"/>
      <c r="H40" s="5" t="n"/>
      <c r="I40" s="5" t="n"/>
      <c r="J40" s="5" t="n"/>
      <c r="K40" s="5" t="n"/>
      <c r="L40" s="5" t="n"/>
      <c r="M40" s="5" t="n"/>
    </row>
    <row r="41" ht="18" customHeight="1" s="60">
      <c r="A41" s="3" t="n"/>
      <c r="B41" s="3" t="n"/>
      <c r="C41" s="3" t="n"/>
      <c r="D41" s="3" t="n"/>
      <c r="E41" s="3" t="n"/>
      <c r="F41" s="3" t="n"/>
      <c r="G41" s="3" t="n"/>
      <c r="H41" s="3" t="n"/>
      <c r="I41" s="3" t="n"/>
      <c r="J41" s="3" t="n"/>
      <c r="K41" s="3" t="n"/>
      <c r="L41" s="3" t="n"/>
      <c r="M41" s="3" t="n"/>
    </row>
    <row r="42" ht="18" customHeight="1" s="60">
      <c r="A42" s="5" t="n"/>
      <c r="B42" s="5" t="n"/>
      <c r="C42" s="5" t="n"/>
      <c r="D42" s="5" t="n"/>
      <c r="E42" s="5" t="n"/>
      <c r="F42" s="5" t="n"/>
      <c r="G42" s="5" t="n"/>
      <c r="H42" s="5" t="n"/>
      <c r="I42" s="5" t="n"/>
      <c r="J42" s="5" t="n"/>
      <c r="K42" s="5" t="n"/>
      <c r="L42" s="5" t="n"/>
      <c r="M42" s="5" t="n"/>
    </row>
    <row r="43" ht="18" customHeight="1" s="60">
      <c r="A43" s="3" t="n"/>
      <c r="B43" s="3" t="n"/>
      <c r="C43" s="3" t="n"/>
      <c r="D43" s="3" t="n"/>
      <c r="E43" s="3" t="n"/>
      <c r="F43" s="3" t="n"/>
      <c r="G43" s="3" t="n"/>
      <c r="H43" s="3" t="n"/>
      <c r="I43" s="3" t="n"/>
      <c r="J43" s="3" t="n"/>
      <c r="K43" s="3" t="n"/>
      <c r="L43" s="3" t="n"/>
      <c r="M43" s="3" t="n"/>
    </row>
    <row r="44" ht="18" customHeight="1" s="60">
      <c r="A44" s="5" t="n"/>
      <c r="B44" s="5" t="n"/>
      <c r="C44" s="5" t="n"/>
      <c r="D44" s="5" t="n"/>
      <c r="E44" s="5" t="n"/>
      <c r="F44" s="5" t="n"/>
      <c r="G44" s="5" t="n"/>
      <c r="H44" s="5" t="n"/>
      <c r="I44" s="5" t="n"/>
      <c r="J44" s="5" t="n"/>
      <c r="K44" s="5" t="n"/>
      <c r="L44" s="5" t="n"/>
      <c r="M44" s="5" t="n"/>
    </row>
    <row r="45" ht="18" customHeight="1" s="60">
      <c r="A45" s="3" t="n"/>
      <c r="B45" s="3" t="n"/>
      <c r="C45" s="3" t="n"/>
      <c r="D45" s="3" t="n"/>
      <c r="E45" s="3" t="n"/>
      <c r="F45" s="3" t="n"/>
      <c r="G45" s="3" t="n"/>
      <c r="H45" s="3" t="n"/>
      <c r="I45" s="3" t="n"/>
      <c r="J45" s="3" t="n"/>
      <c r="K45" s="3" t="n"/>
      <c r="L45" s="3" t="n"/>
      <c r="M45" s="3" t="n"/>
    </row>
    <row r="46" ht="18" customHeight="1" s="60">
      <c r="A46" s="5" t="n"/>
      <c r="B46" s="5" t="n"/>
      <c r="C46" s="5" t="n"/>
      <c r="D46" s="5" t="n"/>
      <c r="E46" s="5" t="n"/>
      <c r="F46" s="5" t="n"/>
      <c r="G46" s="5" t="n"/>
      <c r="H46" s="5" t="n"/>
      <c r="I46" s="5" t="n"/>
      <c r="J46" s="5" t="n"/>
      <c r="K46" s="5" t="n"/>
      <c r="L46" s="5" t="n"/>
      <c r="M46" s="5" t="n"/>
    </row>
    <row r="47" ht="18" customHeight="1" s="60">
      <c r="A47" s="3" t="n"/>
      <c r="B47" s="3" t="n"/>
      <c r="C47" s="3" t="n"/>
      <c r="D47" s="3" t="n"/>
      <c r="E47" s="3" t="n"/>
      <c r="F47" s="3" t="n"/>
      <c r="G47" s="3" t="n"/>
      <c r="H47" s="3" t="n"/>
      <c r="I47" s="3" t="n"/>
      <c r="J47" s="3" t="n"/>
      <c r="K47" s="3" t="n"/>
      <c r="L47" s="3" t="n"/>
      <c r="M47" s="3" t="n"/>
    </row>
    <row r="48" ht="18" customHeight="1" s="60">
      <c r="A48" s="5" t="n"/>
      <c r="B48" s="5" t="n"/>
      <c r="C48" s="5" t="n"/>
      <c r="D48" s="5" t="n"/>
      <c r="E48" s="5" t="n"/>
      <c r="F48" s="5" t="n"/>
      <c r="G48" s="5" t="n"/>
      <c r="H48" s="5" t="n"/>
      <c r="I48" s="5" t="n"/>
      <c r="J48" s="5" t="n"/>
      <c r="K48" s="5" t="n"/>
      <c r="L48" s="5" t="n"/>
      <c r="M48" s="5" t="n"/>
    </row>
    <row r="49" ht="18" customHeight="1" s="60">
      <c r="A49" s="3" t="n"/>
      <c r="B49" s="3" t="n"/>
      <c r="C49" s="3" t="n"/>
      <c r="D49" s="3" t="n"/>
      <c r="E49" s="3" t="n"/>
      <c r="F49" s="3" t="n"/>
      <c r="G49" s="3" t="n"/>
      <c r="H49" s="3" t="n"/>
      <c r="I49" s="3" t="n"/>
      <c r="J49" s="3" t="n"/>
      <c r="K49" s="3" t="n"/>
      <c r="L49" s="3" t="n"/>
      <c r="M49" s="3" t="n"/>
    </row>
    <row r="50" ht="18" customHeight="1" s="60">
      <c r="A50" s="5" t="n"/>
      <c r="B50" s="5" t="n"/>
      <c r="C50" s="5" t="n"/>
      <c r="D50" s="5" t="n"/>
      <c r="E50" s="5" t="n"/>
      <c r="F50" s="5" t="n"/>
      <c r="G50" s="5" t="n"/>
      <c r="H50" s="5" t="n"/>
      <c r="I50" s="5" t="n"/>
      <c r="J50" s="5" t="n"/>
      <c r="K50" s="5" t="n"/>
      <c r="L50" s="5" t="n"/>
      <c r="M50" s="5" t="n"/>
    </row>
    <row r="51" ht="18" customHeight="1" s="60">
      <c r="A51" s="3" t="n"/>
      <c r="B51" s="3" t="n"/>
      <c r="C51" s="3" t="n"/>
      <c r="D51" s="3" t="n"/>
      <c r="E51" s="3" t="n"/>
      <c r="F51" s="3" t="n"/>
      <c r="G51" s="3" t="n"/>
      <c r="H51" s="3" t="n"/>
      <c r="I51" s="3" t="n"/>
      <c r="J51" s="3" t="n"/>
      <c r="K51" s="3" t="n"/>
      <c r="L51" s="3" t="n"/>
      <c r="M51" s="3" t="n"/>
    </row>
    <row r="52" ht="18" customHeight="1" s="60">
      <c r="A52" s="5" t="n"/>
      <c r="B52" s="5" t="n"/>
      <c r="C52" s="5" t="n"/>
      <c r="D52" s="5" t="n"/>
      <c r="E52" s="5" t="n"/>
      <c r="F52" s="5" t="n"/>
      <c r="G52" s="5" t="n"/>
      <c r="H52" s="5" t="n"/>
      <c r="I52" s="5" t="n"/>
      <c r="J52" s="5" t="n"/>
      <c r="K52" s="5" t="n"/>
      <c r="L52" s="5" t="n"/>
      <c r="M52" s="5" t="n"/>
    </row>
    <row r="53" ht="18" customHeight="1" s="60">
      <c r="A53" s="3" t="n"/>
      <c r="B53" s="3" t="n"/>
      <c r="C53" s="3" t="n"/>
      <c r="D53" s="3" t="n"/>
      <c r="E53" s="3" t="n"/>
      <c r="F53" s="3" t="n"/>
      <c r="G53" s="3" t="n"/>
      <c r="H53" s="3" t="n"/>
      <c r="I53" s="3" t="n"/>
      <c r="J53" s="3" t="n"/>
      <c r="K53" s="3" t="n"/>
      <c r="L53" s="3" t="n"/>
      <c r="M53" s="3" t="n"/>
    </row>
    <row r="54" ht="18" customHeight="1" s="60">
      <c r="A54" s="5" t="n"/>
      <c r="B54" s="5" t="n"/>
      <c r="C54" s="5" t="n"/>
      <c r="D54" s="5" t="n"/>
      <c r="E54" s="5" t="n"/>
      <c r="F54" s="5" t="n"/>
      <c r="G54" s="5" t="n"/>
      <c r="H54" s="5" t="n"/>
      <c r="I54" s="5" t="n"/>
      <c r="J54" s="5" t="n"/>
      <c r="K54" s="5" t="n"/>
      <c r="L54" s="5" t="n"/>
      <c r="M54" s="5" t="n"/>
    </row>
    <row r="55" ht="18" customHeight="1" s="60">
      <c r="A55" s="3" t="n"/>
      <c r="B55" s="3" t="n"/>
      <c r="C55" s="3" t="n"/>
      <c r="D55" s="3" t="n"/>
      <c r="E55" s="3" t="n"/>
      <c r="F55" s="3" t="n"/>
      <c r="G55" s="3" t="n"/>
      <c r="H55" s="3" t="n"/>
      <c r="I55" s="3" t="n"/>
      <c r="J55" s="3" t="n"/>
      <c r="K55" s="3" t="n"/>
      <c r="L55" s="3" t="n"/>
      <c r="M55" s="3" t="n"/>
    </row>
    <row r="56" ht="18" customHeight="1" s="60">
      <c r="A56" s="5" t="n"/>
      <c r="B56" s="5" t="n"/>
      <c r="C56" s="5" t="n"/>
      <c r="D56" s="5" t="n"/>
      <c r="E56" s="5" t="n"/>
      <c r="F56" s="5" t="n"/>
      <c r="G56" s="5" t="n"/>
      <c r="H56" s="5" t="n"/>
      <c r="I56" s="5" t="n"/>
      <c r="J56" s="5" t="n"/>
      <c r="K56" s="5" t="n"/>
      <c r="L56" s="5" t="n"/>
      <c r="M56" s="5" t="n"/>
    </row>
    <row r="57" ht="18" customHeight="1" s="60">
      <c r="A57" s="3" t="n"/>
      <c r="B57" s="3" t="n"/>
      <c r="C57" s="3" t="n"/>
      <c r="D57" s="3" t="n"/>
      <c r="E57" s="3" t="n"/>
      <c r="F57" s="3" t="n"/>
      <c r="G57" s="3" t="n"/>
      <c r="H57" s="3" t="n"/>
      <c r="I57" s="3" t="n"/>
      <c r="J57" s="3" t="n"/>
      <c r="K57" s="3" t="n"/>
      <c r="L57" s="3" t="n"/>
      <c r="M57" s="3" t="n"/>
    </row>
    <row r="58" ht="18" customHeight="1" s="60">
      <c r="A58" s="5" t="n"/>
      <c r="B58" s="5" t="n"/>
      <c r="C58" s="5" t="n"/>
      <c r="D58" s="5" t="n"/>
      <c r="E58" s="5" t="n"/>
      <c r="F58" s="5" t="n"/>
      <c r="G58" s="5" t="n"/>
      <c r="H58" s="5" t="n"/>
      <c r="I58" s="5" t="n"/>
      <c r="J58" s="5" t="n"/>
      <c r="K58" s="5" t="n"/>
      <c r="L58" s="5" t="n"/>
      <c r="M58" s="5" t="n"/>
    </row>
    <row r="59" ht="18" customHeight="1" s="60">
      <c r="A59" s="3" t="n"/>
      <c r="B59" s="3" t="n"/>
      <c r="C59" s="3" t="n"/>
      <c r="D59" s="3" t="n"/>
      <c r="E59" s="3" t="n"/>
      <c r="F59" s="3" t="n"/>
      <c r="G59" s="3" t="n"/>
      <c r="H59" s="3" t="n"/>
      <c r="I59" s="3" t="n"/>
      <c r="J59" s="3" t="n"/>
      <c r="K59" s="3" t="n"/>
      <c r="L59" s="3" t="n"/>
      <c r="M59" s="3" t="n"/>
    </row>
    <row r="60" ht="18" customHeight="1" s="60">
      <c r="A60" s="5" t="n"/>
      <c r="B60" s="5" t="n"/>
      <c r="C60" s="5" t="n"/>
      <c r="D60" s="5" t="n"/>
      <c r="E60" s="5" t="n"/>
      <c r="F60" s="5" t="n"/>
      <c r="G60" s="5" t="n"/>
      <c r="H60" s="5" t="n"/>
      <c r="I60" s="5" t="n"/>
      <c r="J60" s="5" t="n"/>
      <c r="K60" s="5" t="n"/>
      <c r="L60" s="5" t="n"/>
      <c r="M60" s="5" t="n"/>
    </row>
    <row r="61" ht="18" customHeight="1" s="60">
      <c r="A61" s="3" t="n"/>
      <c r="B61" s="3" t="n"/>
      <c r="C61" s="3" t="n"/>
      <c r="D61" s="3" t="n"/>
      <c r="E61" s="3" t="n"/>
      <c r="F61" s="3" t="n"/>
      <c r="G61" s="3" t="n"/>
      <c r="H61" s="3" t="n"/>
      <c r="I61" s="3" t="n"/>
      <c r="J61" s="3" t="n"/>
      <c r="K61" s="3" t="n"/>
      <c r="L61" s="3" t="n"/>
      <c r="M61" s="3" t="n"/>
    </row>
    <row r="62" ht="18" customHeight="1" s="60">
      <c r="A62" s="5" t="n"/>
      <c r="B62" s="5" t="n"/>
      <c r="C62" s="5" t="n"/>
      <c r="D62" s="5" t="n"/>
      <c r="E62" s="5" t="n"/>
      <c r="F62" s="5" t="n"/>
      <c r="G62" s="5" t="n"/>
      <c r="H62" s="5" t="n"/>
      <c r="I62" s="5" t="n"/>
      <c r="J62" s="5" t="n"/>
      <c r="K62" s="5" t="n"/>
      <c r="L62" s="5" t="n"/>
      <c r="M62" s="5" t="n"/>
    </row>
    <row r="63" ht="18" customHeight="1" s="60">
      <c r="A63" s="3" t="n"/>
      <c r="B63" s="3" t="n"/>
      <c r="C63" s="3" t="n"/>
      <c r="D63" s="3" t="n"/>
      <c r="E63" s="3" t="n"/>
      <c r="F63" s="3" t="n"/>
      <c r="G63" s="3" t="n"/>
      <c r="H63" s="3" t="n"/>
      <c r="I63" s="3" t="n"/>
      <c r="J63" s="3" t="n"/>
      <c r="K63" s="3" t="n"/>
      <c r="L63" s="3" t="n"/>
      <c r="M63" s="3" t="n"/>
    </row>
    <row r="64" ht="18" customHeight="1" s="60">
      <c r="A64" s="5" t="n"/>
      <c r="B64" s="5" t="n"/>
      <c r="C64" s="5" t="n"/>
      <c r="D64" s="5" t="n"/>
      <c r="E64" s="5" t="n"/>
      <c r="F64" s="5" t="n"/>
      <c r="G64" s="5" t="n"/>
      <c r="H64" s="5" t="n"/>
      <c r="I64" s="5" t="n"/>
      <c r="J64" s="5" t="n"/>
      <c r="K64" s="5" t="n"/>
      <c r="L64" s="5" t="n"/>
      <c r="M64" s="5" t="n"/>
    </row>
    <row r="65" ht="18" customHeight="1" s="60">
      <c r="A65" s="3" t="n"/>
      <c r="B65" s="3" t="n"/>
      <c r="C65" s="3" t="n"/>
      <c r="D65" s="3" t="n"/>
      <c r="E65" s="3" t="n"/>
      <c r="F65" s="3" t="n"/>
      <c r="G65" s="3" t="n"/>
      <c r="H65" s="3" t="n"/>
      <c r="I65" s="3" t="n"/>
      <c r="J65" s="3" t="n"/>
      <c r="K65" s="3" t="n"/>
      <c r="L65" s="3" t="n"/>
      <c r="M65" s="3" t="n"/>
    </row>
    <row r="66" ht="18" customHeight="1" s="60">
      <c r="A66" s="5" t="n"/>
      <c r="B66" s="5" t="n"/>
      <c r="C66" s="5" t="n"/>
      <c r="D66" s="5" t="n"/>
      <c r="E66" s="5" t="n"/>
      <c r="F66" s="5" t="n"/>
      <c r="G66" s="5" t="n"/>
      <c r="H66" s="5" t="n"/>
      <c r="I66" s="5" t="n"/>
      <c r="J66" s="5" t="n"/>
      <c r="K66" s="5" t="n"/>
      <c r="L66" s="5" t="n"/>
      <c r="M66" s="5" t="n"/>
    </row>
    <row r="67" ht="18" customHeight="1" s="60">
      <c r="A67" s="3" t="n"/>
      <c r="B67" s="3" t="n"/>
      <c r="C67" s="3" t="n"/>
      <c r="D67" s="3" t="n"/>
      <c r="E67" s="3" t="n"/>
      <c r="F67" s="3" t="n"/>
      <c r="G67" s="3" t="n"/>
      <c r="H67" s="3" t="n"/>
      <c r="I67" s="3" t="n"/>
      <c r="J67" s="3" t="n"/>
      <c r="K67" s="3" t="n"/>
      <c r="L67" s="3" t="n"/>
      <c r="M67" s="3" t="n"/>
    </row>
    <row r="68" ht="18" customHeight="1" s="60">
      <c r="A68" s="5" t="n"/>
      <c r="B68" s="5" t="n"/>
      <c r="C68" s="5" t="n"/>
      <c r="D68" s="5" t="n"/>
      <c r="E68" s="5" t="n"/>
      <c r="F68" s="5" t="n"/>
      <c r="G68" s="5" t="n"/>
      <c r="H68" s="5" t="n"/>
      <c r="I68" s="5" t="n"/>
      <c r="J68" s="5" t="n"/>
      <c r="K68" s="5" t="n"/>
      <c r="L68" s="5" t="n"/>
      <c r="M68" s="5" t="n"/>
    </row>
    <row r="69" ht="18" customHeight="1" s="60">
      <c r="A69" s="3" t="n"/>
      <c r="B69" s="3" t="n"/>
      <c r="C69" s="3" t="n"/>
      <c r="D69" s="3" t="n"/>
      <c r="E69" s="3" t="n"/>
      <c r="F69" s="3" t="n"/>
      <c r="G69" s="3" t="n"/>
      <c r="H69" s="3" t="n"/>
      <c r="I69" s="3" t="n"/>
      <c r="J69" s="3" t="n"/>
      <c r="K69" s="3" t="n"/>
      <c r="L69" s="3" t="n"/>
      <c r="M69" s="3" t="n"/>
    </row>
    <row r="70" ht="18" customHeight="1" s="60">
      <c r="A70" s="5" t="n"/>
      <c r="B70" s="5" t="n"/>
      <c r="C70" s="5" t="n"/>
      <c r="D70" s="5" t="n"/>
      <c r="E70" s="5" t="n"/>
      <c r="F70" s="5" t="n"/>
      <c r="G70" s="5" t="n"/>
      <c r="H70" s="5" t="n"/>
      <c r="I70" s="5" t="n"/>
      <c r="J70" s="5" t="n"/>
      <c r="K70" s="5" t="n"/>
      <c r="L70" s="5" t="n"/>
      <c r="M70" s="5" t="n"/>
    </row>
    <row r="71" ht="18" customHeight="1" s="60">
      <c r="A71" s="3" t="n"/>
      <c r="B71" s="3" t="n"/>
      <c r="C71" s="3" t="n"/>
      <c r="D71" s="3" t="n"/>
      <c r="E71" s="3" t="n"/>
      <c r="F71" s="3" t="n"/>
      <c r="G71" s="3" t="n"/>
      <c r="H71" s="3" t="n"/>
      <c r="I71" s="3" t="n"/>
      <c r="J71" s="3" t="n"/>
      <c r="K71" s="3" t="n"/>
      <c r="L71" s="3" t="n"/>
      <c r="M71" s="3" t="n"/>
    </row>
    <row r="72" ht="18" customHeight="1" s="60">
      <c r="A72" s="5" t="n"/>
      <c r="B72" s="5" t="n"/>
      <c r="C72" s="5" t="n"/>
      <c r="D72" s="5" t="n"/>
      <c r="E72" s="5" t="n"/>
      <c r="F72" s="5" t="n"/>
      <c r="G72" s="5" t="n"/>
      <c r="H72" s="5" t="n"/>
      <c r="I72" s="5" t="n"/>
      <c r="J72" s="5" t="n"/>
      <c r="K72" s="5" t="n"/>
      <c r="L72" s="5" t="n"/>
      <c r="M72" s="5" t="n"/>
    </row>
    <row r="73" ht="18" customHeight="1" s="60">
      <c r="A73" s="3" t="n"/>
      <c r="B73" s="3" t="n"/>
      <c r="C73" s="3" t="n"/>
      <c r="D73" s="3" t="n"/>
      <c r="E73" s="3" t="n"/>
      <c r="F73" s="3" t="n"/>
      <c r="G73" s="3" t="n"/>
      <c r="H73" s="3" t="n"/>
      <c r="I73" s="3" t="n"/>
      <c r="J73" s="3" t="n"/>
      <c r="K73" s="3" t="n"/>
      <c r="L73" s="3" t="n"/>
      <c r="M73" s="3" t="n"/>
    </row>
    <row r="74" ht="18" customHeight="1" s="60">
      <c r="A74" s="5" t="n"/>
      <c r="B74" s="5" t="n"/>
      <c r="C74" s="5" t="n"/>
      <c r="D74" s="5" t="n"/>
      <c r="E74" s="5" t="n"/>
      <c r="F74" s="5" t="n"/>
      <c r="G74" s="5" t="n"/>
      <c r="H74" s="5" t="n"/>
      <c r="I74" s="5" t="n"/>
      <c r="J74" s="5" t="n"/>
      <c r="K74" s="5" t="n"/>
      <c r="L74" s="5" t="n"/>
      <c r="M74" s="5" t="n"/>
    </row>
    <row r="75" ht="18" customHeight="1" s="60">
      <c r="A75" s="3" t="n"/>
      <c r="B75" s="3" t="n"/>
      <c r="C75" s="3" t="n"/>
      <c r="D75" s="3" t="n"/>
      <c r="E75" s="3" t="n"/>
      <c r="F75" s="3" t="n"/>
      <c r="G75" s="3" t="n"/>
      <c r="H75" s="3" t="n"/>
      <c r="I75" s="3" t="n"/>
      <c r="J75" s="3" t="n"/>
      <c r="K75" s="3" t="n"/>
      <c r="L75" s="3" t="n"/>
      <c r="M75" s="3" t="n"/>
    </row>
    <row r="76" ht="18" customHeight="1" s="60">
      <c r="A76" s="5" t="n"/>
      <c r="B76" s="5" t="n"/>
      <c r="C76" s="5" t="n"/>
      <c r="D76" s="5" t="n"/>
      <c r="E76" s="5" t="n"/>
      <c r="F76" s="5" t="n"/>
      <c r="G76" s="5" t="n"/>
      <c r="H76" s="5" t="n"/>
      <c r="I76" s="5" t="n"/>
      <c r="J76" s="5" t="n"/>
      <c r="K76" s="5" t="n"/>
      <c r="L76" s="5" t="n"/>
      <c r="M76" s="5" t="n"/>
    </row>
    <row r="77" ht="18" customHeight="1" s="60">
      <c r="A77" s="3" t="n"/>
      <c r="B77" s="3" t="n"/>
      <c r="C77" s="3" t="n"/>
      <c r="D77" s="3" t="n"/>
      <c r="E77" s="3" t="n"/>
      <c r="F77" s="3" t="n"/>
      <c r="G77" s="3" t="n"/>
      <c r="H77" s="3" t="n"/>
      <c r="I77" s="3" t="n"/>
      <c r="J77" s="3" t="n"/>
      <c r="K77" s="3" t="n"/>
      <c r="L77" s="3" t="n"/>
      <c r="M77" s="3" t="n"/>
    </row>
    <row r="78" ht="18" customHeight="1" s="60">
      <c r="A78" s="5" t="n"/>
      <c r="B78" s="5" t="n"/>
      <c r="C78" s="5" t="n"/>
      <c r="D78" s="5" t="n"/>
      <c r="E78" s="5" t="n"/>
      <c r="F78" s="5" t="n"/>
      <c r="G78" s="5" t="n"/>
      <c r="H78" s="5" t="n"/>
      <c r="I78" s="5" t="n"/>
      <c r="J78" s="5" t="n"/>
      <c r="K78" s="5" t="n"/>
      <c r="L78" s="5" t="n"/>
      <c r="M78" s="5" t="n"/>
    </row>
    <row r="79" ht="18" customHeight="1" s="60">
      <c r="A79" s="3" t="n"/>
      <c r="B79" s="3" t="n"/>
      <c r="C79" s="3" t="n"/>
      <c r="D79" s="3" t="n"/>
      <c r="E79" s="3" t="n"/>
      <c r="F79" s="3" t="n"/>
      <c r="G79" s="3" t="n"/>
      <c r="H79" s="3" t="n"/>
      <c r="I79" s="3" t="n"/>
      <c r="J79" s="3" t="n"/>
      <c r="K79" s="3" t="n"/>
      <c r="L79" s="3" t="n"/>
      <c r="M79" s="3" t="n"/>
    </row>
    <row r="80" ht="18" customHeight="1" s="60">
      <c r="A80" s="5" t="n"/>
      <c r="B80" s="5" t="n"/>
      <c r="C80" s="5" t="n"/>
      <c r="D80" s="5" t="n"/>
      <c r="E80" s="5" t="n"/>
      <c r="F80" s="5" t="n"/>
      <c r="G80" s="5" t="n"/>
      <c r="H80" s="5" t="n"/>
      <c r="I80" s="5" t="n"/>
      <c r="J80" s="5" t="n"/>
      <c r="K80" s="5" t="n"/>
      <c r="L80" s="5" t="n"/>
      <c r="M80" s="5" t="n"/>
    </row>
    <row r="81" ht="18" customHeight="1" s="60">
      <c r="A81" s="3" t="n"/>
      <c r="B81" s="3" t="n"/>
      <c r="C81" s="3" t="n"/>
      <c r="D81" s="3" t="n"/>
      <c r="E81" s="3" t="n"/>
      <c r="F81" s="3" t="n"/>
      <c r="G81" s="3" t="n"/>
      <c r="H81" s="3" t="n"/>
      <c r="I81" s="3" t="n"/>
      <c r="J81" s="3" t="n"/>
      <c r="K81" s="3" t="n"/>
      <c r="L81" s="3" t="n"/>
      <c r="M81" s="3" t="n"/>
    </row>
    <row r="82" ht="18" customHeight="1" s="60">
      <c r="A82" s="5" t="n"/>
      <c r="B82" s="5" t="n"/>
      <c r="C82" s="5" t="n"/>
      <c r="D82" s="5" t="n"/>
      <c r="E82" s="5" t="n"/>
      <c r="F82" s="5" t="n"/>
      <c r="G82" s="5" t="n"/>
      <c r="H82" s="5" t="n"/>
      <c r="I82" s="5" t="n"/>
      <c r="J82" s="5" t="n"/>
      <c r="K82" s="5" t="n"/>
      <c r="L82" s="5" t="n"/>
      <c r="M82" s="5" t="n"/>
    </row>
    <row r="83" ht="18" customHeight="1" s="60">
      <c r="A83" s="3" t="n"/>
      <c r="B83" s="3" t="n"/>
      <c r="C83" s="3" t="n"/>
      <c r="D83" s="3" t="n"/>
      <c r="E83" s="3" t="n"/>
      <c r="F83" s="3" t="n"/>
      <c r="G83" s="3" t="n"/>
      <c r="H83" s="3" t="n"/>
      <c r="I83" s="3" t="n"/>
      <c r="J83" s="3" t="n"/>
      <c r="K83" s="3" t="n"/>
      <c r="L83" s="3" t="n"/>
      <c r="M83" s="3" t="n"/>
    </row>
    <row r="84" ht="18" customHeight="1" s="60">
      <c r="A84" s="5" t="n"/>
      <c r="B84" s="5" t="n"/>
      <c r="C84" s="5" t="n"/>
      <c r="D84" s="5" t="n"/>
      <c r="E84" s="5" t="n"/>
      <c r="F84" s="5" t="n"/>
      <c r="G84" s="5" t="n"/>
      <c r="H84" s="5" t="n"/>
      <c r="I84" s="5" t="n"/>
      <c r="J84" s="5" t="n"/>
      <c r="K84" s="5" t="n"/>
      <c r="L84" s="5" t="n"/>
      <c r="M84" s="5" t="n"/>
    </row>
    <row r="85" ht="18" customHeight="1" s="60">
      <c r="A85" s="3" t="n"/>
      <c r="B85" s="3" t="n"/>
      <c r="C85" s="3" t="n"/>
      <c r="D85" s="3" t="n"/>
      <c r="E85" s="3" t="n"/>
      <c r="F85" s="3" t="n"/>
      <c r="G85" s="3" t="n"/>
      <c r="H85" s="3" t="n"/>
      <c r="I85" s="3" t="n"/>
      <c r="J85" s="3" t="n"/>
      <c r="K85" s="3" t="n"/>
      <c r="L85" s="3" t="n"/>
      <c r="M85" s="3" t="n"/>
    </row>
    <row r="86" ht="18" customHeight="1" s="60">
      <c r="A86" s="5" t="n"/>
      <c r="B86" s="5" t="n"/>
      <c r="C86" s="5" t="n"/>
      <c r="D86" s="5" t="n"/>
      <c r="E86" s="5" t="n"/>
      <c r="F86" s="5" t="n"/>
      <c r="G86" s="5" t="n"/>
      <c r="H86" s="5" t="n"/>
      <c r="I86" s="5" t="n"/>
      <c r="J86" s="5" t="n"/>
      <c r="K86" s="5" t="n"/>
      <c r="L86" s="5" t="n"/>
      <c r="M86" s="5" t="n"/>
    </row>
    <row r="87" ht="18" customHeight="1" s="60">
      <c r="A87" s="3" t="n"/>
      <c r="B87" s="3" t="n"/>
      <c r="C87" s="3" t="n"/>
      <c r="D87" s="3" t="n"/>
      <c r="E87" s="3" t="n"/>
      <c r="F87" s="3" t="n"/>
      <c r="G87" s="3" t="n"/>
      <c r="H87" s="3" t="n"/>
      <c r="I87" s="3" t="n"/>
      <c r="J87" s="3" t="n"/>
      <c r="K87" s="3" t="n"/>
      <c r="L87" s="3" t="n"/>
      <c r="M87" s="3" t="n"/>
    </row>
    <row r="88" ht="18" customHeight="1" s="60">
      <c r="A88" s="5" t="n"/>
      <c r="B88" s="5" t="n"/>
      <c r="C88" s="5" t="n"/>
      <c r="D88" s="5" t="n"/>
      <c r="E88" s="5" t="n"/>
      <c r="F88" s="5" t="n"/>
      <c r="G88" s="5" t="n"/>
      <c r="H88" s="5" t="n"/>
      <c r="I88" s="5" t="n"/>
      <c r="J88" s="5" t="n"/>
      <c r="K88" s="5" t="n"/>
      <c r="L88" s="5" t="n"/>
      <c r="M88" s="5" t="n"/>
    </row>
    <row r="89" ht="18" customHeight="1" s="60">
      <c r="A89" s="3" t="n"/>
      <c r="B89" s="3" t="n"/>
      <c r="C89" s="3" t="n"/>
      <c r="D89" s="3" t="n"/>
      <c r="E89" s="3" t="n"/>
      <c r="F89" s="3" t="n"/>
      <c r="G89" s="3" t="n"/>
      <c r="H89" s="3" t="n"/>
      <c r="I89" s="3" t="n"/>
      <c r="J89" s="3" t="n"/>
      <c r="K89" s="3" t="n"/>
      <c r="L89" s="3" t="n"/>
      <c r="M89" s="3" t="n"/>
    </row>
    <row r="90" ht="18" customHeight="1" s="60">
      <c r="A90" s="5" t="n"/>
      <c r="B90" s="5" t="n"/>
      <c r="C90" s="5" t="n"/>
      <c r="D90" s="5" t="n"/>
      <c r="E90" s="5" t="n"/>
      <c r="F90" s="5" t="n"/>
      <c r="G90" s="5" t="n"/>
      <c r="H90" s="5" t="n"/>
      <c r="I90" s="5" t="n"/>
      <c r="J90" s="5" t="n"/>
      <c r="K90" s="5" t="n"/>
      <c r="L90" s="5" t="n"/>
      <c r="M90" s="5" t="n"/>
    </row>
    <row r="91" ht="18" customHeight="1" s="60">
      <c r="A91" s="3" t="n"/>
      <c r="B91" s="3" t="n"/>
      <c r="C91" s="3" t="n"/>
      <c r="D91" s="3" t="n"/>
      <c r="E91" s="3" t="n"/>
      <c r="F91" s="3" t="n"/>
      <c r="G91" s="3" t="n"/>
      <c r="H91" s="3" t="n"/>
      <c r="I91" s="3" t="n"/>
      <c r="J91" s="3" t="n"/>
      <c r="K91" s="3" t="n"/>
      <c r="L91" s="3" t="n"/>
      <c r="M91" s="3" t="n"/>
    </row>
    <row r="92" ht="18" customHeight="1" s="60">
      <c r="A92" s="5" t="n"/>
      <c r="B92" s="5" t="n"/>
      <c r="C92" s="5" t="n"/>
      <c r="D92" s="5" t="n"/>
      <c r="E92" s="5" t="n"/>
      <c r="F92" s="5" t="n"/>
      <c r="G92" s="5" t="n"/>
      <c r="H92" s="5" t="n"/>
      <c r="I92" s="5" t="n"/>
      <c r="J92" s="5" t="n"/>
      <c r="K92" s="5" t="n"/>
      <c r="L92" s="5" t="n"/>
      <c r="M92" s="5" t="n"/>
    </row>
    <row r="93" ht="18" customHeight="1" s="60">
      <c r="A93" s="3" t="n"/>
      <c r="B93" s="3" t="n"/>
      <c r="C93" s="3" t="n"/>
      <c r="D93" s="3" t="n"/>
      <c r="E93" s="3" t="n"/>
      <c r="F93" s="3" t="n"/>
      <c r="G93" s="3" t="n"/>
      <c r="H93" s="3" t="n"/>
      <c r="I93" s="3" t="n"/>
      <c r="J93" s="3" t="n"/>
      <c r="K93" s="3" t="n"/>
      <c r="L93" s="3" t="n"/>
      <c r="M93" s="3" t="n"/>
    </row>
    <row r="94" ht="18" customHeight="1" s="60">
      <c r="A94" s="5" t="n"/>
      <c r="B94" s="5" t="n"/>
      <c r="C94" s="5" t="n"/>
      <c r="D94" s="5" t="n"/>
      <c r="E94" s="5" t="n"/>
      <c r="F94" s="5" t="n"/>
      <c r="G94" s="5" t="n"/>
      <c r="H94" s="5" t="n"/>
      <c r="I94" s="5" t="n"/>
      <c r="J94" s="5" t="n"/>
      <c r="K94" s="5" t="n"/>
      <c r="L94" s="5" t="n"/>
      <c r="M94" s="5" t="n"/>
    </row>
    <row r="95" ht="18" customHeight="1" s="60">
      <c r="A95" s="3" t="n"/>
      <c r="B95" s="3" t="n"/>
      <c r="C95" s="3" t="n"/>
      <c r="D95" s="3" t="n"/>
      <c r="E95" s="3" t="n"/>
      <c r="F95" s="3" t="n"/>
      <c r="G95" s="3" t="n"/>
      <c r="H95" s="3" t="n"/>
      <c r="I95" s="3" t="n"/>
      <c r="J95" s="3" t="n"/>
      <c r="K95" s="3" t="n"/>
      <c r="L95" s="3" t="n"/>
      <c r="M95" s="3" t="n"/>
    </row>
    <row r="96" ht="18" customHeight="1" s="60">
      <c r="A96" s="5" t="n"/>
      <c r="B96" s="5" t="n"/>
      <c r="C96" s="5" t="n"/>
      <c r="D96" s="5" t="n"/>
      <c r="E96" s="5" t="n"/>
      <c r="F96" s="5" t="n"/>
      <c r="G96" s="5" t="n"/>
      <c r="H96" s="5" t="n"/>
      <c r="I96" s="5" t="n"/>
      <c r="J96" s="5" t="n"/>
      <c r="K96" s="5" t="n"/>
      <c r="L96" s="5" t="n"/>
      <c r="M96" s="5" t="n"/>
    </row>
    <row r="97" ht="18" customHeight="1" s="60">
      <c r="A97" s="3" t="n"/>
      <c r="B97" s="3" t="n"/>
      <c r="C97" s="3" t="n"/>
      <c r="D97" s="3" t="n"/>
      <c r="E97" s="3" t="n"/>
      <c r="F97" s="3" t="n"/>
      <c r="G97" s="3" t="n"/>
      <c r="H97" s="3" t="n"/>
      <c r="I97" s="3" t="n"/>
      <c r="J97" s="3" t="n"/>
      <c r="K97" s="3" t="n"/>
      <c r="L97" s="3" t="n"/>
      <c r="M97" s="3" t="n"/>
    </row>
    <row r="98" ht="18" customHeight="1" s="60">
      <c r="A98" s="5" t="n"/>
      <c r="B98" s="5" t="n"/>
      <c r="C98" s="5" t="n"/>
      <c r="D98" s="5" t="n"/>
      <c r="E98" s="5" t="n"/>
      <c r="F98" s="5" t="n"/>
      <c r="G98" s="5" t="n"/>
      <c r="H98" s="5" t="n"/>
      <c r="I98" s="5" t="n"/>
      <c r="J98" s="5" t="n"/>
      <c r="K98" s="5" t="n"/>
      <c r="L98" s="5" t="n"/>
      <c r="M98" s="5" t="n"/>
    </row>
    <row r="99" ht="18" customHeight="1" s="60">
      <c r="A99" s="3" t="n"/>
      <c r="B99" s="3" t="n"/>
      <c r="C99" s="3" t="n"/>
      <c r="D99" s="3" t="n"/>
      <c r="E99" s="3" t="n"/>
      <c r="F99" s="3" t="n"/>
      <c r="G99" s="3" t="n"/>
      <c r="H99" s="3" t="n"/>
      <c r="I99" s="3" t="n"/>
      <c r="J99" s="3" t="n"/>
      <c r="K99" s="3" t="n"/>
      <c r="L99" s="3" t="n"/>
      <c r="M99" s="3" t="n"/>
    </row>
    <row r="100" ht="18" customHeight="1" s="60">
      <c r="A100" s="5" t="n"/>
      <c r="B100" s="5" t="n"/>
      <c r="C100" s="5" t="n"/>
      <c r="D100" s="5" t="n"/>
      <c r="E100" s="5" t="n"/>
      <c r="F100" s="5" t="n"/>
      <c r="G100" s="5" t="n"/>
      <c r="H100" s="5" t="n"/>
      <c r="I100" s="5" t="n"/>
      <c r="J100" s="5" t="n"/>
      <c r="K100" s="5" t="n"/>
      <c r="L100" s="5" t="n"/>
      <c r="M100" s="5" t="n"/>
    </row>
    <row r="101" ht="18" customHeight="1" s="60">
      <c r="A101" s="3" t="n"/>
      <c r="B101" s="3" t="n"/>
      <c r="C101" s="3" t="n"/>
      <c r="D101" s="3" t="n"/>
      <c r="E101" s="3" t="n"/>
      <c r="F101" s="3" t="n"/>
      <c r="G101" s="3" t="n"/>
      <c r="H101" s="3" t="n"/>
      <c r="I101" s="3" t="n"/>
      <c r="J101" s="3" t="n"/>
      <c r="K101" s="3" t="n"/>
      <c r="L101" s="3" t="n"/>
      <c r="M101" s="3" t="n"/>
    </row>
    <row r="102" ht="18" customHeight="1" s="60">
      <c r="A102" s="5" t="n"/>
      <c r="B102" s="5" t="n"/>
      <c r="C102" s="5" t="n"/>
      <c r="D102" s="5" t="n"/>
      <c r="E102" s="5" t="n"/>
      <c r="F102" s="5" t="n"/>
      <c r="G102" s="5" t="n"/>
      <c r="H102" s="5" t="n"/>
      <c r="I102" s="5" t="n"/>
      <c r="J102" s="5" t="n"/>
      <c r="K102" s="5" t="n"/>
      <c r="L102" s="5" t="n"/>
      <c r="M102" s="5" t="n"/>
    </row>
  </sheetData>
  <mergeCells count="1">
    <mergeCell ref="A1:M1"/>
  </mergeCells>
  <dataValidations count="1">
    <dataValidation sqref="I3:I102" showDropDown="0" showInputMessage="0" showErrorMessage="0" allowBlank="1" type="list">
      <formula1>"Matches,Differs — Minor,Differs — Material,Could Not Verify"</formula1>
      <formula2>0</formula2>
    </dataValidation>
  </dataValidation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O102"/>
  <sheetViews>
    <sheetView showGridLines="0" zoomScaleNormal="100" workbookViewId="0">
      <pane xSplit="1" ySplit="2" topLeftCell="B3" activePane="bottomRight" state="frozen"/>
      <selection pane="topRight" activeCell="B1" sqref="B1"/>
      <selection pane="bottomLeft" activeCell="A3" sqref="A3"/>
      <selection pane="bottomRight" activeCell="A3" sqref="A3"/>
    </sheetView>
  </sheetViews>
  <sheetFormatPr baseColWidth="10" defaultColWidth="8.6640625" defaultRowHeight="14"/>
  <cols>
    <col width="16" customWidth="1" style="57" min="1" max="1"/>
    <col width="24" customWidth="1" style="57" min="2" max="3"/>
    <col width="36" customWidth="1" style="57" min="4" max="4"/>
    <col width="22" customWidth="1" style="57" min="5" max="5"/>
    <col width="18" customWidth="1" style="57" min="6" max="7"/>
    <col width="36" customWidth="1" style="57" min="8" max="8"/>
    <col width="16" customWidth="1" style="57" min="9" max="9"/>
    <col width="12" customWidth="1" style="57" min="10" max="11"/>
    <col width="24" customWidth="1" style="57" min="12" max="13"/>
    <col width="30" customWidth="1" style="57" min="14" max="14"/>
    <col width="36" customWidth="1" style="57" min="15" max="15"/>
    <col width="8.6640625" customWidth="1" style="57" min="16" max="16"/>
    <col width="8.6640625" customWidth="1" style="57" min="17" max="16384"/>
  </cols>
  <sheetData>
    <row r="1" ht="27.75" customHeight="1" s="60">
      <c r="A1" s="56" t="inlineStr">
        <is>
          <t>SOURCE REGISTER  |  All documents reviewed — with URL, vintage and citation</t>
        </is>
      </c>
    </row>
    <row r="2" ht="36" customHeight="1" s="60">
      <c r="A2" s="16" t="inlineStr">
        <is>
          <t>Source ID</t>
        </is>
      </c>
      <c r="B2" s="16" t="inlineStr">
        <is>
          <t>Company Name</t>
        </is>
      </c>
      <c r="C2" s="16" t="inlineStr">
        <is>
          <t>Document Type</t>
        </is>
      </c>
      <c r="D2" s="16" t="inlineStr">
        <is>
          <t>Document Title</t>
        </is>
      </c>
      <c r="E2" s="16" t="inlineStr">
        <is>
          <t>Publisher</t>
        </is>
      </c>
      <c r="F2" s="16" t="inlineStr">
        <is>
          <t>Publication Date</t>
        </is>
      </c>
      <c r="G2" s="16" t="inlineStr">
        <is>
          <t>Fiscal Year Covered</t>
        </is>
      </c>
      <c r="H2" s="16" t="inlineStr">
        <is>
          <t>URL</t>
        </is>
      </c>
      <c r="I2" s="16" t="inlineStr">
        <is>
          <t>Date Accessed</t>
        </is>
      </c>
      <c r="J2" s="16" t="inlineStr">
        <is>
          <t>Language</t>
        </is>
      </c>
      <c r="K2" s="16" t="inlineStr">
        <is>
          <t>Page Count</t>
        </is>
      </c>
      <c r="L2" s="16" t="inlineStr">
        <is>
          <t>Uploaded to Claude Project?</t>
        </is>
      </c>
      <c r="M2" s="16" t="inlineStr">
        <is>
          <t>Claude Project Name</t>
        </is>
      </c>
      <c r="N2" s="16" t="inlineStr">
        <is>
          <t>Data Vintage Note</t>
        </is>
      </c>
      <c r="O2" s="16" t="inlineStr">
        <is>
          <t>Citation (Report Bibliography)</t>
        </is>
      </c>
    </row>
    <row r="3" ht="15.75" customHeight="1" s="60">
      <c r="A3" s="18" t="n"/>
      <c r="B3" s="18" t="n"/>
      <c r="C3" s="18" t="n"/>
      <c r="D3" s="18" t="n"/>
      <c r="E3" s="18" t="n"/>
      <c r="F3" s="18" t="n"/>
      <c r="G3" s="18" t="n"/>
      <c r="H3" s="18" t="n"/>
      <c r="I3" s="18" t="n"/>
      <c r="J3" s="18" t="n"/>
      <c r="K3" s="18" t="n"/>
      <c r="L3" s="18" t="n"/>
      <c r="M3" s="18" t="n"/>
      <c r="N3" s="18" t="n"/>
      <c r="O3" s="18" t="n"/>
    </row>
    <row r="4" ht="15.75" customHeight="1" s="60">
      <c r="A4" s="19" t="n"/>
      <c r="B4" s="19" t="n"/>
      <c r="C4" s="19" t="n"/>
      <c r="D4" s="19" t="n"/>
      <c r="E4" s="19" t="n"/>
      <c r="F4" s="19" t="n"/>
      <c r="G4" s="19" t="n"/>
      <c r="H4" s="19" t="n"/>
      <c r="I4" s="19" t="n"/>
      <c r="J4" s="19" t="n"/>
      <c r="K4" s="19" t="n"/>
      <c r="L4" s="19" t="n"/>
      <c r="M4" s="19" t="n"/>
      <c r="N4" s="19" t="n"/>
      <c r="O4" s="19" t="n"/>
    </row>
    <row r="5" ht="15.75" customHeight="1" s="60">
      <c r="A5" s="18" t="n"/>
      <c r="B5" s="18" t="n"/>
      <c r="C5" s="18" t="n"/>
      <c r="D5" s="18" t="n"/>
      <c r="E5" s="18" t="n"/>
      <c r="F5" s="18" t="n"/>
      <c r="G5" s="18" t="n"/>
      <c r="H5" s="18" t="n"/>
      <c r="I5" s="18" t="n"/>
      <c r="J5" s="18" t="n"/>
      <c r="K5" s="18" t="n"/>
      <c r="L5" s="18" t="n"/>
      <c r="M5" s="18" t="n"/>
      <c r="N5" s="18" t="n"/>
      <c r="O5" s="18" t="n"/>
    </row>
    <row r="6" ht="15.75" customHeight="1" s="60">
      <c r="A6" s="19" t="n"/>
      <c r="B6" s="19" t="n"/>
      <c r="C6" s="19" t="n"/>
      <c r="D6" s="19" t="n"/>
      <c r="E6" s="19" t="n"/>
      <c r="F6" s="19" t="n"/>
      <c r="G6" s="19" t="n"/>
      <c r="H6" s="19" t="n"/>
      <c r="I6" s="19" t="n"/>
      <c r="J6" s="19" t="n"/>
      <c r="K6" s="19" t="n"/>
      <c r="L6" s="19" t="n"/>
      <c r="M6" s="19" t="n"/>
      <c r="N6" s="19" t="n"/>
      <c r="O6" s="19" t="n"/>
    </row>
    <row r="7" ht="15.75" customHeight="1" s="60">
      <c r="A7" s="18" t="n"/>
      <c r="B7" s="18" t="n"/>
      <c r="C7" s="18" t="n"/>
      <c r="D7" s="18" t="n"/>
      <c r="E7" s="18" t="n"/>
      <c r="F7" s="18" t="n"/>
      <c r="G7" s="18" t="n"/>
      <c r="H7" s="18" t="n"/>
      <c r="I7" s="18" t="n"/>
      <c r="J7" s="18" t="n"/>
      <c r="K7" s="18" t="n"/>
      <c r="L7" s="18" t="n"/>
      <c r="M7" s="18" t="n"/>
      <c r="N7" s="18" t="n"/>
      <c r="O7" s="18" t="n"/>
    </row>
    <row r="8" ht="15.75" customHeight="1" s="60">
      <c r="A8" s="19" t="n"/>
      <c r="B8" s="19" t="n"/>
      <c r="C8" s="19" t="n"/>
      <c r="D8" s="19" t="n"/>
      <c r="E8" s="19" t="n"/>
      <c r="F8" s="19" t="n"/>
      <c r="G8" s="19" t="n"/>
      <c r="H8" s="19" t="n"/>
      <c r="I8" s="19" t="n"/>
      <c r="J8" s="19" t="n"/>
      <c r="K8" s="19" t="n"/>
      <c r="L8" s="19" t="n"/>
      <c r="M8" s="19" t="n"/>
      <c r="N8" s="19" t="n"/>
      <c r="O8" s="19" t="n"/>
    </row>
    <row r="9" ht="15.75" customHeight="1" s="60">
      <c r="A9" s="18" t="n"/>
      <c r="B9" s="18" t="n"/>
      <c r="C9" s="18" t="n"/>
      <c r="D9" s="18" t="n"/>
      <c r="E9" s="18" t="n"/>
      <c r="F9" s="18" t="n"/>
      <c r="G9" s="18" t="n"/>
      <c r="H9" s="18" t="n"/>
      <c r="I9" s="18" t="n"/>
      <c r="J9" s="18" t="n"/>
      <c r="K9" s="18" t="n"/>
      <c r="L9" s="18" t="n"/>
      <c r="M9" s="18" t="n"/>
      <c r="N9" s="18" t="n"/>
      <c r="O9" s="18" t="n"/>
    </row>
    <row r="10" ht="15.75" customHeight="1" s="60">
      <c r="A10" s="19" t="n"/>
      <c r="B10" s="19" t="n"/>
      <c r="C10" s="19" t="n"/>
      <c r="D10" s="19" t="n"/>
      <c r="E10" s="19" t="n"/>
      <c r="F10" s="19" t="n"/>
      <c r="G10" s="19" t="n"/>
      <c r="H10" s="19" t="n"/>
      <c r="I10" s="19" t="n"/>
      <c r="J10" s="19" t="n"/>
      <c r="K10" s="19" t="n"/>
      <c r="L10" s="19" t="n"/>
      <c r="M10" s="19" t="n"/>
      <c r="N10" s="19" t="n"/>
      <c r="O10" s="19" t="n"/>
    </row>
    <row r="11" ht="15.75" customHeight="1" s="60">
      <c r="A11" s="18" t="n"/>
      <c r="B11" s="18" t="n"/>
      <c r="C11" s="18" t="n"/>
      <c r="D11" s="18" t="n"/>
      <c r="E11" s="18" t="n"/>
      <c r="F11" s="18" t="n"/>
      <c r="G11" s="18" t="n"/>
      <c r="H11" s="18" t="n"/>
      <c r="I11" s="18" t="n"/>
      <c r="J11" s="18" t="n"/>
      <c r="K11" s="18" t="n"/>
      <c r="L11" s="18" t="n"/>
      <c r="M11" s="18" t="n"/>
      <c r="N11" s="18" t="n"/>
      <c r="O11" s="18" t="n"/>
    </row>
    <row r="12" ht="15.75" customHeight="1" s="60">
      <c r="A12" s="19" t="n"/>
      <c r="B12" s="19" t="n"/>
      <c r="C12" s="19" t="n"/>
      <c r="D12" s="19" t="n"/>
      <c r="E12" s="19" t="n"/>
      <c r="F12" s="19" t="n"/>
      <c r="G12" s="19" t="n"/>
      <c r="H12" s="19" t="n"/>
      <c r="I12" s="19" t="n"/>
      <c r="J12" s="19" t="n"/>
      <c r="K12" s="19" t="n"/>
      <c r="L12" s="19" t="n"/>
      <c r="M12" s="19" t="n"/>
      <c r="N12" s="19" t="n"/>
      <c r="O12" s="19" t="n"/>
    </row>
    <row r="13" ht="15.75" customHeight="1" s="60">
      <c r="A13" s="18" t="n"/>
      <c r="B13" s="18" t="n"/>
      <c r="C13" s="18" t="n"/>
      <c r="D13" s="18" t="n"/>
      <c r="E13" s="18" t="n"/>
      <c r="F13" s="18" t="n"/>
      <c r="G13" s="18" t="n"/>
      <c r="H13" s="18" t="n"/>
      <c r="I13" s="18" t="n"/>
      <c r="J13" s="18" t="n"/>
      <c r="K13" s="18" t="n"/>
      <c r="L13" s="18" t="n"/>
      <c r="M13" s="18" t="n"/>
      <c r="N13" s="18" t="n"/>
      <c r="O13" s="18" t="n"/>
    </row>
    <row r="14" ht="15.75" customHeight="1" s="60">
      <c r="A14" s="19" t="n"/>
      <c r="B14" s="19" t="n"/>
      <c r="C14" s="19" t="n"/>
      <c r="D14" s="19" t="n"/>
      <c r="E14" s="19" t="n"/>
      <c r="F14" s="19" t="n"/>
      <c r="G14" s="19" t="n"/>
      <c r="H14" s="19" t="n"/>
      <c r="I14" s="19" t="n"/>
      <c r="J14" s="19" t="n"/>
      <c r="K14" s="19" t="n"/>
      <c r="L14" s="19" t="n"/>
      <c r="M14" s="19" t="n"/>
      <c r="N14" s="19" t="n"/>
      <c r="O14" s="19" t="n"/>
    </row>
    <row r="15" ht="15.75" customHeight="1" s="60">
      <c r="A15" s="18" t="n"/>
      <c r="B15" s="18" t="n"/>
      <c r="C15" s="18" t="n"/>
      <c r="D15" s="18" t="n"/>
      <c r="E15" s="18" t="n"/>
      <c r="F15" s="18" t="n"/>
      <c r="G15" s="18" t="n"/>
      <c r="H15" s="18" t="n"/>
      <c r="I15" s="18" t="n"/>
      <c r="J15" s="18" t="n"/>
      <c r="K15" s="18" t="n"/>
      <c r="L15" s="18" t="n"/>
      <c r="M15" s="18" t="n"/>
      <c r="N15" s="18" t="n"/>
      <c r="O15" s="18" t="n"/>
    </row>
    <row r="16" ht="15.75" customHeight="1" s="60">
      <c r="A16" s="19" t="n"/>
      <c r="B16" s="19" t="n"/>
      <c r="C16" s="19" t="n"/>
      <c r="D16" s="19" t="n"/>
      <c r="E16" s="19" t="n"/>
      <c r="F16" s="19" t="n"/>
      <c r="G16" s="19" t="n"/>
      <c r="H16" s="19" t="n"/>
      <c r="I16" s="19" t="n"/>
      <c r="J16" s="19" t="n"/>
      <c r="K16" s="19" t="n"/>
      <c r="L16" s="19" t="n"/>
      <c r="M16" s="19" t="n"/>
      <c r="N16" s="19" t="n"/>
      <c r="O16" s="19" t="n"/>
    </row>
    <row r="17" ht="15.75" customHeight="1" s="60">
      <c r="A17" s="18" t="n"/>
      <c r="B17" s="18" t="n"/>
      <c r="C17" s="18" t="n"/>
      <c r="D17" s="18" t="n"/>
      <c r="E17" s="18" t="n"/>
      <c r="F17" s="18" t="n"/>
      <c r="G17" s="18" t="n"/>
      <c r="H17" s="18" t="n"/>
      <c r="I17" s="18" t="n"/>
      <c r="J17" s="18" t="n"/>
      <c r="K17" s="18" t="n"/>
      <c r="L17" s="18" t="n"/>
      <c r="M17" s="18" t="n"/>
      <c r="N17" s="18" t="n"/>
      <c r="O17" s="18" t="n"/>
    </row>
    <row r="18" ht="15.75" customHeight="1" s="60">
      <c r="A18" s="19" t="n"/>
      <c r="B18" s="19" t="n"/>
      <c r="C18" s="19" t="n"/>
      <c r="D18" s="19" t="n"/>
      <c r="E18" s="19" t="n"/>
      <c r="F18" s="19" t="n"/>
      <c r="G18" s="19" t="n"/>
      <c r="H18" s="19" t="n"/>
      <c r="I18" s="19" t="n"/>
      <c r="J18" s="19" t="n"/>
      <c r="K18" s="19" t="n"/>
      <c r="L18" s="19" t="n"/>
      <c r="M18" s="19" t="n"/>
      <c r="N18" s="19" t="n"/>
      <c r="O18" s="19" t="n"/>
    </row>
    <row r="19" ht="15.75" customHeight="1" s="60">
      <c r="A19" s="18" t="n"/>
      <c r="B19" s="18" t="n"/>
      <c r="C19" s="18" t="n"/>
      <c r="D19" s="18" t="n"/>
      <c r="E19" s="18" t="n"/>
      <c r="F19" s="18" t="n"/>
      <c r="G19" s="18" t="n"/>
      <c r="H19" s="18" t="n"/>
      <c r="I19" s="18" t="n"/>
      <c r="J19" s="18" t="n"/>
      <c r="K19" s="18" t="n"/>
      <c r="L19" s="18" t="n"/>
      <c r="M19" s="18" t="n"/>
      <c r="N19" s="18" t="n"/>
      <c r="O19" s="18" t="n"/>
    </row>
    <row r="20" ht="15.75" customHeight="1" s="60">
      <c r="A20" s="19" t="n"/>
      <c r="B20" s="19" t="n"/>
      <c r="C20" s="19" t="n"/>
      <c r="D20" s="19" t="n"/>
      <c r="E20" s="19" t="n"/>
      <c r="F20" s="19" t="n"/>
      <c r="G20" s="19" t="n"/>
      <c r="H20" s="19" t="n"/>
      <c r="I20" s="19" t="n"/>
      <c r="J20" s="19" t="n"/>
      <c r="K20" s="19" t="n"/>
      <c r="L20" s="19" t="n"/>
      <c r="M20" s="19" t="n"/>
      <c r="N20" s="19" t="n"/>
      <c r="O20" s="19" t="n"/>
    </row>
    <row r="21" ht="15.75" customHeight="1" s="60">
      <c r="A21" s="18" t="n"/>
      <c r="B21" s="18" t="n"/>
      <c r="C21" s="18" t="n"/>
      <c r="D21" s="18" t="n"/>
      <c r="E21" s="18" t="n"/>
      <c r="F21" s="18" t="n"/>
      <c r="G21" s="18" t="n"/>
      <c r="H21" s="18" t="n"/>
      <c r="I21" s="18" t="n"/>
      <c r="J21" s="18" t="n"/>
      <c r="K21" s="18" t="n"/>
      <c r="L21" s="18" t="n"/>
      <c r="M21" s="18" t="n"/>
      <c r="N21" s="18" t="n"/>
      <c r="O21" s="18" t="n"/>
    </row>
    <row r="22" ht="15.75" customHeight="1" s="60">
      <c r="A22" s="19" t="n"/>
      <c r="B22" s="19" t="n"/>
      <c r="C22" s="19" t="n"/>
      <c r="D22" s="19" t="n"/>
      <c r="E22" s="19" t="n"/>
      <c r="F22" s="19" t="n"/>
      <c r="G22" s="19" t="n"/>
      <c r="H22" s="19" t="n"/>
      <c r="I22" s="19" t="n"/>
      <c r="J22" s="19" t="n"/>
      <c r="K22" s="19" t="n"/>
      <c r="L22" s="19" t="n"/>
      <c r="M22" s="19" t="n"/>
      <c r="N22" s="19" t="n"/>
      <c r="O22" s="19" t="n"/>
    </row>
    <row r="23" ht="15.75" customHeight="1" s="60">
      <c r="A23" s="18" t="n"/>
      <c r="B23" s="18" t="n"/>
      <c r="C23" s="18" t="n"/>
      <c r="D23" s="18" t="n"/>
      <c r="E23" s="18" t="n"/>
      <c r="F23" s="18" t="n"/>
      <c r="G23" s="18" t="n"/>
      <c r="H23" s="18" t="n"/>
      <c r="I23" s="18" t="n"/>
      <c r="J23" s="18" t="n"/>
      <c r="K23" s="18" t="n"/>
      <c r="L23" s="18" t="n"/>
      <c r="M23" s="18" t="n"/>
      <c r="N23" s="18" t="n"/>
      <c r="O23" s="18" t="n"/>
    </row>
    <row r="24" ht="15.75" customHeight="1" s="60">
      <c r="A24" s="19" t="n"/>
      <c r="B24" s="19" t="n"/>
      <c r="C24" s="19" t="n"/>
      <c r="D24" s="19" t="n"/>
      <c r="E24" s="19" t="n"/>
      <c r="F24" s="19" t="n"/>
      <c r="G24" s="19" t="n"/>
      <c r="H24" s="19" t="n"/>
      <c r="I24" s="19" t="n"/>
      <c r="J24" s="19" t="n"/>
      <c r="K24" s="19" t="n"/>
      <c r="L24" s="19" t="n"/>
      <c r="M24" s="19" t="n"/>
      <c r="N24" s="19" t="n"/>
      <c r="O24" s="19" t="n"/>
    </row>
    <row r="25" ht="15.75" customHeight="1" s="60">
      <c r="A25" s="18" t="n"/>
      <c r="B25" s="18" t="n"/>
      <c r="C25" s="18" t="n"/>
      <c r="D25" s="18" t="n"/>
      <c r="E25" s="18" t="n"/>
      <c r="F25" s="18" t="n"/>
      <c r="G25" s="18" t="n"/>
      <c r="H25" s="18" t="n"/>
      <c r="I25" s="18" t="n"/>
      <c r="J25" s="18" t="n"/>
      <c r="K25" s="18" t="n"/>
      <c r="L25" s="18" t="n"/>
      <c r="M25" s="18" t="n"/>
      <c r="N25" s="18" t="n"/>
      <c r="O25" s="18" t="n"/>
    </row>
    <row r="26" ht="15.75" customHeight="1" s="60">
      <c r="A26" s="19" t="n"/>
      <c r="B26" s="19" t="n"/>
      <c r="C26" s="19" t="n"/>
      <c r="D26" s="19" t="n"/>
      <c r="E26" s="19" t="n"/>
      <c r="F26" s="19" t="n"/>
      <c r="G26" s="19" t="n"/>
      <c r="H26" s="19" t="n"/>
      <c r="I26" s="19" t="n"/>
      <c r="J26" s="19" t="n"/>
      <c r="K26" s="19" t="n"/>
      <c r="L26" s="19" t="n"/>
      <c r="M26" s="19" t="n"/>
      <c r="N26" s="19" t="n"/>
      <c r="O26" s="19" t="n"/>
    </row>
    <row r="27" ht="15.75" customHeight="1" s="60">
      <c r="A27" s="18" t="n"/>
      <c r="B27" s="18" t="n"/>
      <c r="C27" s="18" t="n"/>
      <c r="D27" s="18" t="n"/>
      <c r="E27" s="18" t="n"/>
      <c r="F27" s="18" t="n"/>
      <c r="G27" s="18" t="n"/>
      <c r="H27" s="18" t="n"/>
      <c r="I27" s="18" t="n"/>
      <c r="J27" s="18" t="n"/>
      <c r="K27" s="18" t="n"/>
      <c r="L27" s="18" t="n"/>
      <c r="M27" s="18" t="n"/>
      <c r="N27" s="18" t="n"/>
      <c r="O27" s="18" t="n"/>
    </row>
    <row r="28" ht="15.75" customHeight="1" s="60">
      <c r="A28" s="19" t="n"/>
      <c r="B28" s="19" t="n"/>
      <c r="C28" s="19" t="n"/>
      <c r="D28" s="19" t="n"/>
      <c r="E28" s="19" t="n"/>
      <c r="F28" s="19" t="n"/>
      <c r="G28" s="19" t="n"/>
      <c r="H28" s="19" t="n"/>
      <c r="I28" s="19" t="n"/>
      <c r="J28" s="19" t="n"/>
      <c r="K28" s="19" t="n"/>
      <c r="L28" s="19" t="n"/>
      <c r="M28" s="19" t="n"/>
      <c r="N28" s="19" t="n"/>
      <c r="O28" s="19" t="n"/>
    </row>
    <row r="29" ht="15.75" customHeight="1" s="60">
      <c r="A29" s="18" t="n"/>
      <c r="B29" s="18" t="n"/>
      <c r="C29" s="18" t="n"/>
      <c r="D29" s="18" t="n"/>
      <c r="E29" s="18" t="n"/>
      <c r="F29" s="18" t="n"/>
      <c r="G29" s="18" t="n"/>
      <c r="H29" s="18" t="n"/>
      <c r="I29" s="18" t="n"/>
      <c r="J29" s="18" t="n"/>
      <c r="K29" s="18" t="n"/>
      <c r="L29" s="18" t="n"/>
      <c r="M29" s="18" t="n"/>
      <c r="N29" s="18" t="n"/>
      <c r="O29" s="18" t="n"/>
    </row>
    <row r="30" ht="15.75" customHeight="1" s="60">
      <c r="A30" s="19" t="n"/>
      <c r="B30" s="19" t="n"/>
      <c r="C30" s="19" t="n"/>
      <c r="D30" s="19" t="n"/>
      <c r="E30" s="19" t="n"/>
      <c r="F30" s="19" t="n"/>
      <c r="G30" s="19" t="n"/>
      <c r="H30" s="19" t="n"/>
      <c r="I30" s="19" t="n"/>
      <c r="J30" s="19" t="n"/>
      <c r="K30" s="19" t="n"/>
      <c r="L30" s="19" t="n"/>
      <c r="M30" s="19" t="n"/>
      <c r="N30" s="19" t="n"/>
      <c r="O30" s="19" t="n"/>
    </row>
    <row r="31" ht="15.75" customHeight="1" s="60">
      <c r="A31" s="18" t="n"/>
      <c r="B31" s="18" t="n"/>
      <c r="C31" s="18" t="n"/>
      <c r="D31" s="18" t="n"/>
      <c r="E31" s="18" t="n"/>
      <c r="F31" s="18" t="n"/>
      <c r="G31" s="18" t="n"/>
      <c r="H31" s="18" t="n"/>
      <c r="I31" s="18" t="n"/>
      <c r="J31" s="18" t="n"/>
      <c r="K31" s="18" t="n"/>
      <c r="L31" s="18" t="n"/>
      <c r="M31" s="18" t="n"/>
      <c r="N31" s="18" t="n"/>
      <c r="O31" s="18" t="n"/>
    </row>
    <row r="32" ht="15.75" customHeight="1" s="60">
      <c r="A32" s="19" t="n"/>
      <c r="B32" s="19" t="n"/>
      <c r="C32" s="19" t="n"/>
      <c r="D32" s="19" t="n"/>
      <c r="E32" s="19" t="n"/>
      <c r="F32" s="19" t="n"/>
      <c r="G32" s="19" t="n"/>
      <c r="H32" s="19" t="n"/>
      <c r="I32" s="19" t="n"/>
      <c r="J32" s="19" t="n"/>
      <c r="K32" s="19" t="n"/>
      <c r="L32" s="19" t="n"/>
      <c r="M32" s="19" t="n"/>
      <c r="N32" s="19" t="n"/>
      <c r="O32" s="19" t="n"/>
    </row>
    <row r="33" ht="15.75" customHeight="1" s="60">
      <c r="A33" s="18" t="n"/>
      <c r="B33" s="18" t="n"/>
      <c r="C33" s="18" t="n"/>
      <c r="D33" s="18" t="n"/>
      <c r="E33" s="18" t="n"/>
      <c r="F33" s="18" t="n"/>
      <c r="G33" s="18" t="n"/>
      <c r="H33" s="18" t="n"/>
      <c r="I33" s="18" t="n"/>
      <c r="J33" s="18" t="n"/>
      <c r="K33" s="18" t="n"/>
      <c r="L33" s="18" t="n"/>
      <c r="M33" s="18" t="n"/>
      <c r="N33" s="18" t="n"/>
      <c r="O33" s="18" t="n"/>
    </row>
    <row r="34" ht="15.75" customHeight="1" s="60">
      <c r="A34" s="19" t="n"/>
      <c r="B34" s="19" t="n"/>
      <c r="C34" s="19" t="n"/>
      <c r="D34" s="19" t="n"/>
      <c r="E34" s="19" t="n"/>
      <c r="F34" s="19" t="n"/>
      <c r="G34" s="19" t="n"/>
      <c r="H34" s="19" t="n"/>
      <c r="I34" s="19" t="n"/>
      <c r="J34" s="19" t="n"/>
      <c r="K34" s="19" t="n"/>
      <c r="L34" s="19" t="n"/>
      <c r="M34" s="19" t="n"/>
      <c r="N34" s="19" t="n"/>
      <c r="O34" s="19" t="n"/>
    </row>
    <row r="35" ht="15.75" customHeight="1" s="60">
      <c r="A35" s="18" t="n"/>
      <c r="B35" s="18" t="n"/>
      <c r="C35" s="18" t="n"/>
      <c r="D35" s="18" t="n"/>
      <c r="E35" s="18" t="n"/>
      <c r="F35" s="18" t="n"/>
      <c r="G35" s="18" t="n"/>
      <c r="H35" s="18" t="n"/>
      <c r="I35" s="18" t="n"/>
      <c r="J35" s="18" t="n"/>
      <c r="K35" s="18" t="n"/>
      <c r="L35" s="18" t="n"/>
      <c r="M35" s="18" t="n"/>
      <c r="N35" s="18" t="n"/>
      <c r="O35" s="18" t="n"/>
    </row>
    <row r="36" ht="15.75" customHeight="1" s="60">
      <c r="A36" s="19" t="n"/>
      <c r="B36" s="19" t="n"/>
      <c r="C36" s="19" t="n"/>
      <c r="D36" s="19" t="n"/>
      <c r="E36" s="19" t="n"/>
      <c r="F36" s="19" t="n"/>
      <c r="G36" s="19" t="n"/>
      <c r="H36" s="19" t="n"/>
      <c r="I36" s="19" t="n"/>
      <c r="J36" s="19" t="n"/>
      <c r="K36" s="19" t="n"/>
      <c r="L36" s="19" t="n"/>
      <c r="M36" s="19" t="n"/>
      <c r="N36" s="19" t="n"/>
      <c r="O36" s="19" t="n"/>
    </row>
    <row r="37" ht="15.75" customHeight="1" s="60">
      <c r="A37" s="18" t="n"/>
      <c r="B37" s="18" t="n"/>
      <c r="C37" s="18" t="n"/>
      <c r="D37" s="18" t="n"/>
      <c r="E37" s="18" t="n"/>
      <c r="F37" s="18" t="n"/>
      <c r="G37" s="18" t="n"/>
      <c r="H37" s="18" t="n"/>
      <c r="I37" s="18" t="n"/>
      <c r="J37" s="18" t="n"/>
      <c r="K37" s="18" t="n"/>
      <c r="L37" s="18" t="n"/>
      <c r="M37" s="18" t="n"/>
      <c r="N37" s="18" t="n"/>
      <c r="O37" s="18" t="n"/>
    </row>
    <row r="38" ht="15.75" customHeight="1" s="60">
      <c r="A38" s="19" t="n"/>
      <c r="B38" s="19" t="n"/>
      <c r="C38" s="19" t="n"/>
      <c r="D38" s="19" t="n"/>
      <c r="E38" s="19" t="n"/>
      <c r="F38" s="19" t="n"/>
      <c r="G38" s="19" t="n"/>
      <c r="H38" s="19" t="n"/>
      <c r="I38" s="19" t="n"/>
      <c r="J38" s="19" t="n"/>
      <c r="K38" s="19" t="n"/>
      <c r="L38" s="19" t="n"/>
      <c r="M38" s="19" t="n"/>
      <c r="N38" s="19" t="n"/>
      <c r="O38" s="19" t="n"/>
    </row>
    <row r="39" ht="15.75" customHeight="1" s="60">
      <c r="A39" s="18" t="n"/>
      <c r="B39" s="18" t="n"/>
      <c r="C39" s="18" t="n"/>
      <c r="D39" s="18" t="n"/>
      <c r="E39" s="18" t="n"/>
      <c r="F39" s="18" t="n"/>
      <c r="G39" s="18" t="n"/>
      <c r="H39" s="18" t="n"/>
      <c r="I39" s="18" t="n"/>
      <c r="J39" s="18" t="n"/>
      <c r="K39" s="18" t="n"/>
      <c r="L39" s="18" t="n"/>
      <c r="M39" s="18" t="n"/>
      <c r="N39" s="18" t="n"/>
      <c r="O39" s="18" t="n"/>
    </row>
    <row r="40" ht="15.75" customHeight="1" s="60">
      <c r="A40" s="19" t="n"/>
      <c r="B40" s="19" t="n"/>
      <c r="C40" s="19" t="n"/>
      <c r="D40" s="19" t="n"/>
      <c r="E40" s="19" t="n"/>
      <c r="F40" s="19" t="n"/>
      <c r="G40" s="19" t="n"/>
      <c r="H40" s="19" t="n"/>
      <c r="I40" s="19" t="n"/>
      <c r="J40" s="19" t="n"/>
      <c r="K40" s="19" t="n"/>
      <c r="L40" s="19" t="n"/>
      <c r="M40" s="19" t="n"/>
      <c r="N40" s="19" t="n"/>
      <c r="O40" s="19" t="n"/>
    </row>
    <row r="41" ht="15.75" customHeight="1" s="60">
      <c r="A41" s="18" t="n"/>
      <c r="B41" s="18" t="n"/>
      <c r="C41" s="18" t="n"/>
      <c r="D41" s="18" t="n"/>
      <c r="E41" s="18" t="n"/>
      <c r="F41" s="18" t="n"/>
      <c r="G41" s="18" t="n"/>
      <c r="H41" s="18" t="n"/>
      <c r="I41" s="18" t="n"/>
      <c r="J41" s="18" t="n"/>
      <c r="K41" s="18" t="n"/>
      <c r="L41" s="18" t="n"/>
      <c r="M41" s="18" t="n"/>
      <c r="N41" s="18" t="n"/>
      <c r="O41" s="18" t="n"/>
    </row>
    <row r="42" ht="15.75" customHeight="1" s="60">
      <c r="A42" s="19" t="n"/>
      <c r="B42" s="19" t="n"/>
      <c r="C42" s="19" t="n"/>
      <c r="D42" s="19" t="n"/>
      <c r="E42" s="19" t="n"/>
      <c r="F42" s="19" t="n"/>
      <c r="G42" s="19" t="n"/>
      <c r="H42" s="19" t="n"/>
      <c r="I42" s="19" t="n"/>
      <c r="J42" s="19" t="n"/>
      <c r="K42" s="19" t="n"/>
      <c r="L42" s="19" t="n"/>
      <c r="M42" s="19" t="n"/>
      <c r="N42" s="19" t="n"/>
      <c r="O42" s="19" t="n"/>
    </row>
    <row r="43" ht="15.75" customHeight="1" s="60">
      <c r="A43" s="18" t="n"/>
      <c r="B43" s="18" t="n"/>
      <c r="C43" s="18" t="n"/>
      <c r="D43" s="18" t="n"/>
      <c r="E43" s="18" t="n"/>
      <c r="F43" s="18" t="n"/>
      <c r="G43" s="18" t="n"/>
      <c r="H43" s="18" t="n"/>
      <c r="I43" s="18" t="n"/>
      <c r="J43" s="18" t="n"/>
      <c r="K43" s="18" t="n"/>
      <c r="L43" s="18" t="n"/>
      <c r="M43" s="18" t="n"/>
      <c r="N43" s="18" t="n"/>
      <c r="O43" s="18" t="n"/>
    </row>
    <row r="44" ht="15.75" customHeight="1" s="60">
      <c r="A44" s="19" t="n"/>
      <c r="B44" s="19" t="n"/>
      <c r="C44" s="19" t="n"/>
      <c r="D44" s="19" t="n"/>
      <c r="E44" s="19" t="n"/>
      <c r="F44" s="19" t="n"/>
      <c r="G44" s="19" t="n"/>
      <c r="H44" s="19" t="n"/>
      <c r="I44" s="19" t="n"/>
      <c r="J44" s="19" t="n"/>
      <c r="K44" s="19" t="n"/>
      <c r="L44" s="19" t="n"/>
      <c r="M44" s="19" t="n"/>
      <c r="N44" s="19" t="n"/>
      <c r="O44" s="19" t="n"/>
    </row>
    <row r="45" ht="15.75" customHeight="1" s="60">
      <c r="A45" s="18" t="n"/>
      <c r="B45" s="18" t="n"/>
      <c r="C45" s="18" t="n"/>
      <c r="D45" s="18" t="n"/>
      <c r="E45" s="18" t="n"/>
      <c r="F45" s="18" t="n"/>
      <c r="G45" s="18" t="n"/>
      <c r="H45" s="18" t="n"/>
      <c r="I45" s="18" t="n"/>
      <c r="J45" s="18" t="n"/>
      <c r="K45" s="18" t="n"/>
      <c r="L45" s="18" t="n"/>
      <c r="M45" s="18" t="n"/>
      <c r="N45" s="18" t="n"/>
      <c r="O45" s="18" t="n"/>
    </row>
    <row r="46" ht="15.75" customHeight="1" s="60">
      <c r="A46" s="19" t="n"/>
      <c r="B46" s="19" t="n"/>
      <c r="C46" s="19" t="n"/>
      <c r="D46" s="19" t="n"/>
      <c r="E46" s="19" t="n"/>
      <c r="F46" s="19" t="n"/>
      <c r="G46" s="19" t="n"/>
      <c r="H46" s="19" t="n"/>
      <c r="I46" s="19" t="n"/>
      <c r="J46" s="19" t="n"/>
      <c r="K46" s="19" t="n"/>
      <c r="L46" s="19" t="n"/>
      <c r="M46" s="19" t="n"/>
      <c r="N46" s="19" t="n"/>
      <c r="O46" s="19" t="n"/>
    </row>
    <row r="47" ht="15.75" customHeight="1" s="60">
      <c r="A47" s="18" t="n"/>
      <c r="B47" s="18" t="n"/>
      <c r="C47" s="18" t="n"/>
      <c r="D47" s="18" t="n"/>
      <c r="E47" s="18" t="n"/>
      <c r="F47" s="18" t="n"/>
      <c r="G47" s="18" t="n"/>
      <c r="H47" s="18" t="n"/>
      <c r="I47" s="18" t="n"/>
      <c r="J47" s="18" t="n"/>
      <c r="K47" s="18" t="n"/>
      <c r="L47" s="18" t="n"/>
      <c r="M47" s="18" t="n"/>
      <c r="N47" s="18" t="n"/>
      <c r="O47" s="18" t="n"/>
    </row>
    <row r="48" ht="15.75" customHeight="1" s="60">
      <c r="A48" s="19" t="n"/>
      <c r="B48" s="19" t="n"/>
      <c r="C48" s="19" t="n"/>
      <c r="D48" s="19" t="n"/>
      <c r="E48" s="19" t="n"/>
      <c r="F48" s="19" t="n"/>
      <c r="G48" s="19" t="n"/>
      <c r="H48" s="19" t="n"/>
      <c r="I48" s="19" t="n"/>
      <c r="J48" s="19" t="n"/>
      <c r="K48" s="19" t="n"/>
      <c r="L48" s="19" t="n"/>
      <c r="M48" s="19" t="n"/>
      <c r="N48" s="19" t="n"/>
      <c r="O48" s="19" t="n"/>
    </row>
    <row r="49" ht="15.75" customHeight="1" s="60">
      <c r="A49" s="18" t="n"/>
      <c r="B49" s="18" t="n"/>
      <c r="C49" s="18" t="n"/>
      <c r="D49" s="18" t="n"/>
      <c r="E49" s="18" t="n"/>
      <c r="F49" s="18" t="n"/>
      <c r="G49" s="18" t="n"/>
      <c r="H49" s="18" t="n"/>
      <c r="I49" s="18" t="n"/>
      <c r="J49" s="18" t="n"/>
      <c r="K49" s="18" t="n"/>
      <c r="L49" s="18" t="n"/>
      <c r="M49" s="18" t="n"/>
      <c r="N49" s="18" t="n"/>
      <c r="O49" s="18" t="n"/>
    </row>
    <row r="50" ht="15.75" customHeight="1" s="60">
      <c r="A50" s="19" t="n"/>
      <c r="B50" s="19" t="n"/>
      <c r="C50" s="19" t="n"/>
      <c r="D50" s="19" t="n"/>
      <c r="E50" s="19" t="n"/>
      <c r="F50" s="19" t="n"/>
      <c r="G50" s="19" t="n"/>
      <c r="H50" s="19" t="n"/>
      <c r="I50" s="19" t="n"/>
      <c r="J50" s="19" t="n"/>
      <c r="K50" s="19" t="n"/>
      <c r="L50" s="19" t="n"/>
      <c r="M50" s="19" t="n"/>
      <c r="N50" s="19" t="n"/>
      <c r="O50" s="19" t="n"/>
    </row>
    <row r="51" ht="15.75" customHeight="1" s="60">
      <c r="A51" s="18" t="n"/>
      <c r="B51" s="18" t="n"/>
      <c r="C51" s="18" t="n"/>
      <c r="D51" s="18" t="n"/>
      <c r="E51" s="18" t="n"/>
      <c r="F51" s="18" t="n"/>
      <c r="G51" s="18" t="n"/>
      <c r="H51" s="18" t="n"/>
      <c r="I51" s="18" t="n"/>
      <c r="J51" s="18" t="n"/>
      <c r="K51" s="18" t="n"/>
      <c r="L51" s="18" t="n"/>
      <c r="M51" s="18" t="n"/>
      <c r="N51" s="18" t="n"/>
      <c r="O51" s="18" t="n"/>
    </row>
    <row r="52" ht="15.75" customHeight="1" s="60">
      <c r="A52" s="19" t="n"/>
      <c r="B52" s="19" t="n"/>
      <c r="C52" s="19" t="n"/>
      <c r="D52" s="19" t="n"/>
      <c r="E52" s="19" t="n"/>
      <c r="F52" s="19" t="n"/>
      <c r="G52" s="19" t="n"/>
      <c r="H52" s="19" t="n"/>
      <c r="I52" s="19" t="n"/>
      <c r="J52" s="19" t="n"/>
      <c r="K52" s="19" t="n"/>
      <c r="L52" s="19" t="n"/>
      <c r="M52" s="19" t="n"/>
      <c r="N52" s="19" t="n"/>
      <c r="O52" s="19" t="n"/>
    </row>
    <row r="53" ht="15.75" customHeight="1" s="60">
      <c r="A53" s="18" t="n"/>
      <c r="B53" s="18" t="n"/>
      <c r="C53" s="18" t="n"/>
      <c r="D53" s="18" t="n"/>
      <c r="E53" s="18" t="n"/>
      <c r="F53" s="18" t="n"/>
      <c r="G53" s="18" t="n"/>
      <c r="H53" s="18" t="n"/>
      <c r="I53" s="18" t="n"/>
      <c r="J53" s="18" t="n"/>
      <c r="K53" s="18" t="n"/>
      <c r="L53" s="18" t="n"/>
      <c r="M53" s="18" t="n"/>
      <c r="N53" s="18" t="n"/>
      <c r="O53" s="18" t="n"/>
    </row>
    <row r="54" ht="15.75" customHeight="1" s="60">
      <c r="A54" s="19" t="n"/>
      <c r="B54" s="19" t="n"/>
      <c r="C54" s="19" t="n"/>
      <c r="D54" s="19" t="n"/>
      <c r="E54" s="19" t="n"/>
      <c r="F54" s="19" t="n"/>
      <c r="G54" s="19" t="n"/>
      <c r="H54" s="19" t="n"/>
      <c r="I54" s="19" t="n"/>
      <c r="J54" s="19" t="n"/>
      <c r="K54" s="19" t="n"/>
      <c r="L54" s="19" t="n"/>
      <c r="M54" s="19" t="n"/>
      <c r="N54" s="19" t="n"/>
      <c r="O54" s="19" t="n"/>
    </row>
    <row r="55" ht="15.75" customHeight="1" s="60">
      <c r="A55" s="18" t="n"/>
      <c r="B55" s="18" t="n"/>
      <c r="C55" s="18" t="n"/>
      <c r="D55" s="18" t="n"/>
      <c r="E55" s="18" t="n"/>
      <c r="F55" s="18" t="n"/>
      <c r="G55" s="18" t="n"/>
      <c r="H55" s="18" t="n"/>
      <c r="I55" s="18" t="n"/>
      <c r="J55" s="18" t="n"/>
      <c r="K55" s="18" t="n"/>
      <c r="L55" s="18" t="n"/>
      <c r="M55" s="18" t="n"/>
      <c r="N55" s="18" t="n"/>
      <c r="O55" s="18" t="n"/>
    </row>
    <row r="56" ht="15.75" customHeight="1" s="60">
      <c r="A56" s="19" t="n"/>
      <c r="B56" s="19" t="n"/>
      <c r="C56" s="19" t="n"/>
      <c r="D56" s="19" t="n"/>
      <c r="E56" s="19" t="n"/>
      <c r="F56" s="19" t="n"/>
      <c r="G56" s="19" t="n"/>
      <c r="H56" s="19" t="n"/>
      <c r="I56" s="19" t="n"/>
      <c r="J56" s="19" t="n"/>
      <c r="K56" s="19" t="n"/>
      <c r="L56" s="19" t="n"/>
      <c r="M56" s="19" t="n"/>
      <c r="N56" s="19" t="n"/>
      <c r="O56" s="19" t="n"/>
    </row>
    <row r="57" ht="15.75" customHeight="1" s="60">
      <c r="A57" s="18" t="n"/>
      <c r="B57" s="18" t="n"/>
      <c r="C57" s="18" t="n"/>
      <c r="D57" s="18" t="n"/>
      <c r="E57" s="18" t="n"/>
      <c r="F57" s="18" t="n"/>
      <c r="G57" s="18" t="n"/>
      <c r="H57" s="18" t="n"/>
      <c r="I57" s="18" t="n"/>
      <c r="J57" s="18" t="n"/>
      <c r="K57" s="18" t="n"/>
      <c r="L57" s="18" t="n"/>
      <c r="M57" s="18" t="n"/>
      <c r="N57" s="18" t="n"/>
      <c r="O57" s="18" t="n"/>
    </row>
    <row r="58" ht="15.75" customHeight="1" s="60">
      <c r="A58" s="19" t="n"/>
      <c r="B58" s="19" t="n"/>
      <c r="C58" s="19" t="n"/>
      <c r="D58" s="19" t="n"/>
      <c r="E58" s="19" t="n"/>
      <c r="F58" s="19" t="n"/>
      <c r="G58" s="19" t="n"/>
      <c r="H58" s="19" t="n"/>
      <c r="I58" s="19" t="n"/>
      <c r="J58" s="19" t="n"/>
      <c r="K58" s="19" t="n"/>
      <c r="L58" s="19" t="n"/>
      <c r="M58" s="19" t="n"/>
      <c r="N58" s="19" t="n"/>
      <c r="O58" s="19" t="n"/>
    </row>
    <row r="59" ht="15.75" customHeight="1" s="60">
      <c r="A59" s="18" t="n"/>
      <c r="B59" s="18" t="n"/>
      <c r="C59" s="18" t="n"/>
      <c r="D59" s="18" t="n"/>
      <c r="E59" s="18" t="n"/>
      <c r="F59" s="18" t="n"/>
      <c r="G59" s="18" t="n"/>
      <c r="H59" s="18" t="n"/>
      <c r="I59" s="18" t="n"/>
      <c r="J59" s="18" t="n"/>
      <c r="K59" s="18" t="n"/>
      <c r="L59" s="18" t="n"/>
      <c r="M59" s="18" t="n"/>
      <c r="N59" s="18" t="n"/>
      <c r="O59" s="18" t="n"/>
    </row>
    <row r="60" ht="15.75" customHeight="1" s="60">
      <c r="A60" s="19" t="n"/>
      <c r="B60" s="19" t="n"/>
      <c r="C60" s="19" t="n"/>
      <c r="D60" s="19" t="n"/>
      <c r="E60" s="19" t="n"/>
      <c r="F60" s="19" t="n"/>
      <c r="G60" s="19" t="n"/>
      <c r="H60" s="19" t="n"/>
      <c r="I60" s="19" t="n"/>
      <c r="J60" s="19" t="n"/>
      <c r="K60" s="19" t="n"/>
      <c r="L60" s="19" t="n"/>
      <c r="M60" s="19" t="n"/>
      <c r="N60" s="19" t="n"/>
      <c r="O60" s="19" t="n"/>
    </row>
    <row r="61" ht="15.75" customHeight="1" s="60">
      <c r="A61" s="18" t="n"/>
      <c r="B61" s="18" t="n"/>
      <c r="C61" s="18" t="n"/>
      <c r="D61" s="18" t="n"/>
      <c r="E61" s="18" t="n"/>
      <c r="F61" s="18" t="n"/>
      <c r="G61" s="18" t="n"/>
      <c r="H61" s="18" t="n"/>
      <c r="I61" s="18" t="n"/>
      <c r="J61" s="18" t="n"/>
      <c r="K61" s="18" t="n"/>
      <c r="L61" s="18" t="n"/>
      <c r="M61" s="18" t="n"/>
      <c r="N61" s="18" t="n"/>
      <c r="O61" s="18" t="n"/>
    </row>
    <row r="62" ht="15.75" customHeight="1" s="60">
      <c r="A62" s="19" t="n"/>
      <c r="B62" s="19" t="n"/>
      <c r="C62" s="19" t="n"/>
      <c r="D62" s="19" t="n"/>
      <c r="E62" s="19" t="n"/>
      <c r="F62" s="19" t="n"/>
      <c r="G62" s="19" t="n"/>
      <c r="H62" s="19" t="n"/>
      <c r="I62" s="19" t="n"/>
      <c r="J62" s="19" t="n"/>
      <c r="K62" s="19" t="n"/>
      <c r="L62" s="19" t="n"/>
      <c r="M62" s="19" t="n"/>
      <c r="N62" s="19" t="n"/>
      <c r="O62" s="19" t="n"/>
    </row>
    <row r="63" ht="15.75" customHeight="1" s="60">
      <c r="A63" s="18" t="n"/>
      <c r="B63" s="18" t="n"/>
      <c r="C63" s="18" t="n"/>
      <c r="D63" s="18" t="n"/>
      <c r="E63" s="18" t="n"/>
      <c r="F63" s="18" t="n"/>
      <c r="G63" s="18" t="n"/>
      <c r="H63" s="18" t="n"/>
      <c r="I63" s="18" t="n"/>
      <c r="J63" s="18" t="n"/>
      <c r="K63" s="18" t="n"/>
      <c r="L63" s="18" t="n"/>
      <c r="M63" s="18" t="n"/>
      <c r="N63" s="18" t="n"/>
      <c r="O63" s="18" t="n"/>
    </row>
    <row r="64" ht="15.75" customHeight="1" s="60">
      <c r="A64" s="19" t="n"/>
      <c r="B64" s="19" t="n"/>
      <c r="C64" s="19" t="n"/>
      <c r="D64" s="19" t="n"/>
      <c r="E64" s="19" t="n"/>
      <c r="F64" s="19" t="n"/>
      <c r="G64" s="19" t="n"/>
      <c r="H64" s="19" t="n"/>
      <c r="I64" s="19" t="n"/>
      <c r="J64" s="19" t="n"/>
      <c r="K64" s="19" t="n"/>
      <c r="L64" s="19" t="n"/>
      <c r="M64" s="19" t="n"/>
      <c r="N64" s="19" t="n"/>
      <c r="O64" s="19" t="n"/>
    </row>
    <row r="65" ht="15.75" customHeight="1" s="60">
      <c r="A65" s="18" t="n"/>
      <c r="B65" s="18" t="n"/>
      <c r="C65" s="18" t="n"/>
      <c r="D65" s="18" t="n"/>
      <c r="E65" s="18" t="n"/>
      <c r="F65" s="18" t="n"/>
      <c r="G65" s="18" t="n"/>
      <c r="H65" s="18" t="n"/>
      <c r="I65" s="18" t="n"/>
      <c r="J65" s="18" t="n"/>
      <c r="K65" s="18" t="n"/>
      <c r="L65" s="18" t="n"/>
      <c r="M65" s="18" t="n"/>
      <c r="N65" s="18" t="n"/>
      <c r="O65" s="18" t="n"/>
    </row>
    <row r="66" ht="15.75" customHeight="1" s="60">
      <c r="A66" s="19" t="n"/>
      <c r="B66" s="19" t="n"/>
      <c r="C66" s="19" t="n"/>
      <c r="D66" s="19" t="n"/>
      <c r="E66" s="19" t="n"/>
      <c r="F66" s="19" t="n"/>
      <c r="G66" s="19" t="n"/>
      <c r="H66" s="19" t="n"/>
      <c r="I66" s="19" t="n"/>
      <c r="J66" s="19" t="n"/>
      <c r="K66" s="19" t="n"/>
      <c r="L66" s="19" t="n"/>
      <c r="M66" s="19" t="n"/>
      <c r="N66" s="19" t="n"/>
      <c r="O66" s="19" t="n"/>
    </row>
    <row r="67" ht="15.75" customHeight="1" s="60">
      <c r="A67" s="18" t="n"/>
      <c r="B67" s="18" t="n"/>
      <c r="C67" s="18" t="n"/>
      <c r="D67" s="18" t="n"/>
      <c r="E67" s="18" t="n"/>
      <c r="F67" s="18" t="n"/>
      <c r="G67" s="18" t="n"/>
      <c r="H67" s="18" t="n"/>
      <c r="I67" s="18" t="n"/>
      <c r="J67" s="18" t="n"/>
      <c r="K67" s="18" t="n"/>
      <c r="L67" s="18" t="n"/>
      <c r="M67" s="18" t="n"/>
      <c r="N67" s="18" t="n"/>
      <c r="O67" s="18" t="n"/>
    </row>
    <row r="68" ht="15.75" customHeight="1" s="60">
      <c r="A68" s="19" t="n"/>
      <c r="B68" s="19" t="n"/>
      <c r="C68" s="19" t="n"/>
      <c r="D68" s="19" t="n"/>
      <c r="E68" s="19" t="n"/>
      <c r="F68" s="19" t="n"/>
      <c r="G68" s="19" t="n"/>
      <c r="H68" s="19" t="n"/>
      <c r="I68" s="19" t="n"/>
      <c r="J68" s="19" t="n"/>
      <c r="K68" s="19" t="n"/>
      <c r="L68" s="19" t="n"/>
      <c r="M68" s="19" t="n"/>
      <c r="N68" s="19" t="n"/>
      <c r="O68" s="19" t="n"/>
    </row>
    <row r="69" ht="15.75" customHeight="1" s="60">
      <c r="A69" s="18" t="n"/>
      <c r="B69" s="18" t="n"/>
      <c r="C69" s="18" t="n"/>
      <c r="D69" s="18" t="n"/>
      <c r="E69" s="18" t="n"/>
      <c r="F69" s="18" t="n"/>
      <c r="G69" s="18" t="n"/>
      <c r="H69" s="18" t="n"/>
      <c r="I69" s="18" t="n"/>
      <c r="J69" s="18" t="n"/>
      <c r="K69" s="18" t="n"/>
      <c r="L69" s="18" t="n"/>
      <c r="M69" s="18" t="n"/>
      <c r="N69" s="18" t="n"/>
      <c r="O69" s="18" t="n"/>
    </row>
    <row r="70" ht="15.75" customHeight="1" s="60">
      <c r="A70" s="19" t="n"/>
      <c r="B70" s="19" t="n"/>
      <c r="C70" s="19" t="n"/>
      <c r="D70" s="19" t="n"/>
      <c r="E70" s="19" t="n"/>
      <c r="F70" s="19" t="n"/>
      <c r="G70" s="19" t="n"/>
      <c r="H70" s="19" t="n"/>
      <c r="I70" s="19" t="n"/>
      <c r="J70" s="19" t="n"/>
      <c r="K70" s="19" t="n"/>
      <c r="L70" s="19" t="n"/>
      <c r="M70" s="19" t="n"/>
      <c r="N70" s="19" t="n"/>
      <c r="O70" s="19" t="n"/>
    </row>
    <row r="71" ht="15.75" customHeight="1" s="60">
      <c r="A71" s="18" t="n"/>
      <c r="B71" s="18" t="n"/>
      <c r="C71" s="18" t="n"/>
      <c r="D71" s="18" t="n"/>
      <c r="E71" s="18" t="n"/>
      <c r="F71" s="18" t="n"/>
      <c r="G71" s="18" t="n"/>
      <c r="H71" s="18" t="n"/>
      <c r="I71" s="18" t="n"/>
      <c r="J71" s="18" t="n"/>
      <c r="K71" s="18" t="n"/>
      <c r="L71" s="18" t="n"/>
      <c r="M71" s="18" t="n"/>
      <c r="N71" s="18" t="n"/>
      <c r="O71" s="18" t="n"/>
    </row>
    <row r="72" ht="15.75" customHeight="1" s="60">
      <c r="A72" s="19" t="n"/>
      <c r="B72" s="19" t="n"/>
      <c r="C72" s="19" t="n"/>
      <c r="D72" s="19" t="n"/>
      <c r="E72" s="19" t="n"/>
      <c r="F72" s="19" t="n"/>
      <c r="G72" s="19" t="n"/>
      <c r="H72" s="19" t="n"/>
      <c r="I72" s="19" t="n"/>
      <c r="J72" s="19" t="n"/>
      <c r="K72" s="19" t="n"/>
      <c r="L72" s="19" t="n"/>
      <c r="M72" s="19" t="n"/>
      <c r="N72" s="19" t="n"/>
      <c r="O72" s="19" t="n"/>
    </row>
    <row r="73" ht="15.75" customHeight="1" s="60">
      <c r="A73" s="18" t="n"/>
      <c r="B73" s="18" t="n"/>
      <c r="C73" s="18" t="n"/>
      <c r="D73" s="18" t="n"/>
      <c r="E73" s="18" t="n"/>
      <c r="F73" s="18" t="n"/>
      <c r="G73" s="18" t="n"/>
      <c r="H73" s="18" t="n"/>
      <c r="I73" s="18" t="n"/>
      <c r="J73" s="18" t="n"/>
      <c r="K73" s="18" t="n"/>
      <c r="L73" s="18" t="n"/>
      <c r="M73" s="18" t="n"/>
      <c r="N73" s="18" t="n"/>
      <c r="O73" s="18" t="n"/>
    </row>
    <row r="74" ht="15.75" customHeight="1" s="60">
      <c r="A74" s="19" t="n"/>
      <c r="B74" s="19" t="n"/>
      <c r="C74" s="19" t="n"/>
      <c r="D74" s="19" t="n"/>
      <c r="E74" s="19" t="n"/>
      <c r="F74" s="19" t="n"/>
      <c r="G74" s="19" t="n"/>
      <c r="H74" s="19" t="n"/>
      <c r="I74" s="19" t="n"/>
      <c r="J74" s="19" t="n"/>
      <c r="K74" s="19" t="n"/>
      <c r="L74" s="19" t="n"/>
      <c r="M74" s="19" t="n"/>
      <c r="N74" s="19" t="n"/>
      <c r="O74" s="19" t="n"/>
    </row>
    <row r="75" ht="15.75" customHeight="1" s="60">
      <c r="A75" s="18" t="n"/>
      <c r="B75" s="18" t="n"/>
      <c r="C75" s="18" t="n"/>
      <c r="D75" s="18" t="n"/>
      <c r="E75" s="18" t="n"/>
      <c r="F75" s="18" t="n"/>
      <c r="G75" s="18" t="n"/>
      <c r="H75" s="18" t="n"/>
      <c r="I75" s="18" t="n"/>
      <c r="J75" s="18" t="n"/>
      <c r="K75" s="18" t="n"/>
      <c r="L75" s="18" t="n"/>
      <c r="M75" s="18" t="n"/>
      <c r="N75" s="18" t="n"/>
      <c r="O75" s="18" t="n"/>
    </row>
    <row r="76" ht="15.75" customHeight="1" s="60">
      <c r="A76" s="19" t="n"/>
      <c r="B76" s="19" t="n"/>
      <c r="C76" s="19" t="n"/>
      <c r="D76" s="19" t="n"/>
      <c r="E76" s="19" t="n"/>
      <c r="F76" s="19" t="n"/>
      <c r="G76" s="19" t="n"/>
      <c r="H76" s="19" t="n"/>
      <c r="I76" s="19" t="n"/>
      <c r="J76" s="19" t="n"/>
      <c r="K76" s="19" t="n"/>
      <c r="L76" s="19" t="n"/>
      <c r="M76" s="19" t="n"/>
      <c r="N76" s="19" t="n"/>
      <c r="O76" s="19" t="n"/>
    </row>
    <row r="77" ht="15.75" customHeight="1" s="60">
      <c r="A77" s="18" t="n"/>
      <c r="B77" s="18" t="n"/>
      <c r="C77" s="18" t="n"/>
      <c r="D77" s="18" t="n"/>
      <c r="E77" s="18" t="n"/>
      <c r="F77" s="18" t="n"/>
      <c r="G77" s="18" t="n"/>
      <c r="H77" s="18" t="n"/>
      <c r="I77" s="18" t="n"/>
      <c r="J77" s="18" t="n"/>
      <c r="K77" s="18" t="n"/>
      <c r="L77" s="18" t="n"/>
      <c r="M77" s="18" t="n"/>
      <c r="N77" s="18" t="n"/>
      <c r="O77" s="18" t="n"/>
    </row>
    <row r="78" ht="15.75" customHeight="1" s="60">
      <c r="A78" s="19" t="n"/>
      <c r="B78" s="19" t="n"/>
      <c r="C78" s="19" t="n"/>
      <c r="D78" s="19" t="n"/>
      <c r="E78" s="19" t="n"/>
      <c r="F78" s="19" t="n"/>
      <c r="G78" s="19" t="n"/>
      <c r="H78" s="19" t="n"/>
      <c r="I78" s="19" t="n"/>
      <c r="J78" s="19" t="n"/>
      <c r="K78" s="19" t="n"/>
      <c r="L78" s="19" t="n"/>
      <c r="M78" s="19" t="n"/>
      <c r="N78" s="19" t="n"/>
      <c r="O78" s="19" t="n"/>
    </row>
    <row r="79" ht="15.75" customHeight="1" s="60">
      <c r="A79" s="18" t="n"/>
      <c r="B79" s="18" t="n"/>
      <c r="C79" s="18" t="n"/>
      <c r="D79" s="18" t="n"/>
      <c r="E79" s="18" t="n"/>
      <c r="F79" s="18" t="n"/>
      <c r="G79" s="18" t="n"/>
      <c r="H79" s="18" t="n"/>
      <c r="I79" s="18" t="n"/>
      <c r="J79" s="18" t="n"/>
      <c r="K79" s="18" t="n"/>
      <c r="L79" s="18" t="n"/>
      <c r="M79" s="18" t="n"/>
      <c r="N79" s="18" t="n"/>
      <c r="O79" s="18" t="n"/>
    </row>
    <row r="80" ht="15.75" customHeight="1" s="60">
      <c r="A80" s="19" t="n"/>
      <c r="B80" s="19" t="n"/>
      <c r="C80" s="19" t="n"/>
      <c r="D80" s="19" t="n"/>
      <c r="E80" s="19" t="n"/>
      <c r="F80" s="19" t="n"/>
      <c r="G80" s="19" t="n"/>
      <c r="H80" s="19" t="n"/>
      <c r="I80" s="19" t="n"/>
      <c r="J80" s="19" t="n"/>
      <c r="K80" s="19" t="n"/>
      <c r="L80" s="19" t="n"/>
      <c r="M80" s="19" t="n"/>
      <c r="N80" s="19" t="n"/>
      <c r="O80" s="19" t="n"/>
    </row>
    <row r="81" ht="15.75" customHeight="1" s="60">
      <c r="A81" s="18" t="n"/>
      <c r="B81" s="18" t="n"/>
      <c r="C81" s="18" t="n"/>
      <c r="D81" s="18" t="n"/>
      <c r="E81" s="18" t="n"/>
      <c r="F81" s="18" t="n"/>
      <c r="G81" s="18" t="n"/>
      <c r="H81" s="18" t="n"/>
      <c r="I81" s="18" t="n"/>
      <c r="J81" s="18" t="n"/>
      <c r="K81" s="18" t="n"/>
      <c r="L81" s="18" t="n"/>
      <c r="M81" s="18" t="n"/>
      <c r="N81" s="18" t="n"/>
      <c r="O81" s="18" t="n"/>
    </row>
    <row r="82" ht="15.75" customHeight="1" s="60">
      <c r="A82" s="19" t="n"/>
      <c r="B82" s="19" t="n"/>
      <c r="C82" s="19" t="n"/>
      <c r="D82" s="19" t="n"/>
      <c r="E82" s="19" t="n"/>
      <c r="F82" s="19" t="n"/>
      <c r="G82" s="19" t="n"/>
      <c r="H82" s="19" t="n"/>
      <c r="I82" s="19" t="n"/>
      <c r="J82" s="19" t="n"/>
      <c r="K82" s="19" t="n"/>
      <c r="L82" s="19" t="n"/>
      <c r="M82" s="19" t="n"/>
      <c r="N82" s="19" t="n"/>
      <c r="O82" s="19" t="n"/>
    </row>
    <row r="83" ht="15.75" customHeight="1" s="60">
      <c r="A83" s="18" t="n"/>
      <c r="B83" s="18" t="n"/>
      <c r="C83" s="18" t="n"/>
      <c r="D83" s="18" t="n"/>
      <c r="E83" s="18" t="n"/>
      <c r="F83" s="18" t="n"/>
      <c r="G83" s="18" t="n"/>
      <c r="H83" s="18" t="n"/>
      <c r="I83" s="18" t="n"/>
      <c r="J83" s="18" t="n"/>
      <c r="K83" s="18" t="n"/>
      <c r="L83" s="18" t="n"/>
      <c r="M83" s="18" t="n"/>
      <c r="N83" s="18" t="n"/>
      <c r="O83" s="18" t="n"/>
    </row>
    <row r="84" ht="15.75" customHeight="1" s="60">
      <c r="A84" s="19" t="n"/>
      <c r="B84" s="19" t="n"/>
      <c r="C84" s="19" t="n"/>
      <c r="D84" s="19" t="n"/>
      <c r="E84" s="19" t="n"/>
      <c r="F84" s="19" t="n"/>
      <c r="G84" s="19" t="n"/>
      <c r="H84" s="19" t="n"/>
      <c r="I84" s="19" t="n"/>
      <c r="J84" s="19" t="n"/>
      <c r="K84" s="19" t="n"/>
      <c r="L84" s="19" t="n"/>
      <c r="M84" s="19" t="n"/>
      <c r="N84" s="19" t="n"/>
      <c r="O84" s="19" t="n"/>
    </row>
    <row r="85" ht="15.75" customHeight="1" s="60">
      <c r="A85" s="18" t="n"/>
      <c r="B85" s="18" t="n"/>
      <c r="C85" s="18" t="n"/>
      <c r="D85" s="18" t="n"/>
      <c r="E85" s="18" t="n"/>
      <c r="F85" s="18" t="n"/>
      <c r="G85" s="18" t="n"/>
      <c r="H85" s="18" t="n"/>
      <c r="I85" s="18" t="n"/>
      <c r="J85" s="18" t="n"/>
      <c r="K85" s="18" t="n"/>
      <c r="L85" s="18" t="n"/>
      <c r="M85" s="18" t="n"/>
      <c r="N85" s="18" t="n"/>
      <c r="O85" s="18" t="n"/>
    </row>
    <row r="86" ht="15.75" customHeight="1" s="60">
      <c r="A86" s="19" t="n"/>
      <c r="B86" s="19" t="n"/>
      <c r="C86" s="19" t="n"/>
      <c r="D86" s="19" t="n"/>
      <c r="E86" s="19" t="n"/>
      <c r="F86" s="19" t="n"/>
      <c r="G86" s="19" t="n"/>
      <c r="H86" s="19" t="n"/>
      <c r="I86" s="19" t="n"/>
      <c r="J86" s="19" t="n"/>
      <c r="K86" s="19" t="n"/>
      <c r="L86" s="19" t="n"/>
      <c r="M86" s="19" t="n"/>
      <c r="N86" s="19" t="n"/>
      <c r="O86" s="19" t="n"/>
    </row>
    <row r="87" ht="15.75" customHeight="1" s="60">
      <c r="A87" s="18" t="n"/>
      <c r="B87" s="18" t="n"/>
      <c r="C87" s="18" t="n"/>
      <c r="D87" s="18" t="n"/>
      <c r="E87" s="18" t="n"/>
      <c r="F87" s="18" t="n"/>
      <c r="G87" s="18" t="n"/>
      <c r="H87" s="18" t="n"/>
      <c r="I87" s="18" t="n"/>
      <c r="J87" s="18" t="n"/>
      <c r="K87" s="18" t="n"/>
      <c r="L87" s="18" t="n"/>
      <c r="M87" s="18" t="n"/>
      <c r="N87" s="18" t="n"/>
      <c r="O87" s="18" t="n"/>
    </row>
    <row r="88" ht="15.75" customHeight="1" s="60">
      <c r="A88" s="19" t="n"/>
      <c r="B88" s="19" t="n"/>
      <c r="C88" s="19" t="n"/>
      <c r="D88" s="19" t="n"/>
      <c r="E88" s="19" t="n"/>
      <c r="F88" s="19" t="n"/>
      <c r="G88" s="19" t="n"/>
      <c r="H88" s="19" t="n"/>
      <c r="I88" s="19" t="n"/>
      <c r="J88" s="19" t="n"/>
      <c r="K88" s="19" t="n"/>
      <c r="L88" s="19" t="n"/>
      <c r="M88" s="19" t="n"/>
      <c r="N88" s="19" t="n"/>
      <c r="O88" s="19" t="n"/>
    </row>
    <row r="89" ht="15.75" customHeight="1" s="60">
      <c r="A89" s="18" t="n"/>
      <c r="B89" s="18" t="n"/>
      <c r="C89" s="18" t="n"/>
      <c r="D89" s="18" t="n"/>
      <c r="E89" s="18" t="n"/>
      <c r="F89" s="18" t="n"/>
      <c r="G89" s="18" t="n"/>
      <c r="H89" s="18" t="n"/>
      <c r="I89" s="18" t="n"/>
      <c r="J89" s="18" t="n"/>
      <c r="K89" s="18" t="n"/>
      <c r="L89" s="18" t="n"/>
      <c r="M89" s="18" t="n"/>
      <c r="N89" s="18" t="n"/>
      <c r="O89" s="18" t="n"/>
    </row>
    <row r="90" ht="15.75" customHeight="1" s="60">
      <c r="A90" s="19" t="n"/>
      <c r="B90" s="19" t="n"/>
      <c r="C90" s="19" t="n"/>
      <c r="D90" s="19" t="n"/>
      <c r="E90" s="19" t="n"/>
      <c r="F90" s="19" t="n"/>
      <c r="G90" s="19" t="n"/>
      <c r="H90" s="19" t="n"/>
      <c r="I90" s="19" t="n"/>
      <c r="J90" s="19" t="n"/>
      <c r="K90" s="19" t="n"/>
      <c r="L90" s="19" t="n"/>
      <c r="M90" s="19" t="n"/>
      <c r="N90" s="19" t="n"/>
      <c r="O90" s="19" t="n"/>
    </row>
    <row r="91" ht="15.75" customHeight="1" s="60">
      <c r="A91" s="18" t="n"/>
      <c r="B91" s="18" t="n"/>
      <c r="C91" s="18" t="n"/>
      <c r="D91" s="18" t="n"/>
      <c r="E91" s="18" t="n"/>
      <c r="F91" s="18" t="n"/>
      <c r="G91" s="18" t="n"/>
      <c r="H91" s="18" t="n"/>
      <c r="I91" s="18" t="n"/>
      <c r="J91" s="18" t="n"/>
      <c r="K91" s="18" t="n"/>
      <c r="L91" s="18" t="n"/>
      <c r="M91" s="18" t="n"/>
      <c r="N91" s="18" t="n"/>
      <c r="O91" s="18" t="n"/>
    </row>
    <row r="92" ht="15.75" customHeight="1" s="60">
      <c r="A92" s="19" t="n"/>
      <c r="B92" s="19" t="n"/>
      <c r="C92" s="19" t="n"/>
      <c r="D92" s="19" t="n"/>
      <c r="E92" s="19" t="n"/>
      <c r="F92" s="19" t="n"/>
      <c r="G92" s="19" t="n"/>
      <c r="H92" s="19" t="n"/>
      <c r="I92" s="19" t="n"/>
      <c r="J92" s="19" t="n"/>
      <c r="K92" s="19" t="n"/>
      <c r="L92" s="19" t="n"/>
      <c r="M92" s="19" t="n"/>
      <c r="N92" s="19" t="n"/>
      <c r="O92" s="19" t="n"/>
    </row>
    <row r="93" ht="15.75" customHeight="1" s="60">
      <c r="A93" s="18" t="n"/>
      <c r="B93" s="18" t="n"/>
      <c r="C93" s="18" t="n"/>
      <c r="D93" s="18" t="n"/>
      <c r="E93" s="18" t="n"/>
      <c r="F93" s="18" t="n"/>
      <c r="G93" s="18" t="n"/>
      <c r="H93" s="18" t="n"/>
      <c r="I93" s="18" t="n"/>
      <c r="J93" s="18" t="n"/>
      <c r="K93" s="18" t="n"/>
      <c r="L93" s="18" t="n"/>
      <c r="M93" s="18" t="n"/>
      <c r="N93" s="18" t="n"/>
      <c r="O93" s="18" t="n"/>
    </row>
    <row r="94" ht="15.75" customHeight="1" s="60">
      <c r="A94" s="19" t="n"/>
      <c r="B94" s="19" t="n"/>
      <c r="C94" s="19" t="n"/>
      <c r="D94" s="19" t="n"/>
      <c r="E94" s="19" t="n"/>
      <c r="F94" s="19" t="n"/>
      <c r="G94" s="19" t="n"/>
      <c r="H94" s="19" t="n"/>
      <c r="I94" s="19" t="n"/>
      <c r="J94" s="19" t="n"/>
      <c r="K94" s="19" t="n"/>
      <c r="L94" s="19" t="n"/>
      <c r="M94" s="19" t="n"/>
      <c r="N94" s="19" t="n"/>
      <c r="O94" s="19" t="n"/>
    </row>
    <row r="95" ht="15.75" customHeight="1" s="60">
      <c r="A95" s="18" t="n"/>
      <c r="B95" s="18" t="n"/>
      <c r="C95" s="18" t="n"/>
      <c r="D95" s="18" t="n"/>
      <c r="E95" s="18" t="n"/>
      <c r="F95" s="18" t="n"/>
      <c r="G95" s="18" t="n"/>
      <c r="H95" s="18" t="n"/>
      <c r="I95" s="18" t="n"/>
      <c r="J95" s="18" t="n"/>
      <c r="K95" s="18" t="n"/>
      <c r="L95" s="18" t="n"/>
      <c r="M95" s="18" t="n"/>
      <c r="N95" s="18" t="n"/>
      <c r="O95" s="18" t="n"/>
    </row>
    <row r="96" ht="15.75" customHeight="1" s="60">
      <c r="A96" s="19" t="n"/>
      <c r="B96" s="19" t="n"/>
      <c r="C96" s="19" t="n"/>
      <c r="D96" s="19" t="n"/>
      <c r="E96" s="19" t="n"/>
      <c r="F96" s="19" t="n"/>
      <c r="G96" s="19" t="n"/>
      <c r="H96" s="19" t="n"/>
      <c r="I96" s="19" t="n"/>
      <c r="J96" s="19" t="n"/>
      <c r="K96" s="19" t="n"/>
      <c r="L96" s="19" t="n"/>
      <c r="M96" s="19" t="n"/>
      <c r="N96" s="19" t="n"/>
      <c r="O96" s="19" t="n"/>
    </row>
    <row r="97" ht="15.75" customHeight="1" s="60">
      <c r="A97" s="18" t="n"/>
      <c r="B97" s="18" t="n"/>
      <c r="C97" s="18" t="n"/>
      <c r="D97" s="18" t="n"/>
      <c r="E97" s="18" t="n"/>
      <c r="F97" s="18" t="n"/>
      <c r="G97" s="18" t="n"/>
      <c r="H97" s="18" t="n"/>
      <c r="I97" s="18" t="n"/>
      <c r="J97" s="18" t="n"/>
      <c r="K97" s="18" t="n"/>
      <c r="L97" s="18" t="n"/>
      <c r="M97" s="18" t="n"/>
      <c r="N97" s="18" t="n"/>
      <c r="O97" s="18" t="n"/>
    </row>
    <row r="98" ht="15.75" customHeight="1" s="60">
      <c r="A98" s="19" t="n"/>
      <c r="B98" s="19" t="n"/>
      <c r="C98" s="19" t="n"/>
      <c r="D98" s="19" t="n"/>
      <c r="E98" s="19" t="n"/>
      <c r="F98" s="19" t="n"/>
      <c r="G98" s="19" t="n"/>
      <c r="H98" s="19" t="n"/>
      <c r="I98" s="19" t="n"/>
      <c r="J98" s="19" t="n"/>
      <c r="K98" s="19" t="n"/>
      <c r="L98" s="19" t="n"/>
      <c r="M98" s="19" t="n"/>
      <c r="N98" s="19" t="n"/>
      <c r="O98" s="19" t="n"/>
    </row>
    <row r="99" ht="15.75" customHeight="1" s="60">
      <c r="A99" s="18" t="n"/>
      <c r="B99" s="18" t="n"/>
      <c r="C99" s="18" t="n"/>
      <c r="D99" s="18" t="n"/>
      <c r="E99" s="18" t="n"/>
      <c r="F99" s="18" t="n"/>
      <c r="G99" s="18" t="n"/>
      <c r="H99" s="18" t="n"/>
      <c r="I99" s="18" t="n"/>
      <c r="J99" s="18" t="n"/>
      <c r="K99" s="18" t="n"/>
      <c r="L99" s="18" t="n"/>
      <c r="M99" s="18" t="n"/>
      <c r="N99" s="18" t="n"/>
      <c r="O99" s="18" t="n"/>
    </row>
    <row r="100" ht="15.75" customHeight="1" s="60">
      <c r="A100" s="19" t="n"/>
      <c r="B100" s="19" t="n"/>
      <c r="C100" s="19" t="n"/>
      <c r="D100" s="19" t="n"/>
      <c r="E100" s="19" t="n"/>
      <c r="F100" s="19" t="n"/>
      <c r="G100" s="19" t="n"/>
      <c r="H100" s="19" t="n"/>
      <c r="I100" s="19" t="n"/>
      <c r="J100" s="19" t="n"/>
      <c r="K100" s="19" t="n"/>
      <c r="L100" s="19" t="n"/>
      <c r="M100" s="19" t="n"/>
      <c r="N100" s="19" t="n"/>
      <c r="O100" s="19" t="n"/>
    </row>
    <row r="101" ht="15.75" customHeight="1" s="60">
      <c r="A101" s="18" t="n"/>
      <c r="B101" s="18" t="n"/>
      <c r="C101" s="18" t="n"/>
      <c r="D101" s="18" t="n"/>
      <c r="E101" s="18" t="n"/>
      <c r="F101" s="18" t="n"/>
      <c r="G101" s="18" t="n"/>
      <c r="H101" s="18" t="n"/>
      <c r="I101" s="18" t="n"/>
      <c r="J101" s="18" t="n"/>
      <c r="K101" s="18" t="n"/>
      <c r="L101" s="18" t="n"/>
      <c r="M101" s="18" t="n"/>
      <c r="N101" s="18" t="n"/>
      <c r="O101" s="18" t="n"/>
    </row>
    <row r="102" ht="15.75" customHeight="1" s="60">
      <c r="A102" s="19" t="n"/>
      <c r="B102" s="19" t="n"/>
      <c r="C102" s="19" t="n"/>
      <c r="D102" s="19" t="n"/>
      <c r="E102" s="19" t="n"/>
      <c r="F102" s="19" t="n"/>
      <c r="G102" s="19" t="n"/>
      <c r="H102" s="19" t="n"/>
      <c r="I102" s="19" t="n"/>
      <c r="J102" s="19" t="n"/>
      <c r="K102" s="19" t="n"/>
      <c r="L102" s="19" t="n"/>
      <c r="M102" s="19" t="n"/>
      <c r="N102" s="19" t="n"/>
      <c r="O102" s="19" t="n"/>
    </row>
  </sheetData>
  <mergeCells count="1">
    <mergeCell ref="A1:O1"/>
  </mergeCells>
  <dataValidations count="2">
    <dataValidation sqref="C3:C102" showDropDown="0" showInputMessage="0" showErrorMessage="0" allowBlank="1" type="list">
      <formula1>"Annual Report,Sustainability Report,TCFD Report,CSRD/ESRS Report,Assurance Statement,Regulatory Filing,Third-Party Source,News,NGO Report,Academic"</formula1>
      <formula2>0</formula2>
    </dataValidation>
    <dataValidation sqref="L3:L102" showDropDown="0" showInputMessage="0" showErrorMessage="0" allowBlank="1" type="list">
      <formula1>"Yes,No"</formula1>
      <formula2>0</formula2>
    </dataValidation>
  </dataValidation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E17"/>
  <sheetViews>
    <sheetView showGridLines="0" zoomScaleNormal="100" workbookViewId="0">
      <pane xSplit="1" ySplit="2" topLeftCell="B3" activePane="bottomRight" state="frozen"/>
      <selection pane="topRight" activeCell="B1" sqref="B1"/>
      <selection pane="bottomLeft" activeCell="A3" sqref="A3"/>
      <selection pane="bottomRight" activeCell="C6" sqref="C6"/>
    </sheetView>
  </sheetViews>
  <sheetFormatPr baseColWidth="10" defaultColWidth="8.6640625" defaultRowHeight="14"/>
  <cols>
    <col width="12" customWidth="1" style="57" min="1" max="1"/>
    <col width="28" customWidth="1" style="57" min="2" max="2"/>
    <col width="50" customWidth="1" style="57" min="3" max="3"/>
    <col width="40" customWidth="1" style="57" min="4" max="4"/>
    <col width="22" customWidth="1" style="57" min="5" max="5"/>
    <col width="8.6640625" customWidth="1" style="57" min="6" max="6"/>
    <col width="8.6640625" customWidth="1" style="57" min="7" max="16384"/>
  </cols>
  <sheetData>
    <row r="1" ht="27.75" customHeight="1" s="60">
      <c r="A1" s="56" t="inlineStr">
        <is>
          <t>FACTOR DEFINITIONS &amp; RATIONALE  |  Academic grounding for every screening dimension</t>
        </is>
      </c>
    </row>
    <row r="2">
      <c r="A2" s="16" t="inlineStr">
        <is>
          <t>Group</t>
        </is>
      </c>
      <c r="B2" s="16" t="inlineStr">
        <is>
          <t>Column Name</t>
        </is>
      </c>
      <c r="C2" s="16" t="inlineStr">
        <is>
          <t>Definition</t>
        </is>
      </c>
      <c r="D2" s="16" t="inlineStr">
        <is>
          <t>Why It Matters (Rationale)</t>
        </is>
      </c>
      <c r="E2" s="16" t="inlineStr">
        <is>
          <t>Regulatory / Academic Link</t>
        </is>
      </c>
    </row>
    <row r="3" ht="36" customHeight="1" s="60">
      <c r="A3" s="30" t="inlineStr">
        <is>
          <t>A</t>
        </is>
      </c>
      <c r="B3" s="3" t="inlineStr">
        <is>
          <t>Company Identifiers</t>
        </is>
      </c>
      <c r="C3" s="3" t="inlineStr">
        <is>
          <t>Full legal name, ticker, ISIN, country, BICS sector</t>
        </is>
      </c>
      <c r="D3" s="3" t="inlineStr">
        <is>
          <t>Ensures every row is traceable to a real, verifiable entity. ISIN is the gold standard for company identification in financial databases.</t>
        </is>
      </c>
      <c r="E3" s="3" t="inlineStr">
        <is>
          <t>STOXX Europe 600 universe</t>
        </is>
      </c>
    </row>
    <row r="4" ht="36" customHeight="1" s="60">
      <c r="A4" s="30" t="inlineStr">
        <is>
          <t>B</t>
        </is>
      </c>
      <c r="B4" s="5" t="inlineStr">
        <is>
          <t>Document Coverage</t>
        </is>
      </c>
      <c r="C4" s="5" t="inlineStr">
        <is>
          <t>Flags which sources have been reviewed for each company</t>
        </is>
      </c>
      <c r="D4" s="5" t="inlineStr">
        <is>
          <t>Models Berg et al. (2022) insight that ESG divergence is partly explained by disclosure gaps. Thin coverage is treated as a risk signal.</t>
        </is>
      </c>
      <c r="E4" s="5" t="inlineStr">
        <is>
          <t>Berg, Koelbel &amp; Rigobon (2022); IOSCO (2021)</t>
        </is>
      </c>
    </row>
    <row r="5" ht="36" customHeight="1" s="60">
      <c r="A5" s="30" t="inlineStr">
        <is>
          <t>C</t>
        </is>
      </c>
      <c r="B5" s="3" t="inlineStr">
        <is>
          <t>Climate Claim Credibility</t>
        </is>
      </c>
      <c r="C5" s="3" t="inlineStr">
        <is>
          <t>Net-zero targets, SBTi status, Scope 3, capex alignment</t>
        </is>
      </c>
      <c r="D5" s="3" t="inlineStr">
        <is>
          <t>Commitment without capital allocation is a promise without a plan. The capex column tests whether climate claims are financially real.</t>
        </is>
      </c>
      <c r="E5" s="3" t="inlineStr">
        <is>
          <t>PCAF; SBTi Standard; Bolton &amp; Kacperczyk (2021)</t>
        </is>
      </c>
    </row>
    <row r="6" ht="36" customHeight="1" s="60">
      <c r="A6" s="30" t="inlineStr">
        <is>
          <t>C</t>
        </is>
      </c>
      <c r="B6" s="5" t="inlineStr">
        <is>
          <t>SBTi Status</t>
        </is>
      </c>
      <c r="C6" s="5" t="inlineStr">
        <is>
          <t>Current Science Based Targets initiative status</t>
        </is>
      </c>
      <c r="D6" s="5" t="inlineStr">
        <is>
          <t>Distinguishes self-committed targets (anyone can commit) from independently validated targets (requires SBTi approval). A critical evidence-quality distinction.</t>
        </is>
      </c>
      <c r="E6" s="5" t="inlineStr">
        <is>
          <t>SBTi Corporate Net-Zero Standard</t>
        </is>
      </c>
    </row>
    <row r="7" ht="36" customHeight="1" s="60">
      <c r="A7" s="30" t="inlineStr">
        <is>
          <t>D</t>
        </is>
      </c>
      <c r="B7" s="3" t="inlineStr">
        <is>
          <t>ESG Safeguards</t>
        </is>
      </c>
      <c r="C7" s="3" t="inlineStr">
        <is>
          <t>UNGC/OECD compliance, HR policy, supply chain due diligence</t>
        </is>
      </c>
      <c r="D7" s="3" t="inlineStr">
        <is>
          <t>Article 9-style mandate requires 100% UNGC and OECD MNE compliance. Safeguard violations are hard exclusion triggers.</t>
        </is>
      </c>
      <c r="E7" s="3" t="inlineStr">
        <is>
          <t>SFDR Art. 4; UNGC 10 Principles; OECD MNE Guidelines</t>
        </is>
      </c>
    </row>
    <row r="8" ht="36" customHeight="1" s="60">
      <c r="A8" s="30" t="inlineStr">
        <is>
          <t>D</t>
        </is>
      </c>
      <c r="B8" s="5" t="inlineStr">
        <is>
          <t>ESG-Linked Exec Pay</t>
        </is>
      </c>
      <c r="C8" s="5" t="inlineStr">
        <is>
          <t>Whether ESG metrics drive executive compensation</t>
        </is>
      </c>
      <c r="D8" s="5" t="inlineStr">
        <is>
          <t>Boards that tie pay to ESG targets have stronger governance incentives to deliver. Dimson et al. (2015) link engagement quality to governance structure.</t>
        </is>
      </c>
      <c r="E8" s="5" t="inlineStr">
        <is>
          <t>Dimson, Karakas &amp; Li (2015)</t>
        </is>
      </c>
    </row>
    <row r="9" ht="48" customHeight="1" s="60">
      <c r="A9" s="30" t="inlineStr">
        <is>
          <t>E</t>
        </is>
      </c>
      <c r="B9" s="3" t="inlineStr">
        <is>
          <t>Biodiversity Policy</t>
        </is>
      </c>
      <c r="C9" s="3" t="inlineStr">
        <is>
          <t>Formal nature policy existence and quality</t>
        </is>
      </c>
      <c r="D9" s="3" t="inlineStr">
        <is>
          <t>Dasgupta (2021) established that economic decision-making must account for natural capital. A company with no biodiversity policy has no management framework for material nature risks.</t>
        </is>
      </c>
      <c r="E9" s="3" t="inlineStr">
        <is>
          <t>Dasgupta (2021); TNFD v1.0; ESRS E4</t>
        </is>
      </c>
    </row>
    <row r="10" ht="24" customHeight="1" s="60">
      <c r="A10" s="30" t="inlineStr">
        <is>
          <t>E</t>
        </is>
      </c>
      <c r="B10" s="5" t="inlineStr">
        <is>
          <t>PAI 7 Relevance</t>
        </is>
      </c>
      <c r="C10" s="5" t="inlineStr">
        <is>
          <t>SFDR PAI indicator on biodiversity-sensitive area revenue</t>
        </is>
      </c>
      <c r="D10" s="5" t="inlineStr">
        <is>
          <t>PAI 7 is a mandatory SFDR indicator. Its inclusion is non-negotiable for any Article 9-style fund claim.</t>
        </is>
      </c>
      <c r="E10" s="5" t="inlineStr">
        <is>
          <t>SFDR Del. Reg. (2022/1288), Annex I</t>
        </is>
      </c>
    </row>
    <row r="11" ht="36" customHeight="1" s="60">
      <c r="A11" s="30" t="inlineStr">
        <is>
          <t>E</t>
        </is>
      </c>
      <c r="B11" s="3" t="inlineStr">
        <is>
          <t>Sector Nature Risk Class</t>
        </is>
      </c>
      <c r="C11" s="3" t="inlineStr">
        <is>
          <t>ENCORE-based sector-level nature risk classification</t>
        </is>
      </c>
      <c r="D11" s="3" t="inlineStr">
        <is>
          <t>Sector exposure provides the prior risk assessment before company-level evidence modifies it. Critical sectors face a score penalty regardless of policy claims.</t>
        </is>
      </c>
      <c r="E11" s="3" t="inlineStr">
        <is>
          <t>ENCORE; WWF Biodiversity Risk Filter</t>
        </is>
      </c>
    </row>
    <row r="12" ht="36" customHeight="1" s="60">
      <c r="A12" s="30" t="inlineStr">
        <is>
          <t>F</t>
        </is>
      </c>
      <c r="B12" s="5" t="inlineStr">
        <is>
          <t>Taxonomy Eligibility vs Alignment</t>
        </is>
      </c>
      <c r="C12" s="5" t="inlineStr">
        <is>
          <t>Distinction between eligible revenue and aligned revenue</t>
        </is>
      </c>
      <c r="D12" s="5" t="inlineStr">
        <is>
          <t>EU Taxonomy Art. 3 defines eligibility; Art. 17 (DNSH) defines alignment. These are not the same. Treating eligibility as alignment is a common overclaiming error.</t>
        </is>
      </c>
      <c r="E12" s="5" t="inlineStr">
        <is>
          <t>EU Taxonomy Reg. 2020/852, Art. 3 &amp; 17</t>
        </is>
      </c>
    </row>
    <row r="13" ht="36" customHeight="1" s="60">
      <c r="A13" s="30" t="inlineStr">
        <is>
          <t>F</t>
        </is>
      </c>
      <c r="B13" s="3" t="inlineStr">
        <is>
          <t>DNSH Evidence</t>
        </is>
      </c>
      <c r="C13" s="3" t="inlineStr">
        <is>
          <t>Do No Significant Harm assessment documentation</t>
        </is>
      </c>
      <c r="D13" s="3" t="inlineStr">
        <is>
          <t>A Taxonomy-aligned activity must not significantly harm any of the six environmental objectives. Without DNSH evidence, alignment claims cannot be substantiated.</t>
        </is>
      </c>
      <c r="E13" s="3" t="inlineStr">
        <is>
          <t>EU Taxonomy Reg. 2020/852, Art. 17</t>
        </is>
      </c>
    </row>
    <row r="14" ht="36" customHeight="1" s="60">
      <c r="A14" s="30" t="inlineStr">
        <is>
          <t>G</t>
        </is>
      </c>
      <c r="B14" s="5" t="inlineStr">
        <is>
          <t>8-Test Result</t>
        </is>
      </c>
      <c r="C14" s="5" t="inlineStr">
        <is>
          <t>Greenwashing assessment across 8 dimensions</t>
        </is>
      </c>
      <c r="D14" s="5" t="inlineStr">
        <is>
          <t>Directly implements the Lecture 1 greenwashing framework. Each FAIL reduces the Greenwashing Risk Score materially. 6+ FAILs trigger a hard exclusion.</t>
        </is>
      </c>
      <c r="E14" s="5" t="inlineStr">
        <is>
          <t>Lecture 1 slides; SFDR PAI framework</t>
        </is>
      </c>
    </row>
    <row r="15" ht="48" customHeight="1" s="60">
      <c r="A15" s="30" t="inlineStr">
        <is>
          <t>G</t>
        </is>
      </c>
      <c r="B15" s="3" t="inlineStr">
        <is>
          <t>Test 8 Consistency</t>
        </is>
      </c>
      <c r="C15" s="3" t="inlineStr">
        <is>
          <t>Capital allocation vs stated sustainability position</t>
        </is>
      </c>
      <c r="D15" s="3" t="inlineStr">
        <is>
          <t>A company that claims climate leadership while directing 70%+ of capex to carbon-intensive expansion is making a false claim. This is the single most powerful greenwashing test.</t>
        </is>
      </c>
      <c r="E15" s="3" t="inlineStr">
        <is>
          <t>DWS case study; Lecture 1</t>
        </is>
      </c>
    </row>
    <row r="16" ht="48" customHeight="1" s="60">
      <c r="A16" s="30" t="inlineStr">
        <is>
          <t>H</t>
        </is>
      </c>
      <c r="B16" s="5" t="inlineStr">
        <is>
          <t>Evidence Quality Score</t>
        </is>
      </c>
      <c r="C16" s="5" t="inlineStr">
        <is>
          <t>Confidence modifier applied to all scores</t>
        </is>
      </c>
      <c r="D16" s="5" t="inlineStr">
        <is>
          <t>Weak evidence should not earn the same treatment as strong evidence. EQS as a multiplier ensures thin evidence genuinely degrades the assessment rather than averaging away.</t>
        </is>
      </c>
      <c r="E16" s="5" t="inlineStr">
        <is>
          <t>NIST AI RMF (2023); Berg et al. (2022)</t>
        </is>
      </c>
    </row>
    <row r="17" ht="36" customHeight="1" s="60">
      <c r="A17" s="30" t="inlineStr">
        <is>
          <t>H</t>
        </is>
      </c>
      <c r="B17" s="3" t="inlineStr">
        <is>
          <t>Verification Status</t>
        </is>
      </c>
      <c r="C17" s="3" t="inlineStr">
        <is>
          <t>Whether AI extractions have been manually checked</t>
        </is>
      </c>
      <c r="D17" s="3" t="inlineStr">
        <is>
          <t>Operationalises the assignment philosophy: "AI flags, humans decide, everything is logged." All Watchlist and Exclusion driving evidence is 100% verified by a human.</t>
        </is>
      </c>
      <c r="E17" s="3" t="inlineStr">
        <is>
          <t>NIST AI RMF; course anti-hallucination protocol</t>
        </is>
      </c>
    </row>
  </sheetData>
  <mergeCells count="1">
    <mergeCell ref="A1:E1"/>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C28"/>
  <sheetViews>
    <sheetView showGridLines="0" zoomScaleNormal="100" workbookViewId="0">
      <pane ySplit="2" topLeftCell="A3" activePane="bottomLeft" state="frozen"/>
      <selection pane="bottomLeft" activeCell="F15" sqref="F15"/>
    </sheetView>
  </sheetViews>
  <sheetFormatPr baseColWidth="10" defaultColWidth="8.6640625" defaultRowHeight="14"/>
  <cols>
    <col width="28" customWidth="1" style="57" min="1" max="1"/>
    <col width="70" customWidth="1" style="57" min="2" max="2"/>
    <col width="28" customWidth="1" style="57" min="3" max="3"/>
    <col width="8.6640625" customWidth="1" style="57" min="4" max="4"/>
    <col width="8.6640625" customWidth="1" style="57" min="5" max="16384"/>
  </cols>
  <sheetData>
    <row r="1" ht="27.75" customHeight="1" s="60">
      <c r="A1" s="56" t="inlineStr">
        <is>
          <t>DATA DICTIONARY  |  Full glossary of terms and abbreviations</t>
        </is>
      </c>
    </row>
    <row r="2">
      <c r="A2" s="16" t="inlineStr">
        <is>
          <t>Term</t>
        </is>
      </c>
      <c r="B2" s="16" t="inlineStr">
        <is>
          <t>Definition</t>
        </is>
      </c>
      <c r="C2" s="16" t="inlineStr">
        <is>
          <t>Regulatory Reference</t>
        </is>
      </c>
    </row>
    <row r="3" ht="24" customHeight="1" s="60">
      <c r="A3" s="2" t="inlineStr">
        <is>
          <t>8-Test</t>
        </is>
      </c>
      <c r="B3" s="3" t="inlineStr">
        <is>
          <t>The greenwashing assessment framework applied to each candidate company. Eight dimensions: specificity, metric, baseline, target, time horizon, scope, external validation, behavioural consistency.</t>
        </is>
      </c>
      <c r="C3" s="3" t="inlineStr">
        <is>
          <t>Lecture 1; Project Plan s.8</t>
        </is>
      </c>
    </row>
    <row r="4" ht="30" customHeight="1" s="60">
      <c r="A4" s="4" t="inlineStr">
        <is>
          <t>BICS</t>
        </is>
      </c>
      <c r="B4" s="5" t="inlineStr">
        <is>
          <t>Bloomberg Industry Classification System. Level 2 = sector; Level 3 = industry. Used for ENCORE mapping.</t>
        </is>
      </c>
      <c r="C4" s="5" t="inlineStr">
        <is>
          <t>equityBicsV2 dataset</t>
        </is>
      </c>
    </row>
    <row r="5" ht="30" customHeight="1" s="60">
      <c r="A5" s="2" t="inlineStr">
        <is>
          <t>CCS — Climate Credibility Score</t>
        </is>
      </c>
      <c r="B5" s="3" t="inlineStr">
        <is>
          <t>Sub-score 0–100. Higher = more credible climate position. Weight: 30% of Overall RAG Score.</t>
        </is>
      </c>
      <c r="C5" s="3" t="inlineStr">
        <is>
          <t>Model, Sheet 5</t>
        </is>
      </c>
    </row>
    <row r="6" ht="30" customHeight="1" s="60">
      <c r="A6" s="4" t="inlineStr">
        <is>
          <t>CSRD</t>
        </is>
      </c>
      <c r="B6" s="5" t="inlineStr">
        <is>
          <t>Corporate Sustainability Reporting Directive (EU, 2022/2464). Large EU companies must report under ESRS from FY2024.</t>
        </is>
      </c>
      <c r="C6" s="5" t="inlineStr">
        <is>
          <t>CSRD Art. 19a and 29a</t>
        </is>
      </c>
    </row>
    <row r="7" ht="30" customHeight="1" s="60">
      <c r="A7" s="2" t="inlineStr">
        <is>
          <t>DNSH</t>
        </is>
      </c>
      <c r="B7" s="3" t="inlineStr">
        <is>
          <t>Do No Significant Harm. EU Taxonomy (Art. 17): an activity is only aligned if it does not significantly harm any of the six environmental objectives.</t>
        </is>
      </c>
      <c r="C7" s="3" t="inlineStr">
        <is>
          <t>EU Taxonomy 2020/852, Art. 17</t>
        </is>
      </c>
    </row>
    <row r="8" ht="30" customHeight="1" s="60">
      <c r="A8" s="4" t="inlineStr">
        <is>
          <t>ENCORE</t>
        </is>
      </c>
      <c r="B8" s="5" t="inlineStr">
        <is>
          <t>Exploring Natural Capital Opportunities, Risks and Exposure. Maps sector dependencies and impacts on nature.</t>
        </is>
      </c>
      <c r="C8" s="5" t="inlineStr">
        <is>
          <t>encore.naturalcapital.finance</t>
        </is>
      </c>
    </row>
    <row r="9" ht="30" customHeight="1" s="60">
      <c r="A9" s="2" t="inlineStr">
        <is>
          <t>EQS — Evidence Quality Score</t>
        </is>
      </c>
      <c r="B9" s="3" t="inlineStr">
        <is>
          <t>Confidence modifier 0–100. Applied as a multiplier (not additive) to the Overall RAG Score. Low EQS = less reliable overall score.</t>
        </is>
      </c>
      <c r="C9" s="3" t="inlineStr">
        <is>
          <t>Model, Sheet 5</t>
        </is>
      </c>
    </row>
    <row r="10" ht="30" customHeight="1" s="60">
      <c r="A10" s="4" t="inlineStr">
        <is>
          <t>EU Taxonomy</t>
        </is>
      </c>
      <c r="B10" s="5" t="inlineStr">
        <is>
          <t>EU Regulation 2020/852. Defines environmentally sustainable economic activities. Three tiers: ineligible / eligible / aligned.</t>
        </is>
      </c>
      <c r="C10" s="5" t="inlineStr">
        <is>
          <t>EU Taxonomy 2020/852, Art. 3</t>
        </is>
      </c>
    </row>
    <row r="11" ht="30" customHeight="1" s="60">
      <c r="A11" s="2" t="inlineStr">
        <is>
          <t>FAIL (8-Test)</t>
        </is>
      </c>
      <c r="B11" s="3" t="inlineStr">
        <is>
          <t>Evidence directly contradicts or undermines the claim. Not the same as MISSING.</t>
        </is>
      </c>
      <c r="C11" s="3" t="inlineStr">
        <is>
          <t>Sheet 6 — 8-Test Framework</t>
        </is>
      </c>
    </row>
    <row r="12" ht="30" customHeight="1" s="60">
      <c r="A12" s="4" t="inlineStr">
        <is>
          <t>GRS — Greenwashing Risk Score</t>
        </is>
      </c>
      <c r="B12" s="5" t="inlineStr">
        <is>
          <t>Sub-score 0–100 where higher = worse (more risk). Inverted to (100−GRS) before use in Overall RAG Score.</t>
        </is>
      </c>
      <c r="C12" s="5" t="inlineStr">
        <is>
          <t>G15 formula; Sheet 5</t>
        </is>
      </c>
    </row>
    <row r="13" ht="30" customHeight="1" s="60">
      <c r="A13" s="2" t="inlineStr">
        <is>
          <t>ISIN</t>
        </is>
      </c>
      <c r="B13" s="3" t="inlineStr">
        <is>
          <t>International Securities Identification Number. 12-character alphanumeric identifier. Gold standard for entity matching.</t>
        </is>
      </c>
      <c r="C13" s="3" t="inlineStr">
        <is>
          <t>—</t>
        </is>
      </c>
    </row>
    <row r="14" ht="30" customHeight="1" s="60">
      <c r="A14" s="4" t="inlineStr">
        <is>
          <t>MISSING (8-Test)</t>
        </is>
      </c>
      <c r="B14" s="5" t="inlineStr">
        <is>
          <t>Evidence not found in reviewed documents. Signals a disclosure gap. Not the same as FAIL.</t>
        </is>
      </c>
      <c r="C14" s="5" t="inlineStr">
        <is>
          <t>Sheet 6 — 8-Test Framework</t>
        </is>
      </c>
    </row>
    <row r="15" ht="30" customHeight="1" s="60">
      <c r="A15" s="2" t="inlineStr">
        <is>
          <t>OECD MNE Guidelines</t>
        </is>
      </c>
      <c r="B15" s="3" t="inlineStr">
        <is>
          <t>OECD Guidelines for Multinational Enterprises. Confirmed breach = hard exclusion trigger.</t>
        </is>
      </c>
      <c r="C15" s="3" t="inlineStr">
        <is>
          <t>Investment Brief s.6</t>
        </is>
      </c>
    </row>
    <row r="16" ht="30" customHeight="1" s="60">
      <c r="A16" s="4" t="inlineStr">
        <is>
          <t>Overall RAG Score (I6)</t>
        </is>
      </c>
      <c r="B16" s="5" t="inlineStr">
        <is>
          <t>Weighted composite (0–100) adjusted by the EQS confidence modifier. Hard exclusion forces this to 0.</t>
        </is>
      </c>
      <c r="C16" s="5" t="inlineStr">
        <is>
          <t>I6 formula; Sheet 5</t>
        </is>
      </c>
    </row>
    <row r="17" ht="30" customHeight="1" s="60">
      <c r="A17" s="2" t="inlineStr">
        <is>
          <t>PAI</t>
        </is>
      </c>
      <c r="B17" s="3" t="inlineStr">
        <is>
          <t>Principal Adverse Impact. 18 SFDR mandatory indicators at fund level. PAI 7 = biodiversity-sensitive area revenue.</t>
        </is>
      </c>
      <c r="C17" s="3" t="inlineStr">
        <is>
          <t>SFDR Del. Reg. 2022/1288, Annex I</t>
        </is>
      </c>
    </row>
    <row r="18" ht="30" customHeight="1" s="60">
      <c r="A18" s="4" t="inlineStr">
        <is>
          <t>PCAF</t>
        </is>
      </c>
      <c r="B18" s="5" t="inlineStr">
        <is>
          <t>Partnership for Carbon Accounting Financials. Standard for WACI calculation methodology.</t>
        </is>
      </c>
      <c r="C18" s="5" t="inlineStr">
        <is>
          <t>PCAF Global GHG Accounting Standard, Part A</t>
        </is>
      </c>
    </row>
    <row r="19" ht="30" customHeight="1" s="60">
      <c r="A19" s="2" t="inlineStr">
        <is>
          <t>RAG</t>
        </is>
      </c>
      <c r="B19" s="3" t="inlineStr">
        <is>
          <t>Retrieval-Augmented Generation. AI technique where the model reads specific source documents before generating output. Reduces hallucination.</t>
        </is>
      </c>
      <c r="C19" s="3" t="inlineStr">
        <is>
          <t>Lewis et al. (2020)</t>
        </is>
      </c>
    </row>
    <row r="20" ht="30" customHeight="1" s="60">
      <c r="A20" s="4" t="inlineStr">
        <is>
          <t>SBTi</t>
        </is>
      </c>
      <c r="B20" s="5" t="inlineStr">
        <is>
          <t>Science Based Targets initiative. Key distinction: Committed (self-reported, unverified) vs Approved (independently validated by SBTi).</t>
        </is>
      </c>
      <c r="C20" s="5" t="inlineStr">
        <is>
          <t>SBTi Corporate Net-Zero Standard</t>
        </is>
      </c>
    </row>
    <row r="21" ht="30" customHeight="1" s="60">
      <c r="A21" s="2" t="inlineStr">
        <is>
          <t>SFDR</t>
        </is>
      </c>
      <c r="B21" s="3" t="inlineStr">
        <is>
          <t>Sustainable Finance Disclosure Regulation (EU, 2019/2088). Defines Article 6/8/9 fund tiers.</t>
        </is>
      </c>
      <c r="C21" s="3" t="inlineStr">
        <is>
          <t>SFDR 2019/2088</t>
        </is>
      </c>
    </row>
    <row r="22" ht="30" customHeight="1" s="60">
      <c r="A22" s="4" t="inlineStr">
        <is>
          <t>TNFD</t>
        </is>
      </c>
      <c r="B22" s="5" t="inlineStr">
        <is>
          <t>Taskforce on Nature-related Financial Disclosures v1.0 (2023). Nature risk disclosure framework.</t>
        </is>
      </c>
      <c r="C22" s="5" t="inlineStr">
        <is>
          <t>TNFD v1.0</t>
        </is>
      </c>
    </row>
    <row r="23" ht="30" customHeight="1" s="60">
      <c r="A23" s="2" t="inlineStr">
        <is>
          <t>TPI</t>
        </is>
      </c>
      <c r="B23" s="3" t="inlineStr">
        <is>
          <t>Transition Pathway Initiative. Assesses management quality and carbon performance on climate transition.</t>
        </is>
      </c>
      <c r="C23" s="3" t="inlineStr">
        <is>
          <t>transitionpathwayinitiative.org</t>
        </is>
      </c>
    </row>
    <row r="24" ht="30" customHeight="1" s="60">
      <c r="A24" s="4" t="inlineStr">
        <is>
          <t>UNGC</t>
        </is>
      </c>
      <c r="B24" s="5" t="inlineStr">
        <is>
          <t>United Nations Global Compact. 10 principles on human rights, labour, environment, anti-corruption. Confirmed violation = hard exclusion.</t>
        </is>
      </c>
      <c r="C24" s="5" t="inlineStr">
        <is>
          <t>Investment Brief s.6</t>
        </is>
      </c>
    </row>
    <row r="25" ht="30" customHeight="1" s="60">
      <c r="A25" s="2" t="inlineStr">
        <is>
          <t>WACI</t>
        </is>
      </c>
      <c r="B25" s="3" t="inlineStr">
        <is>
          <t>Weighted Average Carbon Intensity. Sum of (portfolio weight × company revenue carbon intensity). Target: ≥30% below STOXX Europe 600.</t>
        </is>
      </c>
      <c r="C25" s="3" t="inlineStr">
        <is>
          <t>Investment Brief s.4; PCAF</t>
        </is>
      </c>
    </row>
    <row r="26" ht="30" customHeight="1" s="60">
      <c r="A26" s="4" t="inlineStr">
        <is>
          <t>Watchlist</t>
        </is>
      </c>
      <c r="B26" s="5" t="inlineStr">
        <is>
          <t>Companies flagged for additional human review before inclusion or exclusion. The model generates the signal; humans make the decision.</t>
        </is>
      </c>
      <c r="C26" s="5" t="inlineStr">
        <is>
          <t>Project Plan s.8; Investment Brief s.4</t>
        </is>
      </c>
    </row>
    <row r="27" ht="30" customHeight="1" s="60">
      <c r="A27" s="2" t="inlineStr">
        <is>
          <t>WWF BRF</t>
        </is>
      </c>
      <c r="B27" s="3" t="inlineStr">
        <is>
          <t>WWF Biodiversity Risk Filter. Sector and company level biodiversity risk screening tool.</t>
        </is>
      </c>
      <c r="C27" s="3" t="inlineStr">
        <is>
          <t>riskfilter.org</t>
        </is>
      </c>
    </row>
    <row r="28" ht="30" customHeight="1" s="60">
      <c r="A28" s="4" t="inlineStr">
        <is>
          <t>WRI Aqueduct</t>
        </is>
      </c>
      <c r="B28" s="5" t="inlineStr">
        <is>
          <t>World Resources Institute water risk atlas. Basin-level and country-level water stress scores.</t>
        </is>
      </c>
      <c r="C28" s="5" t="inlineStr">
        <is>
          <t>World Resources Institute</t>
        </is>
      </c>
    </row>
  </sheetData>
  <mergeCells count="1">
    <mergeCell ref="A1:C1"/>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D51"/>
  <sheetViews>
    <sheetView showGridLines="0" zoomScaleNormal="100" workbookViewId="0">
      <selection activeCell="F10" sqref="F10"/>
    </sheetView>
  </sheetViews>
  <sheetFormatPr baseColWidth="10" defaultColWidth="8.6640625" defaultRowHeight="15"/>
  <cols>
    <col width="32" customWidth="1" style="60" min="1" max="1"/>
    <col width="22" customWidth="1" style="60" min="2" max="2"/>
    <col width="50" customWidth="1" style="60" min="3" max="3"/>
    <col width="18" customWidth="1" style="60" min="4" max="4"/>
  </cols>
  <sheetData>
    <row r="1" ht="27.75" customHeight="1" s="60">
      <c r="A1" s="56" t="inlineStr">
        <is>
          <t>JSON OUTPUT SCHEMA  |  For Pipeline Operator handoff  |  One file per Deep Review company</t>
        </is>
      </c>
    </row>
    <row r="2" ht="22.75" customHeight="1" s="60">
      <c r="A2" s="16" t="inlineStr">
        <is>
          <t>JSON Field</t>
        </is>
      </c>
      <c r="B2" s="16" t="inlineStr">
        <is>
          <t>Data Type</t>
        </is>
      </c>
      <c r="C2" s="16" t="inlineStr">
        <is>
          <t>Valid Values / Notes</t>
        </is>
      </c>
      <c r="D2" s="16" t="inlineStr">
        <is>
          <t>Screening Sheet Column</t>
        </is>
      </c>
    </row>
    <row r="3" ht="19.5" customHeight="1" s="60">
      <c r="A3" s="30" t="inlineStr">
        <is>
          <t>COMPANY OBJECT</t>
        </is>
      </c>
      <c r="B3" s="30" t="n"/>
      <c r="C3" s="30" t="n"/>
      <c r="D3" s="30" t="n"/>
    </row>
    <row r="4" ht="15.75" customHeight="1" s="60">
      <c r="A4" s="5" t="inlineStr">
        <is>
          <t>company_name</t>
        </is>
      </c>
      <c r="B4" s="5" t="inlineStr">
        <is>
          <t>String</t>
        </is>
      </c>
      <c r="C4" s="5" t="inlineStr">
        <is>
          <t>Full legal company name</t>
        </is>
      </c>
      <c r="D4" s="5" t="inlineStr">
        <is>
          <t>A1</t>
        </is>
      </c>
    </row>
    <row r="5" ht="15.75" customHeight="1" s="60">
      <c r="A5" s="3" t="inlineStr">
        <is>
          <t>ticker</t>
        </is>
      </c>
      <c r="B5" s="3" t="inlineStr">
        <is>
          <t>String</t>
        </is>
      </c>
      <c r="C5" s="3" t="inlineStr">
        <is>
          <t>Bloomberg format preferred</t>
        </is>
      </c>
      <c r="D5" s="3" t="inlineStr">
        <is>
          <t>A2</t>
        </is>
      </c>
    </row>
    <row r="6" ht="15.75" customHeight="1" s="60">
      <c r="A6" s="5" t="inlineStr">
        <is>
          <t>isin</t>
        </is>
      </c>
      <c r="B6" s="5" t="inlineStr">
        <is>
          <t>String</t>
        </is>
      </c>
      <c r="C6" s="5" t="inlineStr">
        <is>
          <t>12-character ISIN</t>
        </is>
      </c>
      <c r="D6" s="5" t="inlineStr">
        <is>
          <t>A3</t>
        </is>
      </c>
    </row>
    <row r="7" ht="15.75" customHeight="1" s="60">
      <c r="A7" s="3" t="inlineStr">
        <is>
          <t>bics_sector</t>
        </is>
      </c>
      <c r="B7" s="3" t="inlineStr">
        <is>
          <t>String</t>
        </is>
      </c>
      <c r="C7" s="3" t="inlineStr">
        <is>
          <t>BICS Level 2 from equityBicsV2</t>
        </is>
      </c>
      <c r="D7" s="3" t="inlineStr">
        <is>
          <t>A6</t>
        </is>
      </c>
    </row>
    <row r="8" ht="15.75" customHeight="1" s="60">
      <c r="A8" s="5" t="inlineStr">
        <is>
          <t>review_priority</t>
        </is>
      </c>
      <c r="B8" s="5" t="inlineStr">
        <is>
          <t>String</t>
        </is>
      </c>
      <c r="C8" s="5" t="inlineStr">
        <is>
          <t>Deep Review / Light Screen / Pending</t>
        </is>
      </c>
      <c r="D8" s="5" t="inlineStr">
        <is>
          <t>A9</t>
        </is>
      </c>
    </row>
    <row r="9" ht="19.5" customHeight="1" s="60">
      <c r="A9" s="30" t="inlineStr">
        <is>
          <t>DOCUMENT COVERAGE</t>
        </is>
      </c>
      <c r="B9" s="30" t="n"/>
      <c r="C9" s="30" t="n"/>
      <c r="D9" s="30" t="n"/>
    </row>
    <row r="10" ht="15.75" customHeight="1" s="60">
      <c r="A10" s="5" t="inlineStr">
        <is>
          <t>num_sources_reviewed</t>
        </is>
      </c>
      <c r="B10" s="5" t="inlineStr">
        <is>
          <t>Integer</t>
        </is>
      </c>
      <c r="C10" s="5" t="inlineStr">
        <is>
          <t>Count of distinct sources reviewed</t>
        </is>
      </c>
      <c r="D10" s="5" t="inlineStr">
        <is>
          <t>B12</t>
        </is>
      </c>
    </row>
    <row r="11" ht="15.75" customHeight="1" s="60">
      <c r="A11" s="3" t="inlineStr">
        <is>
          <t>document_coverage_flag</t>
        </is>
      </c>
      <c r="B11" s="3" t="inlineStr">
        <is>
          <t>String</t>
        </is>
      </c>
      <c r="C11" s="3" t="inlineStr">
        <is>
          <t>Sufficient / Thin / Insufficient</t>
        </is>
      </c>
      <c r="D11" s="3" t="inlineStr">
        <is>
          <t>B15</t>
        </is>
      </c>
    </row>
    <row r="12" ht="19.5" customHeight="1" s="60">
      <c r="A12" s="30" t="inlineStr">
        <is>
          <t>CLIMATE EVIDENCE</t>
        </is>
      </c>
      <c r="B12" s="30" t="n"/>
      <c r="C12" s="30" t="n"/>
      <c r="D12" s="30" t="n"/>
    </row>
    <row r="13" ht="24" customHeight="1" s="60">
      <c r="A13" s="3" t="inlineStr">
        <is>
          <t>sbti_status</t>
        </is>
      </c>
      <c r="B13" s="3" t="inlineStr">
        <is>
          <t>String</t>
        </is>
      </c>
      <c r="C13" s="3" t="inlineStr">
        <is>
          <t>Committed / Targets Submitted / Approved / Achieved / No Commitment / Commitment Lapsed</t>
        </is>
      </c>
      <c r="D13" s="3" t="inlineStr">
        <is>
          <t>C11</t>
        </is>
      </c>
    </row>
    <row r="14" ht="15.75" customHeight="1" s="60">
      <c r="A14" s="5" t="inlineStr">
        <is>
          <t>scope3_disclosed</t>
        </is>
      </c>
      <c r="B14" s="5" t="inlineStr">
        <is>
          <t>String</t>
        </is>
      </c>
      <c r="C14" s="5" t="inlineStr">
        <is>
          <t>Yes / Partial / No</t>
        </is>
      </c>
      <c r="D14" s="5" t="inlineStr">
        <is>
          <t>C8</t>
        </is>
      </c>
    </row>
    <row r="15" ht="15.75" customHeight="1" s="60">
      <c r="A15" s="3" t="inlineStr">
        <is>
          <t>capex_alignment_evidence</t>
        </is>
      </c>
      <c r="B15" s="3" t="inlineStr">
        <is>
          <t>String</t>
        </is>
      </c>
      <c r="C15" s="3" t="inlineStr">
        <is>
          <t>Yes — Quantified / Yes — Directional Only / No</t>
        </is>
      </c>
      <c r="D15" s="3" t="inlineStr">
        <is>
          <t>C14</t>
        </is>
      </c>
    </row>
    <row r="16" ht="15.75" customHeight="1" s="60">
      <c r="A16" s="5" t="inlineStr">
        <is>
          <t>climate_credibility_score</t>
        </is>
      </c>
      <c r="B16" s="5" t="inlineStr">
        <is>
          <t>Float</t>
        </is>
      </c>
      <c r="C16" s="5" t="inlineStr">
        <is>
          <t>0–100, see scoring logic</t>
        </is>
      </c>
      <c r="D16" s="5" t="inlineStr">
        <is>
          <t>C19</t>
        </is>
      </c>
    </row>
    <row r="17" ht="19.5" customHeight="1" s="60">
      <c r="A17" s="30" t="inlineStr">
        <is>
          <t>BIODIVERSITY &amp; NATURE-RISK</t>
        </is>
      </c>
      <c r="B17" s="30" t="n"/>
      <c r="C17" s="30" t="n"/>
      <c r="D17" s="30" t="n"/>
    </row>
    <row r="18" ht="15.75" customHeight="1" s="60">
      <c r="A18" s="5" t="inlineStr">
        <is>
          <t>nature_dependency_exposure</t>
        </is>
      </c>
      <c r="B18" s="5" t="inlineStr">
        <is>
          <t>String</t>
        </is>
      </c>
      <c r="C18" s="5" t="inlineStr">
        <is>
          <t>Very High / High / Medium / Low / Not Assessed</t>
        </is>
      </c>
      <c r="D18" s="5" t="inlineStr">
        <is>
          <t>E2</t>
        </is>
      </c>
    </row>
    <row r="19" ht="24" customHeight="1" s="60">
      <c r="A19" s="3" t="inlineStr">
        <is>
          <t>water_risk_aqueduct</t>
        </is>
      </c>
      <c r="B19" s="3" t="inlineStr">
        <is>
          <t>String</t>
        </is>
      </c>
      <c r="C19" s="3" t="inlineStr">
        <is>
          <t>Extremely High / High / Medium-High / Low-Medium / Low / Not Assessed</t>
        </is>
      </c>
      <c r="D19" s="3" t="inlineStr">
        <is>
          <t>E4</t>
        </is>
      </c>
    </row>
    <row r="20" ht="15.75" customHeight="1" s="60">
      <c r="A20" s="5" t="inlineStr">
        <is>
          <t>biodiversity_score</t>
        </is>
      </c>
      <c r="B20" s="5" t="inlineStr">
        <is>
          <t>Float</t>
        </is>
      </c>
      <c r="C20" s="5" t="inlineStr">
        <is>
          <t>0–100, see scoring logic</t>
        </is>
      </c>
      <c r="D20" s="5" t="inlineStr">
        <is>
          <t>E13</t>
        </is>
      </c>
    </row>
    <row r="21" ht="19.5" customHeight="1" s="60">
      <c r="A21" s="30" t="inlineStr">
        <is>
          <t>SAFEGUARDS</t>
        </is>
      </c>
      <c r="B21" s="30" t="n"/>
      <c r="C21" s="30" t="n"/>
      <c r="D21" s="30" t="n"/>
    </row>
    <row r="22" ht="15.75" customHeight="1" s="60">
      <c r="A22" s="5" t="inlineStr">
        <is>
          <t>ungc_signatory</t>
        </is>
      </c>
      <c r="B22" s="5" t="inlineStr">
        <is>
          <t>String</t>
        </is>
      </c>
      <c r="C22" s="5" t="inlineStr">
        <is>
          <t>Signatory — Active / Signatory — COP Overdue / Non-Signatory</t>
        </is>
      </c>
      <c r="D22" s="5" t="inlineStr">
        <is>
          <t>D3</t>
        </is>
      </c>
    </row>
    <row r="23" ht="15.75" customHeight="1" s="60">
      <c r="A23" s="3" t="inlineStr">
        <is>
          <t>ungc_violation_evidence</t>
        </is>
      </c>
      <c r="B23" s="3" t="inlineStr">
        <is>
          <t>String</t>
        </is>
      </c>
      <c r="C23" s="3" t="inlineStr">
        <is>
          <t>No Issues / Concern Flagged / Confirmed Violation</t>
        </is>
      </c>
      <c r="D23" s="3" t="inlineStr">
        <is>
          <t>D4</t>
        </is>
      </c>
    </row>
    <row r="24" ht="15.75" customHeight="1" s="60">
      <c r="A24" s="5" t="inlineStr">
        <is>
          <t>safeguards_score</t>
        </is>
      </c>
      <c r="B24" s="5" t="inlineStr">
        <is>
          <t>Float</t>
        </is>
      </c>
      <c r="C24" s="5" t="inlineStr">
        <is>
          <t>0–100, see scoring logic</t>
        </is>
      </c>
      <c r="D24" s="5" t="inlineStr">
        <is>
          <t>D12</t>
        </is>
      </c>
    </row>
    <row r="25" ht="19.5" customHeight="1" s="60">
      <c r="A25" s="30" t="inlineStr">
        <is>
          <t>EU REGULATION</t>
        </is>
      </c>
      <c r="B25" s="30" t="n"/>
      <c r="C25" s="30" t="n"/>
      <c r="D25" s="30" t="n"/>
    </row>
    <row r="26" ht="15.75" customHeight="1" s="60">
      <c r="A26" s="5" t="inlineStr">
        <is>
          <t>taxonomy_eligible_revenue_pct</t>
        </is>
      </c>
      <c r="B26" s="5" t="inlineStr">
        <is>
          <t>Float</t>
        </is>
      </c>
      <c r="C26" s="5" t="inlineStr">
        <is>
          <t>% from disclosure or Bloomberg CSV</t>
        </is>
      </c>
      <c r="D26" s="5" t="inlineStr">
        <is>
          <t>F2</t>
        </is>
      </c>
    </row>
    <row r="27" ht="15.75" customHeight="1" s="60">
      <c r="A27" s="3" t="inlineStr">
        <is>
          <t>taxonomy_aligned_revenue_pct</t>
        </is>
      </c>
      <c r="B27" s="3" t="inlineStr">
        <is>
          <t>Float</t>
        </is>
      </c>
      <c r="C27" s="3" t="inlineStr">
        <is>
          <t>% post-DNSH — flag if company-stated only</t>
        </is>
      </c>
      <c r="D27" s="3" t="inlineStr">
        <is>
          <t>F3</t>
        </is>
      </c>
    </row>
    <row r="28" ht="15.75" customHeight="1" s="60">
      <c r="A28" s="5" t="inlineStr">
        <is>
          <t>eu_reg_evidence_score</t>
        </is>
      </c>
      <c r="B28" s="5" t="inlineStr">
        <is>
          <t>Float</t>
        </is>
      </c>
      <c r="C28" s="5" t="inlineStr">
        <is>
          <t>0–100, see scoring logic</t>
        </is>
      </c>
      <c r="D28" s="5" t="inlineStr">
        <is>
          <t>F11</t>
        </is>
      </c>
    </row>
    <row r="29" ht="19.5" customHeight="1" s="60">
      <c r="A29" s="30" t="inlineStr">
        <is>
          <t>GREENWASHING 8-TEST</t>
        </is>
      </c>
      <c r="B29" s="30" t="n"/>
      <c r="C29" s="30" t="n"/>
      <c r="D29" s="30" t="n"/>
    </row>
    <row r="30" ht="15.75" customHeight="1" s="60">
      <c r="A30" s="5" t="inlineStr">
        <is>
          <t>test1_specificity</t>
        </is>
      </c>
      <c r="B30" s="5" t="inlineStr">
        <is>
          <t>String</t>
        </is>
      </c>
      <c r="C30" s="5" t="inlineStr">
        <is>
          <t>PASS / PARTIAL / FAIL / MISSING</t>
        </is>
      </c>
      <c r="D30" s="5" t="inlineStr">
        <is>
          <t>G4</t>
        </is>
      </c>
    </row>
    <row r="31" ht="15.75" customHeight="1" s="60">
      <c r="A31" s="3" t="inlineStr">
        <is>
          <t>test2_metric</t>
        </is>
      </c>
      <c r="B31" s="3" t="inlineStr">
        <is>
          <t>String</t>
        </is>
      </c>
      <c r="C31" s="3" t="inlineStr">
        <is>
          <t>PASS / PARTIAL / FAIL / MISSING</t>
        </is>
      </c>
      <c r="D31" s="3" t="inlineStr">
        <is>
          <t>G5</t>
        </is>
      </c>
    </row>
    <row r="32" ht="15.75" customHeight="1" s="60">
      <c r="A32" s="5" t="inlineStr">
        <is>
          <t>test3_baseline</t>
        </is>
      </c>
      <c r="B32" s="5" t="inlineStr">
        <is>
          <t>String</t>
        </is>
      </c>
      <c r="C32" s="5" t="inlineStr">
        <is>
          <t>PASS / PARTIAL / FAIL / MISSING</t>
        </is>
      </c>
      <c r="D32" s="5" t="inlineStr">
        <is>
          <t>G6</t>
        </is>
      </c>
    </row>
    <row r="33" ht="15.75" customHeight="1" s="60">
      <c r="A33" s="3" t="inlineStr">
        <is>
          <t>test4_target</t>
        </is>
      </c>
      <c r="B33" s="3" t="inlineStr">
        <is>
          <t>String</t>
        </is>
      </c>
      <c r="C33" s="3" t="inlineStr">
        <is>
          <t>PASS / PARTIAL / FAIL / MISSING</t>
        </is>
      </c>
      <c r="D33" s="3" t="inlineStr">
        <is>
          <t>G7</t>
        </is>
      </c>
    </row>
    <row r="34" ht="15.75" customHeight="1" s="60">
      <c r="A34" s="5" t="inlineStr">
        <is>
          <t>test5_time_horizon</t>
        </is>
      </c>
      <c r="B34" s="5" t="inlineStr">
        <is>
          <t>String</t>
        </is>
      </c>
      <c r="C34" s="5" t="inlineStr">
        <is>
          <t>PASS / PARTIAL / FAIL / MISSING</t>
        </is>
      </c>
      <c r="D34" s="5" t="inlineStr">
        <is>
          <t>G8</t>
        </is>
      </c>
    </row>
    <row r="35" ht="15.75" customHeight="1" s="60">
      <c r="A35" s="3" t="inlineStr">
        <is>
          <t>test6_scope</t>
        </is>
      </c>
      <c r="B35" s="3" t="inlineStr">
        <is>
          <t>String</t>
        </is>
      </c>
      <c r="C35" s="3" t="inlineStr">
        <is>
          <t>PASS / PARTIAL / FAIL / MISSING</t>
        </is>
      </c>
      <c r="D35" s="3" t="inlineStr">
        <is>
          <t>G9</t>
        </is>
      </c>
    </row>
    <row r="36" ht="15.75" customHeight="1" s="60">
      <c r="A36" s="5" t="inlineStr">
        <is>
          <t>test7_verification</t>
        </is>
      </c>
      <c r="B36" s="5" t="inlineStr">
        <is>
          <t>String</t>
        </is>
      </c>
      <c r="C36" s="5" t="inlineStr">
        <is>
          <t>PASS / PARTIAL / FAIL / MISSING</t>
        </is>
      </c>
      <c r="D36" s="5" t="inlineStr">
        <is>
          <t>G10</t>
        </is>
      </c>
    </row>
    <row r="37" ht="15.75" customHeight="1" s="60">
      <c r="A37" s="3" t="inlineStr">
        <is>
          <t>test8_consistency</t>
        </is>
      </c>
      <c r="B37" s="3" t="inlineStr">
        <is>
          <t>String</t>
        </is>
      </c>
      <c r="C37" s="3" t="inlineStr">
        <is>
          <t>PASS / PARTIAL / FAIL / MISSING</t>
        </is>
      </c>
      <c r="D37" s="3" t="inlineStr">
        <is>
          <t>G11</t>
        </is>
      </c>
    </row>
    <row r="38" ht="15.75" customHeight="1" s="60">
      <c r="A38" s="5" t="inlineStr">
        <is>
          <t>test_fail_count</t>
        </is>
      </c>
      <c r="B38" s="5" t="inlineStr">
        <is>
          <t>Integer</t>
        </is>
      </c>
      <c r="C38" s="5" t="inlineStr">
        <is>
          <t>0–8, auto-calculated</t>
        </is>
      </c>
      <c r="D38" s="5" t="inlineStr">
        <is>
          <t>G12</t>
        </is>
      </c>
    </row>
    <row r="39" ht="15.75" customHeight="1" s="60">
      <c r="A39" s="3" t="inlineStr">
        <is>
          <t>greenwashing_risk_score</t>
        </is>
      </c>
      <c r="B39" s="3" t="inlineStr">
        <is>
          <t>Float</t>
        </is>
      </c>
      <c r="C39" s="3" t="inlineStr">
        <is>
          <t>0–100, higher = worse</t>
        </is>
      </c>
      <c r="D39" s="3" t="inlineStr">
        <is>
          <t>G15</t>
        </is>
      </c>
    </row>
    <row r="40" ht="15.75" customHeight="1" s="60">
      <c r="A40" s="5" t="inlineStr">
        <is>
          <t>watchlist_trigger</t>
        </is>
      </c>
      <c r="B40" s="5" t="inlineStr">
        <is>
          <t>String</t>
        </is>
      </c>
      <c r="C40" s="5" t="inlineStr">
        <is>
          <t>Yes / No</t>
        </is>
      </c>
      <c r="D40" s="5" t="inlineStr">
        <is>
          <t>G21</t>
        </is>
      </c>
    </row>
    <row r="41" ht="15.75" customHeight="1" s="60">
      <c r="A41" s="3" t="inlineStr">
        <is>
          <t>exclusion_trigger</t>
        </is>
      </c>
      <c r="B41" s="3" t="inlineStr">
        <is>
          <t>String</t>
        </is>
      </c>
      <c r="C41" s="3" t="inlineStr">
        <is>
          <t>Yes — Automatic / Yes — Requires Captain Confirmation / No</t>
        </is>
      </c>
      <c r="D41" s="3" t="inlineStr">
        <is>
          <t>G22</t>
        </is>
      </c>
    </row>
    <row r="42" ht="19.5" customHeight="1" s="60">
      <c r="A42" s="30" t="inlineStr">
        <is>
          <t>EVIDENCE QUALITY</t>
        </is>
      </c>
      <c r="B42" s="30" t="n"/>
      <c r="C42" s="30" t="n"/>
      <c r="D42" s="30" t="n"/>
    </row>
    <row r="43" ht="15.75" customHeight="1" s="60">
      <c r="A43" s="3" t="inlineStr">
        <is>
          <t>evidence_confidence</t>
        </is>
      </c>
      <c r="B43" s="3" t="inlineStr">
        <is>
          <t>Integer</t>
        </is>
      </c>
      <c r="C43" s="3" t="inlineStr">
        <is>
          <t>1=Very Low, 2=Low, 3=Medium, 4=High, 5=Very High</t>
        </is>
      </c>
      <c r="D43" s="3" t="inlineStr">
        <is>
          <t>H4</t>
        </is>
      </c>
    </row>
    <row r="44" ht="15.75" customHeight="1" s="60">
      <c r="A44" s="5" t="inlineStr">
        <is>
          <t>verification_status</t>
        </is>
      </c>
      <c r="B44" s="5" t="inlineStr">
        <is>
          <t>String</t>
        </is>
      </c>
      <c r="C44" s="5" t="inlineStr">
        <is>
          <t>Fully Verified / Partially Verified / Unverified</t>
        </is>
      </c>
      <c r="D44" s="5" t="inlineStr">
        <is>
          <t>H6</t>
        </is>
      </c>
    </row>
    <row r="45" ht="15.75" customHeight="1" s="60">
      <c r="A45" s="3" t="inlineStr">
        <is>
          <t>evidence_quality_score</t>
        </is>
      </c>
      <c r="B45" s="3" t="inlineStr">
        <is>
          <t>Float</t>
        </is>
      </c>
      <c r="C45" s="3" t="inlineStr">
        <is>
          <t>0–100, confidence modifier</t>
        </is>
      </c>
      <c r="D45" s="3" t="inlineStr">
        <is>
          <t>H12</t>
        </is>
      </c>
    </row>
    <row r="46" ht="19.5" customHeight="1" s="60">
      <c r="A46" s="30" t="inlineStr">
        <is>
          <t>FINAL OUTPUT</t>
        </is>
      </c>
      <c r="B46" s="30" t="n"/>
      <c r="C46" s="30" t="n"/>
      <c r="D46" s="30" t="n"/>
    </row>
    <row r="47" ht="15.75" customHeight="1" s="60">
      <c r="A47" s="3" t="inlineStr">
        <is>
          <t>overall_rag_score</t>
        </is>
      </c>
      <c r="B47" s="3" t="inlineStr">
        <is>
          <t>Float</t>
        </is>
      </c>
      <c r="C47" s="3" t="inlineStr">
        <is>
          <t>0–100 (0 if hard exclusion triggered)</t>
        </is>
      </c>
      <c r="D47" s="3" t="inlineStr">
        <is>
          <t>I6</t>
        </is>
      </c>
    </row>
    <row r="48" ht="15.75" customHeight="1" s="60">
      <c r="A48" s="5" t="inlineStr">
        <is>
          <t>final_rag_verdict</t>
        </is>
      </c>
      <c r="B48" s="5" t="inlineStr">
        <is>
          <t>String</t>
        </is>
      </c>
      <c r="C48" s="5" t="inlineStr">
        <is>
          <t>Clear / Watchlist / Exclusion Risk / Insufficient Evidence</t>
        </is>
      </c>
      <c r="D48" s="5" t="inlineStr">
        <is>
          <t>I7</t>
        </is>
      </c>
    </row>
    <row r="49" ht="24" customHeight="1" s="60">
      <c r="A49" s="3" t="inlineStr">
        <is>
          <t>recommended_action</t>
        </is>
      </c>
      <c r="B49" s="3" t="inlineStr">
        <is>
          <t>String</t>
        </is>
      </c>
      <c r="C49" s="3" t="inlineStr">
        <is>
          <t>Include — No Conditions / Include — Monitor / Watchlist — Further Evidence Needed / Exclude — Hard Trigger / Exclude — Judgement</t>
        </is>
      </c>
      <c r="D49" s="3" t="inlineStr">
        <is>
          <t>I9</t>
        </is>
      </c>
    </row>
    <row r="50" ht="15.75" customHeight="1" s="60">
      <c r="A50" s="5" t="inlineStr">
        <is>
          <t>verdict_rationale</t>
        </is>
      </c>
      <c r="B50" s="5" t="inlineStr">
        <is>
          <t>String</t>
        </is>
      </c>
      <c r="C50" s="5" t="inlineStr">
        <is>
          <t>2–4 sentences. Required for all non-Clear verdicts.</t>
        </is>
      </c>
      <c r="D50" s="5" t="inlineStr">
        <is>
          <t>I10</t>
        </is>
      </c>
    </row>
    <row r="51" ht="15.75" customHeight="1" s="60">
      <c r="A51" s="3" t="inlineStr">
        <is>
          <t>open_questions</t>
        </is>
      </c>
      <c r="B51" s="3" t="inlineStr">
        <is>
          <t>Array of strings</t>
        </is>
      </c>
      <c r="C51" s="3" t="inlineStr">
        <is>
          <t>Unresolved questions for team</t>
        </is>
      </c>
      <c r="D51" s="3" t="inlineStr">
        <is>
          <t>I11</t>
        </is>
      </c>
    </row>
  </sheetData>
  <mergeCells count="1">
    <mergeCell ref="A1:D1"/>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A23"/>
  <sheetViews>
    <sheetView showGridLines="0" zoomScaleNormal="100" workbookViewId="0">
      <selection activeCell="I11" sqref="I11"/>
    </sheetView>
  </sheetViews>
  <sheetFormatPr baseColWidth="10" defaultColWidth="8.6640625" defaultRowHeight="14"/>
  <cols>
    <col width="110" customWidth="1" style="57" min="1" max="1"/>
    <col width="8.6640625" customWidth="1" style="57" min="2" max="2"/>
    <col width="8.6640625" customWidth="1" style="57" min="3" max="16384"/>
  </cols>
  <sheetData>
    <row r="1" ht="30" customHeight="1" s="60">
      <c r="A1" s="34" t="inlineStr">
        <is>
          <t>DISCLAIMER &amp; LIMITATIONS  |  Read before using any output from this workbook</t>
        </is>
      </c>
    </row>
    <row r="2">
      <c r="A2" s="24" t="inlineStr">
        <is>
          <t>SCOPE</t>
        </is>
      </c>
    </row>
    <row r="3" ht="52.75" customHeight="1" s="60">
      <c r="A3" s="35" t="inlineStr">
        <is>
          <t>This RAG Screening Sheet is an academic prototype produced for the ESADE MSc Finance Sustainable Finance group assignment (April–May 2026). It is part of an AI-assisted research pipeline designed to support the construction of a hypothetical sustainable European equity portfolio. It must not be interpreted as investment advice, a compliant SFDR disclosure, a regulated ESG scoring product, or a legally valid Article 8 or Article 9 fund methodology.</t>
        </is>
      </c>
    </row>
    <row r="4">
      <c r="A4" s="24" t="inlineStr">
        <is>
          <t>DATA QUALITY AND COVERAGE</t>
        </is>
      </c>
    </row>
    <row r="5" ht="52.75" customHeight="1" s="60">
      <c r="A5" s="35" t="inlineStr">
        <is>
          <t>The model relies on publicly available company sustainability reports, third-party datasets (ENCORE, WWF BRF, WRI Aqueduct), and AI-assisted document extraction. Sustainability disclosures vary widely in quality, scope, and auditability. Data vintage mismatches exist — financial data may be current while ESG data relates to prior fiscal years. Companies with limited disclosures receive lower Evidence Quality Scores; the absence of data is treated as a risk signal, not as evidence of good performance.</t>
        </is>
      </c>
    </row>
    <row r="6">
      <c r="A6" s="24" t="inlineStr">
        <is>
          <t>AI EXTRACTION LIMITATIONS</t>
        </is>
      </c>
    </row>
    <row r="7" ht="52.75" customHeight="1" s="60">
      <c r="A7" s="35" t="inlineStr">
        <is>
          <t>All AI-extracted outputs were generated using Claude Projects (Anthropic). AI extraction can produce inaccurate quotes, incorrect page references, and unsupported inferences. A 30% random sample of all extractions and 100% of watchlist/exclusion-driving extractions have been manually verified against source documents. Any extraction marked Unverified should not be used in final report arguments without additional human review.</t>
        </is>
      </c>
    </row>
    <row r="8">
      <c r="A8" s="24" t="inlineStr">
        <is>
          <t>GREENWASHING ASSESSMENTS</t>
        </is>
      </c>
    </row>
    <row r="9" ht="39.5" customHeight="1" s="60">
      <c r="A9" s="35" t="inlineStr">
        <is>
          <t>The 8-Test framework assesses the quality of companies' sustainability claims based on publicly available documents. A PASS result does not confirm that a company is sustainable or ESG-compliant. A FAIL or PARTIAL result reflects the evidence in reviewed documents and does not constitute a legal or regulatory finding of greenwashing.</t>
        </is>
      </c>
    </row>
    <row r="10">
      <c r="A10" s="24" t="inlineStr">
        <is>
          <t>BIODIVERSITY SCORES</t>
        </is>
      </c>
    </row>
    <row r="11" ht="39.5" customHeight="1" s="60">
      <c r="A11" s="35" t="inlineStr">
        <is>
          <t>Biodiversity and nature-risk assessments use sector-level proxies derived from ENCORE, WWF Biodiversity Risk Filter, and WRI Aqueduct. These are screening tools, not site-level assessments. They cannot capture the full complexity of a company's biodiversity footprint. Location-specific nature-risk data is available only where companies have voluntarily disclosed it.</t>
        </is>
      </c>
    </row>
    <row r="12">
      <c r="A12" s="24" t="inlineStr">
        <is>
          <t>EU TAXONOMY</t>
        </is>
      </c>
    </row>
    <row r="13" ht="39.5" customHeight="1" s="60">
      <c r="A13" s="35" t="inlineStr">
        <is>
          <t>Taxonomy alignment figures used in this model come from company self-disclosures and the Bloomberg ESG dataset provided for this assignment. Self-reported alignment figures are not equivalent to independently audited alignment. The model applies a scoring penalty to unverified high-alignment figures to reduce overclaiming risk. Eligibility ≠ Alignment.</t>
        </is>
      </c>
    </row>
    <row r="14">
      <c r="A14" s="24" t="inlineStr">
        <is>
          <t>SCORES AND COMPARABILITY</t>
        </is>
      </c>
    </row>
    <row r="15" ht="39.5" customHeight="1" s="60">
      <c r="A15" s="35" t="inlineStr">
        <is>
          <t>All scores are relative indicators within this model. They are not comparable to ESG scores from Sustainalytics, MSCI, or Bloomberg. They reflect the quality of evidence available to this research team at the time of analysis, within the constraints of a 4-week academic project timeline.</t>
        </is>
      </c>
    </row>
    <row r="16">
      <c r="A16" s="24" t="inlineStr">
        <is>
          <t>HUMAN JUDGEMENT</t>
        </is>
      </c>
    </row>
    <row r="17" ht="39.5" customHeight="1" s="60">
      <c r="A17" s="35" t="inlineStr">
        <is>
          <t>All watchlist and exclusion decisions require human confirmation by the team Captain and ESG Specialist before they are treated as final. The model generates signals; humans make decisions. This distinction is intentional and constitutes the human oversight layer of the pipeline. AI flags. Humans decide. Everything is logged.</t>
        </is>
      </c>
    </row>
    <row r="18">
      <c r="A18" s="24" t="inlineStr">
        <is>
          <t>KEY ANTI-OVERCLAIMING RULES</t>
        </is>
      </c>
    </row>
    <row r="19">
      <c r="A19" s="35" t="inlineStr">
        <is>
          <t>1. Missing ≠ Good. A company that does not disclose a metric is not assumed to perform well on it.</t>
        </is>
      </c>
    </row>
    <row r="20">
      <c r="A20" s="36" t="inlineStr">
        <is>
          <t>2. Disclosure ≠ Performance. Disclosing Scope 3 data does not earn a performance score — only a disclosure credit.</t>
        </is>
      </c>
    </row>
    <row r="21">
      <c r="A21" s="35" t="inlineStr">
        <is>
          <t>3. Eligibility ≠ Alignment. EU Taxonomy eligible revenue is not Taxonomy-aligned revenue.</t>
        </is>
      </c>
    </row>
    <row r="22">
      <c r="A22" s="36" t="inlineStr">
        <is>
          <t>4. Commitment ≠ Validation. An SBTi commitment scores lower than an SBTi-approved target.</t>
        </is>
      </c>
    </row>
    <row r="23">
      <c r="A23" s="35" t="inlineStr">
        <is>
          <t>5. Score ≠ Truth. This model produces signals, not verdicts. Human review is required at every Watchlist and Exclusion decision.</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2026-05-10T15:42:29Z</dcterms:created>
  <dcterms:modified xsi:type="dcterms:W3CDTF">2026-05-21T15:01:47Z</dcterms:modified>
  <cp:lastModifiedBy>Groth, Andreas</cp:lastModifiedBy>
  <cp:revision>0</cp:revision>
</cp:coreProperties>
</file>