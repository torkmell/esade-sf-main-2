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andreasgroth/Library/Mobile Documents/com~apple~CloudDocs/Downloads/esade-sf-main/data/rag/"/>
    </mc:Choice>
  </mc:AlternateContent>
  <xr:revisionPtr revIDLastSave="0" documentId="13_ncr:1_{31CDF65C-8A17-4A4D-A947-852ADEBF22CA}" xr6:coauthVersionLast="47" xr6:coauthVersionMax="47" xr10:uidLastSave="{00000000-0000-0000-0000-000000000000}"/>
  <bookViews>
    <workbookView xWindow="300" yWindow="660" windowWidth="29100" windowHeight="17660" tabRatio="500" firstSheet="1" activeTab="1" xr2:uid="{00000000-000D-0000-FFFF-FFFF00000000}"/>
  </bookViews>
  <sheets>
    <sheet name="README — How to Use" sheetId="1" r:id="rId1"/>
    <sheet name="RAG Screening Sheet" sheetId="2" r:id="rId2"/>
    <sheet name="Universe Tracker" sheetId="3" r:id="rId3"/>
    <sheet name="Watchlist &amp; Exclusion Summary" sheetId="4" r:id="rId4"/>
    <sheet name="8-Test Greenwashing" sheetId="5" r:id="rId5"/>
    <sheet name="Scoring Logic" sheetId="6" r:id="rId6"/>
    <sheet name="Lookup Tables" sheetId="7" r:id="rId7"/>
    <sheet name="Biodiversity Framework" sheetId="8" r:id="rId8"/>
    <sheet name="Verification Log" sheetId="9" r:id="rId9"/>
    <sheet name="Source Register" sheetId="10" r:id="rId10"/>
    <sheet name="Factor Definitions" sheetId="11" r:id="rId11"/>
    <sheet name="Data Dictionary" sheetId="12" r:id="rId12"/>
    <sheet name="JSON Output Schema" sheetId="13" r:id="rId13"/>
    <sheet name="Disclaimer &amp; Limitations"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0" i="2" l="1"/>
  <c r="C219" i="2"/>
  <c r="J219" i="2"/>
  <c r="C218" i="2"/>
  <c r="J218" i="2"/>
  <c r="C217" i="2"/>
  <c r="C216" i="2"/>
  <c r="J216" i="2"/>
  <c r="C215" i="2"/>
  <c r="J215" i="2" s="1"/>
  <c r="C214" i="2"/>
  <c r="C213" i="2"/>
  <c r="J213" i="2" s="1"/>
  <c r="C212" i="2"/>
  <c r="C211" i="2"/>
  <c r="J211" i="2"/>
  <c r="C210" i="2"/>
  <c r="C209" i="2"/>
  <c r="C208" i="2"/>
  <c r="J208" i="2"/>
  <c r="C207" i="2"/>
  <c r="C206" i="2"/>
  <c r="C205" i="2"/>
  <c r="C204" i="2"/>
  <c r="C203" i="2"/>
  <c r="C202" i="2"/>
  <c r="J202" i="2"/>
  <c r="C201" i="2"/>
  <c r="C200" i="2"/>
  <c r="J200" i="2"/>
  <c r="C199" i="2"/>
  <c r="C198" i="2"/>
  <c r="C197" i="2"/>
  <c r="C196" i="2"/>
  <c r="C195" i="2"/>
  <c r="J195" i="2"/>
  <c r="C194" i="2"/>
  <c r="C193" i="2"/>
  <c r="C192" i="2"/>
  <c r="J192" i="2"/>
  <c r="C191" i="2"/>
  <c r="C190" i="2"/>
  <c r="C189" i="2"/>
  <c r="C188" i="2"/>
  <c r="C187" i="2"/>
  <c r="C186" i="2"/>
  <c r="C185" i="2"/>
  <c r="C184" i="2"/>
  <c r="J184" i="2"/>
  <c r="C183" i="2"/>
  <c r="J183" i="2" s="1"/>
  <c r="C182" i="2"/>
  <c r="C181" i="2"/>
  <c r="J181" i="2" s="1"/>
  <c r="C180" i="2"/>
  <c r="C179" i="2"/>
  <c r="J179" i="2"/>
  <c r="C178" i="2"/>
  <c r="C177" i="2"/>
  <c r="C176" i="2"/>
  <c r="C175" i="2"/>
  <c r="C174" i="2"/>
  <c r="C173" i="2"/>
  <c r="J173" i="2" s="1"/>
  <c r="C172" i="2"/>
  <c r="C171" i="2"/>
  <c r="J171" i="2"/>
  <c r="C170" i="2"/>
  <c r="J170" i="2"/>
  <c r="C169" i="2"/>
  <c r="C168" i="2"/>
  <c r="C167" i="2"/>
  <c r="C166" i="2"/>
  <c r="C165" i="2"/>
  <c r="C164" i="2"/>
  <c r="C163" i="2"/>
  <c r="J163" i="2"/>
  <c r="C162" i="2"/>
  <c r="J162" i="2"/>
  <c r="C161" i="2"/>
  <c r="C160" i="2"/>
  <c r="C159" i="2"/>
  <c r="J159" i="2" s="1"/>
  <c r="C158" i="2"/>
  <c r="C157" i="2"/>
  <c r="C156" i="2"/>
  <c r="C155" i="2"/>
  <c r="C154" i="2"/>
  <c r="J154" i="2"/>
  <c r="C153" i="2"/>
  <c r="C152" i="2"/>
  <c r="C151" i="2"/>
  <c r="C150" i="2"/>
  <c r="C149" i="2"/>
  <c r="J149" i="2" s="1"/>
  <c r="C148" i="2"/>
  <c r="C147" i="2"/>
  <c r="C146" i="2"/>
  <c r="J146" i="2"/>
  <c r="C145" i="2"/>
  <c r="C144" i="2"/>
  <c r="C143" i="2"/>
  <c r="J143" i="2" s="1"/>
  <c r="C142" i="2"/>
  <c r="C141" i="2"/>
  <c r="J141" i="2" s="1"/>
  <c r="C140" i="2"/>
  <c r="C139" i="2"/>
  <c r="C138" i="2"/>
  <c r="J138" i="2"/>
  <c r="C137" i="2"/>
  <c r="C136" i="2"/>
  <c r="C135" i="2"/>
  <c r="C134" i="2"/>
  <c r="C133" i="2"/>
  <c r="C132" i="2"/>
  <c r="C131" i="2"/>
  <c r="J131" i="2"/>
  <c r="C130" i="2"/>
  <c r="J130" i="2"/>
  <c r="C129" i="2"/>
  <c r="C128" i="2"/>
  <c r="C127" i="2"/>
  <c r="C126" i="2"/>
  <c r="C125" i="2"/>
  <c r="C124" i="2"/>
  <c r="C123" i="2"/>
  <c r="J123" i="2"/>
  <c r="C122" i="2"/>
  <c r="C121" i="2"/>
  <c r="C120" i="2"/>
  <c r="C119" i="2"/>
  <c r="C118" i="2"/>
  <c r="C117" i="2"/>
  <c r="C116" i="2"/>
  <c r="C115" i="2"/>
  <c r="C114" i="2"/>
  <c r="J114" i="2"/>
  <c r="C113" i="2"/>
  <c r="C112" i="2"/>
  <c r="J112" i="2"/>
  <c r="C111" i="2"/>
  <c r="C110" i="2"/>
  <c r="C109" i="2"/>
  <c r="C108" i="2"/>
  <c r="C107" i="2"/>
  <c r="EC220" i="2"/>
  <c r="EB220" i="2"/>
  <c r="DN220" i="2"/>
  <c r="DN220" i="2" a="1"/>
  <c r="DL220" i="2"/>
  <c r="CV220" i="2"/>
  <c r="CT220" i="2"/>
  <c r="CS220" i="2"/>
  <c r="CU220" i="2" s="1"/>
  <c r="CR220" i="2"/>
  <c r="DB220" i="2" s="1"/>
  <c r="CE220" i="2"/>
  <c r="DS220" i="2" s="1" a="1"/>
  <c r="DS220" i="2" s="1"/>
  <c r="CE220" i="2" a="1"/>
  <c r="BS220" i="2" a="1"/>
  <c r="BS220" i="2" s="1"/>
  <c r="DP220" i="2" s="1" a="1"/>
  <c r="DP220" i="2" s="1"/>
  <c r="BE220" i="2" a="1"/>
  <c r="BE220" i="2" s="1"/>
  <c r="DQ220" i="2" s="1" a="1"/>
  <c r="DQ220" i="2" s="1"/>
  <c r="AR220" i="2" a="1"/>
  <c r="AR220" i="2" s="1"/>
  <c r="DO220" i="2" s="1" a="1"/>
  <c r="DO220" i="2" s="1"/>
  <c r="Y220" i="2"/>
  <c r="J220" i="2"/>
  <c r="G220" i="2"/>
  <c r="F220" i="2"/>
  <c r="EC219" i="2"/>
  <c r="EB219" i="2"/>
  <c r="DN219" i="2"/>
  <c r="DN219" i="2" a="1"/>
  <c r="DL219" i="2"/>
  <c r="DB219" i="2"/>
  <c r="CV219" i="2"/>
  <c r="CT219" i="2"/>
  <c r="CU219" i="2" s="1"/>
  <c r="CS219" i="2"/>
  <c r="CR219" i="2"/>
  <c r="CE219" i="2" a="1"/>
  <c r="CE219" i="2" s="1"/>
  <c r="DS219" i="2" s="1" a="1"/>
  <c r="DS219" i="2" s="1"/>
  <c r="BS219" i="2" a="1"/>
  <c r="BS219" i="2" s="1"/>
  <c r="DP219" i="2" s="1" a="1"/>
  <c r="DP219" i="2" s="1"/>
  <c r="BE219" i="2" a="1"/>
  <c r="BE219" i="2" s="1"/>
  <c r="DQ219" i="2" s="1" a="1"/>
  <c r="DQ219" i="2" s="1"/>
  <c r="AR219" i="2"/>
  <c r="DO219" i="2" s="1" a="1"/>
  <c r="DO219" i="2" s="1"/>
  <c r="AR219" i="2" a="1"/>
  <c r="Y219" i="2"/>
  <c r="G219" i="2"/>
  <c r="F219" i="2"/>
  <c r="EC218" i="2"/>
  <c r="EB218" i="2"/>
  <c r="DN218" i="2"/>
  <c r="DN218" i="2" a="1"/>
  <c r="DL218" i="2"/>
  <c r="CV218" i="2"/>
  <c r="CT218" i="2"/>
  <c r="CS218" i="2"/>
  <c r="CR218" i="2"/>
  <c r="CU218" i="2" s="1"/>
  <c r="CE218" i="2" a="1"/>
  <c r="CE218" i="2" s="1"/>
  <c r="DS218" i="2" s="1" a="1"/>
  <c r="DS218" i="2" s="1"/>
  <c r="BS218" i="2" a="1"/>
  <c r="BS218" i="2" s="1"/>
  <c r="DP218" i="2" s="1" a="1"/>
  <c r="DP218" i="2" s="1"/>
  <c r="BE218" i="2" a="1"/>
  <c r="BE218" i="2" s="1"/>
  <c r="DQ218" i="2" s="1" a="1"/>
  <c r="DQ218" i="2" s="1"/>
  <c r="AR218" i="2" a="1"/>
  <c r="AR218" i="2" s="1"/>
  <c r="DO218" i="2" s="1" a="1"/>
  <c r="DO218" i="2" s="1"/>
  <c r="Y218" i="2"/>
  <c r="G218" i="2"/>
  <c r="F218" i="2"/>
  <c r="EC217" i="2"/>
  <c r="EB217" i="2"/>
  <c r="DN217" i="2"/>
  <c r="DN217" i="2" a="1"/>
  <c r="DL217" i="2"/>
  <c r="DB217" i="2"/>
  <c r="CV217" i="2"/>
  <c r="CT217" i="2"/>
  <c r="CU217" i="2" s="1"/>
  <c r="CS217" i="2"/>
  <c r="CR217" i="2"/>
  <c r="CE217" i="2"/>
  <c r="DS217" i="2" s="1" a="1"/>
  <c r="DS217" i="2" s="1"/>
  <c r="CE217" i="2" a="1"/>
  <c r="BS217" i="2" a="1"/>
  <c r="BS217" i="2" s="1"/>
  <c r="DP217" i="2" s="1" a="1"/>
  <c r="DP217" i="2" s="1"/>
  <c r="BE217" i="2" a="1"/>
  <c r="BE217" i="2" s="1"/>
  <c r="DQ217" i="2" s="1" a="1"/>
  <c r="DQ217" i="2" s="1"/>
  <c r="AR217" i="2"/>
  <c r="DO217" i="2" s="1" a="1"/>
  <c r="DO217" i="2" s="1"/>
  <c r="AR217" i="2" a="1"/>
  <c r="Y217" i="2"/>
  <c r="J217" i="2"/>
  <c r="G217" i="2"/>
  <c r="F217" i="2"/>
  <c r="EC216" i="2"/>
  <c r="EB216" i="2"/>
  <c r="DS216" i="2" a="1"/>
  <c r="DS216" i="2" s="1"/>
  <c r="DN216" i="2"/>
  <c r="DN216" i="2" a="1"/>
  <c r="DL216" i="2"/>
  <c r="DB216" i="2"/>
  <c r="CV216" i="2"/>
  <c r="CT216" i="2"/>
  <c r="CS216" i="2"/>
  <c r="CU216" i="2" s="1"/>
  <c r="CR216" i="2"/>
  <c r="CE216" i="2" a="1"/>
  <c r="CE216" i="2" s="1"/>
  <c r="BS216" i="2" a="1"/>
  <c r="BS216" i="2" s="1"/>
  <c r="DP216" i="2" s="1" a="1"/>
  <c r="DP216" i="2" s="1"/>
  <c r="BE216" i="2" a="1"/>
  <c r="BE216" i="2" s="1"/>
  <c r="DQ216" i="2" s="1" a="1"/>
  <c r="DQ216" i="2" s="1"/>
  <c r="AR216" i="2" a="1"/>
  <c r="AR216" i="2" s="1"/>
  <c r="DO216" i="2" s="1" a="1"/>
  <c r="DO216" i="2" s="1"/>
  <c r="Y216" i="2"/>
  <c r="G216" i="2"/>
  <c r="F216" i="2"/>
  <c r="EC215" i="2"/>
  <c r="EB215" i="2"/>
  <c r="DQ215" i="2" a="1"/>
  <c r="DQ215" i="2" s="1"/>
  <c r="DO215" i="2" a="1"/>
  <c r="DO215" i="2" s="1"/>
  <c r="DN215" i="2"/>
  <c r="DN215" i="2" a="1"/>
  <c r="DL215" i="2"/>
  <c r="DB215" i="2"/>
  <c r="CV215" i="2"/>
  <c r="CT215" i="2"/>
  <c r="CU215" i="2" s="1"/>
  <c r="CS215" i="2"/>
  <c r="CR215" i="2"/>
  <c r="CE215" i="2"/>
  <c r="DS215" i="2" s="1" a="1"/>
  <c r="DS215" i="2" s="1"/>
  <c r="CE215" i="2" a="1"/>
  <c r="BS215" i="2" a="1"/>
  <c r="BS215" i="2" s="1"/>
  <c r="DP215" i="2" s="1" a="1"/>
  <c r="DP215" i="2" s="1"/>
  <c r="BE215" i="2" a="1"/>
  <c r="BE215" i="2" s="1"/>
  <c r="AR215" i="2"/>
  <c r="AR215" i="2" a="1"/>
  <c r="Y215" i="2"/>
  <c r="G215" i="2"/>
  <c r="F215" i="2"/>
  <c r="EC214" i="2"/>
  <c r="EB214" i="2"/>
  <c r="DQ214" i="2"/>
  <c r="DN214" i="2"/>
  <c r="DN214" i="2" a="1"/>
  <c r="DL214" i="2"/>
  <c r="DB214" i="2"/>
  <c r="CV214" i="2"/>
  <c r="CT214" i="2"/>
  <c r="CS214" i="2"/>
  <c r="CU214" i="2" s="1"/>
  <c r="CR214" i="2"/>
  <c r="CE214" i="2" a="1"/>
  <c r="CE214" i="2" s="1"/>
  <c r="DS214" i="2" s="1" a="1"/>
  <c r="DS214" i="2" s="1"/>
  <c r="BS214" i="2" a="1"/>
  <c r="BS214" i="2" s="1"/>
  <c r="DP214" i="2" s="1" a="1"/>
  <c r="DP214" i="2" s="1"/>
  <c r="BE214" i="2" a="1"/>
  <c r="BE214" i="2" s="1"/>
  <c r="DQ214" i="2" s="1" a="1"/>
  <c r="AR214" i="2" a="1"/>
  <c r="AR214" i="2" s="1"/>
  <c r="DO214" i="2" s="1" a="1"/>
  <c r="DO214" i="2" s="1"/>
  <c r="Y214" i="2"/>
  <c r="J214" i="2"/>
  <c r="G214" i="2"/>
  <c r="F214" i="2"/>
  <c r="EC213" i="2"/>
  <c r="EB213" i="2"/>
  <c r="DO213" i="2" a="1"/>
  <c r="DO213" i="2" s="1"/>
  <c r="DN213" i="2"/>
  <c r="DN213" i="2" a="1"/>
  <c r="DL213" i="2"/>
  <c r="DB213" i="2"/>
  <c r="CV213" i="2"/>
  <c r="CT213" i="2"/>
  <c r="CU213" i="2" s="1"/>
  <c r="CS213" i="2"/>
  <c r="CR213" i="2"/>
  <c r="CE213" i="2"/>
  <c r="DS213" i="2" s="1" a="1"/>
  <c r="DS213" i="2" s="1"/>
  <c r="CE213" i="2" a="1"/>
  <c r="BS213" i="2" a="1"/>
  <c r="BS213" i="2" s="1"/>
  <c r="DP213" i="2" s="1" a="1"/>
  <c r="DP213" i="2" s="1"/>
  <c r="BE213" i="2" a="1"/>
  <c r="BE213" i="2" s="1"/>
  <c r="DQ213" i="2" s="1" a="1"/>
  <c r="DQ213" i="2" s="1"/>
  <c r="AR213" i="2"/>
  <c r="AR213" i="2" a="1"/>
  <c r="Y213" i="2"/>
  <c r="G213" i="2"/>
  <c r="F213" i="2"/>
  <c r="EC212" i="2"/>
  <c r="EB212" i="2"/>
  <c r="DQ212" i="2"/>
  <c r="DN212" i="2"/>
  <c r="DN212" i="2" a="1"/>
  <c r="DM212" i="2"/>
  <c r="DL212" i="2"/>
  <c r="DB212" i="2"/>
  <c r="CV212" i="2"/>
  <c r="CT212" i="2"/>
  <c r="CS212" i="2"/>
  <c r="CU212" i="2" s="1"/>
  <c r="DA212" i="2" s="1"/>
  <c r="CR212" i="2"/>
  <c r="CE212" i="2" a="1"/>
  <c r="CE212" i="2" s="1"/>
  <c r="DS212" i="2" s="1" a="1"/>
  <c r="DS212" i="2" s="1"/>
  <c r="BS212" i="2" a="1"/>
  <c r="BS212" i="2" s="1"/>
  <c r="DP212" i="2" s="1" a="1"/>
  <c r="DP212" i="2" s="1"/>
  <c r="BE212" i="2" a="1"/>
  <c r="BE212" i="2" s="1"/>
  <c r="DQ212" i="2" s="1" a="1"/>
  <c r="AR212" i="2" a="1"/>
  <c r="AR212" i="2" s="1"/>
  <c r="DO212" i="2" s="1" a="1"/>
  <c r="DO212" i="2" s="1"/>
  <c r="Y212" i="2"/>
  <c r="J212" i="2"/>
  <c r="G212" i="2"/>
  <c r="F212" i="2"/>
  <c r="EC211" i="2"/>
  <c r="EB211" i="2"/>
  <c r="DQ211" i="2" a="1"/>
  <c r="DQ211" i="2" s="1"/>
  <c r="DO211" i="2"/>
  <c r="DO211" i="2" a="1"/>
  <c r="DN211" i="2"/>
  <c r="DN211" i="2" a="1"/>
  <c r="DL211" i="2"/>
  <c r="DB211" i="2"/>
  <c r="CV211" i="2"/>
  <c r="CT211" i="2"/>
  <c r="CU211" i="2" s="1"/>
  <c r="CS211" i="2"/>
  <c r="CR211" i="2"/>
  <c r="CE211" i="2"/>
  <c r="DS211" i="2" s="1" a="1"/>
  <c r="DS211" i="2" s="1"/>
  <c r="CE211" i="2" a="1"/>
  <c r="BS211" i="2" a="1"/>
  <c r="BS211" i="2" s="1"/>
  <c r="DP211" i="2" s="1" a="1"/>
  <c r="DP211" i="2" s="1"/>
  <c r="BE211" i="2" a="1"/>
  <c r="BE211" i="2" s="1"/>
  <c r="AR211" i="2"/>
  <c r="AR211" i="2" a="1"/>
  <c r="Y211" i="2"/>
  <c r="G211" i="2"/>
  <c r="F211" i="2"/>
  <c r="EC210" i="2"/>
  <c r="EB210" i="2"/>
  <c r="DQ210" i="2"/>
  <c r="DN210" i="2"/>
  <c r="DN210" i="2" a="1"/>
  <c r="DL210" i="2"/>
  <c r="DB210" i="2"/>
  <c r="CV210" i="2"/>
  <c r="CU210" i="2"/>
  <c r="DA210" i="2" s="1"/>
  <c r="DM210" i="2" s="1"/>
  <c r="CT210" i="2"/>
  <c r="CS210" i="2"/>
  <c r="CR210" i="2"/>
  <c r="CE210" i="2" a="1"/>
  <c r="CE210" i="2" s="1"/>
  <c r="DS210" i="2" s="1" a="1"/>
  <c r="DS210" i="2" s="1"/>
  <c r="BS210" i="2" a="1"/>
  <c r="BS210" i="2" s="1"/>
  <c r="DP210" i="2" s="1" a="1"/>
  <c r="DP210" i="2" s="1"/>
  <c r="BE210" i="2" a="1"/>
  <c r="BE210" i="2" s="1"/>
  <c r="DQ210" i="2" s="1" a="1"/>
  <c r="AR210" i="2" a="1"/>
  <c r="AR210" i="2" s="1"/>
  <c r="DO210" i="2" s="1" a="1"/>
  <c r="DO210" i="2" s="1"/>
  <c r="Y210" i="2"/>
  <c r="J210" i="2"/>
  <c r="G210" i="2"/>
  <c r="F210" i="2"/>
  <c r="EC209" i="2"/>
  <c r="EB209" i="2"/>
  <c r="DO209" i="2" a="1"/>
  <c r="DO209" i="2" s="1"/>
  <c r="DN209" i="2"/>
  <c r="DN209" i="2" a="1"/>
  <c r="DL209" i="2"/>
  <c r="DB209" i="2"/>
  <c r="CV209" i="2"/>
  <c r="CT209" i="2"/>
  <c r="CU209" i="2" s="1"/>
  <c r="CS209" i="2"/>
  <c r="CR209" i="2"/>
  <c r="CE209" i="2"/>
  <c r="DS209" i="2" s="1" a="1"/>
  <c r="DS209" i="2" s="1"/>
  <c r="CE209" i="2" a="1"/>
  <c r="BS209" i="2" a="1"/>
  <c r="BS209" i="2" s="1"/>
  <c r="DP209" i="2" s="1" a="1"/>
  <c r="DP209" i="2" s="1"/>
  <c r="BE209" i="2" a="1"/>
  <c r="BE209" i="2" s="1"/>
  <c r="DQ209" i="2" s="1" a="1"/>
  <c r="DQ209" i="2" s="1"/>
  <c r="AR209" i="2"/>
  <c r="AR209" i="2" a="1"/>
  <c r="Y209" i="2"/>
  <c r="J209" i="2"/>
  <c r="G209" i="2"/>
  <c r="F209" i="2"/>
  <c r="EC208" i="2"/>
  <c r="EB208" i="2"/>
  <c r="DQ208" i="2"/>
  <c r="DN208" i="2"/>
  <c r="DN208" i="2" a="1"/>
  <c r="DL208" i="2"/>
  <c r="DB208" i="2"/>
  <c r="CV208" i="2"/>
  <c r="CU208" i="2"/>
  <c r="DA208" i="2" s="1"/>
  <c r="DM208" i="2" s="1"/>
  <c r="CT208" i="2"/>
  <c r="CS208" i="2"/>
  <c r="CR208" i="2"/>
  <c r="CE208" i="2" a="1"/>
  <c r="CE208" i="2" s="1"/>
  <c r="DS208" i="2" s="1" a="1"/>
  <c r="DS208" i="2" s="1"/>
  <c r="BS208" i="2" a="1"/>
  <c r="BS208" i="2" s="1"/>
  <c r="DP208" i="2" s="1" a="1"/>
  <c r="DP208" i="2" s="1"/>
  <c r="BE208" i="2" a="1"/>
  <c r="BE208" i="2" s="1"/>
  <c r="DQ208" i="2" s="1" a="1"/>
  <c r="AR208" i="2" a="1"/>
  <c r="AR208" i="2" s="1"/>
  <c r="DO208" i="2" s="1" a="1"/>
  <c r="DO208" i="2" s="1"/>
  <c r="Y208" i="2"/>
  <c r="G208" i="2"/>
  <c r="F208" i="2"/>
  <c r="EC207" i="2"/>
  <c r="EB207" i="2"/>
  <c r="DO207" i="2" a="1"/>
  <c r="DO207" i="2" s="1"/>
  <c r="DN207" i="2"/>
  <c r="DN207" i="2" a="1"/>
  <c r="DL207" i="2"/>
  <c r="DB207" i="2"/>
  <c r="CV207" i="2"/>
  <c r="CT207" i="2"/>
  <c r="CU207" i="2" s="1"/>
  <c r="CS207" i="2"/>
  <c r="CR207" i="2"/>
  <c r="CE207" i="2"/>
  <c r="DS207" i="2" s="1" a="1"/>
  <c r="DS207" i="2" s="1"/>
  <c r="CE207" i="2" a="1"/>
  <c r="BS207" i="2" a="1"/>
  <c r="BS207" i="2" s="1"/>
  <c r="DP207" i="2" s="1" a="1"/>
  <c r="DP207" i="2" s="1"/>
  <c r="BE207" i="2" a="1"/>
  <c r="BE207" i="2" s="1"/>
  <c r="DQ207" i="2" s="1" a="1"/>
  <c r="DQ207" i="2" s="1"/>
  <c r="AR207" i="2"/>
  <c r="AR207" i="2" a="1"/>
  <c r="Y207" i="2"/>
  <c r="J207" i="2"/>
  <c r="G207" i="2"/>
  <c r="F207" i="2"/>
  <c r="EC206" i="2"/>
  <c r="EB206" i="2"/>
  <c r="DQ206" i="2"/>
  <c r="DN206" i="2"/>
  <c r="DN206" i="2" a="1"/>
  <c r="DL206" i="2"/>
  <c r="DB206" i="2"/>
  <c r="CV206" i="2"/>
  <c r="CU206" i="2"/>
  <c r="CT206" i="2"/>
  <c r="CS206" i="2"/>
  <c r="CR206" i="2"/>
  <c r="CE206" i="2" a="1"/>
  <c r="CE206" i="2" s="1"/>
  <c r="DS206" i="2" s="1" a="1"/>
  <c r="DS206" i="2" s="1"/>
  <c r="BS206" i="2" a="1"/>
  <c r="BS206" i="2" s="1"/>
  <c r="DP206" i="2" s="1" a="1"/>
  <c r="DP206" i="2" s="1"/>
  <c r="BE206" i="2" a="1"/>
  <c r="BE206" i="2" s="1"/>
  <c r="DQ206" i="2" s="1" a="1"/>
  <c r="AR206" i="2" a="1"/>
  <c r="AR206" i="2" s="1"/>
  <c r="DO206" i="2" s="1" a="1"/>
  <c r="DO206" i="2" s="1"/>
  <c r="Y206" i="2"/>
  <c r="J206" i="2"/>
  <c r="G206" i="2"/>
  <c r="F206" i="2"/>
  <c r="EC205" i="2"/>
  <c r="EB205" i="2"/>
  <c r="DO205" i="2" a="1"/>
  <c r="DO205" i="2" s="1"/>
  <c r="DN205" i="2"/>
  <c r="DN205" i="2" a="1"/>
  <c r="DL205" i="2"/>
  <c r="DB205" i="2"/>
  <c r="CV205" i="2"/>
  <c r="CT205" i="2"/>
  <c r="CU205" i="2" s="1"/>
  <c r="CS205" i="2"/>
  <c r="CR205" i="2"/>
  <c r="CE205" i="2"/>
  <c r="DS205" i="2" s="1" a="1"/>
  <c r="DS205" i="2" s="1"/>
  <c r="CE205" i="2" a="1"/>
  <c r="BS205" i="2" a="1"/>
  <c r="BS205" i="2" s="1"/>
  <c r="DP205" i="2" s="1" a="1"/>
  <c r="DP205" i="2" s="1"/>
  <c r="BE205" i="2" a="1"/>
  <c r="BE205" i="2" s="1"/>
  <c r="DQ205" i="2" s="1" a="1"/>
  <c r="DQ205" i="2" s="1"/>
  <c r="AR205" i="2"/>
  <c r="AR205" i="2" a="1"/>
  <c r="Y205" i="2"/>
  <c r="J205" i="2"/>
  <c r="G205" i="2"/>
  <c r="F205" i="2"/>
  <c r="EC204" i="2"/>
  <c r="EB204" i="2"/>
  <c r="DQ204" i="2"/>
  <c r="DN204" i="2"/>
  <c r="DN204" i="2" a="1"/>
  <c r="DL204" i="2"/>
  <c r="DB204" i="2"/>
  <c r="CV204" i="2"/>
  <c r="CU204" i="2"/>
  <c r="CT204" i="2"/>
  <c r="CS204" i="2"/>
  <c r="CR204" i="2"/>
  <c r="CE204" i="2" a="1"/>
  <c r="CE204" i="2" s="1"/>
  <c r="DS204" i="2" s="1" a="1"/>
  <c r="DS204" i="2" s="1"/>
  <c r="BS204" i="2" a="1"/>
  <c r="BS204" i="2" s="1"/>
  <c r="DP204" i="2" s="1" a="1"/>
  <c r="DP204" i="2" s="1"/>
  <c r="BE204" i="2" a="1"/>
  <c r="BE204" i="2" s="1"/>
  <c r="DQ204" i="2" s="1" a="1"/>
  <c r="AR204" i="2" a="1"/>
  <c r="AR204" i="2" s="1"/>
  <c r="DO204" i="2" s="1" a="1"/>
  <c r="DO204" i="2" s="1"/>
  <c r="Y204" i="2"/>
  <c r="J204" i="2"/>
  <c r="G204" i="2"/>
  <c r="F204" i="2"/>
  <c r="EC203" i="2"/>
  <c r="EB203" i="2"/>
  <c r="DN203" i="2"/>
  <c r="DN203" i="2" a="1"/>
  <c r="DL203" i="2"/>
  <c r="DB203" i="2"/>
  <c r="CV203" i="2"/>
  <c r="CT203" i="2"/>
  <c r="CS203" i="2"/>
  <c r="CU203" i="2" s="1"/>
  <c r="CR203" i="2"/>
  <c r="CE203" i="2"/>
  <c r="DS203" i="2" s="1" a="1"/>
  <c r="DS203" i="2" s="1"/>
  <c r="CE203" i="2" a="1"/>
  <c r="BS203" i="2" a="1"/>
  <c r="BS203" i="2" s="1"/>
  <c r="DP203" i="2" s="1" a="1"/>
  <c r="DP203" i="2" s="1"/>
  <c r="BE203" i="2" a="1"/>
  <c r="BE203" i="2" s="1"/>
  <c r="DQ203" i="2" s="1" a="1"/>
  <c r="DQ203" i="2" s="1"/>
  <c r="AR203" i="2" a="1"/>
  <c r="AR203" i="2" s="1"/>
  <c r="DO203" i="2" s="1" a="1"/>
  <c r="DO203" i="2" s="1"/>
  <c r="Y203" i="2"/>
  <c r="J203" i="2"/>
  <c r="G203" i="2"/>
  <c r="F203" i="2"/>
  <c r="EC202" i="2"/>
  <c r="EB202" i="2"/>
  <c r="DS202" i="2" a="1"/>
  <c r="DS202" i="2" s="1"/>
  <c r="DQ202" i="2" a="1"/>
  <c r="DQ202" i="2" s="1"/>
  <c r="DN202" i="2"/>
  <c r="DN202" i="2" a="1"/>
  <c r="DL202" i="2"/>
  <c r="DB202" i="2"/>
  <c r="CV202" i="2"/>
  <c r="CU202" i="2"/>
  <c r="DA202" i="2" s="1"/>
  <c r="CT202" i="2"/>
  <c r="CS202" i="2"/>
  <c r="CR202" i="2"/>
  <c r="CE202" i="2" a="1"/>
  <c r="CE202" i="2" s="1"/>
  <c r="BS202" i="2" a="1"/>
  <c r="BS202" i="2" s="1"/>
  <c r="DP202" i="2" s="1" a="1"/>
  <c r="DP202" i="2" s="1"/>
  <c r="BE202" i="2" a="1"/>
  <c r="BE202" i="2" s="1"/>
  <c r="AR202" i="2" a="1"/>
  <c r="AR202" i="2" s="1"/>
  <c r="DO202" i="2" s="1" a="1"/>
  <c r="DO202" i="2" s="1"/>
  <c r="Y202" i="2"/>
  <c r="G202" i="2"/>
  <c r="F202" i="2"/>
  <c r="EC201" i="2"/>
  <c r="EB201" i="2"/>
  <c r="DS201" i="2" a="1"/>
  <c r="DS201" i="2" s="1"/>
  <c r="DO201" i="2"/>
  <c r="DN201" i="2"/>
  <c r="DN201" i="2" a="1"/>
  <c r="DL201" i="2"/>
  <c r="DB201" i="2"/>
  <c r="CV201" i="2"/>
  <c r="CU201" i="2"/>
  <c r="CT201" i="2"/>
  <c r="CS201" i="2"/>
  <c r="CR201" i="2"/>
  <c r="CE201" i="2"/>
  <c r="CE201" i="2" a="1"/>
  <c r="BS201" i="2" a="1"/>
  <c r="BS201" i="2" s="1"/>
  <c r="DP201" i="2" s="1" a="1"/>
  <c r="DP201" i="2" s="1"/>
  <c r="BE201" i="2" a="1"/>
  <c r="BE201" i="2" s="1"/>
  <c r="DQ201" i="2" s="1" a="1"/>
  <c r="DQ201" i="2" s="1"/>
  <c r="AR201" i="2"/>
  <c r="DO201" i="2" s="1" a="1"/>
  <c r="AR201" i="2" a="1"/>
  <c r="Y201" i="2"/>
  <c r="J201" i="2"/>
  <c r="G201" i="2"/>
  <c r="F201" i="2"/>
  <c r="EC200" i="2"/>
  <c r="EB200" i="2"/>
  <c r="DQ200" i="2" a="1"/>
  <c r="DQ200" i="2" s="1"/>
  <c r="DN200" i="2"/>
  <c r="DN200" i="2" a="1"/>
  <c r="DL200" i="2"/>
  <c r="DB200" i="2"/>
  <c r="CV200" i="2"/>
  <c r="CT200" i="2"/>
  <c r="CS200" i="2"/>
  <c r="CU200" i="2" s="1"/>
  <c r="CR200" i="2"/>
  <c r="CE200" i="2" a="1"/>
  <c r="CE200" i="2" s="1"/>
  <c r="DS200" i="2" s="1" a="1"/>
  <c r="DS200" i="2" s="1"/>
  <c r="BS200" i="2" a="1"/>
  <c r="BS200" i="2" s="1"/>
  <c r="DP200" i="2" s="1" a="1"/>
  <c r="DP200" i="2" s="1"/>
  <c r="BE200" i="2" a="1"/>
  <c r="BE200" i="2" s="1"/>
  <c r="AR200" i="2" a="1"/>
  <c r="AR200" i="2" s="1"/>
  <c r="DO200" i="2" s="1" a="1"/>
  <c r="DO200" i="2" s="1"/>
  <c r="Y200" i="2"/>
  <c r="G200" i="2"/>
  <c r="F200" i="2"/>
  <c r="EC199" i="2"/>
  <c r="EB199" i="2"/>
  <c r="DS199" i="2" a="1"/>
  <c r="DS199" i="2" s="1"/>
  <c r="DN199" i="2" a="1"/>
  <c r="DN199" i="2" s="1"/>
  <c r="DL199" i="2"/>
  <c r="CV199" i="2"/>
  <c r="CT199" i="2"/>
  <c r="CS199" i="2"/>
  <c r="CU199" i="2" s="1"/>
  <c r="DR199" i="2" s="1" a="1"/>
  <c r="DR199" i="2" s="1"/>
  <c r="CR199" i="2"/>
  <c r="DB199" i="2" s="1"/>
  <c r="CE199" i="2"/>
  <c r="CE199" i="2" a="1"/>
  <c r="BS199" i="2"/>
  <c r="DP199" i="2" s="1" a="1"/>
  <c r="DP199" i="2" s="1"/>
  <c r="BS199" i="2" a="1"/>
  <c r="BE199" i="2"/>
  <c r="DQ199" i="2" s="1" a="1"/>
  <c r="DQ199" i="2" s="1"/>
  <c r="BE199" i="2" a="1"/>
  <c r="AR199" i="2"/>
  <c r="DO199" i="2" s="1" a="1"/>
  <c r="DO199" i="2" s="1"/>
  <c r="AR199" i="2" a="1"/>
  <c r="Y199" i="2"/>
  <c r="J199" i="2"/>
  <c r="G199" i="2"/>
  <c r="F199" i="2"/>
  <c r="EC198" i="2"/>
  <c r="EB198" i="2"/>
  <c r="DS198" i="2" a="1"/>
  <c r="DS198" i="2" s="1"/>
  <c r="DN198" i="2" a="1"/>
  <c r="DN198" i="2" s="1"/>
  <c r="DL198" i="2"/>
  <c r="CV198" i="2"/>
  <c r="CT198" i="2"/>
  <c r="CS198" i="2"/>
  <c r="CU198" i="2" s="1"/>
  <c r="DR198" i="2" s="1" a="1"/>
  <c r="DR198" i="2" s="1"/>
  <c r="CR198" i="2"/>
  <c r="DB198" i="2" s="1"/>
  <c r="CE198" i="2"/>
  <c r="CE198" i="2" a="1"/>
  <c r="BS198" i="2"/>
  <c r="BS198" i="2" a="1"/>
  <c r="BE198" i="2"/>
  <c r="DQ198" i="2" s="1" a="1"/>
  <c r="DQ198" i="2" s="1"/>
  <c r="BE198" i="2" a="1"/>
  <c r="AR198" i="2"/>
  <c r="DO198" i="2" s="1" a="1"/>
  <c r="DO198" i="2" s="1"/>
  <c r="AR198" i="2" a="1"/>
  <c r="Y198" i="2"/>
  <c r="J198" i="2"/>
  <c r="G198" i="2"/>
  <c r="F198" i="2"/>
  <c r="EC197" i="2"/>
  <c r="EB197" i="2"/>
  <c r="DS197" i="2" a="1"/>
  <c r="DS197" i="2" s="1"/>
  <c r="DR197" i="2" a="1"/>
  <c r="DR197" i="2" s="1"/>
  <c r="DN197" i="2" a="1"/>
  <c r="DN197" i="2" s="1"/>
  <c r="DL197" i="2"/>
  <c r="DB197" i="2"/>
  <c r="CV197" i="2"/>
  <c r="CU197" i="2"/>
  <c r="CT197" i="2"/>
  <c r="CS197" i="2"/>
  <c r="CR197" i="2"/>
  <c r="CE197" i="2"/>
  <c r="CE197" i="2" a="1"/>
  <c r="BS197" i="2"/>
  <c r="BS197" i="2" a="1"/>
  <c r="BE197" i="2"/>
  <c r="DQ197" i="2" s="1" a="1"/>
  <c r="DQ197" i="2" s="1"/>
  <c r="BE197" i="2" a="1"/>
  <c r="AR197" i="2"/>
  <c r="DO197" i="2" s="1" a="1"/>
  <c r="DO197" i="2" s="1"/>
  <c r="AR197" i="2" a="1"/>
  <c r="Y197" i="2"/>
  <c r="J197" i="2"/>
  <c r="G197" i="2"/>
  <c r="F197" i="2"/>
  <c r="EC196" i="2"/>
  <c r="EB196" i="2"/>
  <c r="DS196" i="2" a="1"/>
  <c r="DS196" i="2" s="1"/>
  <c r="DQ196" i="2" a="1"/>
  <c r="DQ196" i="2" s="1"/>
  <c r="DN196" i="2" a="1"/>
  <c r="DN196" i="2" s="1"/>
  <c r="DL196" i="2"/>
  <c r="DB196" i="2"/>
  <c r="CV196" i="2"/>
  <c r="CT196" i="2"/>
  <c r="CS196" i="2"/>
  <c r="CU196" i="2" s="1"/>
  <c r="CR196" i="2"/>
  <c r="CE196" i="2"/>
  <c r="CE196" i="2" a="1"/>
  <c r="BS196" i="2" a="1"/>
  <c r="BS196" i="2" s="1"/>
  <c r="DP196" i="2" s="1" a="1"/>
  <c r="DP196" i="2" s="1"/>
  <c r="BE196" i="2"/>
  <c r="BE196" i="2" a="1"/>
  <c r="AR196" i="2"/>
  <c r="DO196" i="2" s="1" a="1"/>
  <c r="DO196" i="2" s="1"/>
  <c r="AR196" i="2" a="1"/>
  <c r="Y196" i="2"/>
  <c r="J196" i="2"/>
  <c r="G196" i="2"/>
  <c r="F196" i="2"/>
  <c r="EC195" i="2"/>
  <c r="EB195" i="2"/>
  <c r="DN195" i="2" a="1"/>
  <c r="DN195" i="2" s="1"/>
  <c r="DL195" i="2"/>
  <c r="DB195" i="2"/>
  <c r="CV195" i="2"/>
  <c r="CT195" i="2"/>
  <c r="CS195" i="2"/>
  <c r="CU195" i="2" s="1"/>
  <c r="CR195" i="2"/>
  <c r="CE195" i="2"/>
  <c r="DS195" i="2" s="1" a="1"/>
  <c r="DS195" i="2" s="1"/>
  <c r="CE195" i="2" a="1"/>
  <c r="BS195" i="2" a="1"/>
  <c r="BS195" i="2" s="1"/>
  <c r="DP195" i="2" s="1" a="1"/>
  <c r="DP195" i="2" s="1"/>
  <c r="BE195" i="2"/>
  <c r="DQ195" i="2" s="1" a="1"/>
  <c r="DQ195" i="2" s="1"/>
  <c r="BE195" i="2" a="1"/>
  <c r="AR195" i="2"/>
  <c r="AR195" i="2" a="1"/>
  <c r="Y195" i="2"/>
  <c r="G195" i="2"/>
  <c r="F195" i="2"/>
  <c r="EC194" i="2"/>
  <c r="EB194" i="2"/>
  <c r="DR194" i="2" a="1"/>
  <c r="DR194" i="2" s="1"/>
  <c r="DQ194" i="2" a="1"/>
  <c r="DQ194" i="2" s="1"/>
  <c r="DN194" i="2" a="1"/>
  <c r="DN194" i="2" s="1"/>
  <c r="DL194" i="2"/>
  <c r="DB194" i="2"/>
  <c r="CV194" i="2"/>
  <c r="CU194" i="2"/>
  <c r="CT194" i="2"/>
  <c r="CS194" i="2"/>
  <c r="CR194" i="2"/>
  <c r="CE194" i="2"/>
  <c r="DS194" i="2" s="1" a="1"/>
  <c r="DS194" i="2" s="1"/>
  <c r="CE194" i="2" a="1"/>
  <c r="BS194" i="2" a="1"/>
  <c r="BS194" i="2" s="1"/>
  <c r="BE194" i="2"/>
  <c r="BE194" i="2" a="1"/>
  <c r="AR194" i="2"/>
  <c r="DO194" i="2" s="1" a="1"/>
  <c r="DO194" i="2" s="1"/>
  <c r="AR194" i="2" a="1"/>
  <c r="Y194" i="2"/>
  <c r="J194" i="2"/>
  <c r="G194" i="2"/>
  <c r="F194" i="2"/>
  <c r="EC193" i="2"/>
  <c r="EB193" i="2"/>
  <c r="DS193" i="2"/>
  <c r="DS193" i="2" a="1"/>
  <c r="DN193" i="2"/>
  <c r="DN193" i="2" a="1"/>
  <c r="DL193" i="2"/>
  <c r="DB193" i="2"/>
  <c r="CV193" i="2"/>
  <c r="CT193" i="2"/>
  <c r="CS193" i="2"/>
  <c r="CR193" i="2"/>
  <c r="CE193" i="2"/>
  <c r="CE193" i="2" a="1"/>
  <c r="BS193" i="2" a="1"/>
  <c r="BS193" i="2" s="1"/>
  <c r="DP193" i="2" s="1" a="1"/>
  <c r="DP193" i="2" s="1"/>
  <c r="BE193" i="2" a="1"/>
  <c r="BE193" i="2" s="1"/>
  <c r="DQ193" i="2" s="1" a="1"/>
  <c r="DQ193" i="2" s="1"/>
  <c r="AR193" i="2"/>
  <c r="AR193" i="2" a="1"/>
  <c r="Y193" i="2"/>
  <c r="J193" i="2"/>
  <c r="G193" i="2"/>
  <c r="F193" i="2"/>
  <c r="EC192" i="2"/>
  <c r="EB192" i="2"/>
  <c r="DQ192" i="2" a="1"/>
  <c r="DQ192" i="2" s="1"/>
  <c r="DN192" i="2"/>
  <c r="DN192" i="2" a="1"/>
  <c r="DL192" i="2"/>
  <c r="DB192" i="2"/>
  <c r="CV192" i="2"/>
  <c r="CT192" i="2"/>
  <c r="CS192" i="2"/>
  <c r="CU192" i="2" s="1"/>
  <c r="DA192" i="2" s="1"/>
  <c r="CR192" i="2"/>
  <c r="CE192" i="2" a="1"/>
  <c r="CE192" i="2" s="1"/>
  <c r="DS192" i="2" s="1" a="1"/>
  <c r="DS192" i="2" s="1"/>
  <c r="BS192" i="2" a="1"/>
  <c r="BS192" i="2" s="1"/>
  <c r="DP192" i="2" s="1" a="1"/>
  <c r="DP192" i="2" s="1"/>
  <c r="BE192" i="2"/>
  <c r="BE192" i="2" a="1"/>
  <c r="AR192" i="2"/>
  <c r="DO192" i="2" s="1" a="1"/>
  <c r="DO192" i="2" s="1"/>
  <c r="AR192" i="2" a="1"/>
  <c r="Y192" i="2"/>
  <c r="G192" i="2"/>
  <c r="F192" i="2"/>
  <c r="EC191" i="2"/>
  <c r="EB191" i="2"/>
  <c r="DN191" i="2"/>
  <c r="DN191" i="2" a="1"/>
  <c r="DL191" i="2"/>
  <c r="DB191" i="2"/>
  <c r="CV191" i="2"/>
  <c r="CU191" i="2"/>
  <c r="CT191" i="2"/>
  <c r="CS191" i="2"/>
  <c r="CR191" i="2"/>
  <c r="CE191" i="2" a="1"/>
  <c r="CE191" i="2" s="1"/>
  <c r="DS191" i="2" s="1" a="1"/>
  <c r="DS191" i="2" s="1"/>
  <c r="BS191" i="2" a="1"/>
  <c r="BS191" i="2" s="1"/>
  <c r="DP191" i="2" s="1" a="1"/>
  <c r="DP191" i="2" s="1"/>
  <c r="BE191" i="2"/>
  <c r="DQ191" i="2" s="1" a="1"/>
  <c r="DQ191" i="2" s="1"/>
  <c r="BE191" i="2" a="1"/>
  <c r="AR191" i="2"/>
  <c r="DO191" i="2" s="1" a="1"/>
  <c r="DO191" i="2" s="1"/>
  <c r="AR191" i="2" a="1"/>
  <c r="Y191" i="2"/>
  <c r="J191" i="2"/>
  <c r="G191" i="2"/>
  <c r="F191" i="2"/>
  <c r="EC190" i="2"/>
  <c r="EB190" i="2"/>
  <c r="DO190" i="2"/>
  <c r="DN190" i="2" a="1"/>
  <c r="DN190" i="2" s="1"/>
  <c r="DL190" i="2"/>
  <c r="DB190" i="2"/>
  <c r="CV190" i="2"/>
  <c r="CT190" i="2"/>
  <c r="CS190" i="2"/>
  <c r="CU190" i="2" s="1"/>
  <c r="CR190" i="2"/>
  <c r="CE190" i="2" a="1"/>
  <c r="CE190" i="2" s="1"/>
  <c r="DS190" i="2" s="1" a="1"/>
  <c r="DS190" i="2" s="1"/>
  <c r="BS190" i="2" a="1"/>
  <c r="BS190" i="2" s="1"/>
  <c r="DP190" i="2" s="1" a="1"/>
  <c r="DP190" i="2" s="1"/>
  <c r="BE190" i="2"/>
  <c r="DQ190" i="2" s="1" a="1"/>
  <c r="DQ190" i="2" s="1"/>
  <c r="BE190" i="2" a="1"/>
  <c r="AR190" i="2"/>
  <c r="DO190" i="2" s="1" a="1"/>
  <c r="AR190" i="2" a="1"/>
  <c r="Y190" i="2"/>
  <c r="J190" i="2"/>
  <c r="G190" i="2"/>
  <c r="F190" i="2"/>
  <c r="EC189" i="2"/>
  <c r="EB189" i="2"/>
  <c r="DP189" i="2"/>
  <c r="DN189" i="2" a="1"/>
  <c r="DN189" i="2" s="1"/>
  <c r="DL189" i="2"/>
  <c r="DB189" i="2"/>
  <c r="DA189" i="2"/>
  <c r="DM189" i="2" s="1"/>
  <c r="CV189" i="2"/>
  <c r="CU189" i="2"/>
  <c r="DR189" i="2" s="1" a="1"/>
  <c r="DR189" i="2" s="1"/>
  <c r="CT189" i="2"/>
  <c r="CS189" i="2"/>
  <c r="CR189" i="2"/>
  <c r="CE189" i="2" a="1"/>
  <c r="CE189" i="2" s="1"/>
  <c r="DS189" i="2" s="1" a="1"/>
  <c r="DS189" i="2" s="1"/>
  <c r="BS189" i="2"/>
  <c r="DP189" i="2" s="1" a="1"/>
  <c r="BS189" i="2" a="1"/>
  <c r="BE189" i="2"/>
  <c r="DT189" i="2" s="1"/>
  <c r="BE189" i="2" a="1"/>
  <c r="AR189" i="2" a="1"/>
  <c r="AR189" i="2" s="1"/>
  <c r="DO189" i="2" s="1" a="1"/>
  <c r="DO189" i="2" s="1"/>
  <c r="Y189" i="2"/>
  <c r="J189" i="2"/>
  <c r="G189" i="2"/>
  <c r="F189" i="2"/>
  <c r="EC188" i="2"/>
  <c r="EB188" i="2"/>
  <c r="DQ188" i="2"/>
  <c r="DP188" i="2" a="1"/>
  <c r="DP188" i="2" s="1"/>
  <c r="DN188" i="2" a="1"/>
  <c r="DN188" i="2" s="1"/>
  <c r="DL188" i="2"/>
  <c r="CV188" i="2"/>
  <c r="CU188" i="2"/>
  <c r="CT188" i="2"/>
  <c r="CS188" i="2"/>
  <c r="CR188" i="2"/>
  <c r="DB188" i="2" s="1"/>
  <c r="CE188" i="2" a="1"/>
  <c r="CE188" i="2" s="1"/>
  <c r="DS188" i="2" s="1" a="1"/>
  <c r="DS188" i="2" s="1"/>
  <c r="BS188" i="2"/>
  <c r="BS188" i="2" a="1"/>
  <c r="BE188" i="2"/>
  <c r="DQ188" i="2" s="1" a="1"/>
  <c r="BE188" i="2" a="1"/>
  <c r="AR188" i="2" a="1"/>
  <c r="AR188" i="2" s="1"/>
  <c r="DO188" i="2" s="1" a="1"/>
  <c r="DO188" i="2" s="1"/>
  <c r="Y188" i="2"/>
  <c r="J188" i="2"/>
  <c r="G188" i="2"/>
  <c r="F188" i="2"/>
  <c r="EC187" i="2"/>
  <c r="EB187" i="2"/>
  <c r="DQ187" i="2"/>
  <c r="DN187" i="2" a="1"/>
  <c r="DN187" i="2" s="1"/>
  <c r="DL187" i="2"/>
  <c r="CV187" i="2"/>
  <c r="CT187" i="2"/>
  <c r="CS187" i="2"/>
  <c r="CR187" i="2"/>
  <c r="CE187" i="2" a="1"/>
  <c r="CE187" i="2" s="1"/>
  <c r="DS187" i="2" s="1" a="1"/>
  <c r="DS187" i="2" s="1"/>
  <c r="BS187" i="2"/>
  <c r="DP187" i="2" s="1" a="1"/>
  <c r="DP187" i="2" s="1"/>
  <c r="BS187" i="2" a="1"/>
  <c r="BE187" i="2"/>
  <c r="DQ187" i="2" s="1" a="1"/>
  <c r="BE187" i="2" a="1"/>
  <c r="AR187" i="2" a="1"/>
  <c r="AR187" i="2" s="1"/>
  <c r="DO187" i="2" s="1" a="1"/>
  <c r="DO187" i="2" s="1"/>
  <c r="Y187" i="2"/>
  <c r="J187" i="2"/>
  <c r="G187" i="2"/>
  <c r="F187" i="2"/>
  <c r="EC186" i="2"/>
  <c r="EB186" i="2"/>
  <c r="DT186" i="2"/>
  <c r="DS186" i="2" a="1"/>
  <c r="DS186" i="2" s="1"/>
  <c r="DQ186" i="2"/>
  <c r="DN186" i="2" a="1"/>
  <c r="DN186" i="2" s="1"/>
  <c r="DL186" i="2"/>
  <c r="DB186" i="2"/>
  <c r="CV186" i="2"/>
  <c r="CT186" i="2"/>
  <c r="CS186" i="2"/>
  <c r="CR186" i="2"/>
  <c r="CU186" i="2" s="1"/>
  <c r="DR186" i="2" s="1" a="1"/>
  <c r="DR186" i="2" s="1"/>
  <c r="CE186" i="2" a="1"/>
  <c r="CE186" i="2" s="1"/>
  <c r="BS186" i="2"/>
  <c r="DP186" i="2" s="1" a="1"/>
  <c r="DP186" i="2" s="1"/>
  <c r="BS186" i="2" a="1"/>
  <c r="BE186" i="2"/>
  <c r="DQ186" i="2" s="1" a="1"/>
  <c r="BE186" i="2" a="1"/>
  <c r="AR186" i="2" a="1"/>
  <c r="AR186" i="2" s="1"/>
  <c r="DO186" i="2" s="1" a="1"/>
  <c r="DO186" i="2" s="1"/>
  <c r="Y186" i="2"/>
  <c r="J186" i="2"/>
  <c r="G186" i="2"/>
  <c r="F186" i="2"/>
  <c r="EC185" i="2"/>
  <c r="EB185" i="2"/>
  <c r="DS185" i="2" a="1"/>
  <c r="DS185" i="2" s="1"/>
  <c r="DQ185" i="2"/>
  <c r="DP185" i="2"/>
  <c r="DN185" i="2"/>
  <c r="DN185" i="2" a="1"/>
  <c r="DL185" i="2"/>
  <c r="CV185" i="2"/>
  <c r="CT185" i="2"/>
  <c r="CS185" i="2"/>
  <c r="CR185" i="2"/>
  <c r="CU185" i="2" s="1"/>
  <c r="CE185" i="2" a="1"/>
  <c r="CE185" i="2" s="1"/>
  <c r="BS185" i="2"/>
  <c r="DP185" i="2" s="1" a="1"/>
  <c r="BS185" i="2" a="1"/>
  <c r="BE185" i="2"/>
  <c r="DQ185" i="2" s="1" a="1"/>
  <c r="BE185" i="2" a="1"/>
  <c r="AR185" i="2" a="1"/>
  <c r="AR185" i="2" s="1"/>
  <c r="DO185" i="2" s="1" a="1"/>
  <c r="DO185" i="2" s="1"/>
  <c r="Y185" i="2"/>
  <c r="J185" i="2"/>
  <c r="G185" i="2"/>
  <c r="F185" i="2"/>
  <c r="EC184" i="2"/>
  <c r="EB184" i="2"/>
  <c r="DS184" i="2" a="1"/>
  <c r="DS184" i="2" s="1"/>
  <c r="DQ184" i="2"/>
  <c r="DP184" i="2"/>
  <c r="DN184" i="2"/>
  <c r="DN184" i="2" a="1"/>
  <c r="DL184" i="2"/>
  <c r="DB184" i="2"/>
  <c r="CV184" i="2"/>
  <c r="CT184" i="2"/>
  <c r="CS184" i="2"/>
  <c r="CR184" i="2"/>
  <c r="CU184" i="2" s="1"/>
  <c r="CE184" i="2" a="1"/>
  <c r="CE184" i="2" s="1"/>
  <c r="BS184" i="2"/>
  <c r="DP184" i="2" s="1" a="1"/>
  <c r="BS184" i="2" a="1"/>
  <c r="BE184" i="2"/>
  <c r="DQ184" i="2" s="1" a="1"/>
  <c r="BE184" i="2" a="1"/>
  <c r="AR184" i="2" a="1"/>
  <c r="AR184" i="2" s="1"/>
  <c r="DO184" i="2" s="1" a="1"/>
  <c r="DO184" i="2" s="1"/>
  <c r="Y184" i="2"/>
  <c r="G184" i="2"/>
  <c r="F184" i="2"/>
  <c r="EC183" i="2"/>
  <c r="EB183" i="2"/>
  <c r="DT183" i="2"/>
  <c r="DS183" i="2" a="1"/>
  <c r="DS183" i="2" s="1"/>
  <c r="DQ183" i="2"/>
  <c r="DN183" i="2"/>
  <c r="DN183" i="2" a="1"/>
  <c r="DL183" i="2"/>
  <c r="DB183" i="2"/>
  <c r="CV183" i="2"/>
  <c r="CT183" i="2"/>
  <c r="CS183" i="2"/>
  <c r="CR183" i="2"/>
  <c r="CU183" i="2" s="1"/>
  <c r="CE183" i="2" a="1"/>
  <c r="CE183" i="2" s="1"/>
  <c r="BS183" i="2"/>
  <c r="DP183" i="2" s="1" a="1"/>
  <c r="DP183" i="2" s="1"/>
  <c r="BS183" i="2" a="1"/>
  <c r="BE183" i="2"/>
  <c r="DQ183" i="2" s="1" a="1"/>
  <c r="BE183" i="2" a="1"/>
  <c r="AR183" i="2" a="1"/>
  <c r="AR183" i="2" s="1"/>
  <c r="DO183" i="2" s="1" a="1"/>
  <c r="DO183" i="2" s="1"/>
  <c r="Y183" i="2"/>
  <c r="G183" i="2"/>
  <c r="F183" i="2"/>
  <c r="EC182" i="2"/>
  <c r="EB182" i="2"/>
  <c r="DS182" i="2" a="1"/>
  <c r="DS182" i="2" s="1"/>
  <c r="DO182" i="2" a="1"/>
  <c r="DO182" i="2" s="1"/>
  <c r="DN182" i="2"/>
  <c r="DN182" i="2" a="1"/>
  <c r="DL182" i="2"/>
  <c r="CV182" i="2"/>
  <c r="CT182" i="2"/>
  <c r="CS182" i="2"/>
  <c r="CR182" i="2"/>
  <c r="DB182" i="2" s="1"/>
  <c r="CE182" i="2" a="1"/>
  <c r="CE182" i="2" s="1"/>
  <c r="BS182" i="2" a="1"/>
  <c r="BS182" i="2" s="1"/>
  <c r="DP182" i="2" s="1" a="1"/>
  <c r="DP182" i="2" s="1"/>
  <c r="BE182" i="2" a="1"/>
  <c r="BE182" i="2" s="1"/>
  <c r="DQ182" i="2" s="1" a="1"/>
  <c r="DQ182" i="2" s="1"/>
  <c r="AR182" i="2" a="1"/>
  <c r="AR182" i="2" s="1"/>
  <c r="Y182" i="2"/>
  <c r="J182" i="2"/>
  <c r="G182" i="2"/>
  <c r="F182" i="2"/>
  <c r="EC181" i="2"/>
  <c r="EB181" i="2"/>
  <c r="DS181" i="2"/>
  <c r="DS181" i="2" a="1"/>
  <c r="DN181" i="2"/>
  <c r="DN181" i="2" a="1"/>
  <c r="DL181" i="2"/>
  <c r="DB181" i="2"/>
  <c r="CV181" i="2"/>
  <c r="CT181" i="2"/>
  <c r="CU181" i="2" s="1"/>
  <c r="CS181" i="2"/>
  <c r="CR181" i="2"/>
  <c r="CE181" i="2" a="1"/>
  <c r="CE181" i="2" s="1"/>
  <c r="BS181" i="2" a="1"/>
  <c r="BS181" i="2" s="1"/>
  <c r="BE181" i="2"/>
  <c r="DQ181" i="2" s="1" a="1"/>
  <c r="DQ181" i="2" s="1"/>
  <c r="BE181" i="2" a="1"/>
  <c r="AR181" i="2" a="1"/>
  <c r="AR181" i="2" s="1"/>
  <c r="DO181" i="2" s="1" a="1"/>
  <c r="DO181" i="2" s="1"/>
  <c r="Y181" i="2"/>
  <c r="G181" i="2"/>
  <c r="F181" i="2"/>
  <c r="EC180" i="2"/>
  <c r="EB180" i="2"/>
  <c r="DQ180" i="2"/>
  <c r="DO180" i="2"/>
  <c r="DO180" i="2" a="1"/>
  <c r="DN180" i="2"/>
  <c r="DN180" i="2" a="1"/>
  <c r="DL180" i="2"/>
  <c r="DB180" i="2"/>
  <c r="CV180" i="2"/>
  <c r="CT180" i="2"/>
  <c r="CS180" i="2"/>
  <c r="CR180" i="2"/>
  <c r="CU180" i="2" s="1"/>
  <c r="DR180" i="2" s="1" a="1"/>
  <c r="DR180" i="2" s="1"/>
  <c r="CE180" i="2" a="1"/>
  <c r="CE180" i="2" s="1"/>
  <c r="DS180" i="2" s="1" a="1"/>
  <c r="DS180" i="2" s="1"/>
  <c r="BS180" i="2" a="1"/>
  <c r="BS180" i="2" s="1"/>
  <c r="BE180" i="2"/>
  <c r="DQ180" i="2" s="1" a="1"/>
  <c r="BE180" i="2" a="1"/>
  <c r="AR180" i="2" a="1"/>
  <c r="AR180" i="2" s="1"/>
  <c r="Y180" i="2"/>
  <c r="J180" i="2"/>
  <c r="G180" i="2"/>
  <c r="F180" i="2"/>
  <c r="EC179" i="2"/>
  <c r="EB179" i="2"/>
  <c r="DP179" i="2" a="1"/>
  <c r="DP179" i="2" s="1"/>
  <c r="DN179" i="2"/>
  <c r="DN179" i="2" a="1"/>
  <c r="DL179" i="2"/>
  <c r="CV179" i="2"/>
  <c r="CT179" i="2"/>
  <c r="CS179" i="2"/>
  <c r="CR179" i="2"/>
  <c r="CE179" i="2" a="1"/>
  <c r="CE179" i="2" s="1"/>
  <c r="DS179" i="2" s="1" a="1"/>
  <c r="DS179" i="2" s="1"/>
  <c r="BS179" i="2" a="1"/>
  <c r="BS179" i="2" s="1"/>
  <c r="BE179" i="2" a="1"/>
  <c r="BE179" i="2" s="1"/>
  <c r="DQ179" i="2" s="1" a="1"/>
  <c r="DQ179" i="2" s="1"/>
  <c r="AR179" i="2" a="1"/>
  <c r="AR179" i="2" s="1"/>
  <c r="DO179" i="2" s="1" a="1"/>
  <c r="DO179" i="2" s="1"/>
  <c r="Y179" i="2"/>
  <c r="G179" i="2"/>
  <c r="F179" i="2"/>
  <c r="EC178" i="2"/>
  <c r="EB178" i="2"/>
  <c r="DO178" i="2" a="1"/>
  <c r="DO178" i="2" s="1"/>
  <c r="DN178" i="2"/>
  <c r="DN178" i="2" a="1"/>
  <c r="DL178" i="2"/>
  <c r="CV178" i="2"/>
  <c r="CU178" i="2"/>
  <c r="CT178" i="2"/>
  <c r="CS178" i="2"/>
  <c r="CR178" i="2"/>
  <c r="DB178" i="2" s="1"/>
  <c r="CE178" i="2" a="1"/>
  <c r="CE178" i="2" s="1"/>
  <c r="DS178" i="2" s="1" a="1"/>
  <c r="DS178" i="2" s="1"/>
  <c r="BS178" i="2" a="1"/>
  <c r="BS178" i="2" s="1"/>
  <c r="BE178" i="2" a="1"/>
  <c r="BE178" i="2" s="1"/>
  <c r="DQ178" i="2" s="1" a="1"/>
  <c r="DQ178" i="2" s="1"/>
  <c r="AR178" i="2" a="1"/>
  <c r="AR178" i="2" s="1"/>
  <c r="Y178" i="2"/>
  <c r="J178" i="2"/>
  <c r="G178" i="2"/>
  <c r="F178" i="2"/>
  <c r="EC177" i="2"/>
  <c r="EB177" i="2"/>
  <c r="DN177" i="2"/>
  <c r="DN177" i="2" a="1"/>
  <c r="DL177" i="2"/>
  <c r="DB177" i="2"/>
  <c r="CV177" i="2"/>
  <c r="CU177" i="2"/>
  <c r="DR177" i="2" s="1" a="1"/>
  <c r="DR177" i="2" s="1"/>
  <c r="CT177" i="2"/>
  <c r="CS177" i="2"/>
  <c r="CR177" i="2"/>
  <c r="CE177" i="2" a="1"/>
  <c r="CE177" i="2" s="1"/>
  <c r="DS177" i="2" s="1" a="1"/>
  <c r="DS177" i="2" s="1"/>
  <c r="BS177" i="2" a="1"/>
  <c r="BS177" i="2" s="1"/>
  <c r="DP177" i="2" s="1" a="1"/>
  <c r="DP177" i="2" s="1"/>
  <c r="BE177" i="2" a="1"/>
  <c r="BE177" i="2" s="1"/>
  <c r="DQ177" i="2" s="1" a="1"/>
  <c r="DQ177" i="2" s="1"/>
  <c r="AR177" i="2" a="1"/>
  <c r="AR177" i="2" s="1"/>
  <c r="DO177" i="2" s="1" a="1"/>
  <c r="DO177" i="2" s="1"/>
  <c r="Y177" i="2"/>
  <c r="J177" i="2"/>
  <c r="G177" i="2"/>
  <c r="F177" i="2"/>
  <c r="EC176" i="2"/>
  <c r="EB176" i="2"/>
  <c r="DP176" i="2"/>
  <c r="DO176" i="2"/>
  <c r="DO176" i="2" a="1"/>
  <c r="DN176" i="2"/>
  <c r="DN176" i="2" a="1"/>
  <c r="DL176" i="2"/>
  <c r="DB176" i="2"/>
  <c r="CV176" i="2"/>
  <c r="CU176" i="2"/>
  <c r="DR176" i="2" s="1" a="1"/>
  <c r="DR176" i="2" s="1"/>
  <c r="CT176" i="2"/>
  <c r="CS176" i="2"/>
  <c r="CR176" i="2"/>
  <c r="CE176" i="2" a="1"/>
  <c r="CE176" i="2" s="1"/>
  <c r="DS176" i="2" s="1" a="1"/>
  <c r="DS176" i="2" s="1"/>
  <c r="BS176" i="2"/>
  <c r="DP176" i="2" s="1" a="1"/>
  <c r="BS176" i="2" a="1"/>
  <c r="BE176" i="2"/>
  <c r="DQ176" i="2" s="1" a="1"/>
  <c r="DQ176" i="2" s="1"/>
  <c r="BE176" i="2" a="1"/>
  <c r="AR176" i="2" a="1"/>
  <c r="AR176" i="2" s="1"/>
  <c r="Y176" i="2"/>
  <c r="J176" i="2"/>
  <c r="G176" i="2"/>
  <c r="F176" i="2"/>
  <c r="EC175" i="2"/>
  <c r="EB175" i="2"/>
  <c r="DQ175" i="2"/>
  <c r="DN175" i="2"/>
  <c r="DN175" i="2" a="1"/>
  <c r="DL175" i="2"/>
  <c r="DB175" i="2"/>
  <c r="CV175" i="2"/>
  <c r="CT175" i="2"/>
  <c r="CS175" i="2"/>
  <c r="CU175" i="2" s="1"/>
  <c r="CR175" i="2"/>
  <c r="CE175" i="2" a="1"/>
  <c r="CE175" i="2" s="1"/>
  <c r="DS175" i="2" s="1" a="1"/>
  <c r="DS175" i="2" s="1"/>
  <c r="BS175" i="2"/>
  <c r="DP175" i="2" s="1" a="1"/>
  <c r="DP175" i="2" s="1"/>
  <c r="BS175" i="2" a="1"/>
  <c r="BE175" i="2" a="1"/>
  <c r="BE175" i="2" s="1"/>
  <c r="DQ175" i="2" s="1" a="1"/>
  <c r="AR175" i="2"/>
  <c r="DO175" i="2" s="1" a="1"/>
  <c r="DO175" i="2" s="1"/>
  <c r="AR175" i="2" a="1"/>
  <c r="Y175" i="2"/>
  <c r="J175" i="2"/>
  <c r="G175" i="2"/>
  <c r="F175" i="2"/>
  <c r="EC174" i="2"/>
  <c r="EB174" i="2"/>
  <c r="DQ174" i="2"/>
  <c r="DN174" i="2"/>
  <c r="DN174" i="2" a="1"/>
  <c r="DL174" i="2"/>
  <c r="CV174" i="2"/>
  <c r="CT174" i="2"/>
  <c r="CS174" i="2"/>
  <c r="CR174" i="2"/>
  <c r="CE174" i="2" a="1"/>
  <c r="CE174" i="2" s="1"/>
  <c r="DS174" i="2" s="1" a="1"/>
  <c r="DS174" i="2" s="1"/>
  <c r="BS174" i="2" a="1"/>
  <c r="BS174" i="2" s="1"/>
  <c r="DP174" i="2" s="1" a="1"/>
  <c r="DP174" i="2" s="1"/>
  <c r="BE174" i="2"/>
  <c r="DQ174" i="2" s="1" a="1"/>
  <c r="BE174" i="2" a="1"/>
  <c r="AR174" i="2"/>
  <c r="DO174" i="2" s="1" a="1"/>
  <c r="DO174" i="2" s="1"/>
  <c r="AR174" i="2" a="1"/>
  <c r="Y174" i="2"/>
  <c r="J174" i="2"/>
  <c r="G174" i="2"/>
  <c r="F174" i="2"/>
  <c r="EC173" i="2"/>
  <c r="EB173" i="2"/>
  <c r="DN173" i="2"/>
  <c r="DN173" i="2" a="1"/>
  <c r="DL173" i="2"/>
  <c r="CV173" i="2"/>
  <c r="CT173" i="2"/>
  <c r="CS173" i="2"/>
  <c r="CU173" i="2" s="1"/>
  <c r="CR173" i="2"/>
  <c r="DB173" i="2" s="1"/>
  <c r="CE173" i="2" a="1"/>
  <c r="CE173" i="2" s="1"/>
  <c r="DS173" i="2" s="1" a="1"/>
  <c r="DS173" i="2" s="1"/>
  <c r="BS173" i="2" a="1"/>
  <c r="BS173" i="2" s="1"/>
  <c r="DP173" i="2" s="1" a="1"/>
  <c r="DP173" i="2" s="1"/>
  <c r="BE173" i="2" a="1"/>
  <c r="BE173" i="2" s="1"/>
  <c r="DQ173" i="2" s="1" a="1"/>
  <c r="DQ173" i="2" s="1"/>
  <c r="AR173" i="2" a="1"/>
  <c r="AR173" i="2" s="1"/>
  <c r="Y173" i="2"/>
  <c r="G173" i="2"/>
  <c r="F173" i="2"/>
  <c r="EC172" i="2"/>
  <c r="EB172" i="2"/>
  <c r="DP172" i="2"/>
  <c r="DP172" i="2" a="1"/>
  <c r="DN172" i="2" a="1"/>
  <c r="DN172" i="2" s="1"/>
  <c r="DL172" i="2"/>
  <c r="DB172" i="2"/>
  <c r="CV172" i="2"/>
  <c r="CT172" i="2"/>
  <c r="CS172" i="2"/>
  <c r="CR172" i="2"/>
  <c r="CE172" i="2"/>
  <c r="DS172" i="2" s="1" a="1"/>
  <c r="DS172" i="2" s="1"/>
  <c r="CE172" i="2" a="1"/>
  <c r="BS172" i="2" a="1"/>
  <c r="BS172" i="2" s="1"/>
  <c r="BE172" i="2" a="1"/>
  <c r="BE172" i="2" s="1"/>
  <c r="DQ172" i="2" s="1" a="1"/>
  <c r="DQ172" i="2" s="1"/>
  <c r="AR172" i="2"/>
  <c r="DO172" i="2" s="1" a="1"/>
  <c r="DO172" i="2" s="1"/>
  <c r="AR172" i="2" a="1"/>
  <c r="Y172" i="2"/>
  <c r="J172" i="2"/>
  <c r="G172" i="2"/>
  <c r="F172" i="2"/>
  <c r="EC171" i="2"/>
  <c r="EB171" i="2"/>
  <c r="DN171" i="2" a="1"/>
  <c r="DN171" i="2" s="1"/>
  <c r="DL171" i="2"/>
  <c r="CV171" i="2"/>
  <c r="CT171" i="2"/>
  <c r="CS171" i="2"/>
  <c r="CR171" i="2"/>
  <c r="CE171" i="2" a="1"/>
  <c r="CE171" i="2" s="1"/>
  <c r="DS171" i="2" s="1" a="1"/>
  <c r="DS171" i="2" s="1"/>
  <c r="BS171" i="2" a="1"/>
  <c r="BS171" i="2" s="1"/>
  <c r="DP171" i="2" s="1" a="1"/>
  <c r="DP171" i="2" s="1"/>
  <c r="BE171" i="2" a="1"/>
  <c r="BE171" i="2" s="1"/>
  <c r="DQ171" i="2" s="1" a="1"/>
  <c r="DQ171" i="2" s="1"/>
  <c r="AR171" i="2" a="1"/>
  <c r="AR171" i="2" s="1"/>
  <c r="DO171" i="2" s="1" a="1"/>
  <c r="DO171" i="2" s="1"/>
  <c r="Y171" i="2"/>
  <c r="G171" i="2"/>
  <c r="F171" i="2"/>
  <c r="EC170" i="2"/>
  <c r="EB170" i="2"/>
  <c r="DO170" i="2"/>
  <c r="DN170" i="2" a="1"/>
  <c r="DN170" i="2" s="1"/>
  <c r="DL170" i="2"/>
  <c r="CV170" i="2"/>
  <c r="CT170" i="2"/>
  <c r="CS170" i="2"/>
  <c r="CR170" i="2"/>
  <c r="CE170" i="2"/>
  <c r="DS170" i="2" s="1" a="1"/>
  <c r="DS170" i="2" s="1"/>
  <c r="CE170" i="2" a="1"/>
  <c r="BS170" i="2" a="1"/>
  <c r="BS170" i="2" s="1"/>
  <c r="DP170" i="2" s="1" a="1"/>
  <c r="DP170" i="2" s="1"/>
  <c r="BE170" i="2" a="1"/>
  <c r="BE170" i="2" s="1"/>
  <c r="DQ170" i="2" s="1" a="1"/>
  <c r="DQ170" i="2" s="1"/>
  <c r="AR170" i="2"/>
  <c r="DO170" i="2" s="1" a="1"/>
  <c r="AR170" i="2" a="1"/>
  <c r="Y170" i="2"/>
  <c r="G170" i="2"/>
  <c r="F170" i="2"/>
  <c r="EC169" i="2"/>
  <c r="EB169" i="2"/>
  <c r="DP169" i="2"/>
  <c r="DP169" i="2" a="1"/>
  <c r="DN169" i="2" a="1"/>
  <c r="DN169" i="2" s="1"/>
  <c r="DL169" i="2"/>
  <c r="CV169" i="2"/>
  <c r="CT169" i="2"/>
  <c r="CS169" i="2"/>
  <c r="CR169" i="2"/>
  <c r="CE169" i="2" a="1"/>
  <c r="CE169" i="2" s="1"/>
  <c r="DS169" i="2" s="1" a="1"/>
  <c r="DS169" i="2" s="1"/>
  <c r="BS169" i="2" a="1"/>
  <c r="BS169" i="2" s="1"/>
  <c r="BE169" i="2" a="1"/>
  <c r="BE169" i="2" s="1"/>
  <c r="DQ169" i="2" s="1" a="1"/>
  <c r="DQ169" i="2" s="1"/>
  <c r="AR169" i="2" a="1"/>
  <c r="AR169" i="2" s="1"/>
  <c r="DO169" i="2" s="1" a="1"/>
  <c r="DO169" i="2" s="1"/>
  <c r="Y169" i="2"/>
  <c r="J169" i="2"/>
  <c r="G169" i="2"/>
  <c r="F169" i="2"/>
  <c r="EC168" i="2"/>
  <c r="EB168" i="2"/>
  <c r="DN168" i="2" a="1"/>
  <c r="DN168" i="2" s="1"/>
  <c r="DL168" i="2"/>
  <c r="CV168" i="2"/>
  <c r="CT168" i="2"/>
  <c r="CS168" i="2"/>
  <c r="CR168" i="2"/>
  <c r="CE168" i="2"/>
  <c r="DS168" i="2" s="1" a="1"/>
  <c r="DS168" i="2" s="1"/>
  <c r="CE168" i="2" a="1"/>
  <c r="BS168" i="2" a="1"/>
  <c r="BS168" i="2" s="1"/>
  <c r="DP168" i="2" s="1" a="1"/>
  <c r="DP168" i="2" s="1"/>
  <c r="BE168" i="2" a="1"/>
  <c r="BE168" i="2" s="1"/>
  <c r="DQ168" i="2" s="1" a="1"/>
  <c r="DQ168" i="2" s="1"/>
  <c r="AR168" i="2"/>
  <c r="DO168" i="2" s="1" a="1"/>
  <c r="DO168" i="2" s="1"/>
  <c r="AR168" i="2" a="1"/>
  <c r="Y168" i="2"/>
  <c r="J168" i="2"/>
  <c r="G168" i="2"/>
  <c r="F168" i="2"/>
  <c r="EC167" i="2"/>
  <c r="EB167" i="2"/>
  <c r="DP167" i="2" a="1"/>
  <c r="DP167" i="2" s="1"/>
  <c r="DN167" i="2" a="1"/>
  <c r="DN167" i="2" s="1"/>
  <c r="DL167" i="2"/>
  <c r="CV167" i="2"/>
  <c r="CT167" i="2"/>
  <c r="CS167" i="2"/>
  <c r="CR167" i="2"/>
  <c r="CE167" i="2"/>
  <c r="DS167" i="2" s="1" a="1"/>
  <c r="DS167" i="2" s="1"/>
  <c r="CE167" i="2" a="1"/>
  <c r="BS167" i="2" a="1"/>
  <c r="BS167" i="2" s="1"/>
  <c r="BE167" i="2" a="1"/>
  <c r="BE167" i="2" s="1"/>
  <c r="DQ167" i="2" s="1" a="1"/>
  <c r="DQ167" i="2" s="1"/>
  <c r="AR167" i="2" a="1"/>
  <c r="AR167" i="2" s="1"/>
  <c r="DO167" i="2" s="1" a="1"/>
  <c r="DO167" i="2" s="1"/>
  <c r="Y167" i="2"/>
  <c r="J167" i="2"/>
  <c r="G167" i="2"/>
  <c r="F167" i="2"/>
  <c r="EC166" i="2"/>
  <c r="EB166" i="2"/>
  <c r="DN166" i="2" a="1"/>
  <c r="DN166" i="2" s="1"/>
  <c r="DL166" i="2"/>
  <c r="CV166" i="2"/>
  <c r="CT166" i="2"/>
  <c r="CS166" i="2"/>
  <c r="CR166" i="2"/>
  <c r="CE166" i="2"/>
  <c r="DS166" i="2" s="1" a="1"/>
  <c r="DS166" i="2" s="1"/>
  <c r="CE166" i="2" a="1"/>
  <c r="BS166" i="2" a="1"/>
  <c r="BS166" i="2" s="1"/>
  <c r="DP166" i="2" s="1" a="1"/>
  <c r="DP166" i="2" s="1"/>
  <c r="BE166" i="2" a="1"/>
  <c r="BE166" i="2" s="1"/>
  <c r="DQ166" i="2" s="1" a="1"/>
  <c r="DQ166" i="2" s="1"/>
  <c r="AR166" i="2"/>
  <c r="DO166" i="2" s="1" a="1"/>
  <c r="DO166" i="2" s="1"/>
  <c r="AR166" i="2" a="1"/>
  <c r="Y166" i="2"/>
  <c r="J166" i="2"/>
  <c r="G166" i="2"/>
  <c r="F166" i="2"/>
  <c r="EC165" i="2"/>
  <c r="EB165" i="2"/>
  <c r="DQ165" i="2"/>
  <c r="DN165" i="2" a="1"/>
  <c r="DN165" i="2" s="1"/>
  <c r="DL165" i="2"/>
  <c r="CV165" i="2"/>
  <c r="CT165" i="2"/>
  <c r="CS165" i="2"/>
  <c r="CR165" i="2"/>
  <c r="CE165" i="2"/>
  <c r="DS165" i="2" s="1" a="1"/>
  <c r="DS165" i="2" s="1"/>
  <c r="CE165" i="2" a="1"/>
  <c r="BS165" i="2" a="1"/>
  <c r="BS165" i="2" s="1"/>
  <c r="DP165" i="2" s="1" a="1"/>
  <c r="DP165" i="2" s="1"/>
  <c r="BE165" i="2" a="1"/>
  <c r="BE165" i="2" s="1"/>
  <c r="DQ165" i="2" s="1" a="1"/>
  <c r="AR165" i="2" a="1"/>
  <c r="AR165" i="2" s="1"/>
  <c r="DO165" i="2" s="1" a="1"/>
  <c r="DO165" i="2" s="1"/>
  <c r="Y165" i="2"/>
  <c r="J165" i="2"/>
  <c r="G165" i="2"/>
  <c r="F165" i="2"/>
  <c r="EC164" i="2"/>
  <c r="EB164" i="2"/>
  <c r="DR164" i="2" a="1"/>
  <c r="DR164" i="2" s="1"/>
  <c r="DQ164" i="2" a="1"/>
  <c r="DQ164" i="2" s="1"/>
  <c r="DO164" i="2"/>
  <c r="DN164" i="2" a="1"/>
  <c r="DN164" i="2" s="1"/>
  <c r="DL164" i="2"/>
  <c r="DB164" i="2"/>
  <c r="CV164" i="2"/>
  <c r="CT164" i="2"/>
  <c r="CS164" i="2"/>
  <c r="CR164" i="2"/>
  <c r="CU164" i="2" s="1"/>
  <c r="CE164" i="2"/>
  <c r="DS164" i="2" s="1" a="1"/>
  <c r="DS164" i="2" s="1"/>
  <c r="CE164" i="2" a="1"/>
  <c r="BS164" i="2" a="1"/>
  <c r="BS164" i="2" s="1"/>
  <c r="BE164" i="2" a="1"/>
  <c r="BE164" i="2" s="1"/>
  <c r="AR164" i="2"/>
  <c r="DO164" i="2" s="1" a="1"/>
  <c r="AR164" i="2" a="1"/>
  <c r="Y164" i="2"/>
  <c r="J164" i="2"/>
  <c r="G164" i="2"/>
  <c r="F164" i="2"/>
  <c r="EC163" i="2"/>
  <c r="EB163" i="2"/>
  <c r="DN163" i="2" a="1"/>
  <c r="DN163" i="2" s="1"/>
  <c r="DL163" i="2"/>
  <c r="CV163" i="2"/>
  <c r="CT163" i="2"/>
  <c r="CS163" i="2"/>
  <c r="CR163" i="2"/>
  <c r="CE163" i="2" a="1"/>
  <c r="CE163" i="2" s="1"/>
  <c r="DS163" i="2" s="1" a="1"/>
  <c r="DS163" i="2" s="1"/>
  <c r="BS163" i="2" a="1"/>
  <c r="BS163" i="2" s="1"/>
  <c r="DP163" i="2" s="1" a="1"/>
  <c r="DP163" i="2" s="1"/>
  <c r="BE163" i="2" a="1"/>
  <c r="BE163" i="2" s="1"/>
  <c r="DQ163" i="2" s="1" a="1"/>
  <c r="DQ163" i="2" s="1"/>
  <c r="AR163" i="2" a="1"/>
  <c r="AR163" i="2" s="1"/>
  <c r="DO163" i="2" s="1" a="1"/>
  <c r="DO163" i="2" s="1"/>
  <c r="Y163" i="2"/>
  <c r="G163" i="2"/>
  <c r="F163" i="2"/>
  <c r="EC162" i="2"/>
  <c r="EB162" i="2"/>
  <c r="DQ162" i="2" a="1"/>
  <c r="DQ162" i="2" s="1"/>
  <c r="DP162" i="2" a="1"/>
  <c r="DP162" i="2" s="1"/>
  <c r="DO162" i="2"/>
  <c r="DN162" i="2" a="1"/>
  <c r="DN162" i="2" s="1"/>
  <c r="DL162" i="2"/>
  <c r="CV162" i="2"/>
  <c r="CT162" i="2"/>
  <c r="CS162" i="2"/>
  <c r="CR162" i="2"/>
  <c r="DB162" i="2" s="1"/>
  <c r="CE162" i="2"/>
  <c r="DS162" i="2" s="1" a="1"/>
  <c r="DS162" i="2" s="1"/>
  <c r="CE162" i="2" a="1"/>
  <c r="BS162" i="2" a="1"/>
  <c r="BS162" i="2" s="1"/>
  <c r="BE162" i="2" a="1"/>
  <c r="BE162" i="2" s="1"/>
  <c r="AR162" i="2"/>
  <c r="DO162" i="2" s="1" a="1"/>
  <c r="AR162" i="2" a="1"/>
  <c r="Y162" i="2"/>
  <c r="G162" i="2"/>
  <c r="F162" i="2"/>
  <c r="EC161" i="2"/>
  <c r="EB161" i="2"/>
  <c r="DP161" i="2" a="1"/>
  <c r="DP161" i="2" s="1"/>
  <c r="DO161" i="2" a="1"/>
  <c r="DO161" i="2" s="1"/>
  <c r="DN161" i="2"/>
  <c r="DN161" i="2" a="1"/>
  <c r="DL161" i="2"/>
  <c r="DB161" i="2"/>
  <c r="CV161" i="2"/>
  <c r="CU161" i="2"/>
  <c r="CT161" i="2"/>
  <c r="CS161" i="2"/>
  <c r="CR161" i="2"/>
  <c r="CE161" i="2" a="1"/>
  <c r="CE161" i="2" s="1"/>
  <c r="DS161" i="2" s="1" a="1"/>
  <c r="DS161" i="2" s="1"/>
  <c r="BS161" i="2"/>
  <c r="BS161" i="2" a="1"/>
  <c r="BE161" i="2" a="1"/>
  <c r="BE161" i="2" s="1"/>
  <c r="DQ161" i="2" s="1" a="1"/>
  <c r="DQ161" i="2" s="1"/>
  <c r="AR161" i="2"/>
  <c r="AR161" i="2" a="1"/>
  <c r="Y161" i="2"/>
  <c r="J161" i="2"/>
  <c r="G161" i="2"/>
  <c r="F161" i="2"/>
  <c r="EC160" i="2"/>
  <c r="EB160" i="2"/>
  <c r="DN160" i="2" a="1"/>
  <c r="DN160" i="2" s="1"/>
  <c r="DL160" i="2"/>
  <c r="DB160" i="2"/>
  <c r="CV160" i="2"/>
  <c r="CT160" i="2"/>
  <c r="CS160" i="2"/>
  <c r="CR160" i="2"/>
  <c r="CU160" i="2" s="1"/>
  <c r="CE160" i="2" a="1"/>
  <c r="CE160" i="2" s="1"/>
  <c r="DS160" i="2" s="1" a="1"/>
  <c r="DS160" i="2" s="1"/>
  <c r="BS160" i="2"/>
  <c r="DP160" i="2" s="1" a="1"/>
  <c r="DP160" i="2" s="1"/>
  <c r="BS160" i="2" a="1"/>
  <c r="BE160" i="2" a="1"/>
  <c r="BE160" i="2" s="1"/>
  <c r="DQ160" i="2" s="1" a="1"/>
  <c r="DQ160" i="2" s="1"/>
  <c r="AR160" i="2" a="1"/>
  <c r="AR160" i="2" s="1"/>
  <c r="DO160" i="2" s="1" a="1"/>
  <c r="DO160" i="2" s="1"/>
  <c r="Y160" i="2"/>
  <c r="J160" i="2"/>
  <c r="G160" i="2"/>
  <c r="F160" i="2"/>
  <c r="EC159" i="2"/>
  <c r="EB159" i="2"/>
  <c r="DT159" i="2"/>
  <c r="DS159" i="2"/>
  <c r="DS159" i="2" a="1"/>
  <c r="DO159" i="2"/>
  <c r="DO159" i="2" a="1"/>
  <c r="DN159" i="2"/>
  <c r="DN159" i="2" a="1"/>
  <c r="DL159" i="2"/>
  <c r="DB159" i="2"/>
  <c r="CV159" i="2"/>
  <c r="CU159" i="2"/>
  <c r="CT159" i="2"/>
  <c r="CS159" i="2"/>
  <c r="CR159" i="2"/>
  <c r="CE159" i="2" a="1"/>
  <c r="CE159" i="2" s="1"/>
  <c r="BS159" i="2"/>
  <c r="DP159" i="2" s="1" a="1"/>
  <c r="DP159" i="2" s="1"/>
  <c r="BS159" i="2" a="1"/>
  <c r="BE159" i="2"/>
  <c r="DQ159" i="2" s="1" a="1"/>
  <c r="DQ159" i="2" s="1"/>
  <c r="BE159" i="2" a="1"/>
  <c r="AR159" i="2"/>
  <c r="AR159" i="2" a="1"/>
  <c r="Y159" i="2"/>
  <c r="G159" i="2"/>
  <c r="F159" i="2"/>
  <c r="EC158" i="2"/>
  <c r="EB158" i="2"/>
  <c r="DN158" i="2" a="1"/>
  <c r="DN158" i="2" s="1"/>
  <c r="DL158" i="2"/>
  <c r="CV158" i="2"/>
  <c r="CT158" i="2"/>
  <c r="CS158" i="2"/>
  <c r="CR158" i="2"/>
  <c r="CE158" i="2" a="1"/>
  <c r="CE158" i="2" s="1"/>
  <c r="DS158" i="2" s="1" a="1"/>
  <c r="DS158" i="2" s="1"/>
  <c r="BS158" i="2" a="1"/>
  <c r="BS158" i="2" s="1"/>
  <c r="DP158" i="2" s="1" a="1"/>
  <c r="DP158" i="2" s="1"/>
  <c r="BE158" i="2" a="1"/>
  <c r="BE158" i="2" s="1"/>
  <c r="DQ158" i="2" s="1" a="1"/>
  <c r="DQ158" i="2" s="1"/>
  <c r="AR158" i="2" a="1"/>
  <c r="AR158" i="2" s="1"/>
  <c r="DO158" i="2" s="1" a="1"/>
  <c r="DO158" i="2" s="1"/>
  <c r="Y158" i="2"/>
  <c r="J158" i="2"/>
  <c r="G158" i="2"/>
  <c r="F158" i="2"/>
  <c r="EC157" i="2"/>
  <c r="EB157" i="2"/>
  <c r="DS157" i="2" a="1"/>
  <c r="DS157" i="2" s="1"/>
  <c r="DN157" i="2"/>
  <c r="DN157" i="2" a="1"/>
  <c r="DL157" i="2"/>
  <c r="DB157" i="2"/>
  <c r="CV157" i="2"/>
  <c r="CT157" i="2"/>
  <c r="CS157" i="2"/>
  <c r="CR157" i="2"/>
  <c r="CU157" i="2" s="1"/>
  <c r="DR157" i="2" s="1" a="1"/>
  <c r="DR157" i="2" s="1"/>
  <c r="CE157" i="2" a="1"/>
  <c r="CE157" i="2" s="1"/>
  <c r="BS157" i="2" a="1"/>
  <c r="BS157" i="2" s="1"/>
  <c r="DP157" i="2" s="1" a="1"/>
  <c r="DP157" i="2" s="1"/>
  <c r="BE157" i="2"/>
  <c r="DQ157" i="2" s="1" a="1"/>
  <c r="DQ157" i="2" s="1"/>
  <c r="BE157" i="2" a="1"/>
  <c r="AR157" i="2"/>
  <c r="DO157" i="2" s="1" a="1"/>
  <c r="DO157" i="2" s="1"/>
  <c r="AR157" i="2" a="1"/>
  <c r="Y157" i="2"/>
  <c r="J157" i="2"/>
  <c r="G157" i="2"/>
  <c r="F157" i="2"/>
  <c r="EC156" i="2"/>
  <c r="EB156" i="2"/>
  <c r="DS156" i="2"/>
  <c r="DS156" i="2" a="1"/>
  <c r="DN156" i="2" a="1"/>
  <c r="DN156" i="2" s="1"/>
  <c r="DL156" i="2"/>
  <c r="CV156" i="2"/>
  <c r="CT156" i="2"/>
  <c r="CS156" i="2"/>
  <c r="CU156" i="2" s="1"/>
  <c r="CR156" i="2"/>
  <c r="DB156" i="2" s="1"/>
  <c r="CE156" i="2" a="1"/>
  <c r="CE156" i="2" s="1"/>
  <c r="BS156" i="2" a="1"/>
  <c r="BS156" i="2" s="1"/>
  <c r="DP156" i="2" s="1" a="1"/>
  <c r="DP156" i="2" s="1"/>
  <c r="BE156" i="2" a="1"/>
  <c r="BE156" i="2" s="1"/>
  <c r="DQ156" i="2" s="1" a="1"/>
  <c r="DQ156" i="2" s="1"/>
  <c r="AR156" i="2" a="1"/>
  <c r="AR156" i="2" s="1"/>
  <c r="DO156" i="2" s="1" a="1"/>
  <c r="DO156" i="2" s="1"/>
  <c r="Y156" i="2"/>
  <c r="J156" i="2"/>
  <c r="G156" i="2"/>
  <c r="F156" i="2"/>
  <c r="EC155" i="2"/>
  <c r="EB155" i="2"/>
  <c r="DQ155" i="2"/>
  <c r="DP155" i="2"/>
  <c r="DN155" i="2"/>
  <c r="DN155" i="2" a="1"/>
  <c r="DL155" i="2"/>
  <c r="CV155" i="2"/>
  <c r="CT155" i="2"/>
  <c r="CS155" i="2"/>
  <c r="CR155" i="2"/>
  <c r="CE155" i="2" a="1"/>
  <c r="CE155" i="2" s="1"/>
  <c r="DS155" i="2" s="1" a="1"/>
  <c r="DS155" i="2" s="1"/>
  <c r="BS155" i="2"/>
  <c r="DP155" i="2" s="1" a="1"/>
  <c r="BS155" i="2" a="1"/>
  <c r="BE155" i="2"/>
  <c r="DQ155" i="2" s="1" a="1"/>
  <c r="BE155" i="2" a="1"/>
  <c r="AR155" i="2"/>
  <c r="DO155" i="2" s="1" a="1"/>
  <c r="DO155" i="2" s="1"/>
  <c r="AR155" i="2" a="1"/>
  <c r="Y155" i="2"/>
  <c r="J155" i="2"/>
  <c r="G155" i="2"/>
  <c r="F155" i="2"/>
  <c r="EC154" i="2"/>
  <c r="EB154" i="2"/>
  <c r="DO154" i="2" a="1"/>
  <c r="DO154" i="2" s="1"/>
  <c r="DN154" i="2" a="1"/>
  <c r="DN154" i="2" s="1"/>
  <c r="DL154" i="2"/>
  <c r="DA154" i="2"/>
  <c r="DM154" i="2" s="1"/>
  <c r="CV154" i="2"/>
  <c r="CU154" i="2"/>
  <c r="DR154" i="2" s="1" a="1"/>
  <c r="DR154" i="2" s="1"/>
  <c r="CT154" i="2"/>
  <c r="CS154" i="2"/>
  <c r="CR154" i="2"/>
  <c r="DB154" i="2" s="1"/>
  <c r="CE154" i="2" a="1"/>
  <c r="CE154" i="2" s="1"/>
  <c r="DS154" i="2" s="1" a="1"/>
  <c r="DS154" i="2" s="1"/>
  <c r="BS154" i="2" a="1"/>
  <c r="BS154" i="2" s="1"/>
  <c r="DP154" i="2" s="1" a="1"/>
  <c r="DP154" i="2" s="1"/>
  <c r="BE154" i="2" a="1"/>
  <c r="BE154" i="2" s="1"/>
  <c r="AR154" i="2" a="1"/>
  <c r="AR154" i="2" s="1"/>
  <c r="Y154" i="2"/>
  <c r="G154" i="2"/>
  <c r="F154" i="2"/>
  <c r="EC153" i="2"/>
  <c r="EB153" i="2"/>
  <c r="DS153" i="2" a="1"/>
  <c r="DS153" i="2" s="1"/>
  <c r="DN153" i="2"/>
  <c r="DN153" i="2" a="1"/>
  <c r="DL153" i="2"/>
  <c r="CV153" i="2"/>
  <c r="CT153" i="2"/>
  <c r="CS153" i="2"/>
  <c r="CR153" i="2"/>
  <c r="CE153" i="2" a="1"/>
  <c r="CE153" i="2" s="1"/>
  <c r="BS153" i="2" a="1"/>
  <c r="BS153" i="2" s="1"/>
  <c r="DP153" i="2" s="1" a="1"/>
  <c r="DP153" i="2" s="1"/>
  <c r="BE153" i="2"/>
  <c r="DQ153" i="2" s="1" a="1"/>
  <c r="DQ153" i="2" s="1"/>
  <c r="BE153" i="2" a="1"/>
  <c r="AR153" i="2" a="1"/>
  <c r="AR153" i="2" s="1"/>
  <c r="DO153" i="2" s="1" a="1"/>
  <c r="DO153" i="2" s="1"/>
  <c r="Y153" i="2"/>
  <c r="J153" i="2"/>
  <c r="G153" i="2"/>
  <c r="F153" i="2"/>
  <c r="EC152" i="2"/>
  <c r="EB152" i="2"/>
  <c r="DQ152" i="2"/>
  <c r="DN152" i="2" a="1"/>
  <c r="DN152" i="2" s="1"/>
  <c r="DL152" i="2"/>
  <c r="DB152" i="2"/>
  <c r="CV152" i="2"/>
  <c r="CT152" i="2"/>
  <c r="CS152" i="2"/>
  <c r="CR152" i="2"/>
  <c r="CU152" i="2" s="1"/>
  <c r="DR152" i="2" s="1" a="1"/>
  <c r="DR152" i="2" s="1"/>
  <c r="CE152" i="2" a="1"/>
  <c r="CE152" i="2" s="1"/>
  <c r="DS152" i="2" s="1" a="1"/>
  <c r="DS152" i="2" s="1"/>
  <c r="BS152" i="2" a="1"/>
  <c r="BS152" i="2" s="1"/>
  <c r="DP152" i="2" s="1" a="1"/>
  <c r="DP152" i="2" s="1"/>
  <c r="BE152" i="2" a="1"/>
  <c r="BE152" i="2" s="1"/>
  <c r="DQ152" i="2" s="1" a="1"/>
  <c r="AR152" i="2" a="1"/>
  <c r="AR152" i="2" s="1"/>
  <c r="DO152" i="2" s="1" a="1"/>
  <c r="DO152" i="2" s="1"/>
  <c r="Y152" i="2"/>
  <c r="J152" i="2"/>
  <c r="G152" i="2"/>
  <c r="F152" i="2"/>
  <c r="EC151" i="2"/>
  <c r="EB151" i="2"/>
  <c r="DS151" i="2"/>
  <c r="DS151" i="2" a="1"/>
  <c r="DN151" i="2" a="1"/>
  <c r="DN151" i="2" s="1"/>
  <c r="DL151" i="2"/>
  <c r="DB151" i="2"/>
  <c r="CV151" i="2"/>
  <c r="CU151" i="2"/>
  <c r="DR151" i="2" s="1" a="1"/>
  <c r="DR151" i="2" s="1"/>
  <c r="CT151" i="2"/>
  <c r="CS151" i="2"/>
  <c r="CR151" i="2"/>
  <c r="CE151" i="2"/>
  <c r="CE151" i="2" a="1"/>
  <c r="BS151" i="2" a="1"/>
  <c r="BS151" i="2" s="1"/>
  <c r="DP151" i="2" s="1" a="1"/>
  <c r="DP151" i="2" s="1"/>
  <c r="BE151" i="2"/>
  <c r="DQ151" i="2" s="1" a="1"/>
  <c r="DQ151" i="2" s="1"/>
  <c r="BE151" i="2" a="1"/>
  <c r="AR151" i="2" a="1"/>
  <c r="AR151" i="2" s="1"/>
  <c r="DO151" i="2" s="1" a="1"/>
  <c r="DO151" i="2" s="1"/>
  <c r="Y151" i="2"/>
  <c r="J151" i="2"/>
  <c r="G151" i="2"/>
  <c r="F151" i="2"/>
  <c r="EC150" i="2"/>
  <c r="EB150" i="2"/>
  <c r="DQ150" i="2" a="1"/>
  <c r="DQ150" i="2" s="1"/>
  <c r="DO150" i="2" a="1"/>
  <c r="DO150" i="2" s="1"/>
  <c r="DN150" i="2"/>
  <c r="DN150" i="2" a="1"/>
  <c r="DL150" i="2"/>
  <c r="DB150" i="2"/>
  <c r="CV150" i="2"/>
  <c r="CU150" i="2"/>
  <c r="DR150" i="2" s="1" a="1"/>
  <c r="DR150" i="2" s="1"/>
  <c r="CT150" i="2"/>
  <c r="CS150" i="2"/>
  <c r="CR150" i="2"/>
  <c r="CE150" i="2"/>
  <c r="DS150" i="2" s="1" a="1"/>
  <c r="DS150" i="2" s="1"/>
  <c r="CE150" i="2" a="1"/>
  <c r="BS150" i="2" a="1"/>
  <c r="BS150" i="2" s="1"/>
  <c r="BE150" i="2"/>
  <c r="BE150" i="2" a="1"/>
  <c r="AR150" i="2" a="1"/>
  <c r="AR150" i="2" s="1"/>
  <c r="Y150" i="2"/>
  <c r="J150" i="2"/>
  <c r="G150" i="2"/>
  <c r="F150" i="2"/>
  <c r="EC149" i="2"/>
  <c r="EB149" i="2"/>
  <c r="DN149" i="2"/>
  <c r="DN149" i="2" a="1"/>
  <c r="DL149" i="2"/>
  <c r="DB149" i="2"/>
  <c r="CV149" i="2"/>
  <c r="CU149" i="2"/>
  <c r="DR149" i="2" s="1" a="1"/>
  <c r="DR149" i="2" s="1"/>
  <c r="CT149" i="2"/>
  <c r="CS149" i="2"/>
  <c r="CR149" i="2"/>
  <c r="CE149" i="2" a="1"/>
  <c r="CE149" i="2" s="1"/>
  <c r="DS149" i="2" s="1" a="1"/>
  <c r="DS149" i="2" s="1"/>
  <c r="BS149" i="2"/>
  <c r="DP149" i="2" s="1" a="1"/>
  <c r="DP149" i="2" s="1"/>
  <c r="BS149" i="2" a="1"/>
  <c r="BE149" i="2"/>
  <c r="DQ149" i="2" s="1" a="1"/>
  <c r="DQ149" i="2" s="1"/>
  <c r="BE149" i="2" a="1"/>
  <c r="AR149" i="2" a="1"/>
  <c r="AR149" i="2" s="1"/>
  <c r="DO149" i="2" s="1" a="1"/>
  <c r="DO149" i="2" s="1"/>
  <c r="Y149" i="2"/>
  <c r="G149" i="2"/>
  <c r="F149" i="2"/>
  <c r="EC148" i="2"/>
  <c r="EB148" i="2"/>
  <c r="DQ148" i="2" a="1"/>
  <c r="DQ148" i="2" s="1"/>
  <c r="DN148" i="2"/>
  <c r="DN148" i="2" a="1"/>
  <c r="DL148" i="2"/>
  <c r="DB148" i="2"/>
  <c r="CV148" i="2"/>
  <c r="CU148" i="2"/>
  <c r="DR148" i="2" s="1" a="1"/>
  <c r="DR148" i="2" s="1"/>
  <c r="CT148" i="2"/>
  <c r="CS148" i="2"/>
  <c r="CR148" i="2"/>
  <c r="CE148" i="2" a="1"/>
  <c r="CE148" i="2" s="1"/>
  <c r="DS148" i="2" s="1" a="1"/>
  <c r="DS148" i="2" s="1"/>
  <c r="BS148" i="2" a="1"/>
  <c r="BS148" i="2" s="1"/>
  <c r="BE148" i="2"/>
  <c r="BE148" i="2" a="1"/>
  <c r="AR148" i="2" a="1"/>
  <c r="AR148" i="2" s="1"/>
  <c r="DO148" i="2" s="1" a="1"/>
  <c r="DO148" i="2" s="1"/>
  <c r="Y148" i="2"/>
  <c r="J148" i="2"/>
  <c r="G148" i="2"/>
  <c r="F148" i="2"/>
  <c r="EC147" i="2"/>
  <c r="EB147" i="2"/>
  <c r="DO147" i="2" a="1"/>
  <c r="DO147" i="2" s="1"/>
  <c r="DN147" i="2"/>
  <c r="DN147" i="2" a="1"/>
  <c r="DL147" i="2"/>
  <c r="DB147" i="2"/>
  <c r="CV147" i="2"/>
  <c r="CU147" i="2"/>
  <c r="DR147" i="2" s="1" a="1"/>
  <c r="DR147" i="2" s="1"/>
  <c r="CT147" i="2"/>
  <c r="CS147" i="2"/>
  <c r="CR147" i="2"/>
  <c r="CE147" i="2"/>
  <c r="DS147" i="2" s="1" a="1"/>
  <c r="DS147" i="2" s="1"/>
  <c r="CE147" i="2" a="1"/>
  <c r="BS147" i="2"/>
  <c r="DA147" i="2" s="1"/>
  <c r="DM147" i="2" s="1"/>
  <c r="BS147" i="2" a="1"/>
  <c r="BE147" i="2"/>
  <c r="DQ147" i="2" s="1" a="1"/>
  <c r="DQ147" i="2" s="1"/>
  <c r="BE147" i="2" a="1"/>
  <c r="AR147" i="2" a="1"/>
  <c r="AR147" i="2" s="1"/>
  <c r="DT147" i="2" s="1"/>
  <c r="DU147" i="2" s="1" a="1"/>
  <c r="DU147" i="2" s="1"/>
  <c r="DW147" i="2" s="1" a="1"/>
  <c r="DW147" i="2" s="1"/>
  <c r="Y147" i="2"/>
  <c r="J147" i="2"/>
  <c r="G147" i="2"/>
  <c r="F147" i="2"/>
  <c r="EC146" i="2"/>
  <c r="EB146" i="2"/>
  <c r="DQ146" i="2" a="1"/>
  <c r="DQ146" i="2" s="1"/>
  <c r="DN146" i="2"/>
  <c r="DN146" i="2" a="1"/>
  <c r="DL146" i="2"/>
  <c r="DB146" i="2"/>
  <c r="CV146" i="2"/>
  <c r="CU146" i="2"/>
  <c r="DR146" i="2" s="1" a="1"/>
  <c r="DR146" i="2" s="1"/>
  <c r="CT146" i="2"/>
  <c r="CS146" i="2"/>
  <c r="CR146" i="2"/>
  <c r="CE146" i="2" a="1"/>
  <c r="CE146" i="2" s="1"/>
  <c r="DS146" i="2" s="1" a="1"/>
  <c r="DS146" i="2" s="1"/>
  <c r="BS146" i="2" a="1"/>
  <c r="BS146" i="2" s="1"/>
  <c r="DP146" i="2" s="1" a="1"/>
  <c r="DP146" i="2" s="1"/>
  <c r="BE146" i="2"/>
  <c r="BE146" i="2" a="1"/>
  <c r="AR146" i="2" a="1"/>
  <c r="AR146" i="2" s="1"/>
  <c r="DO146" i="2" s="1" a="1"/>
  <c r="DO146" i="2" s="1"/>
  <c r="Y146" i="2"/>
  <c r="G146" i="2"/>
  <c r="F146" i="2"/>
  <c r="EC145" i="2"/>
  <c r="EB145" i="2"/>
  <c r="DN145" i="2"/>
  <c r="DN145" i="2" a="1"/>
  <c r="DL145" i="2"/>
  <c r="DB145" i="2"/>
  <c r="CV145" i="2"/>
  <c r="CU145" i="2"/>
  <c r="DR145" i="2" s="1" a="1"/>
  <c r="DR145" i="2" s="1"/>
  <c r="CT145" i="2"/>
  <c r="CS145" i="2"/>
  <c r="CR145" i="2"/>
  <c r="CE145" i="2"/>
  <c r="DS145" i="2" s="1" a="1"/>
  <c r="DS145" i="2" s="1"/>
  <c r="CE145" i="2" a="1"/>
  <c r="BS145" i="2" a="1"/>
  <c r="BS145" i="2" s="1"/>
  <c r="DP145" i="2" s="1" a="1"/>
  <c r="DP145" i="2" s="1"/>
  <c r="BE145" i="2"/>
  <c r="DQ145" i="2" s="1" a="1"/>
  <c r="DQ145" i="2" s="1"/>
  <c r="BE145" i="2" a="1"/>
  <c r="AR145" i="2" a="1"/>
  <c r="AR145" i="2" s="1"/>
  <c r="DO145" i="2" s="1" a="1"/>
  <c r="DO145" i="2" s="1"/>
  <c r="Y145" i="2"/>
  <c r="J145" i="2"/>
  <c r="G145" i="2"/>
  <c r="F145" i="2"/>
  <c r="EC144" i="2"/>
  <c r="EB144" i="2"/>
  <c r="DO144" i="2" a="1"/>
  <c r="DO144" i="2" s="1"/>
  <c r="DN144" i="2"/>
  <c r="DN144" i="2" a="1"/>
  <c r="DL144" i="2"/>
  <c r="DB144" i="2"/>
  <c r="DT144" i="2" s="1"/>
  <c r="DU144" i="2" s="1" a="1"/>
  <c r="DU144" i="2" s="1"/>
  <c r="DW144" i="2" s="1" a="1"/>
  <c r="DW144" i="2" s="1"/>
  <c r="CV144" i="2"/>
  <c r="CU144" i="2"/>
  <c r="DR144" i="2" s="1" a="1"/>
  <c r="DR144" i="2" s="1"/>
  <c r="CT144" i="2"/>
  <c r="CS144" i="2"/>
  <c r="CR144" i="2"/>
  <c r="CE144" i="2" a="1"/>
  <c r="CE144" i="2" s="1"/>
  <c r="DS144" i="2" s="1" a="1"/>
  <c r="DS144" i="2" s="1"/>
  <c r="BS144" i="2"/>
  <c r="DA144" i="2" s="1"/>
  <c r="DM144" i="2" s="1"/>
  <c r="BS144" i="2" a="1"/>
  <c r="BE144" i="2"/>
  <c r="DQ144" i="2" s="1" a="1"/>
  <c r="DQ144" i="2" s="1"/>
  <c r="BE144" i="2" a="1"/>
  <c r="AR144" i="2" a="1"/>
  <c r="AR144" i="2" s="1"/>
  <c r="Y144" i="2"/>
  <c r="J144" i="2"/>
  <c r="G144" i="2"/>
  <c r="F144" i="2"/>
  <c r="EC143" i="2"/>
  <c r="EB143" i="2"/>
  <c r="DO143" i="2" a="1"/>
  <c r="DO143" i="2" s="1"/>
  <c r="DN143" i="2"/>
  <c r="DN143" i="2" a="1"/>
  <c r="DL143" i="2"/>
  <c r="DB143" i="2"/>
  <c r="CV143" i="2"/>
  <c r="CT143" i="2"/>
  <c r="CU143" i="2" s="1"/>
  <c r="CS143" i="2"/>
  <c r="CR143" i="2"/>
  <c r="CE143" i="2"/>
  <c r="DS143" i="2" s="1" a="1"/>
  <c r="DS143" i="2" s="1"/>
  <c r="CE143" i="2" a="1"/>
  <c r="BS143" i="2" a="1"/>
  <c r="BS143" i="2" s="1"/>
  <c r="BE143" i="2" a="1"/>
  <c r="BE143" i="2" s="1"/>
  <c r="DQ143" i="2" s="1" a="1"/>
  <c r="DQ143" i="2" s="1"/>
  <c r="AR143" i="2" a="1"/>
  <c r="AR143" i="2" s="1"/>
  <c r="Y143" i="2"/>
  <c r="G143" i="2"/>
  <c r="F143" i="2"/>
  <c r="EC142" i="2"/>
  <c r="EB142" i="2"/>
  <c r="DN142" i="2"/>
  <c r="DN142" i="2" a="1"/>
  <c r="DL142" i="2"/>
  <c r="DB142" i="2"/>
  <c r="CV142" i="2"/>
  <c r="CT142" i="2"/>
  <c r="CU142" i="2" s="1"/>
  <c r="CS142" i="2"/>
  <c r="CR142" i="2"/>
  <c r="CE142" i="2" a="1"/>
  <c r="CE142" i="2" s="1"/>
  <c r="DS142" i="2" s="1" a="1"/>
  <c r="DS142" i="2" s="1"/>
  <c r="BS142" i="2" a="1"/>
  <c r="BS142" i="2" s="1"/>
  <c r="DP142" i="2" s="1" a="1"/>
  <c r="DP142" i="2" s="1"/>
  <c r="BE142" i="2" a="1"/>
  <c r="BE142" i="2" s="1"/>
  <c r="DQ142" i="2" s="1" a="1"/>
  <c r="DQ142" i="2" s="1"/>
  <c r="AR142" i="2" a="1"/>
  <c r="AR142" i="2" s="1"/>
  <c r="DO142" i="2" s="1" a="1"/>
  <c r="DO142" i="2" s="1"/>
  <c r="Y142" i="2"/>
  <c r="J142" i="2"/>
  <c r="G142" i="2"/>
  <c r="F142" i="2"/>
  <c r="EC141" i="2"/>
  <c r="EB141" i="2"/>
  <c r="DN141" i="2"/>
  <c r="DN141" i="2" a="1"/>
  <c r="DL141" i="2"/>
  <c r="DB141" i="2"/>
  <c r="CV141" i="2"/>
  <c r="CU141" i="2"/>
  <c r="DR141" i="2" s="1" a="1"/>
  <c r="DR141" i="2" s="1"/>
  <c r="CT141" i="2"/>
  <c r="CS141" i="2"/>
  <c r="CR141" i="2"/>
  <c r="CE141" i="2" a="1"/>
  <c r="CE141" i="2" s="1"/>
  <c r="DS141" i="2" s="1" a="1"/>
  <c r="DS141" i="2" s="1"/>
  <c r="BS141" i="2" a="1"/>
  <c r="BS141" i="2" s="1"/>
  <c r="DP141" i="2" s="1" a="1"/>
  <c r="DP141" i="2" s="1"/>
  <c r="BE141" i="2" a="1"/>
  <c r="BE141" i="2" s="1"/>
  <c r="DQ141" i="2" s="1" a="1"/>
  <c r="DQ141" i="2" s="1"/>
  <c r="AR141" i="2" a="1"/>
  <c r="AR141" i="2" s="1"/>
  <c r="DO141" i="2" s="1" a="1"/>
  <c r="DO141" i="2" s="1"/>
  <c r="Y141" i="2"/>
  <c r="G141" i="2"/>
  <c r="F141" i="2"/>
  <c r="EC140" i="2"/>
  <c r="EB140" i="2"/>
  <c r="DO140" i="2" a="1"/>
  <c r="DO140" i="2" s="1"/>
  <c r="DN140" i="2"/>
  <c r="DN140" i="2" a="1"/>
  <c r="DL140" i="2"/>
  <c r="DB140" i="2"/>
  <c r="CV140" i="2"/>
  <c r="CT140" i="2"/>
  <c r="CU140" i="2" s="1"/>
  <c r="CS140" i="2"/>
  <c r="CR140" i="2"/>
  <c r="CE140" i="2" a="1"/>
  <c r="CE140" i="2" s="1"/>
  <c r="DS140" i="2" s="1" a="1"/>
  <c r="DS140" i="2" s="1"/>
  <c r="BS140" i="2" a="1"/>
  <c r="BS140" i="2" s="1"/>
  <c r="BE140" i="2" a="1"/>
  <c r="BE140" i="2" s="1"/>
  <c r="DQ140" i="2" s="1" a="1"/>
  <c r="DQ140" i="2" s="1"/>
  <c r="AR140" i="2" a="1"/>
  <c r="AR140" i="2" s="1"/>
  <c r="Y140" i="2"/>
  <c r="J140" i="2"/>
  <c r="G140" i="2"/>
  <c r="F140" i="2"/>
  <c r="EC139" i="2"/>
  <c r="EB139" i="2"/>
  <c r="DO139" i="2" a="1"/>
  <c r="DO139" i="2" s="1"/>
  <c r="DN139" i="2"/>
  <c r="DN139" i="2" a="1"/>
  <c r="DL139" i="2"/>
  <c r="DB139" i="2"/>
  <c r="CV139" i="2"/>
  <c r="CT139" i="2"/>
  <c r="CU139" i="2" s="1"/>
  <c r="CS139" i="2"/>
  <c r="CR139" i="2"/>
  <c r="CE139" i="2" a="1"/>
  <c r="CE139" i="2" s="1"/>
  <c r="DS139" i="2" s="1" a="1"/>
  <c r="DS139" i="2" s="1"/>
  <c r="BS139" i="2" a="1"/>
  <c r="BS139" i="2" s="1"/>
  <c r="DT139" i="2" s="1"/>
  <c r="BE139" i="2" a="1"/>
  <c r="BE139" i="2" s="1"/>
  <c r="DQ139" i="2" s="1" a="1"/>
  <c r="DQ139" i="2" s="1"/>
  <c r="AR139" i="2" a="1"/>
  <c r="AR139" i="2" s="1"/>
  <c r="Y139" i="2"/>
  <c r="J139" i="2"/>
  <c r="G139" i="2"/>
  <c r="F139" i="2"/>
  <c r="EC138" i="2"/>
  <c r="EB138" i="2"/>
  <c r="DQ138" i="2" a="1"/>
  <c r="DQ138" i="2" s="1"/>
  <c r="DO138" i="2" a="1"/>
  <c r="DO138" i="2" s="1"/>
  <c r="DN138" i="2"/>
  <c r="DN138" i="2" a="1"/>
  <c r="DL138" i="2"/>
  <c r="DB138" i="2"/>
  <c r="CV138" i="2"/>
  <c r="CT138" i="2"/>
  <c r="CU138" i="2" s="1"/>
  <c r="CS138" i="2"/>
  <c r="CR138" i="2"/>
  <c r="CE138" i="2" a="1"/>
  <c r="CE138" i="2" s="1"/>
  <c r="DS138" i="2" s="1" a="1"/>
  <c r="DS138" i="2" s="1"/>
  <c r="BS138" i="2" a="1"/>
  <c r="BS138" i="2" s="1"/>
  <c r="DP138" i="2" s="1" a="1"/>
  <c r="DP138" i="2" s="1"/>
  <c r="BE138" i="2" a="1"/>
  <c r="BE138" i="2" s="1"/>
  <c r="AR138" i="2" a="1"/>
  <c r="AR138" i="2" s="1"/>
  <c r="Y138" i="2"/>
  <c r="G138" i="2"/>
  <c r="F138" i="2"/>
  <c r="EC137" i="2"/>
  <c r="EB137" i="2"/>
  <c r="DQ137" i="2"/>
  <c r="DO137" i="2"/>
  <c r="DO137" i="2" a="1"/>
  <c r="DN137" i="2"/>
  <c r="DN137" i="2" a="1"/>
  <c r="DL137" i="2"/>
  <c r="CV137" i="2"/>
  <c r="CT137" i="2"/>
  <c r="CS137" i="2"/>
  <c r="CR137" i="2"/>
  <c r="CE137" i="2" a="1"/>
  <c r="CE137" i="2" s="1"/>
  <c r="DS137" i="2" s="1" a="1"/>
  <c r="DS137" i="2" s="1"/>
  <c r="BS137" i="2" a="1"/>
  <c r="BS137" i="2" s="1"/>
  <c r="DP137" i="2" s="1" a="1"/>
  <c r="DP137" i="2" s="1"/>
  <c r="BE137" i="2" a="1"/>
  <c r="BE137" i="2" s="1"/>
  <c r="DQ137" i="2" s="1" a="1"/>
  <c r="AR137" i="2" a="1"/>
  <c r="AR137" i="2" s="1"/>
  <c r="Y137" i="2"/>
  <c r="J137" i="2"/>
  <c r="G137" i="2"/>
  <c r="F137" i="2"/>
  <c r="EC136" i="2"/>
  <c r="EB136" i="2"/>
  <c r="DQ136" i="2" a="1"/>
  <c r="DQ136" i="2" s="1"/>
  <c r="DP136" i="2" a="1"/>
  <c r="DP136" i="2" s="1"/>
  <c r="DO136" i="2" a="1"/>
  <c r="DO136" i="2" s="1"/>
  <c r="DN136" i="2"/>
  <c r="DN136" i="2" a="1"/>
  <c r="DL136" i="2"/>
  <c r="CV136" i="2"/>
  <c r="CU136" i="2"/>
  <c r="DR136" i="2" s="1" a="1"/>
  <c r="DR136" i="2" s="1"/>
  <c r="CT136" i="2"/>
  <c r="CS136" i="2"/>
  <c r="CR136" i="2"/>
  <c r="DB136" i="2" s="1"/>
  <c r="CE136" i="2"/>
  <c r="DS136" i="2" s="1" a="1"/>
  <c r="DS136" i="2" s="1"/>
  <c r="CE136" i="2" a="1"/>
  <c r="BS136" i="2"/>
  <c r="DA136" i="2" s="1"/>
  <c r="DM136" i="2" s="1"/>
  <c r="BS136" i="2" a="1"/>
  <c r="BE136" i="2"/>
  <c r="BE136" i="2" a="1"/>
  <c r="AR136" i="2" a="1"/>
  <c r="AR136" i="2" s="1"/>
  <c r="Y136" i="2"/>
  <c r="J136" i="2"/>
  <c r="G136" i="2"/>
  <c r="F136" i="2"/>
  <c r="EC135" i="2"/>
  <c r="EB135" i="2"/>
  <c r="DN135" i="2"/>
  <c r="DN135" i="2" a="1"/>
  <c r="DL135" i="2"/>
  <c r="CV135" i="2"/>
  <c r="CT135" i="2"/>
  <c r="CS135" i="2"/>
  <c r="CR135" i="2"/>
  <c r="CU135" i="2" s="1"/>
  <c r="CE135" i="2" a="1"/>
  <c r="CE135" i="2" s="1"/>
  <c r="DS135" i="2" s="1" a="1"/>
  <c r="DS135" i="2" s="1"/>
  <c r="BS135" i="2" a="1"/>
  <c r="BS135" i="2" s="1"/>
  <c r="DP135" i="2" s="1" a="1"/>
  <c r="DP135" i="2" s="1"/>
  <c r="BE135" i="2" a="1"/>
  <c r="BE135" i="2" s="1"/>
  <c r="DQ135" i="2" s="1" a="1"/>
  <c r="DQ135" i="2" s="1"/>
  <c r="AR135" i="2" a="1"/>
  <c r="AR135" i="2" s="1"/>
  <c r="DO135" i="2" s="1" a="1"/>
  <c r="DO135" i="2" s="1"/>
  <c r="Y135" i="2"/>
  <c r="J135" i="2"/>
  <c r="G135" i="2"/>
  <c r="F135" i="2"/>
  <c r="EC134" i="2"/>
  <c r="EB134" i="2"/>
  <c r="DR134" i="2"/>
  <c r="DQ134" i="2" a="1"/>
  <c r="DQ134" i="2" s="1"/>
  <c r="DN134" i="2"/>
  <c r="DN134" i="2" a="1"/>
  <c r="DL134" i="2"/>
  <c r="DB134" i="2"/>
  <c r="CV134" i="2"/>
  <c r="CU134" i="2"/>
  <c r="DR134" i="2" s="1" a="1"/>
  <c r="CT134" i="2"/>
  <c r="CS134" i="2"/>
  <c r="CR134" i="2"/>
  <c r="CE134" i="2"/>
  <c r="DS134" i="2" s="1" a="1"/>
  <c r="DS134" i="2" s="1"/>
  <c r="CE134" i="2" a="1"/>
  <c r="BS134" i="2"/>
  <c r="DP134" i="2" s="1" a="1"/>
  <c r="DP134" i="2" s="1"/>
  <c r="BS134" i="2" a="1"/>
  <c r="BE134" i="2"/>
  <c r="BE134" i="2" a="1"/>
  <c r="AR134" i="2" a="1"/>
  <c r="AR134" i="2" s="1"/>
  <c r="DO134" i="2" s="1" a="1"/>
  <c r="DO134" i="2" s="1"/>
  <c r="Y134" i="2"/>
  <c r="J134" i="2"/>
  <c r="G134" i="2"/>
  <c r="F134" i="2"/>
  <c r="EC133" i="2"/>
  <c r="EB133" i="2"/>
  <c r="DO133" i="2"/>
  <c r="DO133" i="2" a="1"/>
  <c r="DN133" i="2"/>
  <c r="DN133" i="2" a="1"/>
  <c r="DL133" i="2"/>
  <c r="DB133" i="2"/>
  <c r="DT133" i="2" s="1"/>
  <c r="CV133" i="2"/>
  <c r="CU133" i="2"/>
  <c r="DR133" i="2" s="1" a="1"/>
  <c r="DR133" i="2" s="1"/>
  <c r="CT133" i="2"/>
  <c r="CS133" i="2"/>
  <c r="CR133" i="2"/>
  <c r="CE133" i="2" a="1"/>
  <c r="CE133" i="2" s="1"/>
  <c r="DS133" i="2" s="1" a="1"/>
  <c r="DS133" i="2" s="1"/>
  <c r="BS133" i="2" a="1"/>
  <c r="BS133" i="2" s="1"/>
  <c r="DP133" i="2" s="1" a="1"/>
  <c r="DP133" i="2" s="1"/>
  <c r="BE133" i="2"/>
  <c r="DQ133" i="2" s="1" a="1"/>
  <c r="DQ133" i="2" s="1"/>
  <c r="BE133" i="2" a="1"/>
  <c r="AR133" i="2" a="1"/>
  <c r="AR133" i="2" s="1"/>
  <c r="Y133" i="2"/>
  <c r="J133" i="2"/>
  <c r="G133" i="2"/>
  <c r="F133" i="2"/>
  <c r="EC132" i="2"/>
  <c r="EB132" i="2"/>
  <c r="DS132" i="2"/>
  <c r="DO132" i="2" a="1"/>
  <c r="DO132" i="2" s="1"/>
  <c r="DN132" i="2"/>
  <c r="DN132" i="2" a="1"/>
  <c r="DL132" i="2"/>
  <c r="CV132" i="2"/>
  <c r="CU132" i="2"/>
  <c r="CT132" i="2"/>
  <c r="CS132" i="2"/>
  <c r="CR132" i="2"/>
  <c r="DB132" i="2" s="1"/>
  <c r="CE132" i="2" a="1"/>
  <c r="CE132" i="2" s="1"/>
  <c r="DS132" i="2" s="1" a="1"/>
  <c r="BS132" i="2"/>
  <c r="DP132" i="2" s="1" a="1"/>
  <c r="DP132" i="2" s="1"/>
  <c r="BS132" i="2" a="1"/>
  <c r="BE132" i="2"/>
  <c r="DQ132" i="2" s="1" a="1"/>
  <c r="DQ132" i="2" s="1"/>
  <c r="BE132" i="2" a="1"/>
  <c r="AR132" i="2" a="1"/>
  <c r="AR132" i="2" s="1"/>
  <c r="Y132" i="2"/>
  <c r="J132" i="2"/>
  <c r="G132" i="2"/>
  <c r="F132" i="2"/>
  <c r="EC131" i="2"/>
  <c r="EB131" i="2"/>
  <c r="DO131" i="2" a="1"/>
  <c r="DO131" i="2" s="1"/>
  <c r="DN131" i="2"/>
  <c r="DN131" i="2" a="1"/>
  <c r="DL131" i="2"/>
  <c r="DA131" i="2"/>
  <c r="CV131" i="2"/>
  <c r="CT131" i="2"/>
  <c r="CS131" i="2"/>
  <c r="CR131" i="2"/>
  <c r="CU131" i="2" s="1"/>
  <c r="DR131" i="2" s="1" a="1"/>
  <c r="DR131" i="2" s="1"/>
  <c r="CE131" i="2" a="1"/>
  <c r="CE131" i="2" s="1"/>
  <c r="DS131" i="2" s="1" a="1"/>
  <c r="DS131" i="2" s="1"/>
  <c r="BS131" i="2"/>
  <c r="DP131" i="2" s="1" a="1"/>
  <c r="DP131" i="2" s="1"/>
  <c r="BS131" i="2" a="1"/>
  <c r="BE131" i="2"/>
  <c r="DQ131" i="2" s="1" a="1"/>
  <c r="DQ131" i="2" s="1"/>
  <c r="BE131" i="2" a="1"/>
  <c r="AR131" i="2" a="1"/>
  <c r="AR131" i="2" s="1"/>
  <c r="Y131" i="2"/>
  <c r="G131" i="2"/>
  <c r="F131" i="2"/>
  <c r="EC130" i="2"/>
  <c r="EB130" i="2"/>
  <c r="DS130" i="2" a="1"/>
  <c r="DS130" i="2" s="1"/>
  <c r="DP130" i="2" a="1"/>
  <c r="DP130" i="2" s="1"/>
  <c r="DO130" i="2" a="1"/>
  <c r="DO130" i="2" s="1"/>
  <c r="DN130" i="2"/>
  <c r="DN130" i="2" a="1"/>
  <c r="DL130" i="2"/>
  <c r="CV130" i="2"/>
  <c r="CU130" i="2"/>
  <c r="DR130" i="2" s="1" a="1"/>
  <c r="DR130" i="2" s="1"/>
  <c r="CT130" i="2"/>
  <c r="CS130" i="2"/>
  <c r="CR130" i="2"/>
  <c r="DB130" i="2" s="1"/>
  <c r="DT130" i="2" s="1"/>
  <c r="CE130" i="2"/>
  <c r="CE130" i="2" a="1"/>
  <c r="BS130" i="2"/>
  <c r="BS130" i="2" a="1"/>
  <c r="BE130" i="2"/>
  <c r="DQ130" i="2" s="1" a="1"/>
  <c r="DQ130" i="2" s="1"/>
  <c r="BE130" i="2" a="1"/>
  <c r="AR130" i="2" a="1"/>
  <c r="AR130" i="2" s="1"/>
  <c r="Y130" i="2"/>
  <c r="G130" i="2"/>
  <c r="F130" i="2"/>
  <c r="EC129" i="2"/>
  <c r="EB129" i="2"/>
  <c r="DS129" i="2" a="1"/>
  <c r="DS129" i="2" s="1"/>
  <c r="DO129" i="2"/>
  <c r="DO129" i="2" a="1"/>
  <c r="DN129" i="2"/>
  <c r="DN129" i="2" a="1"/>
  <c r="DL129" i="2"/>
  <c r="CV129" i="2"/>
  <c r="CT129" i="2"/>
  <c r="CS129" i="2"/>
  <c r="CR129" i="2"/>
  <c r="CE129" i="2"/>
  <c r="CE129" i="2" a="1"/>
  <c r="BS129" i="2" a="1"/>
  <c r="BS129" i="2" s="1"/>
  <c r="DP129" i="2" s="1" a="1"/>
  <c r="DP129" i="2" s="1"/>
  <c r="BE129" i="2" a="1"/>
  <c r="BE129" i="2" s="1"/>
  <c r="DQ129" i="2" s="1" a="1"/>
  <c r="DQ129" i="2" s="1"/>
  <c r="AR129" i="2" a="1"/>
  <c r="AR129" i="2" s="1"/>
  <c r="Y129" i="2"/>
  <c r="J129" i="2"/>
  <c r="G129" i="2"/>
  <c r="F129" i="2"/>
  <c r="EC128" i="2"/>
  <c r="EB128" i="2"/>
  <c r="DR128" i="2"/>
  <c r="DQ128" i="2" a="1"/>
  <c r="DQ128" i="2" s="1"/>
  <c r="DN128" i="2" a="1"/>
  <c r="DN128" i="2" s="1"/>
  <c r="DL128" i="2"/>
  <c r="CV128" i="2"/>
  <c r="CT128" i="2"/>
  <c r="CS128" i="2"/>
  <c r="CU128" i="2" s="1"/>
  <c r="DR128" i="2" s="1" a="1"/>
  <c r="CR128" i="2"/>
  <c r="DB128" i="2" s="1"/>
  <c r="CE128" i="2"/>
  <c r="DS128" i="2" s="1" a="1"/>
  <c r="DS128" i="2" s="1"/>
  <c r="CE128" i="2" a="1"/>
  <c r="BS128" i="2" a="1"/>
  <c r="BS128" i="2" s="1"/>
  <c r="BE128" i="2" a="1"/>
  <c r="BE128" i="2" s="1"/>
  <c r="AR128" i="2"/>
  <c r="DO128" i="2" s="1" a="1"/>
  <c r="DO128" i="2" s="1"/>
  <c r="AR128" i="2" a="1"/>
  <c r="Y128" i="2"/>
  <c r="J128" i="2"/>
  <c r="G128" i="2"/>
  <c r="F128" i="2"/>
  <c r="EC127" i="2"/>
  <c r="EB127" i="2"/>
  <c r="DS127" i="2"/>
  <c r="DQ127" i="2" a="1"/>
  <c r="DQ127" i="2" s="1"/>
  <c r="DN127" i="2"/>
  <c r="DN127" i="2" a="1"/>
  <c r="DL127" i="2"/>
  <c r="CV127" i="2"/>
  <c r="CT127" i="2"/>
  <c r="CS127" i="2"/>
  <c r="CR127" i="2"/>
  <c r="DB127" i="2" s="1"/>
  <c r="CE127" i="2"/>
  <c r="DS127" i="2" s="1" a="1"/>
  <c r="CE127" i="2" a="1"/>
  <c r="BS127" i="2" a="1"/>
  <c r="BS127" i="2" s="1"/>
  <c r="DP127" i="2" s="1" a="1"/>
  <c r="DP127" i="2" s="1"/>
  <c r="BE127" i="2" a="1"/>
  <c r="BE127" i="2" s="1"/>
  <c r="AR127" i="2"/>
  <c r="DO127" i="2" s="1" a="1"/>
  <c r="DO127" i="2" s="1"/>
  <c r="AR127" i="2" a="1"/>
  <c r="Y127" i="2"/>
  <c r="J127" i="2"/>
  <c r="G127" i="2"/>
  <c r="F127" i="2"/>
  <c r="EC126" i="2"/>
  <c r="EB126" i="2"/>
  <c r="DS126" i="2"/>
  <c r="DQ126" i="2" a="1"/>
  <c r="DQ126" i="2" s="1"/>
  <c r="DO126" i="2"/>
  <c r="DN126" i="2" a="1"/>
  <c r="DN126" i="2" s="1"/>
  <c r="DL126" i="2"/>
  <c r="CV126" i="2"/>
  <c r="CT126" i="2"/>
  <c r="CS126" i="2"/>
  <c r="CU126" i="2" s="1"/>
  <c r="CR126" i="2"/>
  <c r="DB126" i="2" s="1"/>
  <c r="CE126" i="2"/>
  <c r="DS126" i="2" s="1" a="1"/>
  <c r="CE126" i="2" a="1"/>
  <c r="BS126" i="2" a="1"/>
  <c r="BS126" i="2" s="1"/>
  <c r="DP126" i="2" s="1" a="1"/>
  <c r="DP126" i="2" s="1"/>
  <c r="BE126" i="2" a="1"/>
  <c r="BE126" i="2" s="1"/>
  <c r="AR126" i="2"/>
  <c r="DO126" i="2" s="1" a="1"/>
  <c r="AR126" i="2" a="1"/>
  <c r="Y126" i="2"/>
  <c r="J126" i="2"/>
  <c r="G126" i="2"/>
  <c r="F126" i="2"/>
  <c r="EC125" i="2"/>
  <c r="EB125" i="2"/>
  <c r="DQ125" i="2" a="1"/>
  <c r="DQ125" i="2" s="1"/>
  <c r="DN125" i="2" a="1"/>
  <c r="DN125" i="2" s="1"/>
  <c r="DL125" i="2"/>
  <c r="CV125" i="2"/>
  <c r="CT125" i="2"/>
  <c r="CS125" i="2"/>
  <c r="CR125" i="2"/>
  <c r="DB125" i="2" s="1"/>
  <c r="CE125" i="2"/>
  <c r="DS125" i="2" s="1" a="1"/>
  <c r="DS125" i="2" s="1"/>
  <c r="CE125" i="2" a="1"/>
  <c r="BS125" i="2" a="1"/>
  <c r="BS125" i="2" s="1"/>
  <c r="DP125" i="2" s="1" a="1"/>
  <c r="DP125" i="2" s="1"/>
  <c r="BE125" i="2" a="1"/>
  <c r="BE125" i="2" s="1"/>
  <c r="AR125" i="2"/>
  <c r="DO125" i="2" s="1" a="1"/>
  <c r="DO125" i="2" s="1"/>
  <c r="AR125" i="2" a="1"/>
  <c r="Y125" i="2"/>
  <c r="J125" i="2"/>
  <c r="G125" i="2"/>
  <c r="F125" i="2"/>
  <c r="EC124" i="2"/>
  <c r="EB124" i="2"/>
  <c r="DS124" i="2"/>
  <c r="DQ124" i="2" a="1"/>
  <c r="DQ124" i="2" s="1"/>
  <c r="DO124" i="2"/>
  <c r="DN124" i="2" a="1"/>
  <c r="DN124" i="2" s="1"/>
  <c r="DL124" i="2"/>
  <c r="CV124" i="2"/>
  <c r="CT124" i="2"/>
  <c r="CS124" i="2"/>
  <c r="CR124" i="2"/>
  <c r="DB124" i="2" s="1"/>
  <c r="CE124" i="2"/>
  <c r="DS124" i="2" s="1" a="1"/>
  <c r="CE124" i="2" a="1"/>
  <c r="BS124" i="2" a="1"/>
  <c r="BS124" i="2" s="1"/>
  <c r="DP124" i="2" s="1" a="1"/>
  <c r="DP124" i="2" s="1"/>
  <c r="BE124" i="2" a="1"/>
  <c r="BE124" i="2" s="1"/>
  <c r="AR124" i="2"/>
  <c r="DO124" i="2" s="1" a="1"/>
  <c r="AR124" i="2" a="1"/>
  <c r="Y124" i="2"/>
  <c r="J124" i="2"/>
  <c r="G124" i="2"/>
  <c r="F124" i="2"/>
  <c r="EC123" i="2"/>
  <c r="EB123" i="2"/>
  <c r="DR123" i="2" a="1"/>
  <c r="DR123" i="2" s="1"/>
  <c r="DO123" i="2"/>
  <c r="DN123" i="2" a="1"/>
  <c r="DN123" i="2" s="1"/>
  <c r="DL123" i="2"/>
  <c r="DB123" i="2"/>
  <c r="CV123" i="2"/>
  <c r="CT123" i="2"/>
  <c r="CS123" i="2"/>
  <c r="CU123" i="2" s="1"/>
  <c r="CR123" i="2"/>
  <c r="CE123" i="2"/>
  <c r="DS123" i="2" s="1" a="1"/>
  <c r="DS123" i="2" s="1"/>
  <c r="CE123" i="2" a="1"/>
  <c r="BS123" i="2" a="1"/>
  <c r="BS123" i="2" s="1"/>
  <c r="BE123" i="2" a="1"/>
  <c r="BE123" i="2" s="1"/>
  <c r="DQ123" i="2" s="1" a="1"/>
  <c r="DQ123" i="2" s="1"/>
  <c r="AR123" i="2"/>
  <c r="DO123" i="2" s="1" a="1"/>
  <c r="AR123" i="2" a="1"/>
  <c r="Y123" i="2"/>
  <c r="G123" i="2"/>
  <c r="F123" i="2"/>
  <c r="EC122" i="2"/>
  <c r="EB122" i="2"/>
  <c r="DS122" i="2"/>
  <c r="DN122" i="2"/>
  <c r="DN122" i="2" a="1"/>
  <c r="DL122" i="2"/>
  <c r="DB122" i="2"/>
  <c r="CV122" i="2"/>
  <c r="CT122" i="2"/>
  <c r="CS122" i="2"/>
  <c r="CR122" i="2"/>
  <c r="CE122" i="2"/>
  <c r="DS122" i="2" s="1" a="1"/>
  <c r="CE122" i="2" a="1"/>
  <c r="BS122" i="2" a="1"/>
  <c r="BS122" i="2" s="1"/>
  <c r="DP122" i="2" s="1" a="1"/>
  <c r="DP122" i="2" s="1"/>
  <c r="BE122" i="2" a="1"/>
  <c r="BE122" i="2" s="1"/>
  <c r="DQ122" i="2" s="1" a="1"/>
  <c r="DQ122" i="2" s="1"/>
  <c r="AR122" i="2"/>
  <c r="DO122" i="2" s="1" a="1"/>
  <c r="DO122" i="2" s="1"/>
  <c r="AR122" i="2" a="1"/>
  <c r="Y122" i="2"/>
  <c r="J122" i="2"/>
  <c r="G122" i="2"/>
  <c r="F122" i="2"/>
  <c r="EC121" i="2"/>
  <c r="EB121" i="2"/>
  <c r="DO121" i="2"/>
  <c r="DN121" i="2" a="1"/>
  <c r="DN121" i="2" s="1"/>
  <c r="DL121" i="2"/>
  <c r="DB121" i="2"/>
  <c r="CV121" i="2"/>
  <c r="CT121" i="2"/>
  <c r="CS121" i="2"/>
  <c r="CU121" i="2" s="1"/>
  <c r="DR121" i="2" s="1" a="1"/>
  <c r="DR121" i="2" s="1"/>
  <c r="CR121" i="2"/>
  <c r="CE121" i="2"/>
  <c r="DS121" i="2" s="1" a="1"/>
  <c r="DS121" i="2" s="1"/>
  <c r="CE121" i="2" a="1"/>
  <c r="BS121" i="2"/>
  <c r="DP121" i="2" s="1" a="1"/>
  <c r="DP121" i="2" s="1"/>
  <c r="BS121" i="2" a="1"/>
  <c r="BE121" i="2" a="1"/>
  <c r="BE121" i="2" s="1"/>
  <c r="DQ121" i="2" s="1" a="1"/>
  <c r="DQ121" i="2" s="1"/>
  <c r="AR121" i="2"/>
  <c r="DO121" i="2" s="1" a="1"/>
  <c r="AR121" i="2" a="1"/>
  <c r="Y121" i="2"/>
  <c r="J121" i="2"/>
  <c r="G121" i="2"/>
  <c r="F121" i="2"/>
  <c r="EC120" i="2"/>
  <c r="EB120" i="2"/>
  <c r="DS120" i="2"/>
  <c r="DR120" i="2" a="1"/>
  <c r="DR120" i="2" s="1"/>
  <c r="DO120" i="2"/>
  <c r="DN120" i="2"/>
  <c r="DN120" i="2" a="1"/>
  <c r="DL120" i="2"/>
  <c r="DB120" i="2"/>
  <c r="CV120" i="2"/>
  <c r="CT120" i="2"/>
  <c r="CS120" i="2"/>
  <c r="CU120" i="2" s="1"/>
  <c r="CR120" i="2"/>
  <c r="CE120" i="2"/>
  <c r="DS120" i="2" s="1" a="1"/>
  <c r="CE120" i="2" a="1"/>
  <c r="BS120" i="2" a="1"/>
  <c r="BS120" i="2" s="1"/>
  <c r="BE120" i="2" a="1"/>
  <c r="BE120" i="2" s="1"/>
  <c r="DQ120" i="2" s="1" a="1"/>
  <c r="DQ120" i="2" s="1"/>
  <c r="AR120" i="2"/>
  <c r="DO120" i="2" s="1" a="1"/>
  <c r="AR120" i="2" a="1"/>
  <c r="Y120" i="2"/>
  <c r="J120" i="2"/>
  <c r="G120" i="2"/>
  <c r="F120" i="2"/>
  <c r="EC119" i="2"/>
  <c r="EB119" i="2"/>
  <c r="DO119" i="2"/>
  <c r="DN119" i="2"/>
  <c r="DN119" i="2" a="1"/>
  <c r="DL119" i="2"/>
  <c r="DB119" i="2"/>
  <c r="CV119" i="2"/>
  <c r="CT119" i="2"/>
  <c r="CS119" i="2"/>
  <c r="CU119" i="2" s="1"/>
  <c r="DR119" i="2" s="1" a="1"/>
  <c r="DR119" i="2" s="1"/>
  <c r="CR119" i="2"/>
  <c r="CE119" i="2" a="1"/>
  <c r="CE119" i="2" s="1"/>
  <c r="DS119" i="2" s="1" a="1"/>
  <c r="DS119" i="2" s="1"/>
  <c r="BS119" i="2" a="1"/>
  <c r="BS119" i="2" s="1"/>
  <c r="BE119" i="2" a="1"/>
  <c r="BE119" i="2" s="1"/>
  <c r="DQ119" i="2" s="1" a="1"/>
  <c r="DQ119" i="2" s="1"/>
  <c r="AR119" i="2"/>
  <c r="DO119" i="2" s="1" a="1"/>
  <c r="AR119" i="2" a="1"/>
  <c r="Y119" i="2"/>
  <c r="J119" i="2"/>
  <c r="G119" i="2"/>
  <c r="F119" i="2"/>
  <c r="EC118" i="2"/>
  <c r="EB118" i="2"/>
  <c r="DR118" i="2" a="1"/>
  <c r="DR118" i="2" s="1"/>
  <c r="DQ118" i="2" a="1"/>
  <c r="DQ118" i="2" s="1"/>
  <c r="DO118" i="2"/>
  <c r="DN118" i="2" a="1"/>
  <c r="DN118" i="2" s="1"/>
  <c r="DL118" i="2"/>
  <c r="DB118" i="2"/>
  <c r="CV118" i="2"/>
  <c r="CT118" i="2"/>
  <c r="CS118" i="2"/>
  <c r="CU118" i="2" s="1"/>
  <c r="CR118" i="2"/>
  <c r="CE118" i="2"/>
  <c r="DS118" i="2" s="1" a="1"/>
  <c r="DS118" i="2" s="1"/>
  <c r="CE118" i="2" a="1"/>
  <c r="BS118" i="2" a="1"/>
  <c r="BS118" i="2" s="1"/>
  <c r="BE118" i="2" a="1"/>
  <c r="BE118" i="2" s="1"/>
  <c r="AR118" i="2"/>
  <c r="DO118" i="2" s="1" a="1"/>
  <c r="AR118" i="2" a="1"/>
  <c r="Y118" i="2"/>
  <c r="J118" i="2"/>
  <c r="G118" i="2"/>
  <c r="F118" i="2"/>
  <c r="EC117" i="2"/>
  <c r="EB117" i="2"/>
  <c r="DN117" i="2"/>
  <c r="DN117" i="2" a="1"/>
  <c r="DL117" i="2"/>
  <c r="DB117" i="2"/>
  <c r="CV117" i="2"/>
  <c r="CT117" i="2"/>
  <c r="CS117" i="2"/>
  <c r="CR117" i="2"/>
  <c r="CE117" i="2" a="1"/>
  <c r="CE117" i="2" s="1"/>
  <c r="DS117" i="2" s="1" a="1"/>
  <c r="DS117" i="2" s="1"/>
  <c r="BS117" i="2"/>
  <c r="DP117" i="2" s="1" a="1"/>
  <c r="DP117" i="2" s="1"/>
  <c r="BS117" i="2" a="1"/>
  <c r="BE117" i="2" a="1"/>
  <c r="BE117" i="2" s="1"/>
  <c r="DQ117" i="2" s="1" a="1"/>
  <c r="DQ117" i="2" s="1"/>
  <c r="AR117" i="2"/>
  <c r="DO117" i="2" s="1" a="1"/>
  <c r="DO117" i="2" s="1"/>
  <c r="AR117" i="2" a="1"/>
  <c r="Y117" i="2"/>
  <c r="J117" i="2"/>
  <c r="G117" i="2"/>
  <c r="F117" i="2"/>
  <c r="EC116" i="2"/>
  <c r="EB116" i="2"/>
  <c r="DR116" i="2"/>
  <c r="DR116" i="2" a="1"/>
  <c r="DO116" i="2"/>
  <c r="DN116" i="2" a="1"/>
  <c r="DN116" i="2" s="1"/>
  <c r="DL116" i="2"/>
  <c r="DB116" i="2"/>
  <c r="CV116" i="2"/>
  <c r="CT116" i="2"/>
  <c r="CS116" i="2"/>
  <c r="CU116" i="2" s="1"/>
  <c r="CR116" i="2"/>
  <c r="CE116" i="2" a="1"/>
  <c r="CE116" i="2" s="1"/>
  <c r="DS116" i="2" s="1" a="1"/>
  <c r="DS116" i="2" s="1"/>
  <c r="BS116" i="2"/>
  <c r="DA116" i="2" s="1"/>
  <c r="DM116" i="2" s="1"/>
  <c r="BS116" i="2" a="1"/>
  <c r="BE116" i="2" a="1"/>
  <c r="BE116" i="2" s="1"/>
  <c r="DQ116" i="2" s="1" a="1"/>
  <c r="DQ116" i="2" s="1"/>
  <c r="AR116" i="2"/>
  <c r="DO116" i="2" s="1" a="1"/>
  <c r="AR116" i="2" a="1"/>
  <c r="Y116" i="2"/>
  <c r="J116" i="2"/>
  <c r="G116" i="2"/>
  <c r="F116" i="2"/>
  <c r="EC115" i="2"/>
  <c r="EB115" i="2"/>
  <c r="DQ115" i="2" a="1"/>
  <c r="DQ115" i="2" s="1"/>
  <c r="DN115" i="2" a="1"/>
  <c r="DN115" i="2" s="1"/>
  <c r="DL115" i="2"/>
  <c r="DB115" i="2"/>
  <c r="CV115" i="2"/>
  <c r="CT115" i="2"/>
  <c r="CS115" i="2"/>
  <c r="CR115" i="2"/>
  <c r="CE115" i="2"/>
  <c r="DS115" i="2" s="1" a="1"/>
  <c r="DS115" i="2" s="1"/>
  <c r="CE115" i="2" a="1"/>
  <c r="BS115" i="2" a="1"/>
  <c r="BS115" i="2" s="1"/>
  <c r="BE115" i="2" a="1"/>
  <c r="BE115" i="2" s="1"/>
  <c r="AR115" i="2"/>
  <c r="DO115" i="2" s="1" a="1"/>
  <c r="DO115" i="2" s="1"/>
  <c r="AR115" i="2" a="1"/>
  <c r="Y115" i="2"/>
  <c r="J115" i="2"/>
  <c r="G115" i="2"/>
  <c r="F115" i="2"/>
  <c r="EC114" i="2"/>
  <c r="EB114" i="2"/>
  <c r="DR114" i="2" a="1"/>
  <c r="DR114" i="2" s="1"/>
  <c r="DO114" i="2"/>
  <c r="DN114" i="2"/>
  <c r="DN114" i="2" a="1"/>
  <c r="DL114" i="2"/>
  <c r="DB114" i="2"/>
  <c r="CV114" i="2"/>
  <c r="CT114" i="2"/>
  <c r="CS114" i="2"/>
  <c r="CU114" i="2" s="1"/>
  <c r="DA114" i="2" s="1"/>
  <c r="DM114" i="2" s="1"/>
  <c r="CR114" i="2"/>
  <c r="CE114" i="2"/>
  <c r="DS114" i="2" s="1" a="1"/>
  <c r="DS114" i="2" s="1"/>
  <c r="CE114" i="2" a="1"/>
  <c r="BS114" i="2"/>
  <c r="DP114" i="2" s="1" a="1"/>
  <c r="DP114" i="2" s="1"/>
  <c r="BS114" i="2" a="1"/>
  <c r="BE114" i="2" a="1"/>
  <c r="BE114" i="2" s="1"/>
  <c r="DQ114" i="2" s="1" a="1"/>
  <c r="DQ114" i="2" s="1"/>
  <c r="AR114" i="2"/>
  <c r="DO114" i="2" s="1" a="1"/>
  <c r="AR114" i="2" a="1"/>
  <c r="Y114" i="2"/>
  <c r="G114" i="2"/>
  <c r="F114" i="2"/>
  <c r="EC113" i="2"/>
  <c r="EB113" i="2"/>
  <c r="DQ113" i="2" a="1"/>
  <c r="DQ113" i="2" s="1"/>
  <c r="DO113" i="2"/>
  <c r="DN113" i="2"/>
  <c r="DN113" i="2" a="1"/>
  <c r="DL113" i="2"/>
  <c r="DB113" i="2"/>
  <c r="CV113" i="2"/>
  <c r="CT113" i="2"/>
  <c r="CS113" i="2"/>
  <c r="CU113" i="2" s="1"/>
  <c r="DR113" i="2" s="1" a="1"/>
  <c r="DR113" i="2" s="1"/>
  <c r="CR113" i="2"/>
  <c r="CE113" i="2" a="1"/>
  <c r="CE113" i="2" s="1"/>
  <c r="DS113" i="2" s="1" a="1"/>
  <c r="DS113" i="2" s="1"/>
  <c r="BS113" i="2" a="1"/>
  <c r="BS113" i="2" s="1"/>
  <c r="BE113" i="2" a="1"/>
  <c r="BE113" i="2" s="1"/>
  <c r="AR113" i="2"/>
  <c r="DO113" i="2" s="1" a="1"/>
  <c r="AR113" i="2" a="1"/>
  <c r="Y113" i="2"/>
  <c r="J113" i="2"/>
  <c r="G113" i="2"/>
  <c r="F113" i="2"/>
  <c r="EC112" i="2"/>
  <c r="EB112" i="2"/>
  <c r="DP112" i="2" a="1"/>
  <c r="DP112" i="2" s="1"/>
  <c r="DN112" i="2" a="1"/>
  <c r="DN112" i="2" s="1"/>
  <c r="DL112" i="2"/>
  <c r="DB112" i="2"/>
  <c r="CV112" i="2"/>
  <c r="CT112" i="2"/>
  <c r="CS112" i="2"/>
  <c r="CR112" i="2"/>
  <c r="CE112" i="2"/>
  <c r="DS112" i="2" s="1" a="1"/>
  <c r="DS112" i="2" s="1"/>
  <c r="CE112" i="2" a="1"/>
  <c r="BS112" i="2"/>
  <c r="BS112" i="2" a="1"/>
  <c r="BE112" i="2" a="1"/>
  <c r="BE112" i="2" s="1"/>
  <c r="DQ112" i="2" s="1" a="1"/>
  <c r="DQ112" i="2" s="1"/>
  <c r="AR112" i="2"/>
  <c r="DO112" i="2" s="1" a="1"/>
  <c r="DO112" i="2" s="1"/>
  <c r="AR112" i="2" a="1"/>
  <c r="Y112" i="2"/>
  <c r="G112" i="2"/>
  <c r="F112" i="2"/>
  <c r="EC111" i="2"/>
  <c r="EB111" i="2"/>
  <c r="DN111" i="2"/>
  <c r="DN111" i="2" a="1"/>
  <c r="DL111" i="2"/>
  <c r="DB111" i="2"/>
  <c r="CV111" i="2"/>
  <c r="CT111" i="2"/>
  <c r="CS111" i="2"/>
  <c r="CR111" i="2"/>
  <c r="CU111" i="2" s="1"/>
  <c r="DR111" i="2" s="1" a="1"/>
  <c r="DR111" i="2" s="1"/>
  <c r="CE111" i="2" a="1"/>
  <c r="CE111" i="2" s="1"/>
  <c r="DS111" i="2" s="1" a="1"/>
  <c r="DS111" i="2" s="1"/>
  <c r="BS111" i="2" a="1"/>
  <c r="BS111" i="2" s="1"/>
  <c r="BE111" i="2" a="1"/>
  <c r="BE111" i="2" s="1"/>
  <c r="DQ111" i="2" s="1" a="1"/>
  <c r="DQ111" i="2" s="1"/>
  <c r="AR111" i="2"/>
  <c r="DO111" i="2" s="1" a="1"/>
  <c r="DO111" i="2" s="1"/>
  <c r="AR111" i="2" a="1"/>
  <c r="Y111" i="2"/>
  <c r="J111" i="2"/>
  <c r="G111" i="2"/>
  <c r="F111" i="2"/>
  <c r="EC110" i="2"/>
  <c r="EB110" i="2"/>
  <c r="DQ110" i="2" a="1"/>
  <c r="DQ110" i="2" s="1"/>
  <c r="DO110" i="2"/>
  <c r="DN110" i="2" a="1"/>
  <c r="DN110" i="2" s="1"/>
  <c r="DL110" i="2"/>
  <c r="DB110" i="2"/>
  <c r="CV110" i="2"/>
  <c r="CT110" i="2"/>
  <c r="CS110" i="2"/>
  <c r="CR110" i="2"/>
  <c r="CE110" i="2"/>
  <c r="DS110" i="2" s="1" a="1"/>
  <c r="DS110" i="2" s="1"/>
  <c r="CE110" i="2" a="1"/>
  <c r="BS110" i="2" a="1"/>
  <c r="BS110" i="2" s="1"/>
  <c r="DP110" i="2" s="1" a="1"/>
  <c r="DP110" i="2" s="1"/>
  <c r="BE110" i="2" a="1"/>
  <c r="BE110" i="2" s="1"/>
  <c r="AR110" i="2"/>
  <c r="DO110" i="2" s="1" a="1"/>
  <c r="AR110" i="2" a="1"/>
  <c r="Y110" i="2"/>
  <c r="J110" i="2"/>
  <c r="G110" i="2"/>
  <c r="F110" i="2"/>
  <c r="EC109" i="2"/>
  <c r="EB109" i="2"/>
  <c r="DQ109" i="2" a="1"/>
  <c r="DQ109" i="2" s="1"/>
  <c r="DN109" i="2" a="1"/>
  <c r="DN109" i="2" s="1"/>
  <c r="DL109" i="2"/>
  <c r="DB109" i="2"/>
  <c r="CV109" i="2"/>
  <c r="CT109" i="2"/>
  <c r="CS109" i="2"/>
  <c r="CR109" i="2"/>
  <c r="CU109" i="2" s="1"/>
  <c r="DR109" i="2" s="1" a="1"/>
  <c r="DR109" i="2" s="1"/>
  <c r="CE109" i="2"/>
  <c r="DS109" i="2" s="1" a="1"/>
  <c r="DS109" i="2" s="1"/>
  <c r="CE109" i="2" a="1"/>
  <c r="BS109" i="2"/>
  <c r="DP109" i="2" s="1" a="1"/>
  <c r="DP109" i="2" s="1"/>
  <c r="BS109" i="2" a="1"/>
  <c r="BE109" i="2" a="1"/>
  <c r="BE109" i="2" s="1"/>
  <c r="AR109" i="2" a="1"/>
  <c r="AR109" i="2" s="1"/>
  <c r="DO109" i="2" s="1" a="1"/>
  <c r="DO109" i="2" s="1"/>
  <c r="Y109" i="2"/>
  <c r="J109" i="2"/>
  <c r="G109" i="2"/>
  <c r="F109" i="2"/>
  <c r="EC108" i="2"/>
  <c r="EB108" i="2"/>
  <c r="DS108" i="2"/>
  <c r="DN108" i="2"/>
  <c r="DN108" i="2" a="1"/>
  <c r="DL108" i="2"/>
  <c r="DB108" i="2"/>
  <c r="CV108" i="2"/>
  <c r="CT108" i="2"/>
  <c r="CS108" i="2"/>
  <c r="CR108" i="2"/>
  <c r="CE108" i="2"/>
  <c r="DS108" i="2" s="1" a="1"/>
  <c r="CE108" i="2" a="1"/>
  <c r="BS108" i="2" a="1"/>
  <c r="BS108" i="2" s="1"/>
  <c r="DP108" i="2" s="1" a="1"/>
  <c r="DP108" i="2" s="1"/>
  <c r="BE108" i="2" a="1"/>
  <c r="BE108" i="2" s="1"/>
  <c r="DQ108" i="2" s="1" a="1"/>
  <c r="DQ108" i="2" s="1"/>
  <c r="AR108" i="2" a="1"/>
  <c r="AR108" i="2" s="1"/>
  <c r="DO108" i="2" s="1" a="1"/>
  <c r="DO108" i="2" s="1"/>
  <c r="Y108" i="2"/>
  <c r="J108" i="2"/>
  <c r="G108" i="2"/>
  <c r="F108" i="2"/>
  <c r="EC107" i="2"/>
  <c r="EB107" i="2"/>
  <c r="DQ107" i="2" a="1"/>
  <c r="DQ107" i="2" s="1"/>
  <c r="DN107" i="2" a="1"/>
  <c r="DN107" i="2" s="1"/>
  <c r="DL107" i="2"/>
  <c r="DB107" i="2"/>
  <c r="CV107" i="2"/>
  <c r="CT107" i="2"/>
  <c r="CS107" i="2"/>
  <c r="CR107" i="2"/>
  <c r="CU107" i="2" s="1"/>
  <c r="DR107" i="2" s="1" a="1"/>
  <c r="DR107" i="2" s="1"/>
  <c r="CE107" i="2"/>
  <c r="DS107" i="2" s="1" a="1"/>
  <c r="DS107" i="2" s="1"/>
  <c r="CE107" i="2" a="1"/>
  <c r="BS107" i="2"/>
  <c r="DP107" i="2" s="1" a="1"/>
  <c r="DP107" i="2" s="1"/>
  <c r="BS107" i="2" a="1"/>
  <c r="BE107" i="2" a="1"/>
  <c r="BE107" i="2" s="1"/>
  <c r="AR107" i="2" a="1"/>
  <c r="AR107" i="2" s="1"/>
  <c r="DO107" i="2" s="1" a="1"/>
  <c r="DO107" i="2" s="1"/>
  <c r="Y107" i="2"/>
  <c r="J107" i="2"/>
  <c r="G107" i="2"/>
  <c r="F107" i="2"/>
  <c r="EC7" i="2"/>
  <c r="EB7" i="2"/>
  <c r="DN7" i="2" a="1"/>
  <c r="DN7" i="2" s="1"/>
  <c r="DL7" i="2"/>
  <c r="DB7" i="2"/>
  <c r="CV7" i="2"/>
  <c r="CT7" i="2"/>
  <c r="CS7" i="2"/>
  <c r="CR7" i="2"/>
  <c r="CU7" i="2" s="1"/>
  <c r="CE7" i="2" a="1"/>
  <c r="CE7" i="2" s="1"/>
  <c r="DS7" i="2" s="1" a="1"/>
  <c r="DS7" i="2" s="1"/>
  <c r="BS7" i="2" a="1"/>
  <c r="BS7" i="2" s="1"/>
  <c r="DP7" i="2" s="1" a="1"/>
  <c r="DP7" i="2" s="1"/>
  <c r="BE7" i="2" a="1"/>
  <c r="BE7" i="2" s="1"/>
  <c r="DQ7" i="2" s="1" a="1"/>
  <c r="DQ7" i="2" s="1"/>
  <c r="AR7" i="2" a="1"/>
  <c r="AR7" i="2" s="1"/>
  <c r="DO7" i="2" s="1" a="1"/>
  <c r="DO7" i="2" s="1"/>
  <c r="Y7" i="2"/>
  <c r="J7" i="2"/>
  <c r="G7" i="2"/>
  <c r="F7" i="2"/>
  <c r="EC8" i="2"/>
  <c r="EB8" i="2"/>
  <c r="DN8" i="2" a="1"/>
  <c r="DN8" i="2" s="1"/>
  <c r="DL8" i="2"/>
  <c r="CV8" i="2"/>
  <c r="CT8" i="2"/>
  <c r="CS8" i="2"/>
  <c r="CR8" i="2"/>
  <c r="CU8" i="2" s="1"/>
  <c r="CE8" i="2" a="1"/>
  <c r="CE8" i="2" s="1"/>
  <c r="DS8" i="2" s="1" a="1"/>
  <c r="DS8" i="2" s="1"/>
  <c r="BS8" i="2" a="1"/>
  <c r="BS8" i="2" s="1"/>
  <c r="DP8" i="2" s="1" a="1"/>
  <c r="DP8" i="2" s="1"/>
  <c r="BE8" i="2" a="1"/>
  <c r="BE8" i="2" s="1"/>
  <c r="DQ8" i="2" s="1" a="1"/>
  <c r="DQ8" i="2" s="1"/>
  <c r="AR8" i="2" a="1"/>
  <c r="AR8" i="2" s="1"/>
  <c r="DO8" i="2" s="1" a="1"/>
  <c r="DO8" i="2" s="1"/>
  <c r="Y8" i="2"/>
  <c r="J8" i="2"/>
  <c r="G8" i="2"/>
  <c r="F8" i="2"/>
  <c r="EC106" i="2"/>
  <c r="EB106" i="2"/>
  <c r="DN106" i="2" a="1"/>
  <c r="DN106" i="2" s="1"/>
  <c r="DL106" i="2"/>
  <c r="CV106" i="2"/>
  <c r="CT106" i="2"/>
  <c r="CS106" i="2"/>
  <c r="CR106" i="2"/>
  <c r="CE106" i="2" a="1"/>
  <c r="CE106" i="2" s="1"/>
  <c r="DS106" i="2" s="1" a="1"/>
  <c r="DS106" i="2" s="1"/>
  <c r="BS106" i="2" a="1"/>
  <c r="BS106" i="2" s="1"/>
  <c r="DP106" i="2" s="1" a="1"/>
  <c r="DP106" i="2" s="1"/>
  <c r="BE106" i="2" a="1"/>
  <c r="BE106" i="2" s="1"/>
  <c r="DQ106" i="2" s="1" a="1"/>
  <c r="DQ106" i="2" s="1"/>
  <c r="AR106" i="2" a="1"/>
  <c r="AR106" i="2" s="1"/>
  <c r="DO106" i="2" s="1" a="1"/>
  <c r="DO106" i="2" s="1"/>
  <c r="Y106" i="2"/>
  <c r="G106" i="2"/>
  <c r="F106" i="2"/>
  <c r="C106" i="2"/>
  <c r="EC105" i="2"/>
  <c r="EB105" i="2"/>
  <c r="DN105" i="2" a="1"/>
  <c r="DN105" i="2" s="1"/>
  <c r="DL105" i="2"/>
  <c r="CV105" i="2"/>
  <c r="CT105" i="2"/>
  <c r="CS105" i="2"/>
  <c r="CR105" i="2"/>
  <c r="DB105" i="2" s="1"/>
  <c r="CE105" i="2" a="1"/>
  <c r="CE105" i="2" s="1"/>
  <c r="DS105" i="2" s="1" a="1"/>
  <c r="DS105" i="2" s="1"/>
  <c r="BS105" i="2" a="1"/>
  <c r="BS105" i="2" s="1"/>
  <c r="DP105" i="2" s="1" a="1"/>
  <c r="DP105" i="2" s="1"/>
  <c r="BE105" i="2" a="1"/>
  <c r="BE105" i="2" s="1"/>
  <c r="DQ105" i="2" s="1" a="1"/>
  <c r="DQ105" i="2" s="1"/>
  <c r="AR105" i="2" a="1"/>
  <c r="AR105" i="2" s="1"/>
  <c r="DO105" i="2" s="1" a="1"/>
  <c r="DO105" i="2" s="1"/>
  <c r="Y105" i="2"/>
  <c r="G105" i="2"/>
  <c r="F105" i="2"/>
  <c r="C105" i="2"/>
  <c r="EC104" i="2"/>
  <c r="EB104" i="2"/>
  <c r="DN104" i="2" a="1"/>
  <c r="DN104" i="2" s="1"/>
  <c r="DL104" i="2"/>
  <c r="CV104" i="2"/>
  <c r="CT104" i="2"/>
  <c r="CS104" i="2"/>
  <c r="CR104" i="2"/>
  <c r="DB104" i="2" s="1"/>
  <c r="CE104" i="2" a="1"/>
  <c r="CE104" i="2" s="1"/>
  <c r="DS104" i="2" s="1" a="1"/>
  <c r="DS104" i="2" s="1"/>
  <c r="BS104" i="2" a="1"/>
  <c r="BS104" i="2" s="1"/>
  <c r="DP104" i="2" s="1" a="1"/>
  <c r="DP104" i="2" s="1"/>
  <c r="BE104" i="2" a="1"/>
  <c r="BE104" i="2" s="1"/>
  <c r="DQ104" i="2" s="1" a="1"/>
  <c r="DQ104" i="2" s="1"/>
  <c r="AR104" i="2" a="1"/>
  <c r="AR104" i="2" s="1"/>
  <c r="Y104" i="2"/>
  <c r="G104" i="2"/>
  <c r="F104" i="2"/>
  <c r="C104" i="2"/>
  <c r="EC103" i="2"/>
  <c r="EB103" i="2"/>
  <c r="DN103" i="2" a="1"/>
  <c r="DN103" i="2" s="1"/>
  <c r="DL103" i="2"/>
  <c r="CV103" i="2"/>
  <c r="CT103" i="2"/>
  <c r="CS103" i="2"/>
  <c r="CR103" i="2"/>
  <c r="CE103" i="2" a="1"/>
  <c r="CE103" i="2" s="1"/>
  <c r="DS103" i="2" s="1" a="1"/>
  <c r="DS103" i="2" s="1"/>
  <c r="BS103" i="2" a="1"/>
  <c r="BS103" i="2" s="1"/>
  <c r="DP103" i="2" s="1" a="1"/>
  <c r="DP103" i="2" s="1"/>
  <c r="BE103" i="2" a="1"/>
  <c r="BE103" i="2" s="1"/>
  <c r="DQ103" i="2" s="1" a="1"/>
  <c r="DQ103" i="2" s="1"/>
  <c r="AR103" i="2" a="1"/>
  <c r="AR103" i="2" s="1"/>
  <c r="DO103" i="2" s="1" a="1"/>
  <c r="DO103" i="2" s="1"/>
  <c r="Y103" i="2"/>
  <c r="G103" i="2"/>
  <c r="F103" i="2"/>
  <c r="C103" i="2"/>
  <c r="EC102" i="2"/>
  <c r="EB102" i="2"/>
  <c r="DN102" i="2" a="1"/>
  <c r="DN102" i="2" s="1"/>
  <c r="DL102" i="2"/>
  <c r="CV102" i="2"/>
  <c r="CT102" i="2"/>
  <c r="CS102" i="2"/>
  <c r="CR102" i="2"/>
  <c r="DB102" i="2" s="1"/>
  <c r="CE102" i="2" a="1"/>
  <c r="CE102" i="2" s="1"/>
  <c r="DS102" i="2" s="1" a="1"/>
  <c r="DS102" i="2" s="1"/>
  <c r="BS102" i="2" a="1"/>
  <c r="BS102" i="2" s="1"/>
  <c r="DP102" i="2" s="1" a="1"/>
  <c r="DP102" i="2" s="1"/>
  <c r="BE102" i="2" a="1"/>
  <c r="BE102" i="2" s="1"/>
  <c r="DQ102" i="2" s="1" a="1"/>
  <c r="DQ102" i="2" s="1"/>
  <c r="AR102" i="2" a="1"/>
  <c r="AR102" i="2" s="1"/>
  <c r="DO102" i="2" s="1" a="1"/>
  <c r="DO102" i="2" s="1"/>
  <c r="Y102" i="2"/>
  <c r="G102" i="2"/>
  <c r="F102" i="2"/>
  <c r="C102" i="2"/>
  <c r="EC101" i="2"/>
  <c r="EB101" i="2"/>
  <c r="DN101" i="2" a="1"/>
  <c r="DN101" i="2" s="1"/>
  <c r="DL101" i="2"/>
  <c r="CV101" i="2"/>
  <c r="CT101" i="2"/>
  <c r="CS101" i="2"/>
  <c r="CR101" i="2"/>
  <c r="DB101" i="2" s="1"/>
  <c r="CE101" i="2" a="1"/>
  <c r="CE101" i="2" s="1"/>
  <c r="DS101" i="2" s="1" a="1"/>
  <c r="DS101" i="2" s="1"/>
  <c r="BS101" i="2" a="1"/>
  <c r="BS101" i="2" s="1"/>
  <c r="DP101" i="2" s="1" a="1"/>
  <c r="DP101" i="2" s="1"/>
  <c r="BE101" i="2" a="1"/>
  <c r="BE101" i="2" s="1"/>
  <c r="DQ101" i="2" s="1" a="1"/>
  <c r="DQ101" i="2" s="1"/>
  <c r="AR101" i="2" a="1"/>
  <c r="AR101" i="2" s="1"/>
  <c r="DO101" i="2" s="1" a="1"/>
  <c r="DO101" i="2" s="1"/>
  <c r="Y101" i="2"/>
  <c r="G101" i="2"/>
  <c r="F101" i="2"/>
  <c r="C101" i="2"/>
  <c r="EC100" i="2"/>
  <c r="EB100" i="2"/>
  <c r="DN100" i="2" a="1"/>
  <c r="DN100" i="2" s="1"/>
  <c r="DL100" i="2"/>
  <c r="CV100" i="2"/>
  <c r="CT100" i="2"/>
  <c r="CS100" i="2"/>
  <c r="CR100" i="2"/>
  <c r="CE100" i="2" a="1"/>
  <c r="CE100" i="2" s="1"/>
  <c r="DS100" i="2" s="1" a="1"/>
  <c r="DS100" i="2" s="1"/>
  <c r="BS100" i="2" a="1"/>
  <c r="BS100" i="2" s="1"/>
  <c r="DP100" i="2" s="1" a="1"/>
  <c r="DP100" i="2" s="1"/>
  <c r="BE100" i="2" a="1"/>
  <c r="BE100" i="2" s="1"/>
  <c r="DQ100" i="2" s="1" a="1"/>
  <c r="DQ100" i="2" s="1"/>
  <c r="AR100" i="2" a="1"/>
  <c r="AR100" i="2" s="1"/>
  <c r="DO100" i="2" s="1" a="1"/>
  <c r="DO100" i="2" s="1"/>
  <c r="Y100" i="2"/>
  <c r="G100" i="2"/>
  <c r="F100" i="2"/>
  <c r="C100" i="2"/>
  <c r="EC99" i="2"/>
  <c r="EB99" i="2"/>
  <c r="DN99" i="2" a="1"/>
  <c r="DN99" i="2" s="1"/>
  <c r="DL99" i="2"/>
  <c r="CV99" i="2"/>
  <c r="CT99" i="2"/>
  <c r="CS99" i="2"/>
  <c r="CR99" i="2"/>
  <c r="DB99" i="2" s="1"/>
  <c r="CE99" i="2" a="1"/>
  <c r="CE99" i="2" s="1"/>
  <c r="DS99" i="2" s="1" a="1"/>
  <c r="DS99" i="2" s="1"/>
  <c r="BS99" i="2" a="1"/>
  <c r="BS99" i="2" s="1"/>
  <c r="BE99" i="2" a="1"/>
  <c r="BE99" i="2" s="1"/>
  <c r="DQ99" i="2" s="1" a="1"/>
  <c r="DQ99" i="2" s="1"/>
  <c r="AR99" i="2" a="1"/>
  <c r="AR99" i="2" s="1"/>
  <c r="DO99" i="2" s="1" a="1"/>
  <c r="DO99" i="2" s="1"/>
  <c r="Y99" i="2"/>
  <c r="G99" i="2"/>
  <c r="F99" i="2"/>
  <c r="C99" i="2"/>
  <c r="EC98" i="2"/>
  <c r="EB98" i="2"/>
  <c r="DN98" i="2" a="1"/>
  <c r="DN98" i="2" s="1"/>
  <c r="DL98" i="2"/>
  <c r="CV98" i="2"/>
  <c r="CT98" i="2"/>
  <c r="CS98" i="2"/>
  <c r="CR98" i="2"/>
  <c r="CE98" i="2" a="1"/>
  <c r="CE98" i="2" s="1"/>
  <c r="DS98" i="2" s="1" a="1"/>
  <c r="DS98" i="2" s="1"/>
  <c r="BS98" i="2" a="1"/>
  <c r="BS98" i="2" s="1"/>
  <c r="DP98" i="2" s="1" a="1"/>
  <c r="DP98" i="2" s="1"/>
  <c r="BE98" i="2" a="1"/>
  <c r="BE98" i="2" s="1"/>
  <c r="DQ98" i="2" s="1" a="1"/>
  <c r="DQ98" i="2" s="1"/>
  <c r="AR98" i="2" a="1"/>
  <c r="AR98" i="2" s="1"/>
  <c r="Y98" i="2"/>
  <c r="G98" i="2"/>
  <c r="F98" i="2"/>
  <c r="C98" i="2"/>
  <c r="EC97" i="2"/>
  <c r="EB97" i="2"/>
  <c r="DN97" i="2" a="1"/>
  <c r="DN97" i="2" s="1"/>
  <c r="DL97" i="2"/>
  <c r="CV97" i="2"/>
  <c r="CT97" i="2"/>
  <c r="CS97" i="2"/>
  <c r="CR97" i="2"/>
  <c r="DB97" i="2" s="1"/>
  <c r="CE97" i="2" a="1"/>
  <c r="CE97" i="2" s="1"/>
  <c r="DS97" i="2" s="1" a="1"/>
  <c r="DS97" i="2" s="1"/>
  <c r="BS97" i="2" a="1"/>
  <c r="BS97" i="2" s="1"/>
  <c r="DP97" i="2" s="1" a="1"/>
  <c r="DP97" i="2" s="1"/>
  <c r="BE97" i="2" a="1"/>
  <c r="BE97" i="2" s="1"/>
  <c r="DQ97" i="2" s="1" a="1"/>
  <c r="DQ97" i="2" s="1"/>
  <c r="AR97" i="2" a="1"/>
  <c r="AR97" i="2" s="1"/>
  <c r="DO97" i="2" s="1" a="1"/>
  <c r="DO97" i="2" s="1"/>
  <c r="Y97" i="2"/>
  <c r="G97" i="2"/>
  <c r="F97" i="2"/>
  <c r="C97" i="2"/>
  <c r="EC96" i="2"/>
  <c r="EB96" i="2"/>
  <c r="DN96" i="2" a="1"/>
  <c r="DN96" i="2" s="1"/>
  <c r="DL96" i="2"/>
  <c r="CV96" i="2"/>
  <c r="CT96" i="2"/>
  <c r="CS96" i="2"/>
  <c r="CR96" i="2"/>
  <c r="DB96" i="2" s="1"/>
  <c r="CE96" i="2" a="1"/>
  <c r="CE96" i="2" s="1"/>
  <c r="DS96" i="2" s="1" a="1"/>
  <c r="DS96" i="2" s="1"/>
  <c r="BS96" i="2" a="1"/>
  <c r="BS96" i="2" s="1"/>
  <c r="DP96" i="2" s="1" a="1"/>
  <c r="DP96" i="2" s="1"/>
  <c r="BE96" i="2" a="1"/>
  <c r="BE96" i="2" s="1"/>
  <c r="DQ96" i="2" s="1" a="1"/>
  <c r="DQ96" i="2" s="1"/>
  <c r="AR96" i="2" a="1"/>
  <c r="AR96" i="2" s="1"/>
  <c r="Y96" i="2"/>
  <c r="G96" i="2"/>
  <c r="F96" i="2"/>
  <c r="C96" i="2"/>
  <c r="EC95" i="2"/>
  <c r="EB95" i="2"/>
  <c r="DN95" i="2" a="1"/>
  <c r="DN95" i="2" s="1"/>
  <c r="DL95" i="2"/>
  <c r="CV95" i="2"/>
  <c r="CT95" i="2"/>
  <c r="CS95" i="2"/>
  <c r="CR95" i="2"/>
  <c r="CE95" i="2" a="1"/>
  <c r="CE95" i="2" s="1"/>
  <c r="DS95" i="2" s="1" a="1"/>
  <c r="DS95" i="2" s="1"/>
  <c r="BS95" i="2" a="1"/>
  <c r="BS95" i="2" s="1"/>
  <c r="DP95" i="2" s="1" a="1"/>
  <c r="DP95" i="2" s="1"/>
  <c r="BE95" i="2" a="1"/>
  <c r="BE95" i="2" s="1"/>
  <c r="DQ95" i="2" s="1" a="1"/>
  <c r="DQ95" i="2" s="1"/>
  <c r="AR95" i="2" a="1"/>
  <c r="AR95" i="2" s="1"/>
  <c r="DO95" i="2" s="1" a="1"/>
  <c r="DO95" i="2" s="1"/>
  <c r="Y95" i="2"/>
  <c r="G95" i="2"/>
  <c r="F95" i="2"/>
  <c r="C95" i="2"/>
  <c r="EC94" i="2"/>
  <c r="EB94" i="2"/>
  <c r="DN94" i="2" a="1"/>
  <c r="DN94" i="2" s="1"/>
  <c r="DL94" i="2"/>
  <c r="CV94" i="2"/>
  <c r="CT94" i="2"/>
  <c r="CS94" i="2"/>
  <c r="CR94" i="2"/>
  <c r="DB94" i="2" s="1"/>
  <c r="CE94" i="2" a="1"/>
  <c r="CE94" i="2" s="1"/>
  <c r="DS94" i="2" s="1" a="1"/>
  <c r="DS94" i="2" s="1"/>
  <c r="BS94" i="2" a="1"/>
  <c r="BS94" i="2" s="1"/>
  <c r="DP94" i="2" s="1" a="1"/>
  <c r="DP94" i="2" s="1"/>
  <c r="BE94" i="2" a="1"/>
  <c r="BE94" i="2" s="1"/>
  <c r="DQ94" i="2" s="1" a="1"/>
  <c r="DQ94" i="2" s="1"/>
  <c r="AR94" i="2" a="1"/>
  <c r="AR94" i="2" s="1"/>
  <c r="DO94" i="2" s="1" a="1"/>
  <c r="DO94" i="2" s="1"/>
  <c r="Y94" i="2"/>
  <c r="G94" i="2"/>
  <c r="F94" i="2"/>
  <c r="C94" i="2"/>
  <c r="EC93" i="2"/>
  <c r="EB93" i="2"/>
  <c r="DN93" i="2" a="1"/>
  <c r="DN93" i="2" s="1"/>
  <c r="DL93" i="2"/>
  <c r="CV93" i="2"/>
  <c r="CT93" i="2"/>
  <c r="CS93" i="2"/>
  <c r="CR93" i="2"/>
  <c r="DB93" i="2" s="1"/>
  <c r="CE93" i="2" a="1"/>
  <c r="CE93" i="2" s="1"/>
  <c r="DS93" i="2" s="1" a="1"/>
  <c r="DS93" i="2" s="1"/>
  <c r="BS93" i="2" a="1"/>
  <c r="BS93" i="2" s="1"/>
  <c r="DP93" i="2" s="1" a="1"/>
  <c r="DP93" i="2" s="1"/>
  <c r="BE93" i="2" a="1"/>
  <c r="BE93" i="2" s="1"/>
  <c r="DQ93" i="2" s="1" a="1"/>
  <c r="DQ93" i="2" s="1"/>
  <c r="AR93" i="2" a="1"/>
  <c r="AR93" i="2" s="1"/>
  <c r="DO93" i="2" s="1" a="1"/>
  <c r="DO93" i="2" s="1"/>
  <c r="Y93" i="2"/>
  <c r="G93" i="2"/>
  <c r="F93" i="2"/>
  <c r="C93" i="2"/>
  <c r="EC92" i="2"/>
  <c r="EB92" i="2"/>
  <c r="DN92" i="2" a="1"/>
  <c r="DN92" i="2" s="1"/>
  <c r="DL92" i="2"/>
  <c r="CV92" i="2"/>
  <c r="CT92" i="2"/>
  <c r="CS92" i="2"/>
  <c r="CR92" i="2"/>
  <c r="CE92" i="2" a="1"/>
  <c r="CE92" i="2" s="1"/>
  <c r="DS92" i="2" s="1" a="1"/>
  <c r="DS92" i="2" s="1"/>
  <c r="BS92" i="2" a="1"/>
  <c r="BS92" i="2" s="1"/>
  <c r="DP92" i="2" s="1" a="1"/>
  <c r="DP92" i="2" s="1"/>
  <c r="BE92" i="2" a="1"/>
  <c r="BE92" i="2" s="1"/>
  <c r="DQ92" i="2" s="1" a="1"/>
  <c r="DQ92" i="2" s="1"/>
  <c r="AR92" i="2" a="1"/>
  <c r="AR92" i="2" s="1"/>
  <c r="DO92" i="2" s="1" a="1"/>
  <c r="DO92" i="2" s="1"/>
  <c r="Y92" i="2"/>
  <c r="G92" i="2"/>
  <c r="F92" i="2"/>
  <c r="C92" i="2"/>
  <c r="EC91" i="2"/>
  <c r="EB91" i="2"/>
  <c r="DN91" i="2" a="1"/>
  <c r="DN91" i="2" s="1"/>
  <c r="DL91" i="2"/>
  <c r="CV91" i="2"/>
  <c r="CT91" i="2"/>
  <c r="CS91" i="2"/>
  <c r="CR91" i="2"/>
  <c r="DB91" i="2" s="1"/>
  <c r="CE91" i="2" a="1"/>
  <c r="CE91" i="2" s="1"/>
  <c r="DS91" i="2" s="1" a="1"/>
  <c r="DS91" i="2" s="1"/>
  <c r="BS91" i="2" a="1"/>
  <c r="BS91" i="2" s="1"/>
  <c r="DP91" i="2" s="1" a="1"/>
  <c r="DP91" i="2" s="1"/>
  <c r="BE91" i="2" a="1"/>
  <c r="BE91" i="2" s="1"/>
  <c r="DQ91" i="2" s="1" a="1"/>
  <c r="DQ91" i="2" s="1"/>
  <c r="AR91" i="2" a="1"/>
  <c r="AR91" i="2" s="1"/>
  <c r="DO91" i="2" s="1" a="1"/>
  <c r="DO91" i="2" s="1"/>
  <c r="Y91" i="2"/>
  <c r="G91" i="2"/>
  <c r="F91" i="2"/>
  <c r="C91" i="2"/>
  <c r="EC90" i="2"/>
  <c r="EB90" i="2"/>
  <c r="DN90" i="2" a="1"/>
  <c r="DN90" i="2" s="1"/>
  <c r="DL90" i="2"/>
  <c r="CV90" i="2"/>
  <c r="CT90" i="2"/>
  <c r="CS90" i="2"/>
  <c r="CR90" i="2"/>
  <c r="DB90" i="2" s="1"/>
  <c r="CE90" i="2" a="1"/>
  <c r="CE90" i="2" s="1"/>
  <c r="DS90" i="2" s="1" a="1"/>
  <c r="DS90" i="2" s="1"/>
  <c r="BS90" i="2" a="1"/>
  <c r="BS90" i="2" s="1"/>
  <c r="DP90" i="2" s="1" a="1"/>
  <c r="DP90" i="2" s="1"/>
  <c r="BE90" i="2" a="1"/>
  <c r="BE90" i="2" s="1"/>
  <c r="DQ90" i="2" s="1" a="1"/>
  <c r="DQ90" i="2" s="1"/>
  <c r="AR90" i="2" a="1"/>
  <c r="AR90" i="2" s="1"/>
  <c r="Y90" i="2"/>
  <c r="G90" i="2"/>
  <c r="F90" i="2"/>
  <c r="C90" i="2"/>
  <c r="EC89" i="2"/>
  <c r="EB89" i="2"/>
  <c r="DN89" i="2" a="1"/>
  <c r="DN89" i="2" s="1"/>
  <c r="DL89" i="2"/>
  <c r="CV89" i="2"/>
  <c r="CT89" i="2"/>
  <c r="CS89" i="2"/>
  <c r="CR89" i="2"/>
  <c r="DB89" i="2" s="1"/>
  <c r="CE89" i="2" a="1"/>
  <c r="CE89" i="2" s="1"/>
  <c r="DS89" i="2" s="1" a="1"/>
  <c r="DS89" i="2" s="1"/>
  <c r="BS89" i="2" a="1"/>
  <c r="BS89" i="2" s="1"/>
  <c r="DP89" i="2" s="1" a="1"/>
  <c r="DP89" i="2" s="1"/>
  <c r="BE89" i="2" a="1"/>
  <c r="BE89" i="2" s="1"/>
  <c r="DQ89" i="2" s="1" a="1"/>
  <c r="DQ89" i="2" s="1"/>
  <c r="AR89" i="2" a="1"/>
  <c r="AR89" i="2" s="1"/>
  <c r="DO89" i="2" s="1" a="1"/>
  <c r="DO89" i="2" s="1"/>
  <c r="Y89" i="2"/>
  <c r="G89" i="2"/>
  <c r="F89" i="2"/>
  <c r="C89" i="2"/>
  <c r="EC88" i="2"/>
  <c r="EB88" i="2"/>
  <c r="DN88" i="2" a="1"/>
  <c r="DN88" i="2" s="1"/>
  <c r="DL88" i="2"/>
  <c r="CV88" i="2"/>
  <c r="CT88" i="2"/>
  <c r="CS88" i="2"/>
  <c r="CR88" i="2"/>
  <c r="CE88" i="2" a="1"/>
  <c r="CE88" i="2" s="1"/>
  <c r="DS88" i="2" s="1" a="1"/>
  <c r="DS88" i="2" s="1"/>
  <c r="BS88" i="2" a="1"/>
  <c r="BS88" i="2" s="1"/>
  <c r="DP88" i="2" s="1" a="1"/>
  <c r="DP88" i="2" s="1"/>
  <c r="BE88" i="2" a="1"/>
  <c r="BE88" i="2" s="1"/>
  <c r="DQ88" i="2" s="1" a="1"/>
  <c r="DQ88" i="2" s="1"/>
  <c r="AR88" i="2" a="1"/>
  <c r="AR88" i="2" s="1"/>
  <c r="Y88" i="2"/>
  <c r="G88" i="2"/>
  <c r="F88" i="2"/>
  <c r="C88" i="2"/>
  <c r="EC87" i="2"/>
  <c r="EB87" i="2"/>
  <c r="DN87" i="2" a="1"/>
  <c r="DN87" i="2" s="1"/>
  <c r="DL87" i="2"/>
  <c r="CV87" i="2"/>
  <c r="CT87" i="2"/>
  <c r="CS87" i="2"/>
  <c r="CR87" i="2"/>
  <c r="DB87" i="2" s="1"/>
  <c r="CE87" i="2" a="1"/>
  <c r="CE87" i="2" s="1"/>
  <c r="DS87" i="2" s="1" a="1"/>
  <c r="DS87" i="2" s="1"/>
  <c r="BS87" i="2" a="1"/>
  <c r="BS87" i="2" s="1"/>
  <c r="DP87" i="2" s="1" a="1"/>
  <c r="DP87" i="2" s="1"/>
  <c r="BE87" i="2" a="1"/>
  <c r="BE87" i="2" s="1"/>
  <c r="DQ87" i="2" s="1" a="1"/>
  <c r="DQ87" i="2" s="1"/>
  <c r="AR87" i="2" a="1"/>
  <c r="AR87" i="2" s="1"/>
  <c r="DO87" i="2" s="1" a="1"/>
  <c r="DO87" i="2" s="1"/>
  <c r="Y87" i="2"/>
  <c r="G87" i="2"/>
  <c r="F87" i="2"/>
  <c r="C87" i="2"/>
  <c r="EC86" i="2"/>
  <c r="EB86" i="2"/>
  <c r="DN86" i="2" a="1"/>
  <c r="DN86" i="2" s="1"/>
  <c r="DL86" i="2"/>
  <c r="CV86" i="2"/>
  <c r="CT86" i="2"/>
  <c r="CS86" i="2"/>
  <c r="CR86" i="2"/>
  <c r="DB86" i="2" s="1"/>
  <c r="CE86" i="2" a="1"/>
  <c r="CE86" i="2" s="1"/>
  <c r="DS86" i="2" s="1" a="1"/>
  <c r="DS86" i="2" s="1"/>
  <c r="BS86" i="2" a="1"/>
  <c r="BS86" i="2" s="1"/>
  <c r="DP86" i="2" s="1" a="1"/>
  <c r="DP86" i="2" s="1"/>
  <c r="BE86" i="2" a="1"/>
  <c r="BE86" i="2" s="1"/>
  <c r="DQ86" i="2" s="1" a="1"/>
  <c r="DQ86" i="2" s="1"/>
  <c r="AR86" i="2" a="1"/>
  <c r="AR86" i="2" s="1"/>
  <c r="DO86" i="2" s="1" a="1"/>
  <c r="DO86" i="2" s="1"/>
  <c r="Y86" i="2"/>
  <c r="G86" i="2"/>
  <c r="F86" i="2"/>
  <c r="C86" i="2"/>
  <c r="EC85" i="2"/>
  <c r="EB85" i="2"/>
  <c r="DN85" i="2" a="1"/>
  <c r="DN85" i="2" s="1"/>
  <c r="DL85" i="2"/>
  <c r="CV85" i="2"/>
  <c r="CT85" i="2"/>
  <c r="CS85" i="2"/>
  <c r="CR85" i="2"/>
  <c r="DB85" i="2" s="1"/>
  <c r="CE85" i="2" a="1"/>
  <c r="CE85" i="2" s="1"/>
  <c r="DS85" i="2" s="1" a="1"/>
  <c r="DS85" i="2" s="1"/>
  <c r="BS85" i="2" a="1"/>
  <c r="BS85" i="2" s="1"/>
  <c r="DP85" i="2" s="1" a="1"/>
  <c r="DP85" i="2" s="1"/>
  <c r="BE85" i="2" a="1"/>
  <c r="BE85" i="2" s="1"/>
  <c r="DQ85" i="2" s="1" a="1"/>
  <c r="DQ85" i="2" s="1"/>
  <c r="AR85" i="2" a="1"/>
  <c r="AR85" i="2" s="1"/>
  <c r="DO85" i="2" s="1" a="1"/>
  <c r="DO85" i="2" s="1"/>
  <c r="Y85" i="2"/>
  <c r="G85" i="2"/>
  <c r="F85" i="2"/>
  <c r="C85" i="2"/>
  <c r="EC84" i="2"/>
  <c r="EB84" i="2"/>
  <c r="DN84" i="2" a="1"/>
  <c r="DN84" i="2" s="1"/>
  <c r="DL84" i="2"/>
  <c r="CV84" i="2"/>
  <c r="CT84" i="2"/>
  <c r="CS84" i="2"/>
  <c r="CR84" i="2"/>
  <c r="DB84" i="2" s="1"/>
  <c r="CE84" i="2" a="1"/>
  <c r="CE84" i="2" s="1"/>
  <c r="DS84" i="2" s="1" a="1"/>
  <c r="DS84" i="2" s="1"/>
  <c r="BS84" i="2" a="1"/>
  <c r="BS84" i="2" s="1"/>
  <c r="DP84" i="2" s="1" a="1"/>
  <c r="DP84" i="2" s="1"/>
  <c r="BE84" i="2" a="1"/>
  <c r="BE84" i="2" s="1"/>
  <c r="DQ84" i="2" s="1" a="1"/>
  <c r="DQ84" i="2" s="1"/>
  <c r="AR84" i="2" a="1"/>
  <c r="AR84" i="2" s="1"/>
  <c r="DO84" i="2" s="1" a="1"/>
  <c r="DO84" i="2" s="1"/>
  <c r="Y84" i="2"/>
  <c r="G84" i="2"/>
  <c r="F84" i="2"/>
  <c r="C84" i="2"/>
  <c r="EC83" i="2"/>
  <c r="EB83" i="2"/>
  <c r="DN83" i="2" a="1"/>
  <c r="DN83" i="2" s="1"/>
  <c r="DL83" i="2"/>
  <c r="CV83" i="2"/>
  <c r="CT83" i="2"/>
  <c r="CS83" i="2"/>
  <c r="CR83" i="2"/>
  <c r="DB83" i="2" s="1"/>
  <c r="CE83" i="2" a="1"/>
  <c r="CE83" i="2" s="1"/>
  <c r="DS83" i="2" s="1" a="1"/>
  <c r="DS83" i="2" s="1"/>
  <c r="BS83" i="2" a="1"/>
  <c r="BS83" i="2" s="1"/>
  <c r="DP83" i="2" s="1" a="1"/>
  <c r="DP83" i="2" s="1"/>
  <c r="BE83" i="2" a="1"/>
  <c r="BE83" i="2" s="1"/>
  <c r="DQ83" i="2" s="1" a="1"/>
  <c r="DQ83" i="2" s="1"/>
  <c r="AR83" i="2" a="1"/>
  <c r="AR83" i="2" s="1"/>
  <c r="DO83" i="2" s="1" a="1"/>
  <c r="DO83" i="2" s="1"/>
  <c r="Y83" i="2"/>
  <c r="G83" i="2"/>
  <c r="F83" i="2"/>
  <c r="C83" i="2"/>
  <c r="EC82" i="2"/>
  <c r="EB82" i="2"/>
  <c r="DN82" i="2" a="1"/>
  <c r="DN82" i="2" s="1"/>
  <c r="DL82" i="2"/>
  <c r="CV82" i="2"/>
  <c r="CT82" i="2"/>
  <c r="CS82" i="2"/>
  <c r="CR82" i="2"/>
  <c r="DB82" i="2" s="1"/>
  <c r="CE82" i="2" a="1"/>
  <c r="CE82" i="2" s="1"/>
  <c r="DS82" i="2" s="1" a="1"/>
  <c r="DS82" i="2" s="1"/>
  <c r="BS82" i="2" a="1"/>
  <c r="BS82" i="2" s="1"/>
  <c r="DP82" i="2" s="1" a="1"/>
  <c r="DP82" i="2" s="1"/>
  <c r="BE82" i="2" a="1"/>
  <c r="BE82" i="2" s="1"/>
  <c r="DQ82" i="2" s="1" a="1"/>
  <c r="DQ82" i="2" s="1"/>
  <c r="AR82" i="2" a="1"/>
  <c r="AR82" i="2" s="1"/>
  <c r="DO82" i="2" s="1" a="1"/>
  <c r="DO82" i="2" s="1"/>
  <c r="Y82" i="2"/>
  <c r="G82" i="2"/>
  <c r="F82" i="2"/>
  <c r="C82" i="2"/>
  <c r="EC81" i="2"/>
  <c r="EB81" i="2"/>
  <c r="DN81" i="2" a="1"/>
  <c r="DN81" i="2" s="1"/>
  <c r="DL81" i="2"/>
  <c r="CV81" i="2"/>
  <c r="CT81" i="2"/>
  <c r="CS81" i="2"/>
  <c r="CR81" i="2"/>
  <c r="CE81" i="2" a="1"/>
  <c r="CE81" i="2" s="1"/>
  <c r="DS81" i="2" s="1" a="1"/>
  <c r="DS81" i="2" s="1"/>
  <c r="BS81" i="2" a="1"/>
  <c r="BS81" i="2" s="1"/>
  <c r="DP81" i="2" s="1" a="1"/>
  <c r="DP81" i="2" s="1"/>
  <c r="BE81" i="2" a="1"/>
  <c r="BE81" i="2" s="1"/>
  <c r="DQ81" i="2" s="1" a="1"/>
  <c r="DQ81" i="2" s="1"/>
  <c r="AR81" i="2" a="1"/>
  <c r="AR81" i="2" s="1"/>
  <c r="DO81" i="2" s="1" a="1"/>
  <c r="DO81" i="2" s="1"/>
  <c r="Y81" i="2"/>
  <c r="G81" i="2"/>
  <c r="F81" i="2"/>
  <c r="C81" i="2"/>
  <c r="EC80" i="2"/>
  <c r="EB80" i="2"/>
  <c r="DN80" i="2" a="1"/>
  <c r="DN80" i="2" s="1"/>
  <c r="DL80" i="2"/>
  <c r="CV80" i="2"/>
  <c r="CT80" i="2"/>
  <c r="CS80" i="2"/>
  <c r="CR80" i="2"/>
  <c r="DB80" i="2" s="1"/>
  <c r="CE80" i="2" a="1"/>
  <c r="CE80" i="2" s="1"/>
  <c r="DS80" i="2" s="1" a="1"/>
  <c r="DS80" i="2" s="1"/>
  <c r="BS80" i="2" a="1"/>
  <c r="BS80" i="2" s="1"/>
  <c r="DP80" i="2" s="1" a="1"/>
  <c r="DP80" i="2" s="1"/>
  <c r="BE80" i="2" a="1"/>
  <c r="BE80" i="2" s="1"/>
  <c r="DQ80" i="2" s="1" a="1"/>
  <c r="DQ80" i="2" s="1"/>
  <c r="AR80" i="2" a="1"/>
  <c r="AR80" i="2" s="1"/>
  <c r="DO80" i="2" s="1" a="1"/>
  <c r="DO80" i="2" s="1"/>
  <c r="Y80" i="2"/>
  <c r="G80" i="2"/>
  <c r="F80" i="2"/>
  <c r="C80" i="2"/>
  <c r="EC79" i="2"/>
  <c r="EB79" i="2"/>
  <c r="DN79" i="2" a="1"/>
  <c r="DN79" i="2" s="1"/>
  <c r="DL79" i="2"/>
  <c r="CV79" i="2"/>
  <c r="CT79" i="2"/>
  <c r="CS79" i="2"/>
  <c r="CR79" i="2"/>
  <c r="DB79" i="2" s="1"/>
  <c r="CE79" i="2" a="1"/>
  <c r="CE79" i="2" s="1"/>
  <c r="DS79" i="2" s="1" a="1"/>
  <c r="DS79" i="2" s="1"/>
  <c r="BS79" i="2" a="1"/>
  <c r="BS79" i="2" s="1"/>
  <c r="DP79" i="2" s="1" a="1"/>
  <c r="DP79" i="2" s="1"/>
  <c r="BE79" i="2" a="1"/>
  <c r="BE79" i="2" s="1"/>
  <c r="DQ79" i="2" s="1" a="1"/>
  <c r="DQ79" i="2" s="1"/>
  <c r="AR79" i="2" a="1"/>
  <c r="AR79" i="2" s="1"/>
  <c r="DO79" i="2" s="1" a="1"/>
  <c r="DO79" i="2" s="1"/>
  <c r="Y79" i="2"/>
  <c r="G79" i="2"/>
  <c r="F79" i="2"/>
  <c r="C79" i="2"/>
  <c r="EC78" i="2"/>
  <c r="EB78" i="2"/>
  <c r="DN78" i="2" a="1"/>
  <c r="DN78" i="2" s="1"/>
  <c r="DL78" i="2"/>
  <c r="CV78" i="2"/>
  <c r="CT78" i="2"/>
  <c r="CS78" i="2"/>
  <c r="CR78" i="2"/>
  <c r="CE78" i="2" a="1"/>
  <c r="CE78" i="2" s="1"/>
  <c r="DS78" i="2" s="1" a="1"/>
  <c r="DS78" i="2" s="1"/>
  <c r="BS78" i="2" a="1"/>
  <c r="BS78" i="2" s="1"/>
  <c r="DP78" i="2" s="1" a="1"/>
  <c r="DP78" i="2" s="1"/>
  <c r="BE78" i="2" a="1"/>
  <c r="BE78" i="2" s="1"/>
  <c r="DQ78" i="2" s="1" a="1"/>
  <c r="DQ78" i="2" s="1"/>
  <c r="AR78" i="2" a="1"/>
  <c r="AR78" i="2" s="1"/>
  <c r="DO78" i="2" s="1" a="1"/>
  <c r="DO78" i="2" s="1"/>
  <c r="Y78" i="2"/>
  <c r="G78" i="2"/>
  <c r="F78" i="2"/>
  <c r="C78" i="2"/>
  <c r="EC77" i="2"/>
  <c r="EB77" i="2"/>
  <c r="DN77" i="2" a="1"/>
  <c r="DN77" i="2" s="1"/>
  <c r="DL77" i="2"/>
  <c r="CV77" i="2"/>
  <c r="CT77" i="2"/>
  <c r="CS77" i="2"/>
  <c r="CR77" i="2"/>
  <c r="DB77" i="2" s="1"/>
  <c r="CE77" i="2" a="1"/>
  <c r="CE77" i="2" s="1"/>
  <c r="DS77" i="2" s="1" a="1"/>
  <c r="DS77" i="2" s="1"/>
  <c r="BS77" i="2" a="1"/>
  <c r="BS77" i="2" s="1"/>
  <c r="DP77" i="2" s="1" a="1"/>
  <c r="DP77" i="2" s="1"/>
  <c r="BE77" i="2" a="1"/>
  <c r="BE77" i="2" s="1"/>
  <c r="DQ77" i="2" s="1" a="1"/>
  <c r="DQ77" i="2" s="1"/>
  <c r="AR77" i="2" a="1"/>
  <c r="AR77" i="2" s="1"/>
  <c r="Y77" i="2"/>
  <c r="G77" i="2"/>
  <c r="F77" i="2"/>
  <c r="C77" i="2"/>
  <c r="EC76" i="2"/>
  <c r="EB76" i="2"/>
  <c r="DN76" i="2" a="1"/>
  <c r="DN76" i="2" s="1"/>
  <c r="DL76" i="2"/>
  <c r="CV76" i="2"/>
  <c r="CT76" i="2"/>
  <c r="CS76" i="2"/>
  <c r="CR76" i="2"/>
  <c r="CE76" i="2" a="1"/>
  <c r="CE76" i="2" s="1"/>
  <c r="BS76" i="2" a="1"/>
  <c r="BS76" i="2" s="1"/>
  <c r="DP76" i="2" s="1" a="1"/>
  <c r="DP76" i="2" s="1"/>
  <c r="BE76" i="2" a="1"/>
  <c r="BE76" i="2" s="1"/>
  <c r="DQ76" i="2" s="1" a="1"/>
  <c r="DQ76" i="2" s="1"/>
  <c r="AR76" i="2" a="1"/>
  <c r="AR76" i="2" s="1"/>
  <c r="DO76" i="2" s="1" a="1"/>
  <c r="DO76" i="2" s="1"/>
  <c r="Y76" i="2"/>
  <c r="G76" i="2"/>
  <c r="F76" i="2"/>
  <c r="C76" i="2"/>
  <c r="EC75" i="2"/>
  <c r="EB75" i="2"/>
  <c r="DN75" i="2" a="1"/>
  <c r="DN75" i="2" s="1"/>
  <c r="DL75" i="2"/>
  <c r="CV75" i="2"/>
  <c r="CT75" i="2"/>
  <c r="CS75" i="2"/>
  <c r="CR75" i="2"/>
  <c r="CE75" i="2" a="1"/>
  <c r="CE75" i="2" s="1"/>
  <c r="DS75" i="2" s="1" a="1"/>
  <c r="DS75" i="2" s="1"/>
  <c r="BS75" i="2" a="1"/>
  <c r="BS75" i="2" s="1"/>
  <c r="DP75" i="2" s="1" a="1"/>
  <c r="DP75" i="2" s="1"/>
  <c r="BE75" i="2" a="1"/>
  <c r="BE75" i="2" s="1"/>
  <c r="DQ75" i="2" s="1" a="1"/>
  <c r="DQ75" i="2" s="1"/>
  <c r="AR75" i="2" a="1"/>
  <c r="AR75" i="2" s="1"/>
  <c r="DO75" i="2" s="1" a="1"/>
  <c r="DO75" i="2" s="1"/>
  <c r="Y75" i="2"/>
  <c r="G75" i="2"/>
  <c r="F75" i="2"/>
  <c r="C75" i="2"/>
  <c r="EC74" i="2"/>
  <c r="EB74" i="2"/>
  <c r="DN74" i="2" a="1"/>
  <c r="DN74" i="2" s="1"/>
  <c r="DL74" i="2"/>
  <c r="CV74" i="2"/>
  <c r="CT74" i="2"/>
  <c r="CS74" i="2"/>
  <c r="CR74" i="2"/>
  <c r="DB74" i="2" s="1"/>
  <c r="CE74" i="2" a="1"/>
  <c r="CE74" i="2" s="1"/>
  <c r="DS74" i="2" s="1" a="1"/>
  <c r="DS74" i="2" s="1"/>
  <c r="BS74" i="2" a="1"/>
  <c r="BS74" i="2" s="1"/>
  <c r="DP74" i="2" s="1" a="1"/>
  <c r="DP74" i="2" s="1"/>
  <c r="BE74" i="2" a="1"/>
  <c r="BE74" i="2" s="1"/>
  <c r="DQ74" i="2" s="1" a="1"/>
  <c r="DQ74" i="2" s="1"/>
  <c r="AR74" i="2" a="1"/>
  <c r="AR74" i="2" s="1"/>
  <c r="DO74" i="2" s="1" a="1"/>
  <c r="DO74" i="2" s="1"/>
  <c r="Y74" i="2"/>
  <c r="G74" i="2"/>
  <c r="F74" i="2"/>
  <c r="C74" i="2"/>
  <c r="EC73" i="2"/>
  <c r="EB73" i="2"/>
  <c r="DN73" i="2" a="1"/>
  <c r="DN73" i="2" s="1"/>
  <c r="DL73" i="2"/>
  <c r="CV73" i="2"/>
  <c r="CT73" i="2"/>
  <c r="CS73" i="2"/>
  <c r="CR73" i="2"/>
  <c r="DB73" i="2" s="1"/>
  <c r="CE73" i="2" a="1"/>
  <c r="CE73" i="2" s="1"/>
  <c r="DS73" i="2" s="1" a="1"/>
  <c r="DS73" i="2" s="1"/>
  <c r="BS73" i="2" a="1"/>
  <c r="BS73" i="2" s="1"/>
  <c r="DP73" i="2" s="1" a="1"/>
  <c r="DP73" i="2" s="1"/>
  <c r="BE73" i="2" a="1"/>
  <c r="BE73" i="2" s="1"/>
  <c r="DQ73" i="2" s="1" a="1"/>
  <c r="DQ73" i="2" s="1"/>
  <c r="AR73" i="2" a="1"/>
  <c r="AR73" i="2" s="1"/>
  <c r="DO73" i="2" s="1" a="1"/>
  <c r="DO73" i="2" s="1"/>
  <c r="Y73" i="2"/>
  <c r="G73" i="2"/>
  <c r="F73" i="2"/>
  <c r="C73" i="2"/>
  <c r="EC72" i="2"/>
  <c r="EB72" i="2"/>
  <c r="DN72" i="2" a="1"/>
  <c r="DN72" i="2" s="1"/>
  <c r="DL72" i="2"/>
  <c r="CV72" i="2"/>
  <c r="CT72" i="2"/>
  <c r="CS72" i="2"/>
  <c r="CR72" i="2"/>
  <c r="DB72" i="2" s="1"/>
  <c r="CE72" i="2" a="1"/>
  <c r="CE72" i="2" s="1"/>
  <c r="DS72" i="2" s="1" a="1"/>
  <c r="DS72" i="2" s="1"/>
  <c r="BS72" i="2" a="1"/>
  <c r="BS72" i="2" s="1"/>
  <c r="DP72" i="2" s="1" a="1"/>
  <c r="DP72" i="2" s="1"/>
  <c r="BE72" i="2" a="1"/>
  <c r="BE72" i="2" s="1"/>
  <c r="DQ72" i="2" s="1" a="1"/>
  <c r="DQ72" i="2" s="1"/>
  <c r="AR72" i="2" a="1"/>
  <c r="AR72" i="2" s="1"/>
  <c r="DO72" i="2" s="1" a="1"/>
  <c r="DO72" i="2" s="1"/>
  <c r="Y72" i="2"/>
  <c r="G72" i="2"/>
  <c r="F72" i="2"/>
  <c r="C72" i="2"/>
  <c r="EC71" i="2"/>
  <c r="EB71" i="2"/>
  <c r="DN71" i="2" a="1"/>
  <c r="DN71" i="2" s="1"/>
  <c r="DL71" i="2"/>
  <c r="CV71" i="2"/>
  <c r="CT71" i="2"/>
  <c r="CS71" i="2"/>
  <c r="CR71" i="2"/>
  <c r="DB71" i="2" s="1"/>
  <c r="CE71" i="2" a="1"/>
  <c r="CE71" i="2" s="1"/>
  <c r="DS71" i="2" s="1" a="1"/>
  <c r="DS71" i="2" s="1"/>
  <c r="BS71" i="2" a="1"/>
  <c r="BS71" i="2" s="1"/>
  <c r="DP71" i="2" s="1" a="1"/>
  <c r="DP71" i="2" s="1"/>
  <c r="BE71" i="2" a="1"/>
  <c r="BE71" i="2" s="1"/>
  <c r="DQ71" i="2" s="1" a="1"/>
  <c r="DQ71" i="2" s="1"/>
  <c r="AR71" i="2" a="1"/>
  <c r="AR71" i="2" s="1"/>
  <c r="DO71" i="2" s="1" a="1"/>
  <c r="DO71" i="2" s="1"/>
  <c r="Y71" i="2"/>
  <c r="G71" i="2"/>
  <c r="F71" i="2"/>
  <c r="C71" i="2"/>
  <c r="EC70" i="2"/>
  <c r="EB70" i="2"/>
  <c r="DN70" i="2" a="1"/>
  <c r="DN70" i="2" s="1"/>
  <c r="DL70" i="2"/>
  <c r="CV70" i="2"/>
  <c r="CT70" i="2"/>
  <c r="CS70" i="2"/>
  <c r="CR70" i="2"/>
  <c r="DB70" i="2" s="1"/>
  <c r="CE70" i="2" a="1"/>
  <c r="CE70" i="2" s="1"/>
  <c r="DS70" i="2" s="1" a="1"/>
  <c r="DS70" i="2" s="1"/>
  <c r="BS70" i="2" a="1"/>
  <c r="BS70" i="2" s="1"/>
  <c r="DP70" i="2" s="1" a="1"/>
  <c r="DP70" i="2" s="1"/>
  <c r="BE70" i="2" a="1"/>
  <c r="BE70" i="2" s="1"/>
  <c r="DQ70" i="2" s="1" a="1"/>
  <c r="DQ70" i="2" s="1"/>
  <c r="AR70" i="2" a="1"/>
  <c r="AR70" i="2" s="1"/>
  <c r="DO70" i="2" s="1" a="1"/>
  <c r="DO70" i="2" s="1"/>
  <c r="Y70" i="2"/>
  <c r="G70" i="2"/>
  <c r="F70" i="2"/>
  <c r="C70" i="2"/>
  <c r="EC69" i="2"/>
  <c r="EB69" i="2"/>
  <c r="DN69" i="2" a="1"/>
  <c r="DN69" i="2" s="1"/>
  <c r="DL69" i="2"/>
  <c r="CV69" i="2"/>
  <c r="CT69" i="2"/>
  <c r="CS69" i="2"/>
  <c r="CR69" i="2"/>
  <c r="DB69" i="2" s="1"/>
  <c r="CE69" i="2" a="1"/>
  <c r="CE69" i="2" s="1"/>
  <c r="DS69" i="2" s="1" a="1"/>
  <c r="DS69" i="2" s="1"/>
  <c r="BS69" i="2" a="1"/>
  <c r="BS69" i="2" s="1"/>
  <c r="DP69" i="2" s="1" a="1"/>
  <c r="DP69" i="2" s="1"/>
  <c r="BE69" i="2" a="1"/>
  <c r="BE69" i="2" s="1"/>
  <c r="DQ69" i="2" s="1" a="1"/>
  <c r="DQ69" i="2" s="1"/>
  <c r="AR69" i="2" a="1"/>
  <c r="AR69" i="2" s="1"/>
  <c r="Y69" i="2"/>
  <c r="G69" i="2"/>
  <c r="F69" i="2"/>
  <c r="C69" i="2"/>
  <c r="EC68" i="2"/>
  <c r="EB68" i="2"/>
  <c r="DN68" i="2" a="1"/>
  <c r="DN68" i="2" s="1"/>
  <c r="DL68" i="2"/>
  <c r="CV68" i="2"/>
  <c r="CT68" i="2"/>
  <c r="CS68" i="2"/>
  <c r="CR68" i="2"/>
  <c r="DB68" i="2" s="1"/>
  <c r="CE68" i="2" a="1"/>
  <c r="CE68" i="2" s="1"/>
  <c r="DS68" i="2" s="1" a="1"/>
  <c r="DS68" i="2" s="1"/>
  <c r="BS68" i="2" a="1"/>
  <c r="BS68" i="2" s="1"/>
  <c r="DP68" i="2" s="1" a="1"/>
  <c r="DP68" i="2" s="1"/>
  <c r="BE68" i="2" a="1"/>
  <c r="BE68" i="2" s="1"/>
  <c r="DQ68" i="2" s="1" a="1"/>
  <c r="DQ68" i="2" s="1"/>
  <c r="AR68" i="2" a="1"/>
  <c r="AR68" i="2" s="1"/>
  <c r="DO68" i="2" s="1" a="1"/>
  <c r="DO68" i="2" s="1"/>
  <c r="Y68" i="2"/>
  <c r="G68" i="2"/>
  <c r="F68" i="2"/>
  <c r="C68" i="2"/>
  <c r="EC67" i="2"/>
  <c r="EB67" i="2"/>
  <c r="DN67" i="2" a="1"/>
  <c r="DN67" i="2" s="1"/>
  <c r="DL67" i="2"/>
  <c r="CV67" i="2"/>
  <c r="CT67" i="2"/>
  <c r="CS67" i="2"/>
  <c r="CR67" i="2"/>
  <c r="CE67" i="2" a="1"/>
  <c r="CE67" i="2" s="1"/>
  <c r="DS67" i="2" s="1" a="1"/>
  <c r="DS67" i="2" s="1"/>
  <c r="BS67" i="2" a="1"/>
  <c r="BS67" i="2" s="1"/>
  <c r="DP67" i="2" s="1" a="1"/>
  <c r="DP67" i="2" s="1"/>
  <c r="BE67" i="2" a="1"/>
  <c r="BE67" i="2" s="1"/>
  <c r="DQ67" i="2" s="1" a="1"/>
  <c r="DQ67" i="2" s="1"/>
  <c r="AR67" i="2" a="1"/>
  <c r="AR67" i="2" s="1"/>
  <c r="DO67" i="2" s="1" a="1"/>
  <c r="DO67" i="2" s="1"/>
  <c r="Y67" i="2"/>
  <c r="G67" i="2"/>
  <c r="F67" i="2"/>
  <c r="C67" i="2"/>
  <c r="EC66" i="2"/>
  <c r="EB66" i="2"/>
  <c r="DN66" i="2" a="1"/>
  <c r="DN66" i="2" s="1"/>
  <c r="DL66" i="2"/>
  <c r="CV66" i="2"/>
  <c r="CT66" i="2"/>
  <c r="CS66" i="2"/>
  <c r="CR66" i="2"/>
  <c r="DB66" i="2" s="1"/>
  <c r="CE66" i="2" a="1"/>
  <c r="CE66" i="2" s="1"/>
  <c r="DS66" i="2" s="1" a="1"/>
  <c r="DS66" i="2" s="1"/>
  <c r="BS66" i="2" a="1"/>
  <c r="BS66" i="2" s="1"/>
  <c r="DP66" i="2" s="1" a="1"/>
  <c r="DP66" i="2" s="1"/>
  <c r="BE66" i="2" a="1"/>
  <c r="BE66" i="2" s="1"/>
  <c r="DQ66" i="2" s="1" a="1"/>
  <c r="DQ66" i="2" s="1"/>
  <c r="AR66" i="2" a="1"/>
  <c r="AR66" i="2" s="1"/>
  <c r="DO66" i="2" s="1" a="1"/>
  <c r="DO66" i="2" s="1"/>
  <c r="Y66" i="2"/>
  <c r="G66" i="2"/>
  <c r="F66" i="2"/>
  <c r="C66" i="2"/>
  <c r="EC65" i="2"/>
  <c r="EB65" i="2"/>
  <c r="DN65" i="2" a="1"/>
  <c r="DN65" i="2" s="1"/>
  <c r="DL65" i="2"/>
  <c r="CV65" i="2"/>
  <c r="CT65" i="2"/>
  <c r="CS65" i="2"/>
  <c r="CR65" i="2"/>
  <c r="CE65" i="2" a="1"/>
  <c r="CE65" i="2" s="1"/>
  <c r="DS65" i="2" s="1" a="1"/>
  <c r="DS65" i="2" s="1"/>
  <c r="BS65" i="2" a="1"/>
  <c r="BS65" i="2" s="1"/>
  <c r="DP65" i="2" s="1" a="1"/>
  <c r="DP65" i="2" s="1"/>
  <c r="BE65" i="2" a="1"/>
  <c r="BE65" i="2" s="1"/>
  <c r="DQ65" i="2" s="1" a="1"/>
  <c r="DQ65" i="2" s="1"/>
  <c r="AR65" i="2" a="1"/>
  <c r="AR65" i="2" s="1"/>
  <c r="DO65" i="2" s="1" a="1"/>
  <c r="DO65" i="2" s="1"/>
  <c r="Y65" i="2"/>
  <c r="G65" i="2"/>
  <c r="F65" i="2"/>
  <c r="C65" i="2"/>
  <c r="EC64" i="2"/>
  <c r="EB64" i="2"/>
  <c r="DN64" i="2" a="1"/>
  <c r="DN64" i="2" s="1"/>
  <c r="DL64" i="2"/>
  <c r="CV64" i="2"/>
  <c r="CT64" i="2"/>
  <c r="CS64" i="2"/>
  <c r="CR64" i="2"/>
  <c r="DB64" i="2" s="1"/>
  <c r="CE64" i="2" a="1"/>
  <c r="CE64" i="2" s="1"/>
  <c r="DS64" i="2" s="1" a="1"/>
  <c r="DS64" i="2" s="1"/>
  <c r="BS64" i="2" a="1"/>
  <c r="BS64" i="2" s="1"/>
  <c r="DP64" i="2" s="1" a="1"/>
  <c r="DP64" i="2" s="1"/>
  <c r="BE64" i="2" a="1"/>
  <c r="BE64" i="2" s="1"/>
  <c r="DQ64" i="2" s="1" a="1"/>
  <c r="DQ64" i="2" s="1"/>
  <c r="AR64" i="2" a="1"/>
  <c r="AR64" i="2" s="1"/>
  <c r="DO64" i="2" s="1" a="1"/>
  <c r="DO64" i="2" s="1"/>
  <c r="Y64" i="2"/>
  <c r="G64" i="2"/>
  <c r="F64" i="2"/>
  <c r="C64" i="2"/>
  <c r="EC63" i="2"/>
  <c r="EB63" i="2"/>
  <c r="DN63" i="2" a="1"/>
  <c r="DN63" i="2" s="1"/>
  <c r="DL63" i="2"/>
  <c r="CV63" i="2"/>
  <c r="CT63" i="2"/>
  <c r="CS63" i="2"/>
  <c r="CR63" i="2"/>
  <c r="DB63" i="2" s="1"/>
  <c r="CE63" i="2" a="1"/>
  <c r="CE63" i="2" s="1"/>
  <c r="DS63" i="2" s="1" a="1"/>
  <c r="DS63" i="2" s="1"/>
  <c r="BS63" i="2" a="1"/>
  <c r="BS63" i="2" s="1"/>
  <c r="DP63" i="2" s="1" a="1"/>
  <c r="DP63" i="2" s="1"/>
  <c r="BE63" i="2" a="1"/>
  <c r="BE63" i="2" s="1"/>
  <c r="DQ63" i="2" s="1" a="1"/>
  <c r="DQ63" i="2" s="1"/>
  <c r="AR63" i="2" a="1"/>
  <c r="AR63" i="2" s="1"/>
  <c r="DO63" i="2" s="1" a="1"/>
  <c r="DO63" i="2" s="1"/>
  <c r="Y63" i="2"/>
  <c r="G63" i="2"/>
  <c r="F63" i="2"/>
  <c r="C63" i="2"/>
  <c r="EC62" i="2"/>
  <c r="EB62" i="2"/>
  <c r="DN62" i="2" a="1"/>
  <c r="DN62" i="2" s="1"/>
  <c r="DL62" i="2"/>
  <c r="CV62" i="2"/>
  <c r="CT62" i="2"/>
  <c r="CS62" i="2"/>
  <c r="CR62" i="2"/>
  <c r="CE62" i="2" a="1"/>
  <c r="CE62" i="2" s="1"/>
  <c r="DS62" i="2" s="1" a="1"/>
  <c r="DS62" i="2" s="1"/>
  <c r="BS62" i="2" a="1"/>
  <c r="BS62" i="2" s="1"/>
  <c r="DP62" i="2" s="1" a="1"/>
  <c r="DP62" i="2" s="1"/>
  <c r="BE62" i="2" a="1"/>
  <c r="BE62" i="2" s="1"/>
  <c r="DQ62" i="2" s="1" a="1"/>
  <c r="DQ62" i="2" s="1"/>
  <c r="AR62" i="2" a="1"/>
  <c r="AR62" i="2" s="1"/>
  <c r="DO62" i="2" s="1" a="1"/>
  <c r="DO62" i="2" s="1"/>
  <c r="Y62" i="2"/>
  <c r="G62" i="2"/>
  <c r="F62" i="2"/>
  <c r="C62" i="2"/>
  <c r="EC61" i="2"/>
  <c r="EB61" i="2"/>
  <c r="DN61" i="2" a="1"/>
  <c r="DN61" i="2" s="1"/>
  <c r="DL61" i="2"/>
  <c r="CV61" i="2"/>
  <c r="CT61" i="2"/>
  <c r="CS61" i="2"/>
  <c r="CR61" i="2"/>
  <c r="DB61" i="2" s="1"/>
  <c r="CE61" i="2" a="1"/>
  <c r="CE61" i="2" s="1"/>
  <c r="DS61" i="2" s="1" a="1"/>
  <c r="DS61" i="2" s="1"/>
  <c r="BS61" i="2" a="1"/>
  <c r="BS61" i="2" s="1"/>
  <c r="DP61" i="2" s="1" a="1"/>
  <c r="DP61" i="2" s="1"/>
  <c r="BE61" i="2" a="1"/>
  <c r="BE61" i="2" s="1"/>
  <c r="DQ61" i="2" s="1" a="1"/>
  <c r="DQ61" i="2" s="1"/>
  <c r="AR61" i="2" a="1"/>
  <c r="AR61" i="2" s="1"/>
  <c r="Y61" i="2"/>
  <c r="G61" i="2"/>
  <c r="F61" i="2"/>
  <c r="C61" i="2"/>
  <c r="EC60" i="2"/>
  <c r="EB60" i="2"/>
  <c r="DN60" i="2" a="1"/>
  <c r="DN60" i="2" s="1"/>
  <c r="DL60" i="2"/>
  <c r="CV60" i="2"/>
  <c r="CT60" i="2"/>
  <c r="CS60" i="2"/>
  <c r="CR60" i="2"/>
  <c r="DB60" i="2" s="1"/>
  <c r="CE60" i="2" a="1"/>
  <c r="CE60" i="2" s="1"/>
  <c r="DS60" i="2" s="1" a="1"/>
  <c r="DS60" i="2" s="1"/>
  <c r="BS60" i="2" a="1"/>
  <c r="BS60" i="2" s="1"/>
  <c r="DP60" i="2" s="1" a="1"/>
  <c r="DP60" i="2" s="1"/>
  <c r="BE60" i="2" a="1"/>
  <c r="BE60" i="2" s="1"/>
  <c r="DQ60" i="2" s="1" a="1"/>
  <c r="DQ60" i="2" s="1"/>
  <c r="AR60" i="2" a="1"/>
  <c r="AR60" i="2" s="1"/>
  <c r="DO60" i="2" s="1" a="1"/>
  <c r="DO60" i="2" s="1"/>
  <c r="Y60" i="2"/>
  <c r="G60" i="2"/>
  <c r="F60" i="2"/>
  <c r="C60" i="2"/>
  <c r="EC59" i="2"/>
  <c r="EB59" i="2"/>
  <c r="DN59" i="2" a="1"/>
  <c r="DN59" i="2" s="1"/>
  <c r="DL59" i="2"/>
  <c r="CV59" i="2"/>
  <c r="CT59" i="2"/>
  <c r="CS59" i="2"/>
  <c r="CR59" i="2"/>
  <c r="DB59" i="2" s="1"/>
  <c r="CE59" i="2" a="1"/>
  <c r="CE59" i="2" s="1"/>
  <c r="DS59" i="2" s="1" a="1"/>
  <c r="DS59" i="2" s="1"/>
  <c r="BS59" i="2" a="1"/>
  <c r="BS59" i="2" s="1"/>
  <c r="DP59" i="2" s="1" a="1"/>
  <c r="DP59" i="2" s="1"/>
  <c r="BE59" i="2" a="1"/>
  <c r="BE59" i="2" s="1"/>
  <c r="DQ59" i="2" s="1" a="1"/>
  <c r="DQ59" i="2" s="1"/>
  <c r="AR59" i="2" a="1"/>
  <c r="AR59" i="2" s="1"/>
  <c r="DO59" i="2" s="1" a="1"/>
  <c r="DO59" i="2" s="1"/>
  <c r="Y59" i="2"/>
  <c r="G59" i="2"/>
  <c r="F59" i="2"/>
  <c r="C59" i="2"/>
  <c r="EC58" i="2"/>
  <c r="EB58" i="2"/>
  <c r="DN58" i="2" a="1"/>
  <c r="DN58" i="2" s="1"/>
  <c r="DL58" i="2"/>
  <c r="CV58" i="2"/>
  <c r="CT58" i="2"/>
  <c r="CS58" i="2"/>
  <c r="CR58" i="2"/>
  <c r="DB58" i="2" s="1"/>
  <c r="CE58" i="2" a="1"/>
  <c r="CE58" i="2" s="1"/>
  <c r="DS58" i="2" s="1" a="1"/>
  <c r="DS58" i="2" s="1"/>
  <c r="BS58" i="2" a="1"/>
  <c r="BS58" i="2" s="1"/>
  <c r="DP58" i="2" s="1" a="1"/>
  <c r="DP58" i="2" s="1"/>
  <c r="BE58" i="2" a="1"/>
  <c r="BE58" i="2" s="1"/>
  <c r="DQ58" i="2" s="1" a="1"/>
  <c r="DQ58" i="2" s="1"/>
  <c r="AR58" i="2" a="1"/>
  <c r="AR58" i="2" s="1"/>
  <c r="DO58" i="2" s="1" a="1"/>
  <c r="DO58" i="2" s="1"/>
  <c r="Y58" i="2"/>
  <c r="G58" i="2"/>
  <c r="F58" i="2"/>
  <c r="C58" i="2"/>
  <c r="EC57" i="2"/>
  <c r="EB57" i="2"/>
  <c r="DN57" i="2" a="1"/>
  <c r="DN57" i="2" s="1"/>
  <c r="DL57" i="2"/>
  <c r="CV57" i="2"/>
  <c r="CT57" i="2"/>
  <c r="CS57" i="2"/>
  <c r="CR57" i="2"/>
  <c r="CE57" i="2" a="1"/>
  <c r="CE57" i="2" s="1"/>
  <c r="DS57" i="2" s="1" a="1"/>
  <c r="DS57" i="2" s="1"/>
  <c r="BS57" i="2" a="1"/>
  <c r="BS57" i="2" s="1"/>
  <c r="DP57" i="2" s="1" a="1"/>
  <c r="DP57" i="2" s="1"/>
  <c r="BE57" i="2" a="1"/>
  <c r="BE57" i="2" s="1"/>
  <c r="DQ57" i="2" s="1" a="1"/>
  <c r="DQ57" i="2" s="1"/>
  <c r="AR57" i="2" a="1"/>
  <c r="AR57" i="2" s="1"/>
  <c r="DO57" i="2" s="1" a="1"/>
  <c r="DO57" i="2" s="1"/>
  <c r="Y57" i="2"/>
  <c r="G57" i="2"/>
  <c r="F57" i="2"/>
  <c r="C57" i="2"/>
  <c r="EC56" i="2"/>
  <c r="EB56" i="2"/>
  <c r="DN56" i="2" a="1"/>
  <c r="DN56" i="2" s="1"/>
  <c r="DL56" i="2"/>
  <c r="CV56" i="2"/>
  <c r="CT56" i="2"/>
  <c r="CS56" i="2"/>
  <c r="CR56" i="2"/>
  <c r="CE56" i="2" a="1"/>
  <c r="CE56" i="2" s="1"/>
  <c r="DS56" i="2" s="1" a="1"/>
  <c r="DS56" i="2" s="1"/>
  <c r="BS56" i="2" a="1"/>
  <c r="BS56" i="2" s="1"/>
  <c r="DP56" i="2" s="1" a="1"/>
  <c r="DP56" i="2" s="1"/>
  <c r="BE56" i="2" a="1"/>
  <c r="BE56" i="2" s="1"/>
  <c r="DQ56" i="2" s="1" a="1"/>
  <c r="DQ56" i="2" s="1"/>
  <c r="AR56" i="2" a="1"/>
  <c r="AR56" i="2" s="1"/>
  <c r="DO56" i="2" s="1" a="1"/>
  <c r="DO56" i="2" s="1"/>
  <c r="Y56" i="2"/>
  <c r="G56" i="2"/>
  <c r="F56" i="2"/>
  <c r="C56" i="2"/>
  <c r="EC55" i="2"/>
  <c r="EB55" i="2"/>
  <c r="DN55" i="2" a="1"/>
  <c r="DN55" i="2" s="1"/>
  <c r="DL55" i="2"/>
  <c r="CV55" i="2"/>
  <c r="CT55" i="2"/>
  <c r="CS55" i="2"/>
  <c r="CR55" i="2"/>
  <c r="DB55" i="2" s="1"/>
  <c r="CE55" i="2" a="1"/>
  <c r="CE55" i="2" s="1"/>
  <c r="DS55" i="2" s="1" a="1"/>
  <c r="DS55" i="2" s="1"/>
  <c r="BS55" i="2" a="1"/>
  <c r="BS55" i="2" s="1"/>
  <c r="DP55" i="2" s="1" a="1"/>
  <c r="DP55" i="2" s="1"/>
  <c r="BE55" i="2" a="1"/>
  <c r="BE55" i="2" s="1"/>
  <c r="DQ55" i="2" s="1" a="1"/>
  <c r="DQ55" i="2" s="1"/>
  <c r="AR55" i="2" a="1"/>
  <c r="AR55" i="2" s="1"/>
  <c r="DO55" i="2" s="1" a="1"/>
  <c r="DO55" i="2" s="1"/>
  <c r="Y55" i="2"/>
  <c r="G55" i="2"/>
  <c r="F55" i="2"/>
  <c r="C55" i="2"/>
  <c r="EC54" i="2"/>
  <c r="EB54" i="2"/>
  <c r="DN54" i="2" a="1"/>
  <c r="DN54" i="2" s="1"/>
  <c r="DL54" i="2"/>
  <c r="CV54" i="2"/>
  <c r="CT54" i="2"/>
  <c r="CS54" i="2"/>
  <c r="CR54" i="2"/>
  <c r="DB54" i="2" s="1"/>
  <c r="CE54" i="2" a="1"/>
  <c r="CE54" i="2" s="1"/>
  <c r="DS54" i="2" s="1" a="1"/>
  <c r="DS54" i="2" s="1"/>
  <c r="BS54" i="2" a="1"/>
  <c r="BS54" i="2" s="1"/>
  <c r="DP54" i="2" s="1" a="1"/>
  <c r="DP54" i="2" s="1"/>
  <c r="BE54" i="2" a="1"/>
  <c r="BE54" i="2" s="1"/>
  <c r="DQ54" i="2" s="1" a="1"/>
  <c r="DQ54" i="2" s="1"/>
  <c r="AR54" i="2" a="1"/>
  <c r="AR54" i="2" s="1"/>
  <c r="DO54" i="2" s="1" a="1"/>
  <c r="DO54" i="2" s="1"/>
  <c r="Y54" i="2"/>
  <c r="G54" i="2"/>
  <c r="F54" i="2"/>
  <c r="C54" i="2"/>
  <c r="EC53" i="2"/>
  <c r="EB53" i="2"/>
  <c r="DN53" i="2" a="1"/>
  <c r="DN53" i="2" s="1"/>
  <c r="DL53" i="2"/>
  <c r="CV53" i="2"/>
  <c r="CT53" i="2"/>
  <c r="CS53" i="2"/>
  <c r="CR53" i="2"/>
  <c r="DB53" i="2" s="1"/>
  <c r="CE53" i="2" a="1"/>
  <c r="CE53" i="2" s="1"/>
  <c r="DS53" i="2" s="1" a="1"/>
  <c r="DS53" i="2" s="1"/>
  <c r="BS53" i="2" a="1"/>
  <c r="BS53" i="2" s="1"/>
  <c r="DP53" i="2" s="1" a="1"/>
  <c r="DP53" i="2" s="1"/>
  <c r="BE53" i="2" a="1"/>
  <c r="BE53" i="2" s="1"/>
  <c r="DQ53" i="2" s="1" a="1"/>
  <c r="DQ53" i="2" s="1"/>
  <c r="AR53" i="2" a="1"/>
  <c r="AR53" i="2" s="1"/>
  <c r="DO53" i="2" s="1" a="1"/>
  <c r="DO53" i="2" s="1"/>
  <c r="Y53" i="2"/>
  <c r="G53" i="2"/>
  <c r="F53" i="2"/>
  <c r="C53" i="2"/>
  <c r="EC52" i="2"/>
  <c r="EB52" i="2"/>
  <c r="DN52" i="2" a="1"/>
  <c r="DN52" i="2" s="1"/>
  <c r="DL52" i="2"/>
  <c r="CV52" i="2"/>
  <c r="CT52" i="2"/>
  <c r="CS52" i="2"/>
  <c r="CR52" i="2"/>
  <c r="DB52" i="2" s="1"/>
  <c r="CE52" i="2" a="1"/>
  <c r="CE52" i="2" s="1"/>
  <c r="DS52" i="2" s="1" a="1"/>
  <c r="DS52" i="2" s="1"/>
  <c r="BS52" i="2" a="1"/>
  <c r="BS52" i="2" s="1"/>
  <c r="BE52" i="2" a="1"/>
  <c r="BE52" i="2" s="1"/>
  <c r="DQ52" i="2" s="1" a="1"/>
  <c r="DQ52" i="2" s="1"/>
  <c r="AR52" i="2" a="1"/>
  <c r="AR52" i="2" s="1"/>
  <c r="DO52" i="2" s="1" a="1"/>
  <c r="DO52" i="2" s="1"/>
  <c r="Y52" i="2"/>
  <c r="G52" i="2"/>
  <c r="F52" i="2"/>
  <c r="C52" i="2"/>
  <c r="EC51" i="2"/>
  <c r="EB51" i="2"/>
  <c r="DN51" i="2" a="1"/>
  <c r="DN51" i="2" s="1"/>
  <c r="DL51" i="2"/>
  <c r="CV51" i="2"/>
  <c r="CT51" i="2"/>
  <c r="CS51" i="2"/>
  <c r="CR51" i="2"/>
  <c r="DB51" i="2" s="1"/>
  <c r="CE51" i="2" a="1"/>
  <c r="CE51" i="2" s="1"/>
  <c r="DS51" i="2" s="1" a="1"/>
  <c r="DS51" i="2" s="1"/>
  <c r="BS51" i="2" a="1"/>
  <c r="BS51" i="2" s="1"/>
  <c r="DP51" i="2" s="1" a="1"/>
  <c r="DP51" i="2" s="1"/>
  <c r="BE51" i="2" a="1"/>
  <c r="BE51" i="2" s="1"/>
  <c r="DQ51" i="2" s="1" a="1"/>
  <c r="DQ51" i="2" s="1"/>
  <c r="AR51" i="2" a="1"/>
  <c r="AR51" i="2" s="1"/>
  <c r="DO51" i="2" s="1" a="1"/>
  <c r="DO51" i="2" s="1"/>
  <c r="Y51" i="2"/>
  <c r="G51" i="2"/>
  <c r="F51" i="2"/>
  <c r="C51" i="2"/>
  <c r="EC50" i="2"/>
  <c r="EB50" i="2"/>
  <c r="DN50" i="2" a="1"/>
  <c r="DN50" i="2" s="1"/>
  <c r="DL50" i="2"/>
  <c r="CV50" i="2"/>
  <c r="CT50" i="2"/>
  <c r="CS50" i="2"/>
  <c r="CR50" i="2"/>
  <c r="DB50" i="2" s="1"/>
  <c r="CE50" i="2" a="1"/>
  <c r="CE50" i="2" s="1"/>
  <c r="DS50" i="2" s="1" a="1"/>
  <c r="DS50" i="2" s="1"/>
  <c r="BS50" i="2" a="1"/>
  <c r="BS50" i="2" s="1"/>
  <c r="DP50" i="2" s="1" a="1"/>
  <c r="DP50" i="2" s="1"/>
  <c r="BE50" i="2" a="1"/>
  <c r="BE50" i="2" s="1"/>
  <c r="AR50" i="2" a="1"/>
  <c r="AR50" i="2" s="1"/>
  <c r="DO50" i="2" s="1" a="1"/>
  <c r="DO50" i="2" s="1"/>
  <c r="Y50" i="2"/>
  <c r="G50" i="2"/>
  <c r="F50" i="2"/>
  <c r="C50" i="2"/>
  <c r="EC49" i="2"/>
  <c r="EB49" i="2"/>
  <c r="DN49" i="2" a="1"/>
  <c r="DN49" i="2" s="1"/>
  <c r="DL49" i="2"/>
  <c r="CV49" i="2"/>
  <c r="CT49" i="2"/>
  <c r="CS49" i="2"/>
  <c r="CR49" i="2"/>
  <c r="DB49" i="2" s="1"/>
  <c r="CE49" i="2" a="1"/>
  <c r="CE49" i="2" s="1"/>
  <c r="DS49" i="2" s="1" a="1"/>
  <c r="DS49" i="2" s="1"/>
  <c r="BS49" i="2" a="1"/>
  <c r="BS49" i="2" s="1"/>
  <c r="DP49" i="2" s="1" a="1"/>
  <c r="DP49" i="2" s="1"/>
  <c r="BE49" i="2" a="1"/>
  <c r="BE49" i="2" s="1"/>
  <c r="DQ49" i="2" s="1" a="1"/>
  <c r="DQ49" i="2" s="1"/>
  <c r="AR49" i="2" a="1"/>
  <c r="AR49" i="2" s="1"/>
  <c r="DO49" i="2" s="1" a="1"/>
  <c r="DO49" i="2" s="1"/>
  <c r="Y49" i="2"/>
  <c r="G49" i="2"/>
  <c r="F49" i="2"/>
  <c r="C49" i="2"/>
  <c r="EC48" i="2"/>
  <c r="EB48" i="2"/>
  <c r="DN48" i="2" a="1"/>
  <c r="DN48" i="2" s="1"/>
  <c r="DL48" i="2"/>
  <c r="CV48" i="2"/>
  <c r="CT48" i="2"/>
  <c r="CS48" i="2"/>
  <c r="CR48" i="2"/>
  <c r="DB48" i="2" s="1"/>
  <c r="CE48" i="2" a="1"/>
  <c r="CE48" i="2" s="1"/>
  <c r="DS48" i="2" s="1" a="1"/>
  <c r="DS48" i="2" s="1"/>
  <c r="BS48" i="2" a="1"/>
  <c r="BS48" i="2" s="1"/>
  <c r="DP48" i="2" s="1" a="1"/>
  <c r="DP48" i="2" s="1"/>
  <c r="BE48" i="2" a="1"/>
  <c r="BE48" i="2" s="1"/>
  <c r="DQ48" i="2" s="1" a="1"/>
  <c r="DQ48" i="2" s="1"/>
  <c r="AR48" i="2" a="1"/>
  <c r="AR48" i="2" s="1"/>
  <c r="Y48" i="2"/>
  <c r="G48" i="2"/>
  <c r="F48" i="2"/>
  <c r="C48" i="2"/>
  <c r="EC47" i="2"/>
  <c r="EB47" i="2"/>
  <c r="DN47" i="2" a="1"/>
  <c r="DN47" i="2" s="1"/>
  <c r="DL47" i="2"/>
  <c r="CV47" i="2"/>
  <c r="CT47" i="2"/>
  <c r="CS47" i="2"/>
  <c r="CR47" i="2"/>
  <c r="DB47" i="2" s="1"/>
  <c r="CE47" i="2" a="1"/>
  <c r="CE47" i="2" s="1"/>
  <c r="DS47" i="2" s="1" a="1"/>
  <c r="DS47" i="2" s="1"/>
  <c r="BS47" i="2" a="1"/>
  <c r="BS47" i="2" s="1"/>
  <c r="DP47" i="2" s="1" a="1"/>
  <c r="DP47" i="2" s="1"/>
  <c r="BE47" i="2" a="1"/>
  <c r="BE47" i="2" s="1"/>
  <c r="DQ47" i="2" s="1" a="1"/>
  <c r="DQ47" i="2" s="1"/>
  <c r="AR47" i="2" a="1"/>
  <c r="AR47" i="2" s="1"/>
  <c r="DO47" i="2" s="1" a="1"/>
  <c r="DO47" i="2" s="1"/>
  <c r="Y47" i="2"/>
  <c r="G47" i="2"/>
  <c r="F47" i="2"/>
  <c r="C47" i="2"/>
  <c r="EC46" i="2"/>
  <c r="EB46" i="2"/>
  <c r="DN46" i="2" a="1"/>
  <c r="DN46" i="2" s="1"/>
  <c r="DL46" i="2"/>
  <c r="CV46" i="2"/>
  <c r="CT46" i="2"/>
  <c r="CS46" i="2"/>
  <c r="CR46" i="2"/>
  <c r="DB46" i="2" s="1"/>
  <c r="CE46" i="2" a="1"/>
  <c r="CE46" i="2" s="1"/>
  <c r="DS46" i="2" s="1" a="1"/>
  <c r="DS46" i="2" s="1"/>
  <c r="BS46" i="2" a="1"/>
  <c r="BS46" i="2" s="1"/>
  <c r="DP46" i="2" s="1" a="1"/>
  <c r="DP46" i="2" s="1"/>
  <c r="BE46" i="2" a="1"/>
  <c r="BE46" i="2" s="1"/>
  <c r="DQ46" i="2" s="1" a="1"/>
  <c r="DQ46" i="2" s="1"/>
  <c r="AR46" i="2" a="1"/>
  <c r="AR46" i="2" s="1"/>
  <c r="DO46" i="2" s="1" a="1"/>
  <c r="DO46" i="2" s="1"/>
  <c r="Y46" i="2"/>
  <c r="G46" i="2"/>
  <c r="F46" i="2"/>
  <c r="C46" i="2"/>
  <c r="EC45" i="2"/>
  <c r="EB45" i="2"/>
  <c r="DN45" i="2" a="1"/>
  <c r="DN45" i="2" s="1"/>
  <c r="DL45" i="2"/>
  <c r="CV45" i="2"/>
  <c r="CT45" i="2"/>
  <c r="CS45" i="2"/>
  <c r="CR45" i="2"/>
  <c r="DB45" i="2" s="1"/>
  <c r="CE45" i="2" a="1"/>
  <c r="CE45" i="2" s="1"/>
  <c r="DS45" i="2" s="1" a="1"/>
  <c r="DS45" i="2" s="1"/>
  <c r="BS45" i="2" a="1"/>
  <c r="BS45" i="2" s="1"/>
  <c r="DP45" i="2" s="1" a="1"/>
  <c r="DP45" i="2" s="1"/>
  <c r="BE45" i="2" a="1"/>
  <c r="BE45" i="2" s="1"/>
  <c r="DQ45" i="2" s="1" a="1"/>
  <c r="DQ45" i="2" s="1"/>
  <c r="AR45" i="2" a="1"/>
  <c r="AR45" i="2" s="1"/>
  <c r="DO45" i="2" s="1" a="1"/>
  <c r="DO45" i="2" s="1"/>
  <c r="Y45" i="2"/>
  <c r="G45" i="2"/>
  <c r="F45" i="2"/>
  <c r="C45" i="2"/>
  <c r="EC44" i="2"/>
  <c r="EB44" i="2"/>
  <c r="DN44" i="2" a="1"/>
  <c r="DN44" i="2" s="1"/>
  <c r="DL44" i="2"/>
  <c r="CV44" i="2"/>
  <c r="CT44" i="2"/>
  <c r="CS44" i="2"/>
  <c r="CR44" i="2"/>
  <c r="DB44" i="2" s="1"/>
  <c r="CE44" i="2" a="1"/>
  <c r="CE44" i="2" s="1"/>
  <c r="DS44" i="2" s="1" a="1"/>
  <c r="DS44" i="2" s="1"/>
  <c r="BS44" i="2" a="1"/>
  <c r="BS44" i="2" s="1"/>
  <c r="DP44" i="2" s="1" a="1"/>
  <c r="DP44" i="2" s="1"/>
  <c r="BE44" i="2" a="1"/>
  <c r="BE44" i="2" s="1"/>
  <c r="DQ44" i="2" s="1" a="1"/>
  <c r="DQ44" i="2" s="1"/>
  <c r="AR44" i="2" a="1"/>
  <c r="AR44" i="2" s="1"/>
  <c r="DO44" i="2" s="1" a="1"/>
  <c r="DO44" i="2" s="1"/>
  <c r="Y44" i="2"/>
  <c r="G44" i="2"/>
  <c r="F44" i="2"/>
  <c r="C44" i="2"/>
  <c r="EC43" i="2"/>
  <c r="EB43" i="2"/>
  <c r="DN43" i="2" a="1"/>
  <c r="DN43" i="2" s="1"/>
  <c r="DL43" i="2"/>
  <c r="CV43" i="2"/>
  <c r="CT43" i="2"/>
  <c r="CS43" i="2"/>
  <c r="CR43" i="2"/>
  <c r="DB43" i="2" s="1"/>
  <c r="CE43" i="2" a="1"/>
  <c r="CE43" i="2" s="1"/>
  <c r="DS43" i="2" s="1" a="1"/>
  <c r="DS43" i="2" s="1"/>
  <c r="BS43" i="2" a="1"/>
  <c r="BS43" i="2" s="1"/>
  <c r="DP43" i="2" s="1" a="1"/>
  <c r="DP43" i="2" s="1"/>
  <c r="BE43" i="2" a="1"/>
  <c r="BE43" i="2" s="1"/>
  <c r="DQ43" i="2" s="1" a="1"/>
  <c r="DQ43" i="2" s="1"/>
  <c r="AR43" i="2" a="1"/>
  <c r="AR43" i="2" s="1"/>
  <c r="DO43" i="2" s="1" a="1"/>
  <c r="DO43" i="2" s="1"/>
  <c r="Y43" i="2"/>
  <c r="G43" i="2"/>
  <c r="F43" i="2"/>
  <c r="C43" i="2"/>
  <c r="EC42" i="2"/>
  <c r="EB42" i="2"/>
  <c r="DN42" i="2" a="1"/>
  <c r="DN42" i="2" s="1"/>
  <c r="DL42" i="2"/>
  <c r="CV42" i="2"/>
  <c r="CT42" i="2"/>
  <c r="CS42" i="2"/>
  <c r="CR42" i="2"/>
  <c r="DB42" i="2" s="1"/>
  <c r="CE42" i="2" a="1"/>
  <c r="CE42" i="2" s="1"/>
  <c r="DS42" i="2" s="1" a="1"/>
  <c r="DS42" i="2" s="1"/>
  <c r="BS42" i="2" a="1"/>
  <c r="BS42" i="2" s="1"/>
  <c r="DP42" i="2" s="1" a="1"/>
  <c r="DP42" i="2" s="1"/>
  <c r="BE42" i="2" a="1"/>
  <c r="BE42" i="2" s="1"/>
  <c r="DQ42" i="2" s="1" a="1"/>
  <c r="DQ42" i="2" s="1"/>
  <c r="AR42" i="2" a="1"/>
  <c r="AR42" i="2" s="1"/>
  <c r="DO42" i="2" s="1" a="1"/>
  <c r="DO42" i="2" s="1"/>
  <c r="Y42" i="2"/>
  <c r="G42" i="2"/>
  <c r="F42" i="2"/>
  <c r="C42" i="2"/>
  <c r="EC41" i="2"/>
  <c r="EB41" i="2"/>
  <c r="DN41" i="2" a="1"/>
  <c r="DN41" i="2" s="1"/>
  <c r="DL41" i="2"/>
  <c r="CV41" i="2"/>
  <c r="CT41" i="2"/>
  <c r="CS41" i="2"/>
  <c r="CR41" i="2"/>
  <c r="DB41" i="2" s="1"/>
  <c r="CE41" i="2" a="1"/>
  <c r="CE41" i="2" s="1"/>
  <c r="DS41" i="2" s="1" a="1"/>
  <c r="DS41" i="2" s="1"/>
  <c r="BS41" i="2" a="1"/>
  <c r="BS41" i="2" s="1"/>
  <c r="DP41" i="2" s="1" a="1"/>
  <c r="DP41" i="2" s="1"/>
  <c r="BE41" i="2" a="1"/>
  <c r="BE41" i="2" s="1"/>
  <c r="DQ41" i="2" s="1" a="1"/>
  <c r="DQ41" i="2" s="1"/>
  <c r="AR41" i="2" a="1"/>
  <c r="AR41" i="2" s="1"/>
  <c r="DO41" i="2" s="1" a="1"/>
  <c r="DO41" i="2" s="1"/>
  <c r="Y41" i="2"/>
  <c r="G41" i="2"/>
  <c r="F41" i="2"/>
  <c r="C41" i="2"/>
  <c r="EC40" i="2"/>
  <c r="EB40" i="2"/>
  <c r="DN40" i="2" a="1"/>
  <c r="DN40" i="2" s="1"/>
  <c r="DL40" i="2"/>
  <c r="CV40" i="2"/>
  <c r="CT40" i="2"/>
  <c r="CS40" i="2"/>
  <c r="CR40" i="2"/>
  <c r="DB40" i="2" s="1"/>
  <c r="CE40" i="2" a="1"/>
  <c r="CE40" i="2" s="1"/>
  <c r="DS40" i="2" s="1" a="1"/>
  <c r="DS40" i="2" s="1"/>
  <c r="BS40" i="2" a="1"/>
  <c r="BS40" i="2" s="1"/>
  <c r="DP40" i="2" s="1" a="1"/>
  <c r="DP40" i="2" s="1"/>
  <c r="BE40" i="2" a="1"/>
  <c r="BE40" i="2" s="1"/>
  <c r="DQ40" i="2" s="1" a="1"/>
  <c r="DQ40" i="2" s="1"/>
  <c r="AR40" i="2" a="1"/>
  <c r="AR40" i="2" s="1"/>
  <c r="Y40" i="2"/>
  <c r="G40" i="2"/>
  <c r="F40" i="2"/>
  <c r="C40" i="2"/>
  <c r="EC39" i="2"/>
  <c r="EB39" i="2"/>
  <c r="DN39" i="2" a="1"/>
  <c r="DN39" i="2" s="1"/>
  <c r="DL39" i="2"/>
  <c r="CV39" i="2"/>
  <c r="CT39" i="2"/>
  <c r="CS39" i="2"/>
  <c r="CR39" i="2"/>
  <c r="CE39" i="2" a="1"/>
  <c r="CE39" i="2" s="1"/>
  <c r="DS39" i="2" s="1" a="1"/>
  <c r="DS39" i="2" s="1"/>
  <c r="BS39" i="2" a="1"/>
  <c r="BS39" i="2" s="1"/>
  <c r="DP39" i="2" s="1" a="1"/>
  <c r="DP39" i="2" s="1"/>
  <c r="BE39" i="2" a="1"/>
  <c r="BE39" i="2" s="1"/>
  <c r="DQ39" i="2" s="1" a="1"/>
  <c r="DQ39" i="2" s="1"/>
  <c r="AR39" i="2" a="1"/>
  <c r="AR39" i="2" s="1"/>
  <c r="DO39" i="2" s="1" a="1"/>
  <c r="DO39" i="2" s="1"/>
  <c r="Y39" i="2"/>
  <c r="G39" i="2"/>
  <c r="F39" i="2"/>
  <c r="C39" i="2"/>
  <c r="EC38" i="2"/>
  <c r="EB38" i="2"/>
  <c r="DN38" i="2" a="1"/>
  <c r="DN38" i="2" s="1"/>
  <c r="DL38" i="2"/>
  <c r="CV38" i="2"/>
  <c r="CT38" i="2"/>
  <c r="CS38" i="2"/>
  <c r="CR38" i="2"/>
  <c r="DB38" i="2" s="1"/>
  <c r="CE38" i="2" a="1"/>
  <c r="CE38" i="2" s="1"/>
  <c r="DS38" i="2" s="1" a="1"/>
  <c r="DS38" i="2" s="1"/>
  <c r="BS38" i="2" a="1"/>
  <c r="BS38" i="2" s="1"/>
  <c r="DP38" i="2" s="1" a="1"/>
  <c r="DP38" i="2" s="1"/>
  <c r="BE38" i="2" a="1"/>
  <c r="BE38" i="2" s="1"/>
  <c r="DQ38" i="2" s="1" a="1"/>
  <c r="DQ38" i="2" s="1"/>
  <c r="AR38" i="2" a="1"/>
  <c r="AR38" i="2" s="1"/>
  <c r="DO38" i="2" s="1" a="1"/>
  <c r="DO38" i="2" s="1"/>
  <c r="Y38" i="2"/>
  <c r="G38" i="2"/>
  <c r="F38" i="2"/>
  <c r="C38" i="2"/>
  <c r="EC37" i="2"/>
  <c r="EB37" i="2"/>
  <c r="DN37" i="2" a="1"/>
  <c r="DN37" i="2" s="1"/>
  <c r="DL37" i="2"/>
  <c r="CV37" i="2"/>
  <c r="CT37" i="2"/>
  <c r="CS37" i="2"/>
  <c r="CR37" i="2"/>
  <c r="DB37" i="2" s="1"/>
  <c r="CE37" i="2" a="1"/>
  <c r="CE37" i="2" s="1"/>
  <c r="DS37" i="2" s="1" a="1"/>
  <c r="DS37" i="2" s="1"/>
  <c r="BS37" i="2" a="1"/>
  <c r="BS37" i="2" s="1"/>
  <c r="DP37" i="2" s="1" a="1"/>
  <c r="DP37" i="2" s="1"/>
  <c r="BE37" i="2" a="1"/>
  <c r="BE37" i="2" s="1"/>
  <c r="DQ37" i="2" s="1" a="1"/>
  <c r="DQ37" i="2" s="1"/>
  <c r="AR37" i="2" a="1"/>
  <c r="AR37" i="2" s="1"/>
  <c r="DO37" i="2" s="1" a="1"/>
  <c r="DO37" i="2" s="1"/>
  <c r="Y37" i="2"/>
  <c r="G37" i="2"/>
  <c r="F37" i="2"/>
  <c r="C37" i="2"/>
  <c r="EC36" i="2"/>
  <c r="EB36" i="2"/>
  <c r="DN36" i="2" a="1"/>
  <c r="DN36" i="2" s="1"/>
  <c r="DL36" i="2"/>
  <c r="CV36" i="2"/>
  <c r="CT36" i="2"/>
  <c r="CS36" i="2"/>
  <c r="CR36" i="2"/>
  <c r="DB36" i="2" s="1"/>
  <c r="CE36" i="2" a="1"/>
  <c r="CE36" i="2" s="1"/>
  <c r="DS36" i="2" s="1" a="1"/>
  <c r="DS36" i="2" s="1"/>
  <c r="BS36" i="2" a="1"/>
  <c r="BS36" i="2" s="1"/>
  <c r="DP36" i="2" s="1" a="1"/>
  <c r="DP36" i="2" s="1"/>
  <c r="BE36" i="2" a="1"/>
  <c r="BE36" i="2" s="1"/>
  <c r="DQ36" i="2" s="1" a="1"/>
  <c r="DQ36" i="2" s="1"/>
  <c r="AR36" i="2" a="1"/>
  <c r="AR36" i="2" s="1"/>
  <c r="DO36" i="2" s="1" a="1"/>
  <c r="DO36" i="2" s="1"/>
  <c r="Y36" i="2"/>
  <c r="G36" i="2"/>
  <c r="F36" i="2"/>
  <c r="C36" i="2"/>
  <c r="EC35" i="2"/>
  <c r="EB35" i="2"/>
  <c r="DN35" i="2" a="1"/>
  <c r="DN35" i="2" s="1"/>
  <c r="DL35" i="2"/>
  <c r="CV35" i="2"/>
  <c r="CT35" i="2"/>
  <c r="CS35" i="2"/>
  <c r="CR35" i="2"/>
  <c r="DB35" i="2" s="1"/>
  <c r="CE35" i="2" a="1"/>
  <c r="CE35" i="2" s="1"/>
  <c r="DS35" i="2" s="1" a="1"/>
  <c r="DS35" i="2" s="1"/>
  <c r="BS35" i="2" a="1"/>
  <c r="BS35" i="2" s="1"/>
  <c r="DP35" i="2" s="1" a="1"/>
  <c r="DP35" i="2" s="1"/>
  <c r="BE35" i="2" a="1"/>
  <c r="BE35" i="2" s="1"/>
  <c r="DQ35" i="2" s="1" a="1"/>
  <c r="DQ35" i="2" s="1"/>
  <c r="AR35" i="2" a="1"/>
  <c r="AR35" i="2" s="1"/>
  <c r="DO35" i="2" s="1" a="1"/>
  <c r="DO35" i="2" s="1"/>
  <c r="Y35" i="2"/>
  <c r="G35" i="2"/>
  <c r="F35" i="2"/>
  <c r="C35" i="2"/>
  <c r="EC34" i="2"/>
  <c r="EB34" i="2"/>
  <c r="DN34" i="2" a="1"/>
  <c r="DN34" i="2" s="1"/>
  <c r="DL34" i="2"/>
  <c r="CV34" i="2"/>
  <c r="CT34" i="2"/>
  <c r="CS34" i="2"/>
  <c r="CR34" i="2"/>
  <c r="DB34" i="2" s="1"/>
  <c r="CE34" i="2" a="1"/>
  <c r="CE34" i="2" s="1"/>
  <c r="DS34" i="2" s="1" a="1"/>
  <c r="DS34" i="2" s="1"/>
  <c r="BS34" i="2" a="1"/>
  <c r="BS34" i="2" s="1"/>
  <c r="DP34" i="2" s="1" a="1"/>
  <c r="DP34" i="2" s="1"/>
  <c r="BE34" i="2" a="1"/>
  <c r="BE34" i="2" s="1"/>
  <c r="DQ34" i="2" s="1" a="1"/>
  <c r="DQ34" i="2" s="1"/>
  <c r="AR34" i="2" a="1"/>
  <c r="AR34" i="2" s="1"/>
  <c r="DO34" i="2" s="1" a="1"/>
  <c r="DO34" i="2" s="1"/>
  <c r="Y34" i="2"/>
  <c r="G34" i="2"/>
  <c r="F34" i="2"/>
  <c r="C34" i="2"/>
  <c r="EC33" i="2"/>
  <c r="EB33" i="2"/>
  <c r="DN33" i="2" a="1"/>
  <c r="DN33" i="2" s="1"/>
  <c r="DL33" i="2"/>
  <c r="CV33" i="2"/>
  <c r="CT33" i="2"/>
  <c r="CS33" i="2"/>
  <c r="CR33" i="2"/>
  <c r="CE33" i="2" a="1"/>
  <c r="CE33" i="2" s="1"/>
  <c r="DS33" i="2" s="1" a="1"/>
  <c r="DS33" i="2" s="1"/>
  <c r="BS33" i="2" a="1"/>
  <c r="BS33" i="2" s="1"/>
  <c r="DP33" i="2" s="1" a="1"/>
  <c r="DP33" i="2" s="1"/>
  <c r="BE33" i="2" a="1"/>
  <c r="BE33" i="2" s="1"/>
  <c r="DQ33" i="2" s="1" a="1"/>
  <c r="DQ33" i="2" s="1"/>
  <c r="AR33" i="2" a="1"/>
  <c r="AR33" i="2" s="1"/>
  <c r="DO33" i="2" s="1" a="1"/>
  <c r="DO33" i="2" s="1"/>
  <c r="Y33" i="2"/>
  <c r="G33" i="2"/>
  <c r="F33" i="2"/>
  <c r="C33" i="2"/>
  <c r="EC32" i="2"/>
  <c r="EB32" i="2"/>
  <c r="DN32" i="2" a="1"/>
  <c r="DN32" i="2" s="1"/>
  <c r="DL32" i="2"/>
  <c r="CV32" i="2"/>
  <c r="CT32" i="2"/>
  <c r="CS32" i="2"/>
  <c r="CR32" i="2"/>
  <c r="DB32" i="2" s="1"/>
  <c r="CE32" i="2" a="1"/>
  <c r="CE32" i="2" s="1"/>
  <c r="DS32" i="2" s="1" a="1"/>
  <c r="DS32" i="2" s="1"/>
  <c r="BS32" i="2" a="1"/>
  <c r="BS32" i="2" s="1"/>
  <c r="BE32" i="2" a="1"/>
  <c r="BE32" i="2" s="1"/>
  <c r="DQ32" i="2" s="1" a="1"/>
  <c r="DQ32" i="2" s="1"/>
  <c r="AR32" i="2" a="1"/>
  <c r="AR32" i="2" s="1"/>
  <c r="DO32" i="2" s="1" a="1"/>
  <c r="DO32" i="2" s="1"/>
  <c r="Y32" i="2"/>
  <c r="G32" i="2"/>
  <c r="F32" i="2"/>
  <c r="C32" i="2"/>
  <c r="EC31" i="2"/>
  <c r="EB31" i="2"/>
  <c r="DN31" i="2" a="1"/>
  <c r="DN31" i="2" s="1"/>
  <c r="DL31" i="2"/>
  <c r="CV31" i="2"/>
  <c r="CT31" i="2"/>
  <c r="CS31" i="2"/>
  <c r="CR31" i="2"/>
  <c r="CE31" i="2" a="1"/>
  <c r="CE31" i="2" s="1"/>
  <c r="DS31" i="2" s="1" a="1"/>
  <c r="DS31" i="2" s="1"/>
  <c r="BS31" i="2" a="1"/>
  <c r="BS31" i="2" s="1"/>
  <c r="DP31" i="2" s="1" a="1"/>
  <c r="DP31" i="2" s="1"/>
  <c r="BE31" i="2" a="1"/>
  <c r="BE31" i="2" s="1"/>
  <c r="DQ31" i="2" s="1" a="1"/>
  <c r="DQ31" i="2" s="1"/>
  <c r="AR31" i="2" a="1"/>
  <c r="AR31" i="2" s="1"/>
  <c r="DO31" i="2" s="1" a="1"/>
  <c r="DO31" i="2" s="1"/>
  <c r="Y31" i="2"/>
  <c r="G31" i="2"/>
  <c r="F31" i="2"/>
  <c r="C31" i="2"/>
  <c r="EC30" i="2"/>
  <c r="EB30" i="2"/>
  <c r="DN30" i="2" a="1"/>
  <c r="DN30" i="2" s="1"/>
  <c r="DL30" i="2"/>
  <c r="CV30" i="2"/>
  <c r="CT30" i="2"/>
  <c r="CS30" i="2"/>
  <c r="CR30" i="2"/>
  <c r="DB30" i="2" s="1"/>
  <c r="CE30" i="2" a="1"/>
  <c r="CE30" i="2" s="1"/>
  <c r="DS30" i="2" s="1" a="1"/>
  <c r="DS30" i="2" s="1"/>
  <c r="BS30" i="2" a="1"/>
  <c r="BS30" i="2" s="1"/>
  <c r="DP30" i="2" s="1" a="1"/>
  <c r="DP30" i="2" s="1"/>
  <c r="BE30" i="2" a="1"/>
  <c r="BE30" i="2" s="1"/>
  <c r="DQ30" i="2" s="1" a="1"/>
  <c r="DQ30" i="2" s="1"/>
  <c r="AR30" i="2" a="1"/>
  <c r="AR30" i="2" s="1"/>
  <c r="DO30" i="2" s="1" a="1"/>
  <c r="DO30" i="2" s="1"/>
  <c r="Y30" i="2"/>
  <c r="G30" i="2"/>
  <c r="F30" i="2"/>
  <c r="C30" i="2"/>
  <c r="EC29" i="2"/>
  <c r="EB29" i="2"/>
  <c r="DN29" i="2" a="1"/>
  <c r="DN29" i="2" s="1"/>
  <c r="DL29" i="2"/>
  <c r="CV29" i="2"/>
  <c r="CT29" i="2"/>
  <c r="CS29" i="2"/>
  <c r="CR29" i="2"/>
  <c r="DB29" i="2" s="1"/>
  <c r="CE29" i="2" a="1"/>
  <c r="CE29" i="2" s="1"/>
  <c r="DS29" i="2" s="1" a="1"/>
  <c r="DS29" i="2" s="1"/>
  <c r="BS29" i="2" a="1"/>
  <c r="BS29" i="2" s="1"/>
  <c r="DP29" i="2" s="1" a="1"/>
  <c r="DP29" i="2" s="1"/>
  <c r="BE29" i="2" a="1"/>
  <c r="BE29" i="2" s="1"/>
  <c r="DQ29" i="2" s="1" a="1"/>
  <c r="DQ29" i="2" s="1"/>
  <c r="AR29" i="2" a="1"/>
  <c r="AR29" i="2" s="1"/>
  <c r="DO29" i="2" s="1" a="1"/>
  <c r="DO29" i="2" s="1"/>
  <c r="Y29" i="2"/>
  <c r="G29" i="2"/>
  <c r="F29" i="2"/>
  <c r="C29" i="2"/>
  <c r="EC28" i="2"/>
  <c r="EB28" i="2"/>
  <c r="DN28" i="2" a="1"/>
  <c r="DN28" i="2" s="1"/>
  <c r="DL28" i="2"/>
  <c r="CV28" i="2"/>
  <c r="CT28" i="2"/>
  <c r="CS28" i="2"/>
  <c r="CR28" i="2"/>
  <c r="DB28" i="2" s="1"/>
  <c r="CE28" i="2" a="1"/>
  <c r="CE28" i="2" s="1"/>
  <c r="DS28" i="2" s="1" a="1"/>
  <c r="DS28" i="2" s="1"/>
  <c r="BS28" i="2" a="1"/>
  <c r="BS28" i="2" s="1"/>
  <c r="DP28" i="2" s="1" a="1"/>
  <c r="DP28" i="2" s="1"/>
  <c r="BE28" i="2" a="1"/>
  <c r="BE28" i="2" s="1"/>
  <c r="DQ28" i="2" s="1" a="1"/>
  <c r="DQ28" i="2" s="1"/>
  <c r="AR28" i="2" a="1"/>
  <c r="AR28" i="2" s="1"/>
  <c r="DO28" i="2" s="1" a="1"/>
  <c r="DO28" i="2" s="1"/>
  <c r="Y28" i="2"/>
  <c r="G28" i="2"/>
  <c r="F28" i="2"/>
  <c r="C28" i="2"/>
  <c r="EC27" i="2"/>
  <c r="EB27" i="2"/>
  <c r="DN27" i="2" a="1"/>
  <c r="DN27" i="2" s="1"/>
  <c r="DL27" i="2"/>
  <c r="CV27" i="2"/>
  <c r="CT27" i="2"/>
  <c r="CS27" i="2"/>
  <c r="CR27" i="2"/>
  <c r="DB27" i="2" s="1"/>
  <c r="CE27" i="2" a="1"/>
  <c r="CE27" i="2" s="1"/>
  <c r="DS27" i="2" s="1" a="1"/>
  <c r="DS27" i="2" s="1"/>
  <c r="BS27" i="2" a="1"/>
  <c r="BS27" i="2" s="1"/>
  <c r="DP27" i="2" s="1" a="1"/>
  <c r="DP27" i="2" s="1"/>
  <c r="BE27" i="2" a="1"/>
  <c r="BE27" i="2" s="1"/>
  <c r="DQ27" i="2" s="1" a="1"/>
  <c r="DQ27" i="2" s="1"/>
  <c r="AR27" i="2" a="1"/>
  <c r="AR27" i="2" s="1"/>
  <c r="DO27" i="2" s="1" a="1"/>
  <c r="DO27" i="2" s="1"/>
  <c r="Y27" i="2"/>
  <c r="G27" i="2"/>
  <c r="F27" i="2"/>
  <c r="C27" i="2"/>
  <c r="EC26" i="2"/>
  <c r="EB26" i="2"/>
  <c r="DN26" i="2" a="1"/>
  <c r="DN26" i="2" s="1"/>
  <c r="DL26" i="2"/>
  <c r="CV26" i="2"/>
  <c r="CT26" i="2"/>
  <c r="CS26" i="2"/>
  <c r="CR26" i="2"/>
  <c r="CE26" i="2" a="1"/>
  <c r="CE26" i="2" s="1"/>
  <c r="DS26" i="2" s="1" a="1"/>
  <c r="DS26" i="2" s="1"/>
  <c r="BS26" i="2" a="1"/>
  <c r="BS26" i="2" s="1"/>
  <c r="DP26" i="2" s="1" a="1"/>
  <c r="DP26" i="2" s="1"/>
  <c r="BE26" i="2" a="1"/>
  <c r="BE26" i="2" s="1"/>
  <c r="DQ26" i="2" s="1" a="1"/>
  <c r="DQ26" i="2" s="1"/>
  <c r="AR26" i="2" a="1"/>
  <c r="AR26" i="2" s="1"/>
  <c r="DO26" i="2" s="1" a="1"/>
  <c r="DO26" i="2" s="1"/>
  <c r="Y26" i="2"/>
  <c r="G26" i="2"/>
  <c r="F26" i="2"/>
  <c r="C26" i="2"/>
  <c r="EC25" i="2"/>
  <c r="EB25" i="2"/>
  <c r="DN25" i="2" a="1"/>
  <c r="DN25" i="2" s="1"/>
  <c r="DL25" i="2"/>
  <c r="CV25" i="2"/>
  <c r="CT25" i="2"/>
  <c r="CS25" i="2"/>
  <c r="CR25" i="2"/>
  <c r="CE25" i="2" a="1"/>
  <c r="CE25" i="2" s="1"/>
  <c r="DS25" i="2" s="1" a="1"/>
  <c r="DS25" i="2" s="1"/>
  <c r="BS25" i="2" a="1"/>
  <c r="BS25" i="2" s="1"/>
  <c r="DP25" i="2" s="1" a="1"/>
  <c r="DP25" i="2" s="1"/>
  <c r="BE25" i="2" a="1"/>
  <c r="BE25" i="2" s="1"/>
  <c r="DQ25" i="2" s="1" a="1"/>
  <c r="DQ25" i="2" s="1"/>
  <c r="AR25" i="2" a="1"/>
  <c r="AR25" i="2" s="1"/>
  <c r="DO25" i="2" s="1" a="1"/>
  <c r="DO25" i="2" s="1"/>
  <c r="Y25" i="2"/>
  <c r="G25" i="2"/>
  <c r="F25" i="2"/>
  <c r="C25" i="2"/>
  <c r="EC24" i="2"/>
  <c r="EB24" i="2"/>
  <c r="DN24" i="2" a="1"/>
  <c r="DN24" i="2" s="1"/>
  <c r="DL24" i="2"/>
  <c r="CV24" i="2"/>
  <c r="CT24" i="2"/>
  <c r="CS24" i="2"/>
  <c r="CR24" i="2"/>
  <c r="DB24" i="2" s="1"/>
  <c r="CE24" i="2" a="1"/>
  <c r="CE24" i="2" s="1"/>
  <c r="DS24" i="2" s="1" a="1"/>
  <c r="DS24" i="2" s="1"/>
  <c r="BS24" i="2" a="1"/>
  <c r="BS24" i="2" s="1"/>
  <c r="DP24" i="2" s="1" a="1"/>
  <c r="DP24" i="2" s="1"/>
  <c r="BE24" i="2" a="1"/>
  <c r="BE24" i="2" s="1"/>
  <c r="DQ24" i="2" s="1" a="1"/>
  <c r="DQ24" i="2" s="1"/>
  <c r="AR24" i="2" a="1"/>
  <c r="AR24" i="2" s="1"/>
  <c r="DO24" i="2" s="1" a="1"/>
  <c r="DO24" i="2" s="1"/>
  <c r="Y24" i="2"/>
  <c r="G24" i="2"/>
  <c r="F24" i="2"/>
  <c r="C24" i="2"/>
  <c r="EC23" i="2"/>
  <c r="EB23" i="2"/>
  <c r="DN23" i="2" a="1"/>
  <c r="DN23" i="2" s="1"/>
  <c r="DL23" i="2"/>
  <c r="CV23" i="2"/>
  <c r="CT23" i="2"/>
  <c r="CS23" i="2"/>
  <c r="CR23" i="2"/>
  <c r="DB23" i="2" s="1"/>
  <c r="CE23" i="2" a="1"/>
  <c r="CE23" i="2" s="1"/>
  <c r="DS23" i="2" s="1" a="1"/>
  <c r="DS23" i="2" s="1"/>
  <c r="BS23" i="2" a="1"/>
  <c r="BS23" i="2" s="1"/>
  <c r="DP23" i="2" s="1" a="1"/>
  <c r="DP23" i="2" s="1"/>
  <c r="BE23" i="2" a="1"/>
  <c r="BE23" i="2" s="1"/>
  <c r="DQ23" i="2" s="1" a="1"/>
  <c r="DQ23" i="2" s="1"/>
  <c r="AR23" i="2" a="1"/>
  <c r="AR23" i="2" s="1"/>
  <c r="DO23" i="2" s="1" a="1"/>
  <c r="DO23" i="2" s="1"/>
  <c r="Y23" i="2"/>
  <c r="G23" i="2"/>
  <c r="F23" i="2"/>
  <c r="C23" i="2"/>
  <c r="EC22" i="2"/>
  <c r="EB22" i="2"/>
  <c r="DN22" i="2" a="1"/>
  <c r="DN22" i="2" s="1"/>
  <c r="DL22" i="2"/>
  <c r="CV22" i="2"/>
  <c r="CT22" i="2"/>
  <c r="CS22" i="2"/>
  <c r="CR22" i="2"/>
  <c r="CE22" i="2" a="1"/>
  <c r="CE22" i="2" s="1"/>
  <c r="DS22" i="2" s="1" a="1"/>
  <c r="DS22" i="2" s="1"/>
  <c r="BS22" i="2" a="1"/>
  <c r="BS22" i="2" s="1"/>
  <c r="DP22" i="2" s="1" a="1"/>
  <c r="DP22" i="2" s="1"/>
  <c r="BE22" i="2" a="1"/>
  <c r="BE22" i="2" s="1"/>
  <c r="DQ22" i="2" s="1" a="1"/>
  <c r="DQ22" i="2" s="1"/>
  <c r="AR22" i="2" a="1"/>
  <c r="AR22" i="2" s="1"/>
  <c r="DO22" i="2" s="1" a="1"/>
  <c r="DO22" i="2" s="1"/>
  <c r="Y22" i="2"/>
  <c r="G22" i="2"/>
  <c r="F22" i="2"/>
  <c r="C22" i="2"/>
  <c r="EC21" i="2"/>
  <c r="EB21" i="2"/>
  <c r="DN21" i="2" a="1"/>
  <c r="DN21" i="2" s="1"/>
  <c r="DL21" i="2"/>
  <c r="CV21" i="2"/>
  <c r="CT21" i="2"/>
  <c r="CS21" i="2"/>
  <c r="CR21" i="2"/>
  <c r="DB21" i="2" s="1"/>
  <c r="CE21" i="2" a="1"/>
  <c r="CE21" i="2" s="1"/>
  <c r="DS21" i="2" s="1" a="1"/>
  <c r="DS21" i="2" s="1"/>
  <c r="BS21" i="2" a="1"/>
  <c r="BS21" i="2" s="1"/>
  <c r="DP21" i="2" s="1" a="1"/>
  <c r="DP21" i="2" s="1"/>
  <c r="BE21" i="2" a="1"/>
  <c r="BE21" i="2" s="1"/>
  <c r="DQ21" i="2" s="1" a="1"/>
  <c r="DQ21" i="2" s="1"/>
  <c r="AR21" i="2" a="1"/>
  <c r="AR21" i="2" s="1"/>
  <c r="Y21" i="2"/>
  <c r="G21" i="2"/>
  <c r="F21" i="2"/>
  <c r="C21" i="2"/>
  <c r="EC20" i="2"/>
  <c r="EB20" i="2"/>
  <c r="DN20" i="2" a="1"/>
  <c r="DN20" i="2" s="1"/>
  <c r="DL20" i="2"/>
  <c r="CV20" i="2"/>
  <c r="CT20" i="2"/>
  <c r="CS20" i="2"/>
  <c r="CR20" i="2"/>
  <c r="DB20" i="2" s="1"/>
  <c r="CE20" i="2" a="1"/>
  <c r="CE20" i="2" s="1"/>
  <c r="DS20" i="2" s="1" a="1"/>
  <c r="DS20" i="2" s="1"/>
  <c r="BS20" i="2" a="1"/>
  <c r="BS20" i="2" s="1"/>
  <c r="DP20" i="2" s="1" a="1"/>
  <c r="DP20" i="2" s="1"/>
  <c r="BE20" i="2" a="1"/>
  <c r="BE20" i="2" s="1"/>
  <c r="DQ20" i="2" s="1" a="1"/>
  <c r="DQ20" i="2" s="1"/>
  <c r="AR20" i="2" a="1"/>
  <c r="AR20" i="2" s="1"/>
  <c r="DO20" i="2" s="1" a="1"/>
  <c r="DO20" i="2" s="1"/>
  <c r="Y20" i="2"/>
  <c r="G20" i="2"/>
  <c r="F20" i="2"/>
  <c r="C20" i="2"/>
  <c r="EC19" i="2"/>
  <c r="EB19" i="2"/>
  <c r="DN19" i="2" a="1"/>
  <c r="DN19" i="2" s="1"/>
  <c r="DL19" i="2"/>
  <c r="CV19" i="2"/>
  <c r="CT19" i="2"/>
  <c r="CS19" i="2"/>
  <c r="CR19" i="2"/>
  <c r="DB19" i="2" s="1"/>
  <c r="CE19" i="2" a="1"/>
  <c r="CE19" i="2" s="1"/>
  <c r="DS19" i="2" s="1" a="1"/>
  <c r="DS19" i="2" s="1"/>
  <c r="BS19" i="2" a="1"/>
  <c r="BS19" i="2" s="1"/>
  <c r="DP19" i="2" s="1" a="1"/>
  <c r="DP19" i="2" s="1"/>
  <c r="BE19" i="2" a="1"/>
  <c r="BE19" i="2" s="1"/>
  <c r="DQ19" i="2" s="1" a="1"/>
  <c r="DQ19" i="2" s="1"/>
  <c r="AR19" i="2" a="1"/>
  <c r="AR19" i="2" s="1"/>
  <c r="DO19" i="2" s="1" a="1"/>
  <c r="DO19" i="2" s="1"/>
  <c r="Y19" i="2"/>
  <c r="G19" i="2"/>
  <c r="F19" i="2"/>
  <c r="C19" i="2"/>
  <c r="EC18" i="2"/>
  <c r="EB18" i="2"/>
  <c r="DN18" i="2" a="1"/>
  <c r="DN18" i="2" s="1"/>
  <c r="DL18" i="2"/>
  <c r="CV18" i="2"/>
  <c r="CT18" i="2"/>
  <c r="CS18" i="2"/>
  <c r="CR18" i="2"/>
  <c r="CE18" i="2" a="1"/>
  <c r="CE18" i="2" s="1"/>
  <c r="DS18" i="2" s="1" a="1"/>
  <c r="DS18" i="2" s="1"/>
  <c r="BS18" i="2" a="1"/>
  <c r="BS18" i="2" s="1"/>
  <c r="DP18" i="2" s="1" a="1"/>
  <c r="DP18" i="2" s="1"/>
  <c r="BE18" i="2" a="1"/>
  <c r="BE18" i="2" s="1"/>
  <c r="DQ18" i="2" s="1" a="1"/>
  <c r="DQ18" i="2" s="1"/>
  <c r="AR18" i="2" a="1"/>
  <c r="AR18" i="2" s="1"/>
  <c r="DO18" i="2" s="1" a="1"/>
  <c r="DO18" i="2" s="1"/>
  <c r="Y18" i="2"/>
  <c r="G18" i="2"/>
  <c r="F18" i="2"/>
  <c r="C18" i="2"/>
  <c r="EC17" i="2"/>
  <c r="EB17" i="2"/>
  <c r="DN17" i="2" a="1"/>
  <c r="DN17" i="2" s="1"/>
  <c r="DL17" i="2"/>
  <c r="CV17" i="2"/>
  <c r="CT17" i="2"/>
  <c r="CS17" i="2"/>
  <c r="CR17" i="2"/>
  <c r="DB17" i="2" s="1"/>
  <c r="CE17" i="2" a="1"/>
  <c r="CE17" i="2" s="1"/>
  <c r="DS17" i="2" s="1" a="1"/>
  <c r="DS17" i="2" s="1"/>
  <c r="BS17" i="2" a="1"/>
  <c r="BS17" i="2" s="1"/>
  <c r="DP17" i="2" s="1" a="1"/>
  <c r="DP17" i="2" s="1"/>
  <c r="BE17" i="2" a="1"/>
  <c r="BE17" i="2" s="1"/>
  <c r="DQ17" i="2" s="1" a="1"/>
  <c r="DQ17" i="2" s="1"/>
  <c r="AR17" i="2" a="1"/>
  <c r="AR17" i="2" s="1"/>
  <c r="DO17" i="2" s="1" a="1"/>
  <c r="DO17" i="2" s="1"/>
  <c r="Y17" i="2"/>
  <c r="G17" i="2"/>
  <c r="F17" i="2"/>
  <c r="C17" i="2"/>
  <c r="EC16" i="2"/>
  <c r="EB16" i="2"/>
  <c r="DN16" i="2" a="1"/>
  <c r="DN16" i="2" s="1"/>
  <c r="DL16" i="2"/>
  <c r="CV16" i="2"/>
  <c r="CT16" i="2"/>
  <c r="CS16" i="2"/>
  <c r="CR16" i="2"/>
  <c r="DB16" i="2" s="1"/>
  <c r="CE16" i="2" a="1"/>
  <c r="CE16" i="2" s="1"/>
  <c r="DS16" i="2" s="1" a="1"/>
  <c r="DS16" i="2" s="1"/>
  <c r="BS16" i="2" a="1"/>
  <c r="BS16" i="2" s="1"/>
  <c r="DP16" i="2" s="1" a="1"/>
  <c r="DP16" i="2" s="1"/>
  <c r="BE16" i="2" a="1"/>
  <c r="BE16" i="2" s="1"/>
  <c r="DQ16" i="2" s="1" a="1"/>
  <c r="DQ16" i="2" s="1"/>
  <c r="AR16" i="2" a="1"/>
  <c r="AR16" i="2" s="1"/>
  <c r="DO16" i="2" s="1" a="1"/>
  <c r="DO16" i="2" s="1"/>
  <c r="Y16" i="2"/>
  <c r="G16" i="2"/>
  <c r="F16" i="2"/>
  <c r="C16" i="2"/>
  <c r="EC15" i="2"/>
  <c r="EB15" i="2"/>
  <c r="DN15" i="2" a="1"/>
  <c r="DN15" i="2" s="1"/>
  <c r="DL15" i="2"/>
  <c r="CV15" i="2"/>
  <c r="CT15" i="2"/>
  <c r="CS15" i="2"/>
  <c r="CR15" i="2"/>
  <c r="CE15" i="2" a="1"/>
  <c r="CE15" i="2" s="1"/>
  <c r="DS15" i="2" s="1" a="1"/>
  <c r="DS15" i="2" s="1"/>
  <c r="BS15" i="2" a="1"/>
  <c r="BS15" i="2" s="1"/>
  <c r="DP15" i="2" s="1" a="1"/>
  <c r="DP15" i="2" s="1"/>
  <c r="BE15" i="2" a="1"/>
  <c r="BE15" i="2" s="1"/>
  <c r="DQ15" i="2" s="1" a="1"/>
  <c r="DQ15" i="2" s="1"/>
  <c r="AR15" i="2" a="1"/>
  <c r="AR15" i="2" s="1"/>
  <c r="DO15" i="2" s="1" a="1"/>
  <c r="DO15" i="2" s="1"/>
  <c r="Y15" i="2"/>
  <c r="G15" i="2"/>
  <c r="F15" i="2"/>
  <c r="C15" i="2"/>
  <c r="EC14" i="2"/>
  <c r="EB14" i="2"/>
  <c r="DN14" i="2" a="1"/>
  <c r="DN14" i="2" s="1"/>
  <c r="DL14" i="2"/>
  <c r="CV14" i="2"/>
  <c r="CT14" i="2"/>
  <c r="CS14" i="2"/>
  <c r="CR14" i="2"/>
  <c r="DB14" i="2" s="1"/>
  <c r="CE14" i="2" a="1"/>
  <c r="CE14" i="2" s="1"/>
  <c r="DS14" i="2" s="1" a="1"/>
  <c r="DS14" i="2" s="1"/>
  <c r="BS14" i="2" a="1"/>
  <c r="BS14" i="2" s="1"/>
  <c r="DP14" i="2" s="1" a="1"/>
  <c r="DP14" i="2" s="1"/>
  <c r="BE14" i="2" a="1"/>
  <c r="BE14" i="2" s="1"/>
  <c r="DQ14" i="2" s="1" a="1"/>
  <c r="DQ14" i="2" s="1"/>
  <c r="AR14" i="2" a="1"/>
  <c r="AR14" i="2" s="1"/>
  <c r="DO14" i="2" s="1" a="1"/>
  <c r="DO14" i="2" s="1"/>
  <c r="Y14" i="2"/>
  <c r="G14" i="2"/>
  <c r="F14" i="2"/>
  <c r="C14" i="2"/>
  <c r="EC13" i="2"/>
  <c r="EB13" i="2"/>
  <c r="DN13" i="2" a="1"/>
  <c r="DN13" i="2" s="1"/>
  <c r="DL13" i="2"/>
  <c r="CV13" i="2"/>
  <c r="CT13" i="2"/>
  <c r="CS13" i="2"/>
  <c r="CR13" i="2"/>
  <c r="CE13" i="2" a="1"/>
  <c r="CE13" i="2" s="1"/>
  <c r="DS13" i="2" s="1" a="1"/>
  <c r="DS13" i="2" s="1"/>
  <c r="BS13" i="2" a="1"/>
  <c r="BS13" i="2" s="1"/>
  <c r="BE13" i="2" a="1"/>
  <c r="BE13" i="2" s="1"/>
  <c r="DQ13" i="2" s="1" a="1"/>
  <c r="DQ13" i="2" s="1"/>
  <c r="AR13" i="2" a="1"/>
  <c r="AR13" i="2" s="1"/>
  <c r="DO13" i="2" s="1" a="1"/>
  <c r="DO13" i="2" s="1"/>
  <c r="Y13" i="2"/>
  <c r="G13" i="2"/>
  <c r="F13" i="2"/>
  <c r="C13" i="2"/>
  <c r="EC12" i="2"/>
  <c r="EB12" i="2"/>
  <c r="DN12" i="2" a="1"/>
  <c r="DN12" i="2" s="1"/>
  <c r="DL12" i="2"/>
  <c r="CV12" i="2"/>
  <c r="CT12" i="2"/>
  <c r="CS12" i="2"/>
  <c r="CR12" i="2"/>
  <c r="CE12" i="2" a="1"/>
  <c r="CE12" i="2" s="1"/>
  <c r="DS12" i="2" s="1" a="1"/>
  <c r="DS12" i="2" s="1"/>
  <c r="BS12" i="2" a="1"/>
  <c r="BS12" i="2" s="1"/>
  <c r="DP12" i="2" s="1" a="1"/>
  <c r="DP12" i="2" s="1"/>
  <c r="BE12" i="2" a="1"/>
  <c r="BE12" i="2" s="1"/>
  <c r="DQ12" i="2" s="1" a="1"/>
  <c r="DQ12" i="2" s="1"/>
  <c r="AR12" i="2" a="1"/>
  <c r="AR12" i="2" s="1"/>
  <c r="DO12" i="2" s="1" a="1"/>
  <c r="DO12" i="2" s="1"/>
  <c r="Y12" i="2"/>
  <c r="G12" i="2"/>
  <c r="F12" i="2"/>
  <c r="C12" i="2"/>
  <c r="EC11" i="2"/>
  <c r="EB11" i="2"/>
  <c r="DN11" i="2" a="1"/>
  <c r="DN11" i="2" s="1"/>
  <c r="DL11" i="2"/>
  <c r="CV11" i="2"/>
  <c r="CT11" i="2"/>
  <c r="CS11" i="2"/>
  <c r="CR11" i="2"/>
  <c r="DB11" i="2" s="1"/>
  <c r="CE11" i="2" a="1"/>
  <c r="CE11" i="2" s="1"/>
  <c r="DS11" i="2" s="1" a="1"/>
  <c r="DS11" i="2" s="1"/>
  <c r="BS11" i="2" a="1"/>
  <c r="BS11" i="2" s="1"/>
  <c r="BE11" i="2" a="1"/>
  <c r="BE11" i="2" s="1"/>
  <c r="DQ11" i="2" s="1" a="1"/>
  <c r="DQ11" i="2" s="1"/>
  <c r="AR11" i="2" a="1"/>
  <c r="AR11" i="2" s="1"/>
  <c r="DO11" i="2" s="1" a="1"/>
  <c r="DO11" i="2" s="1"/>
  <c r="Y11" i="2"/>
  <c r="G11" i="2"/>
  <c r="F11" i="2"/>
  <c r="C11" i="2"/>
  <c r="EC10" i="2"/>
  <c r="EB10" i="2"/>
  <c r="DN10" i="2" a="1"/>
  <c r="DN10" i="2" s="1"/>
  <c r="DL10" i="2"/>
  <c r="CV10" i="2"/>
  <c r="CT10" i="2"/>
  <c r="CS10" i="2"/>
  <c r="CR10" i="2"/>
  <c r="DB10" i="2" s="1"/>
  <c r="CE10" i="2" a="1"/>
  <c r="CE10" i="2" s="1"/>
  <c r="DS10" i="2" s="1" a="1"/>
  <c r="DS10" i="2" s="1"/>
  <c r="BS10" i="2" a="1"/>
  <c r="BS10" i="2" s="1"/>
  <c r="DP10" i="2" s="1" a="1"/>
  <c r="DP10" i="2" s="1"/>
  <c r="BE10" i="2" a="1"/>
  <c r="BE10" i="2" s="1"/>
  <c r="DQ10" i="2" s="1" a="1"/>
  <c r="DQ10" i="2" s="1"/>
  <c r="AR10" i="2" a="1"/>
  <c r="AR10" i="2" s="1"/>
  <c r="DO10" i="2" s="1" a="1"/>
  <c r="DO10" i="2" s="1"/>
  <c r="Y10" i="2"/>
  <c r="G10" i="2"/>
  <c r="F10" i="2"/>
  <c r="C10" i="2"/>
  <c r="EC9" i="2"/>
  <c r="EB9" i="2"/>
  <c r="DN9" i="2" a="1"/>
  <c r="DN9" i="2" s="1"/>
  <c r="DL9" i="2"/>
  <c r="CV9" i="2"/>
  <c r="CT9" i="2"/>
  <c r="CS9" i="2"/>
  <c r="CR9" i="2"/>
  <c r="CE9" i="2" a="1"/>
  <c r="CE9" i="2" s="1"/>
  <c r="BS9" i="2" a="1"/>
  <c r="BS9" i="2" s="1"/>
  <c r="DP9" i="2" s="1" a="1"/>
  <c r="DP9" i="2" s="1"/>
  <c r="BE9" i="2" a="1"/>
  <c r="BE9" i="2" s="1"/>
  <c r="DQ9" i="2" s="1" a="1"/>
  <c r="DQ9" i="2" s="1"/>
  <c r="AR9" i="2" a="1"/>
  <c r="AR9" i="2" s="1"/>
  <c r="DO9" i="2" s="1" a="1"/>
  <c r="DO9" i="2" s="1"/>
  <c r="Y9" i="2"/>
  <c r="G9" i="2"/>
  <c r="F9" i="2"/>
  <c r="C9" i="2"/>
  <c r="C8" i="2"/>
  <c r="ED7" i="2"/>
  <c r="C7" i="2"/>
  <c r="A5" i="2"/>
  <c r="B4" i="2"/>
  <c r="B5" i="2" s="1"/>
  <c r="DP118" i="2" l="1" a="1"/>
  <c r="DP118" i="2" s="1"/>
  <c r="DA118" i="2"/>
  <c r="DM118" i="2" s="1"/>
  <c r="DT127" i="2"/>
  <c r="DA128" i="2"/>
  <c r="DM128" i="2" s="1"/>
  <c r="DP128" i="2" a="1"/>
  <c r="DP128" i="2" s="1"/>
  <c r="DA123" i="2"/>
  <c r="DM123" i="2" s="1"/>
  <c r="DP123" i="2" a="1"/>
  <c r="DP123" i="2" s="1"/>
  <c r="DT123" i="2"/>
  <c r="DA126" i="2"/>
  <c r="DM126" i="2" s="1"/>
  <c r="DT128" i="2"/>
  <c r="DU128" i="2" s="1" a="1"/>
  <c r="DU128" i="2" s="1"/>
  <c r="DW128" i="2" s="1" a="1"/>
  <c r="DW128" i="2" s="1"/>
  <c r="DP115" i="2" a="1"/>
  <c r="DP115" i="2" s="1"/>
  <c r="DT115" i="2"/>
  <c r="DP120" i="2" a="1"/>
  <c r="DP120" i="2" s="1"/>
  <c r="DA120" i="2"/>
  <c r="DM120" i="2" s="1"/>
  <c r="DT126" i="2"/>
  <c r="DU126" i="2" s="1" a="1"/>
  <c r="DU126" i="2" s="1"/>
  <c r="DW126" i="2" s="1" a="1"/>
  <c r="DW126" i="2" s="1"/>
  <c r="DP111" i="2" a="1"/>
  <c r="DP111" i="2" s="1"/>
  <c r="DT111" i="2"/>
  <c r="DU111" i="2" s="1" a="1"/>
  <c r="DU111" i="2" s="1"/>
  <c r="DW111" i="2" s="1" a="1"/>
  <c r="DW111" i="2" s="1"/>
  <c r="DT113" i="2"/>
  <c r="DU113" i="2" s="1" a="1"/>
  <c r="DU113" i="2" s="1"/>
  <c r="DW113" i="2" s="1" a="1"/>
  <c r="DW113" i="2" s="1"/>
  <c r="DP113" i="2" a="1"/>
  <c r="DP113" i="2" s="1"/>
  <c r="DP119" i="2" a="1"/>
  <c r="DP119" i="2" s="1"/>
  <c r="DT119" i="2"/>
  <c r="DA119" i="2"/>
  <c r="DM119" i="2" s="1"/>
  <c r="DA121" i="2"/>
  <c r="DM121" i="2" s="1"/>
  <c r="CU125" i="2"/>
  <c r="DR126" i="2" a="1"/>
  <c r="DR126" i="2" s="1"/>
  <c r="DP140" i="2" a="1"/>
  <c r="DP140" i="2" s="1"/>
  <c r="DT140" i="2"/>
  <c r="DT143" i="2"/>
  <c r="DP143" i="2" a="1"/>
  <c r="DP143" i="2" s="1"/>
  <c r="DT114" i="2"/>
  <c r="DU114" i="2" s="1" a="1"/>
  <c r="DU114" i="2" s="1"/>
  <c r="DW114" i="2" s="1" a="1"/>
  <c r="DW114" i="2" s="1"/>
  <c r="DA111" i="2"/>
  <c r="DM111" i="2" s="1"/>
  <c r="DT136" i="2"/>
  <c r="DU136" i="2" s="1" a="1"/>
  <c r="DU136" i="2" s="1"/>
  <c r="DW136" i="2" s="1" a="1"/>
  <c r="DW136" i="2" s="1"/>
  <c r="DB137" i="2"/>
  <c r="CU137" i="2"/>
  <c r="DR138" i="2" a="1"/>
  <c r="DR138" i="2" s="1"/>
  <c r="DA138" i="2"/>
  <c r="DM138" i="2" s="1"/>
  <c r="DU139" i="2" a="1"/>
  <c r="DU139" i="2" s="1"/>
  <c r="DW139" i="2" s="1" a="1"/>
  <c r="DW139" i="2" s="1"/>
  <c r="DT107" i="2"/>
  <c r="DT109" i="2"/>
  <c r="DU109" i="2" s="1" a="1"/>
  <c r="DU109" i="2" s="1"/>
  <c r="DW109" i="2" s="1" a="1"/>
  <c r="DW109" i="2" s="1"/>
  <c r="CU115" i="2"/>
  <c r="DT116" i="2"/>
  <c r="DU116" i="2" s="1" a="1"/>
  <c r="DU116" i="2" s="1"/>
  <c r="DW116" i="2" s="1" a="1"/>
  <c r="DW116" i="2" s="1"/>
  <c r="DU119" i="2" a="1"/>
  <c r="DU119" i="2" s="1"/>
  <c r="DW119" i="2" s="1" a="1"/>
  <c r="DW119" i="2" s="1"/>
  <c r="CU124" i="2"/>
  <c r="DB129" i="2"/>
  <c r="CU129" i="2"/>
  <c r="DA130" i="2"/>
  <c r="DM130" i="2" s="1"/>
  <c r="DU130" i="2" a="1"/>
  <c r="DU130" i="2" s="1"/>
  <c r="DW130" i="2" s="1" a="1"/>
  <c r="DW130" i="2" s="1"/>
  <c r="DR135" i="2" a="1"/>
  <c r="DR135" i="2" s="1"/>
  <c r="DA135" i="2"/>
  <c r="DM135" i="2" s="1"/>
  <c r="DR142" i="2" a="1"/>
  <c r="DR142" i="2" s="1"/>
  <c r="DA142" i="2"/>
  <c r="DM142" i="2" s="1"/>
  <c r="DA113" i="2"/>
  <c r="DM113" i="2" s="1"/>
  <c r="DT121" i="2"/>
  <c r="DU121" i="2" s="1" a="1"/>
  <c r="DU121" i="2" s="1"/>
  <c r="DW121" i="2" s="1" a="1"/>
  <c r="DW121" i="2" s="1"/>
  <c r="DT132" i="2"/>
  <c r="DT138" i="2"/>
  <c r="DR156" i="2" a="1"/>
  <c r="DR156" i="2" s="1"/>
  <c r="DA156" i="2"/>
  <c r="DM156" i="2" s="1"/>
  <c r="DA107" i="2"/>
  <c r="DM107" i="2" s="1"/>
  <c r="CU108" i="2"/>
  <c r="DA109" i="2"/>
  <c r="DM109" i="2" s="1"/>
  <c r="CU110" i="2"/>
  <c r="DT110" i="2" s="1"/>
  <c r="DP116" i="2" a="1"/>
  <c r="DP116" i="2" s="1"/>
  <c r="CU117" i="2"/>
  <c r="DT118" i="2"/>
  <c r="DU118" i="2" s="1" a="1"/>
  <c r="DU118" i="2" s="1"/>
  <c r="DW118" i="2" s="1" a="1"/>
  <c r="DW118" i="2" s="1"/>
  <c r="DT120" i="2"/>
  <c r="DU120" i="2" s="1" a="1"/>
  <c r="DU120" i="2" s="1"/>
  <c r="DW120" i="2" s="1" a="1"/>
  <c r="DW120" i="2" s="1"/>
  <c r="CU122" i="2"/>
  <c r="CU127" i="2"/>
  <c r="DB131" i="2"/>
  <c r="DM131" i="2" s="1"/>
  <c r="DR140" i="2" a="1"/>
  <c r="DR140" i="2" s="1"/>
  <c r="DA140" i="2"/>
  <c r="DM140" i="2" s="1"/>
  <c r="DA148" i="2"/>
  <c r="DM148" i="2" s="1"/>
  <c r="DP148" i="2" a="1"/>
  <c r="DP148" i="2" s="1"/>
  <c r="DT125" i="2"/>
  <c r="DR143" i="2" a="1"/>
  <c r="DR143" i="2" s="1"/>
  <c r="DA143" i="2"/>
  <c r="DM143" i="2" s="1"/>
  <c r="DR132" i="2" a="1"/>
  <c r="DR132" i="2" s="1"/>
  <c r="DA132" i="2"/>
  <c r="DM132" i="2" s="1"/>
  <c r="DP139" i="2" a="1"/>
  <c r="DP139" i="2" s="1"/>
  <c r="DA150" i="2"/>
  <c r="DM150" i="2" s="1"/>
  <c r="DP150" i="2" a="1"/>
  <c r="DP150" i="2" s="1"/>
  <c r="DT150" i="2"/>
  <c r="DU150" i="2" s="1" a="1"/>
  <c r="DU150" i="2" s="1"/>
  <c r="DW150" i="2" s="1" a="1"/>
  <c r="DW150" i="2" s="1"/>
  <c r="DQ154" i="2" a="1"/>
  <c r="DQ154" i="2" s="1"/>
  <c r="DT154" i="2"/>
  <c r="DU154" i="2" s="1" a="1"/>
  <c r="DU154" i="2" s="1"/>
  <c r="DW154" i="2" s="1" a="1"/>
  <c r="DW154" i="2" s="1"/>
  <c r="CU112" i="2"/>
  <c r="DU123" i="2" a="1"/>
  <c r="DU123" i="2" s="1"/>
  <c r="DW123" i="2" s="1" a="1"/>
  <c r="DW123" i="2" s="1"/>
  <c r="DT124" i="2"/>
  <c r="DR139" i="2" a="1"/>
  <c r="DR139" i="2" s="1"/>
  <c r="DA139" i="2"/>
  <c r="DM139" i="2" s="1"/>
  <c r="DU143" i="2" a="1"/>
  <c r="DU143" i="2" s="1"/>
  <c r="DW143" i="2" s="1" a="1"/>
  <c r="DW143" i="2" s="1"/>
  <c r="DU146" i="2" a="1"/>
  <c r="DU146" i="2" s="1"/>
  <c r="DW146" i="2" s="1" a="1"/>
  <c r="DW146" i="2" s="1"/>
  <c r="DT145" i="2"/>
  <c r="DU145" i="2" s="1" a="1"/>
  <c r="DU145" i="2" s="1"/>
  <c r="DW145" i="2" s="1" a="1"/>
  <c r="DW145" i="2" s="1"/>
  <c r="DA149" i="2"/>
  <c r="DM149" i="2" s="1"/>
  <c r="DA157" i="2"/>
  <c r="DM157" i="2" s="1"/>
  <c r="DT146" i="2"/>
  <c r="CU155" i="2"/>
  <c r="DT157" i="2"/>
  <c r="DU157" i="2" s="1" a="1"/>
  <c r="DU157" i="2" s="1"/>
  <c r="DW157" i="2" s="1" a="1"/>
  <c r="DW157" i="2" s="1"/>
  <c r="DU160" i="2" a="1"/>
  <c r="DU160" i="2" s="1"/>
  <c r="DW160" i="2" s="1" a="1"/>
  <c r="DW160" i="2" s="1"/>
  <c r="DT160" i="2"/>
  <c r="DP164" i="2" a="1"/>
  <c r="DP164" i="2" s="1"/>
  <c r="DA164" i="2"/>
  <c r="DM164" i="2" s="1"/>
  <c r="DB135" i="2"/>
  <c r="DT141" i="2"/>
  <c r="DU141" i="2" s="1" a="1"/>
  <c r="DU141" i="2" s="1"/>
  <c r="DW141" i="2" s="1" a="1"/>
  <c r="DW141" i="2" s="1"/>
  <c r="DP144" i="2" a="1"/>
  <c r="DP144" i="2" s="1"/>
  <c r="DA151" i="2"/>
  <c r="DM151" i="2" s="1"/>
  <c r="DT134" i="2"/>
  <c r="DU134" i="2" s="1" a="1"/>
  <c r="DU134" i="2" s="1"/>
  <c r="DW134" i="2" s="1" a="1"/>
  <c r="DW134" i="2" s="1"/>
  <c r="DT148" i="2"/>
  <c r="DU148" i="2" s="1" a="1"/>
  <c r="DU148" i="2" s="1"/>
  <c r="DW148" i="2" s="1" a="1"/>
  <c r="DW148" i="2" s="1"/>
  <c r="DT156" i="2"/>
  <c r="DU156" i="2" s="1" a="1"/>
  <c r="DU156" i="2" s="1"/>
  <c r="DW156" i="2" s="1" a="1"/>
  <c r="DW156" i="2" s="1"/>
  <c r="DR173" i="2" a="1"/>
  <c r="DR173" i="2" s="1"/>
  <c r="DA173" i="2"/>
  <c r="DM173" i="2" s="1"/>
  <c r="DA134" i="2"/>
  <c r="DM134" i="2" s="1"/>
  <c r="DT142" i="2"/>
  <c r="DU142" i="2" s="1" a="1"/>
  <c r="DU142" i="2" s="1"/>
  <c r="DW142" i="2" s="1" a="1"/>
  <c r="DW142" i="2" s="1"/>
  <c r="DA145" i="2"/>
  <c r="DM145" i="2" s="1"/>
  <c r="DT149" i="2"/>
  <c r="DT151" i="2"/>
  <c r="DB153" i="2"/>
  <c r="CU153" i="2"/>
  <c r="DT162" i="2"/>
  <c r="DA141" i="2"/>
  <c r="DM141" i="2" s="1"/>
  <c r="DA146" i="2"/>
  <c r="DM146" i="2" s="1"/>
  <c r="DP147" i="2" a="1"/>
  <c r="DP147" i="2" s="1"/>
  <c r="DA152" i="2"/>
  <c r="DM152" i="2" s="1"/>
  <c r="DB155" i="2"/>
  <c r="DA160" i="2"/>
  <c r="DM160" i="2" s="1"/>
  <c r="DR160" i="2" a="1"/>
  <c r="DR160" i="2" s="1"/>
  <c r="DT152" i="2"/>
  <c r="DU152" i="2" s="1" a="1"/>
  <c r="DU152" i="2" s="1"/>
  <c r="DW152" i="2" s="1" a="1"/>
  <c r="DW152" i="2" s="1"/>
  <c r="DB158" i="2"/>
  <c r="CU158" i="2"/>
  <c r="DR161" i="2" a="1"/>
  <c r="DR161" i="2" s="1"/>
  <c r="DA161" i="2"/>
  <c r="DM161" i="2" s="1"/>
  <c r="DT173" i="2"/>
  <c r="DU173" i="2" s="1" a="1"/>
  <c r="DU173" i="2" s="1"/>
  <c r="DW173" i="2" s="1" a="1"/>
  <c r="DW173" i="2" s="1"/>
  <c r="DO173" i="2" a="1"/>
  <c r="DO173" i="2" s="1"/>
  <c r="DA133" i="2"/>
  <c r="DM133" i="2" s="1"/>
  <c r="DR159" i="2" a="1"/>
  <c r="DR159" i="2" s="1"/>
  <c r="DA159" i="2"/>
  <c r="DM159" i="2" s="1"/>
  <c r="CU169" i="2"/>
  <c r="DB169" i="2"/>
  <c r="CU167" i="2"/>
  <c r="DB167" i="2"/>
  <c r="DT181" i="2"/>
  <c r="DU181" i="2" s="1" a="1"/>
  <c r="DU181" i="2" s="1"/>
  <c r="DW181" i="2" s="1" a="1"/>
  <c r="DW181" i="2" s="1"/>
  <c r="DP181" i="2" a="1"/>
  <c r="DP181" i="2" s="1"/>
  <c r="CU165" i="2"/>
  <c r="DB165" i="2"/>
  <c r="DT161" i="2"/>
  <c r="DT164" i="2"/>
  <c r="DU164" i="2" s="1" a="1"/>
  <c r="DU164" i="2" s="1"/>
  <c r="DW164" i="2" s="1" a="1"/>
  <c r="DW164" i="2" s="1"/>
  <c r="DP178" i="2" a="1"/>
  <c r="DP178" i="2" s="1"/>
  <c r="DT178" i="2"/>
  <c r="DU178" i="2" s="1" a="1"/>
  <c r="DU178" i="2" s="1"/>
  <c r="DW178" i="2" s="1" a="1"/>
  <c r="DW178" i="2" s="1"/>
  <c r="DP180" i="2" a="1"/>
  <c r="DP180" i="2" s="1"/>
  <c r="DA180" i="2"/>
  <c r="DM180" i="2" s="1"/>
  <c r="CU170" i="2"/>
  <c r="DB170" i="2"/>
  <c r="CU174" i="2"/>
  <c r="DB174" i="2"/>
  <c r="DR175" i="2" a="1"/>
  <c r="DR175" i="2" s="1"/>
  <c r="DA175" i="2"/>
  <c r="DM175" i="2" s="1"/>
  <c r="CU163" i="2"/>
  <c r="DB163" i="2"/>
  <c r="CU168" i="2"/>
  <c r="DB168" i="2"/>
  <c r="DA177" i="2"/>
  <c r="DM177" i="2" s="1"/>
  <c r="DR181" i="2" a="1"/>
  <c r="DR181" i="2" s="1"/>
  <c r="DA181" i="2"/>
  <c r="DM181" i="2" s="1"/>
  <c r="CU166" i="2"/>
  <c r="DB166" i="2"/>
  <c r="DT176" i="2"/>
  <c r="DU176" i="2" s="1" a="1"/>
  <c r="DU176" i="2" s="1"/>
  <c r="DW176" i="2" s="1" a="1"/>
  <c r="DW176" i="2" s="1"/>
  <c r="DT177" i="2"/>
  <c r="DU161" i="2" a="1"/>
  <c r="DU161" i="2" s="1"/>
  <c r="DW161" i="2" s="1" a="1"/>
  <c r="DW161" i="2" s="1"/>
  <c r="CU162" i="2"/>
  <c r="CU171" i="2"/>
  <c r="DB171" i="2"/>
  <c r="DT175" i="2"/>
  <c r="DU175" i="2" s="1" a="1"/>
  <c r="DU175" i="2" s="1"/>
  <c r="DW175" i="2" s="1" a="1"/>
  <c r="DW175" i="2" s="1"/>
  <c r="DU177" i="2" a="1"/>
  <c r="DU177" i="2" s="1"/>
  <c r="DW177" i="2" s="1" a="1"/>
  <c r="DW177" i="2" s="1"/>
  <c r="DR178" i="2" a="1"/>
  <c r="DR178" i="2" s="1"/>
  <c r="DA178" i="2"/>
  <c r="DM178" i="2" s="1"/>
  <c r="DR184" i="2" a="1"/>
  <c r="DR184" i="2" s="1"/>
  <c r="DA184" i="2"/>
  <c r="DM184" i="2" s="1"/>
  <c r="CU187" i="2"/>
  <c r="DB187" i="2"/>
  <c r="DQ189" i="2" a="1"/>
  <c r="DQ189" i="2" s="1"/>
  <c r="DR190" i="2" a="1"/>
  <c r="DR190" i="2" s="1"/>
  <c r="DA190" i="2"/>
  <c r="DM190" i="2" s="1"/>
  <c r="DT195" i="2"/>
  <c r="DU195" i="2" s="1" a="1"/>
  <c r="DU195" i="2" s="1"/>
  <c r="DW195" i="2" s="1" a="1"/>
  <c r="DW195" i="2" s="1"/>
  <c r="DO195" i="2" a="1"/>
  <c r="DO195" i="2" s="1"/>
  <c r="CU179" i="2"/>
  <c r="DR185" i="2" a="1"/>
  <c r="DR185" i="2" s="1"/>
  <c r="DA185" i="2"/>
  <c r="DA176" i="2"/>
  <c r="DM176" i="2" s="1"/>
  <c r="DR188" i="2" a="1"/>
  <c r="DR188" i="2" s="1"/>
  <c r="DA188" i="2"/>
  <c r="DM188" i="2" s="1"/>
  <c r="DT193" i="2"/>
  <c r="DO193" i="2" a="1"/>
  <c r="DO193" i="2" s="1"/>
  <c r="DT180" i="2"/>
  <c r="DU180" i="2" s="1" a="1"/>
  <c r="DU180" i="2" s="1"/>
  <c r="DW180" i="2" s="1" a="1"/>
  <c r="DW180" i="2" s="1"/>
  <c r="DP194" i="2" a="1"/>
  <c r="DP194" i="2" s="1"/>
  <c r="DA194" i="2"/>
  <c r="DM194" i="2" s="1"/>
  <c r="DT184" i="2"/>
  <c r="DU184" i="2" s="1" a="1"/>
  <c r="DU184" i="2" s="1"/>
  <c r="DW184" i="2" s="1" a="1"/>
  <c r="DW184" i="2" s="1"/>
  <c r="CU182" i="2"/>
  <c r="DB185" i="2"/>
  <c r="DA186" i="2"/>
  <c r="DM186" i="2" s="1"/>
  <c r="DU192" i="2" a="1"/>
  <c r="DU192" i="2" s="1"/>
  <c r="DW192" i="2" s="1" a="1"/>
  <c r="DW192" i="2" s="1"/>
  <c r="DT192" i="2"/>
  <c r="DB179" i="2"/>
  <c r="DR183" i="2" a="1"/>
  <c r="DR183" i="2" s="1"/>
  <c r="DA183" i="2"/>
  <c r="DM183" i="2" s="1"/>
  <c r="CU172" i="2"/>
  <c r="DU188" i="2" a="1"/>
  <c r="DU188" i="2" s="1"/>
  <c r="DW188" i="2" s="1" a="1"/>
  <c r="DW188" i="2" s="1"/>
  <c r="DT188" i="2"/>
  <c r="DT190" i="2"/>
  <c r="DU190" i="2" s="1" a="1"/>
  <c r="DU190" i="2" s="1"/>
  <c r="DW190" i="2" s="1" a="1"/>
  <c r="DW190" i="2" s="1"/>
  <c r="CU193" i="2"/>
  <c r="DU197" i="2" a="1"/>
  <c r="DU197" i="2" s="1"/>
  <c r="DW197" i="2" s="1" a="1"/>
  <c r="DW197" i="2" s="1"/>
  <c r="DP198" i="2" a="1"/>
  <c r="DP198" i="2" s="1"/>
  <c r="DT198" i="2"/>
  <c r="DR191" i="2" a="1"/>
  <c r="DR191" i="2" s="1"/>
  <c r="DA191" i="2"/>
  <c r="DM191" i="2" s="1"/>
  <c r="DT191" i="2"/>
  <c r="DU191" i="2" s="1" a="1"/>
  <c r="DU191" i="2" s="1"/>
  <c r="DW191" i="2" s="1" a="1"/>
  <c r="DW191" i="2" s="1"/>
  <c r="DM192" i="2"/>
  <c r="DR192" i="2" a="1"/>
  <c r="DR192" i="2" s="1"/>
  <c r="DM202" i="2"/>
  <c r="DA204" i="2"/>
  <c r="DM204" i="2" s="1"/>
  <c r="DR204" i="2" a="1"/>
  <c r="DR204" i="2" s="1"/>
  <c r="DA207" i="2"/>
  <c r="DM207" i="2" s="1"/>
  <c r="DR207" i="2" a="1"/>
  <c r="DR207" i="2" s="1"/>
  <c r="DR195" i="2" a="1"/>
  <c r="DR195" i="2" s="1"/>
  <c r="DA195" i="2"/>
  <c r="DM195" i="2" s="1"/>
  <c r="DR196" i="2" a="1"/>
  <c r="DR196" i="2" s="1"/>
  <c r="DA196" i="2"/>
  <c r="DM196" i="2" s="1"/>
  <c r="DA200" i="2"/>
  <c r="DM200" i="2" s="1"/>
  <c r="DR200" i="2" a="1"/>
  <c r="DR200" i="2" s="1"/>
  <c r="DA201" i="2"/>
  <c r="DM201" i="2" s="1"/>
  <c r="DR201" i="2" a="1"/>
  <c r="DR201" i="2" s="1"/>
  <c r="DU189" i="2" a="1"/>
  <c r="DU189" i="2" s="1"/>
  <c r="DW189" i="2" s="1" a="1"/>
  <c r="DW189" i="2" s="1"/>
  <c r="DA199" i="2"/>
  <c r="DM199" i="2" s="1"/>
  <c r="DA203" i="2"/>
  <c r="DM203" i="2" s="1"/>
  <c r="DR203" i="2" a="1"/>
  <c r="DR203" i="2" s="1"/>
  <c r="DA206" i="2"/>
  <c r="DM206" i="2" s="1"/>
  <c r="DR206" i="2" a="1"/>
  <c r="DR206" i="2" s="1"/>
  <c r="DA209" i="2"/>
  <c r="DM209" i="2" s="1"/>
  <c r="DR209" i="2" a="1"/>
  <c r="DR209" i="2" s="1"/>
  <c r="DT194" i="2"/>
  <c r="DU194" i="2" s="1" a="1"/>
  <c r="DU194" i="2" s="1"/>
  <c r="DW194" i="2" s="1" a="1"/>
  <c r="DW194" i="2" s="1"/>
  <c r="DA211" i="2"/>
  <c r="DM211" i="2" s="1"/>
  <c r="DR211" i="2" a="1"/>
  <c r="DR211" i="2" s="1"/>
  <c r="DP197" i="2" a="1"/>
  <c r="DP197" i="2" s="1"/>
  <c r="DT197" i="2"/>
  <c r="DA197" i="2"/>
  <c r="DM197" i="2" s="1"/>
  <c r="DA198" i="2"/>
  <c r="DM198" i="2" s="1"/>
  <c r="DA205" i="2"/>
  <c r="DM205" i="2" s="1"/>
  <c r="DR205" i="2" a="1"/>
  <c r="DR205" i="2" s="1"/>
  <c r="DT202" i="2"/>
  <c r="DU202" i="2" s="1" a="1"/>
  <c r="DU202" i="2" s="1"/>
  <c r="DW202" i="2" s="1" a="1"/>
  <c r="DW202" i="2" s="1"/>
  <c r="DR202" i="2" a="1"/>
  <c r="DR202" i="2" s="1"/>
  <c r="DT213" i="2"/>
  <c r="DA216" i="2"/>
  <c r="DM216" i="2" s="1"/>
  <c r="DR216" i="2" a="1"/>
  <c r="DR216" i="2" s="1"/>
  <c r="DA217" i="2"/>
  <c r="DM217" i="2" s="1"/>
  <c r="DR217" i="2" a="1"/>
  <c r="DR217" i="2" s="1"/>
  <c r="DU219" i="2" a="1"/>
  <c r="DU219" i="2" s="1"/>
  <c r="DW219" i="2" s="1" a="1"/>
  <c r="DW219" i="2" s="1"/>
  <c r="DR220" i="2" a="1"/>
  <c r="DR220" i="2" s="1"/>
  <c r="DA220" i="2"/>
  <c r="DM220" i="2" s="1"/>
  <c r="DT196" i="2"/>
  <c r="DR208" i="2" a="1"/>
  <c r="DR208" i="2" s="1"/>
  <c r="DR210" i="2" a="1"/>
  <c r="DR210" i="2" s="1"/>
  <c r="DU217" i="2" a="1"/>
  <c r="DU217" i="2" s="1"/>
  <c r="DW217" i="2" s="1" a="1"/>
  <c r="DW217" i="2" s="1"/>
  <c r="DA218" i="2"/>
  <c r="DR218" i="2" a="1"/>
  <c r="DR218" i="2" s="1"/>
  <c r="DT201" i="2"/>
  <c r="DU201" i="2" s="1" a="1"/>
  <c r="DU201" i="2" s="1"/>
  <c r="DW201" i="2" s="1" a="1"/>
  <c r="DW201" i="2" s="1"/>
  <c r="DA214" i="2"/>
  <c r="DM214" i="2" s="1"/>
  <c r="DR214" i="2" a="1"/>
  <c r="DR214" i="2" s="1"/>
  <c r="DA215" i="2"/>
  <c r="DM215" i="2" s="1"/>
  <c r="DR215" i="2" a="1"/>
  <c r="DR215" i="2" s="1"/>
  <c r="DU198" i="2" a="1"/>
  <c r="DU198" i="2" s="1"/>
  <c r="DW198" i="2" s="1" a="1"/>
  <c r="DW198" i="2" s="1"/>
  <c r="DT199" i="2"/>
  <c r="DU199" i="2" s="1" a="1"/>
  <c r="DU199" i="2" s="1"/>
  <c r="DW199" i="2" s="1" a="1"/>
  <c r="DW199" i="2" s="1"/>
  <c r="DT200" i="2"/>
  <c r="DU200" i="2" s="1" a="1"/>
  <c r="DU200" i="2" s="1"/>
  <c r="DW200" i="2" s="1" a="1"/>
  <c r="DW200" i="2" s="1"/>
  <c r="DR212" i="2" a="1"/>
  <c r="DR212" i="2" s="1"/>
  <c r="DT215" i="2"/>
  <c r="DU215" i="2" s="1" a="1"/>
  <c r="DU215" i="2" s="1"/>
  <c r="DW215" i="2" s="1" a="1"/>
  <c r="DW215" i="2" s="1"/>
  <c r="DT203" i="2"/>
  <c r="DT211" i="2"/>
  <c r="DU211" i="2" a="1"/>
  <c r="DU211" i="2" s="1"/>
  <c r="DW211" i="2" s="1" a="1"/>
  <c r="DW211" i="2" s="1"/>
  <c r="DA213" i="2"/>
  <c r="DM213" i="2" s="1"/>
  <c r="DR213" i="2" a="1"/>
  <c r="DR213" i="2" s="1"/>
  <c r="DA219" i="2"/>
  <c r="DM219" i="2" s="1"/>
  <c r="DR219" i="2" a="1"/>
  <c r="DR219" i="2" s="1"/>
  <c r="DT205" i="2"/>
  <c r="DT207" i="2"/>
  <c r="DU207" i="2" s="1" a="1"/>
  <c r="DU207" i="2" s="1"/>
  <c r="DW207" i="2" s="1" a="1"/>
  <c r="DW207" i="2" s="1"/>
  <c r="DT209" i="2"/>
  <c r="DU209" i="2" s="1" a="1"/>
  <c r="DU209" i="2" s="1"/>
  <c r="DW209" i="2" s="1" a="1"/>
  <c r="DW209" i="2" s="1"/>
  <c r="DU210" i="2" a="1"/>
  <c r="DU210" i="2" s="1"/>
  <c r="DW210" i="2" s="1" a="1"/>
  <c r="DW210" i="2" s="1"/>
  <c r="DT204" i="2"/>
  <c r="DU204" i="2" s="1" a="1"/>
  <c r="DU204" i="2" s="1"/>
  <c r="DW204" i="2" s="1" a="1"/>
  <c r="DW204" i="2" s="1"/>
  <c r="DT206" i="2"/>
  <c r="DT208" i="2"/>
  <c r="DU208" i="2" s="1" a="1"/>
  <c r="DU208" i="2" s="1"/>
  <c r="DW208" i="2" s="1" a="1"/>
  <c r="DW208" i="2" s="1"/>
  <c r="DT210" i="2"/>
  <c r="DT212" i="2"/>
  <c r="DU212" i="2" s="1" a="1"/>
  <c r="DU212" i="2" s="1"/>
  <c r="DW212" i="2" s="1" a="1"/>
  <c r="DW212" i="2" s="1"/>
  <c r="DT214" i="2"/>
  <c r="DU214" i="2" s="1" a="1"/>
  <c r="DU214" i="2" s="1"/>
  <c r="DW214" i="2" s="1" a="1"/>
  <c r="DW214" i="2" s="1"/>
  <c r="DT216" i="2"/>
  <c r="DU216" i="2" s="1" a="1"/>
  <c r="DU216" i="2" s="1"/>
  <c r="DW216" i="2" s="1" a="1"/>
  <c r="DW216" i="2" s="1"/>
  <c r="DB218" i="2"/>
  <c r="DU220" i="2" a="1"/>
  <c r="DU220" i="2" s="1"/>
  <c r="DW220" i="2" s="1" a="1"/>
  <c r="DW220" i="2" s="1"/>
  <c r="DT220" i="2"/>
  <c r="DT217" i="2"/>
  <c r="DT219" i="2"/>
  <c r="DR7" i="2" a="1"/>
  <c r="DR7" i="2" s="1"/>
  <c r="DA7" i="2"/>
  <c r="DM7" i="2" s="1"/>
  <c r="DT7" i="2"/>
  <c r="DU7" i="2" s="1" a="1"/>
  <c r="DU7" i="2" s="1"/>
  <c r="DW7" i="2" s="1" a="1"/>
  <c r="DW7" i="2" s="1"/>
  <c r="DR8" i="2" a="1"/>
  <c r="DR8" i="2" s="1"/>
  <c r="DA8" i="2"/>
  <c r="DB8" i="2"/>
  <c r="CU88" i="2"/>
  <c r="DR88" i="2" s="1" a="1"/>
  <c r="DR88" i="2" s="1"/>
  <c r="CU95" i="2"/>
  <c r="DA95" i="2" s="1"/>
  <c r="J96" i="2"/>
  <c r="CU96" i="2"/>
  <c r="DR96" i="2" s="1" a="1"/>
  <c r="DR96" i="2" s="1"/>
  <c r="J103" i="2"/>
  <c r="J91" i="2"/>
  <c r="J98" i="2"/>
  <c r="J95" i="2"/>
  <c r="J101" i="2"/>
  <c r="J89" i="2"/>
  <c r="CU92" i="2"/>
  <c r="DA92" i="2" s="1"/>
  <c r="J102" i="2"/>
  <c r="J106" i="2"/>
  <c r="J99" i="2"/>
  <c r="DB88" i="2"/>
  <c r="J90" i="2"/>
  <c r="J97" i="2"/>
  <c r="CU90" i="2"/>
  <c r="DR90" i="2" s="1" a="1"/>
  <c r="DR90" i="2" s="1"/>
  <c r="J93" i="2"/>
  <c r="CU93" i="2"/>
  <c r="DT93" i="2" s="1"/>
  <c r="CU99" i="2"/>
  <c r="DA99" i="2" s="1"/>
  <c r="DM99" i="2" s="1"/>
  <c r="J100" i="2"/>
  <c r="J105" i="2"/>
  <c r="CU91" i="2"/>
  <c r="DA91" i="2" s="1"/>
  <c r="J92" i="2"/>
  <c r="CU98" i="2"/>
  <c r="DA98" i="2" s="1"/>
  <c r="CU100" i="2"/>
  <c r="DR100" i="2" s="1" a="1"/>
  <c r="DR100" i="2" s="1"/>
  <c r="CU94" i="2"/>
  <c r="DT94" i="2" s="1"/>
  <c r="CU101" i="2"/>
  <c r="DA101" i="2" s="1"/>
  <c r="DM101" i="2" s="1"/>
  <c r="J104" i="2"/>
  <c r="CU106" i="2"/>
  <c r="DR106" i="2" s="1" a="1"/>
  <c r="DR106" i="2" s="1"/>
  <c r="DB95" i="2"/>
  <c r="CU103" i="2"/>
  <c r="DR103" i="2" s="1" a="1"/>
  <c r="DR103" i="2" s="1"/>
  <c r="J88" i="2"/>
  <c r="J94" i="2"/>
  <c r="CU104" i="2"/>
  <c r="DR104" i="2" s="1" a="1"/>
  <c r="DR104" i="2" s="1"/>
  <c r="DB98" i="2"/>
  <c r="CU102" i="2"/>
  <c r="DA102" i="2" s="1"/>
  <c r="DM102" i="2" s="1"/>
  <c r="DB103" i="2"/>
  <c r="DO88" i="2" a="1"/>
  <c r="DO88" i="2" s="1"/>
  <c r="DO90" i="2" a="1"/>
  <c r="DO90" i="2" s="1"/>
  <c r="DT90" i="2"/>
  <c r="DA100" i="2"/>
  <c r="DO104" i="2" a="1"/>
  <c r="DO104" i="2" s="1"/>
  <c r="DP99" i="2" a="1"/>
  <c r="DP99" i="2" s="1"/>
  <c r="DO96" i="2" a="1"/>
  <c r="DO96" i="2" s="1"/>
  <c r="DO98" i="2" a="1"/>
  <c r="DO98" i="2" s="1"/>
  <c r="DB92" i="2"/>
  <c r="DB100" i="2"/>
  <c r="DB106" i="2"/>
  <c r="CU89" i="2"/>
  <c r="CU97" i="2"/>
  <c r="CU105" i="2"/>
  <c r="J81" i="2"/>
  <c r="J53" i="2"/>
  <c r="J55" i="2"/>
  <c r="J78" i="2"/>
  <c r="J86" i="2"/>
  <c r="J47" i="2"/>
  <c r="J84" i="2"/>
  <c r="J18" i="2"/>
  <c r="J68" i="2"/>
  <c r="J36" i="2"/>
  <c r="J58" i="2"/>
  <c r="J44" i="2"/>
  <c r="CU40" i="2"/>
  <c r="DR40" i="2" s="1" a="1"/>
  <c r="DR40" i="2" s="1"/>
  <c r="J57" i="2"/>
  <c r="J71" i="2"/>
  <c r="J62" i="2"/>
  <c r="J38" i="2"/>
  <c r="CU48" i="2"/>
  <c r="DR48" i="2" s="1" a="1"/>
  <c r="DR48" i="2" s="1"/>
  <c r="J56" i="2"/>
  <c r="J63" i="2"/>
  <c r="CU49" i="2"/>
  <c r="DA49" i="2" s="1"/>
  <c r="DM49" i="2" s="1"/>
  <c r="J39" i="2"/>
  <c r="J46" i="2"/>
  <c r="CU21" i="2"/>
  <c r="DR21" i="2" s="1" a="1"/>
  <c r="DR21" i="2" s="1"/>
  <c r="J22" i="2"/>
  <c r="J34" i="2"/>
  <c r="J60" i="2"/>
  <c r="J31" i="2"/>
  <c r="J12" i="2"/>
  <c r="CU69" i="2"/>
  <c r="DA69" i="2" s="1"/>
  <c r="DM69" i="2" s="1"/>
  <c r="J15" i="2"/>
  <c r="J26" i="2"/>
  <c r="J52" i="2"/>
  <c r="J75" i="2"/>
  <c r="J48" i="2"/>
  <c r="J9" i="2"/>
  <c r="J17" i="2"/>
  <c r="J23" i="2"/>
  <c r="CU29" i="2"/>
  <c r="DR29" i="2" s="1" a="1"/>
  <c r="DR29" i="2" s="1"/>
  <c r="J37" i="2"/>
  <c r="CU39" i="2"/>
  <c r="DR39" i="2" s="1" a="1"/>
  <c r="DR39" i="2" s="1"/>
  <c r="CU65" i="2"/>
  <c r="DA65" i="2" s="1"/>
  <c r="J70" i="2"/>
  <c r="J73" i="2"/>
  <c r="CU76" i="2"/>
  <c r="DR76" i="2" s="1" a="1"/>
  <c r="DR76" i="2" s="1"/>
  <c r="J87" i="2"/>
  <c r="CU9" i="2"/>
  <c r="DR9" i="2" s="1" a="1"/>
  <c r="DR9" i="2" s="1"/>
  <c r="CU16" i="2"/>
  <c r="DA16" i="2" s="1"/>
  <c r="DM16" i="2" s="1"/>
  <c r="CU37" i="2"/>
  <c r="DT37" i="2" s="1"/>
  <c r="CU46" i="2"/>
  <c r="DA46" i="2" s="1"/>
  <c r="DM46" i="2" s="1"/>
  <c r="CU41" i="2"/>
  <c r="DA41" i="2" s="1"/>
  <c r="DM41" i="2" s="1"/>
  <c r="CU61" i="2"/>
  <c r="DA61" i="2" s="1"/>
  <c r="DM61" i="2" s="1"/>
  <c r="CU71" i="2"/>
  <c r="DR71" i="2" s="1" a="1"/>
  <c r="DR71" i="2" s="1"/>
  <c r="J79" i="2"/>
  <c r="CU57" i="2"/>
  <c r="DA57" i="2" s="1"/>
  <c r="CU13" i="2"/>
  <c r="DR13" i="2" s="1" a="1"/>
  <c r="DR13" i="2" s="1"/>
  <c r="J20" i="2"/>
  <c r="J43" i="2"/>
  <c r="J45" i="2"/>
  <c r="CU50" i="2"/>
  <c r="DA50" i="2" s="1"/>
  <c r="DM50" i="2" s="1"/>
  <c r="J54" i="2"/>
  <c r="J69" i="2"/>
  <c r="J74" i="2"/>
  <c r="DB76" i="2"/>
  <c r="CU42" i="2"/>
  <c r="DA42" i="2" s="1"/>
  <c r="DM42" i="2" s="1"/>
  <c r="CU87" i="2"/>
  <c r="DR87" i="2" s="1" a="1"/>
  <c r="DR87" i="2" s="1"/>
  <c r="CU14" i="2"/>
  <c r="DA14" i="2" s="1"/>
  <c r="DM14" i="2" s="1"/>
  <c r="J65" i="2"/>
  <c r="J76" i="2"/>
  <c r="CU79" i="2"/>
  <c r="DA79" i="2" s="1"/>
  <c r="DM79" i="2" s="1"/>
  <c r="DB9" i="2"/>
  <c r="J10" i="2"/>
  <c r="DB13" i="2"/>
  <c r="CU19" i="2"/>
  <c r="DT19" i="2" s="1"/>
  <c r="J61" i="2"/>
  <c r="J13" i="2"/>
  <c r="J14" i="2"/>
  <c r="CU27" i="2"/>
  <c r="DA27" i="2" s="1"/>
  <c r="DM27" i="2" s="1"/>
  <c r="CU56" i="2"/>
  <c r="DA56" i="2" s="1"/>
  <c r="CU58" i="2"/>
  <c r="DR58" i="2" s="1" a="1"/>
  <c r="DR58" i="2" s="1"/>
  <c r="CU66" i="2"/>
  <c r="DR66" i="2" s="1" a="1"/>
  <c r="DR66" i="2" s="1"/>
  <c r="CU77" i="2"/>
  <c r="DR77" i="2" s="1" a="1"/>
  <c r="DR77" i="2" s="1"/>
  <c r="CU24" i="2"/>
  <c r="DR24" i="2" s="1" a="1"/>
  <c r="DR24" i="2" s="1"/>
  <c r="J33" i="2"/>
  <c r="J35" i="2"/>
  <c r="J42" i="2"/>
  <c r="CU45" i="2"/>
  <c r="DR45" i="2" s="1" a="1"/>
  <c r="DR45" i="2" s="1"/>
  <c r="J49" i="2"/>
  <c r="J50" i="2"/>
  <c r="CU54" i="2"/>
  <c r="DA54" i="2" s="1"/>
  <c r="DM54" i="2" s="1"/>
  <c r="J59" i="2"/>
  <c r="CU64" i="2"/>
  <c r="DR64" i="2" s="1" a="1"/>
  <c r="DR64" i="2" s="1"/>
  <c r="CU84" i="2"/>
  <c r="DR84" i="2" s="1" a="1"/>
  <c r="DR84" i="2" s="1"/>
  <c r="CU17" i="2"/>
  <c r="DA17" i="2" s="1"/>
  <c r="DM17" i="2" s="1"/>
  <c r="J24" i="2"/>
  <c r="J28" i="2"/>
  <c r="J30" i="2"/>
  <c r="CU34" i="2"/>
  <c r="DR34" i="2" s="1" a="1"/>
  <c r="DR34" i="2" s="1"/>
  <c r="J40" i="2"/>
  <c r="J41" i="2"/>
  <c r="CU70" i="2"/>
  <c r="DA70" i="2" s="1"/>
  <c r="DM70" i="2" s="1"/>
  <c r="CU73" i="2"/>
  <c r="DR73" i="2" s="1" a="1"/>
  <c r="DR73" i="2" s="1"/>
  <c r="CU52" i="2"/>
  <c r="DR52" i="2" s="1" a="1"/>
  <c r="DR52" i="2" s="1"/>
  <c r="J64" i="2"/>
  <c r="DB65" i="2"/>
  <c r="J66" i="2"/>
  <c r="J67" i="2"/>
  <c r="CU75" i="2"/>
  <c r="DA75" i="2" s="1"/>
  <c r="CU82" i="2"/>
  <c r="DT82" i="2" s="1"/>
  <c r="J21" i="2"/>
  <c r="J25" i="2"/>
  <c r="J29" i="2"/>
  <c r="CU31" i="2"/>
  <c r="DR31" i="2" s="1" a="1"/>
  <c r="DR31" i="2" s="1"/>
  <c r="CU36" i="2"/>
  <c r="DT36" i="2" s="1"/>
  <c r="CU43" i="2"/>
  <c r="DT43" i="2" s="1"/>
  <c r="CU47" i="2"/>
  <c r="DA47" i="2" s="1"/>
  <c r="DM47" i="2" s="1"/>
  <c r="CU53" i="2"/>
  <c r="DR53" i="2" s="1" a="1"/>
  <c r="DR53" i="2" s="1"/>
  <c r="DB56" i="2"/>
  <c r="CU74" i="2"/>
  <c r="DR74" i="2" s="1" a="1"/>
  <c r="DR74" i="2" s="1"/>
  <c r="CU86" i="2"/>
  <c r="DR86" i="2" s="1" a="1"/>
  <c r="DR86" i="2" s="1"/>
  <c r="CU10" i="2"/>
  <c r="DT10" i="2" s="1"/>
  <c r="CU23" i="2"/>
  <c r="DR23" i="2" s="1" a="1"/>
  <c r="DR23" i="2" s="1"/>
  <c r="CU32" i="2"/>
  <c r="DR32" i="2" s="1" a="1"/>
  <c r="DR32" i="2" s="1"/>
  <c r="CU55" i="2"/>
  <c r="DA55" i="2" s="1"/>
  <c r="DM55" i="2" s="1"/>
  <c r="CU78" i="2"/>
  <c r="DR78" i="2" s="1" a="1"/>
  <c r="DR78" i="2" s="1"/>
  <c r="CU81" i="2"/>
  <c r="DR81" i="2" s="1" a="1"/>
  <c r="DR81" i="2" s="1"/>
  <c r="J83" i="2"/>
  <c r="DP13" i="2" a="1"/>
  <c r="DP13" i="2" s="1"/>
  <c r="DP11" i="2" a="1"/>
  <c r="DP11" i="2" s="1"/>
  <c r="DS9" i="2" a="1"/>
  <c r="DS9" i="2" s="1"/>
  <c r="C4" i="2"/>
  <c r="EE7" i="2"/>
  <c r="J27" i="2"/>
  <c r="DB22" i="2"/>
  <c r="CU22" i="2"/>
  <c r="DB25" i="2"/>
  <c r="CU25" i="2"/>
  <c r="CU26" i="2"/>
  <c r="DB26" i="2"/>
  <c r="DP32" i="2" a="1"/>
  <c r="DP32" i="2" s="1"/>
  <c r="J16" i="2"/>
  <c r="CU18" i="2"/>
  <c r="DB18" i="2"/>
  <c r="DO21" i="2" a="1"/>
  <c r="DO21" i="2" s="1"/>
  <c r="CU15" i="2"/>
  <c r="DB15" i="2"/>
  <c r="CU11" i="2"/>
  <c r="CU12" i="2"/>
  <c r="DB12" i="2"/>
  <c r="J11" i="2"/>
  <c r="J19" i="2"/>
  <c r="DO40" i="2" a="1"/>
  <c r="DO40" i="2" s="1"/>
  <c r="DO48" i="2" a="1"/>
  <c r="DO48" i="2" s="1"/>
  <c r="CU33" i="2"/>
  <c r="DB33" i="2"/>
  <c r="CU35" i="2"/>
  <c r="DT35" i="2" s="1"/>
  <c r="DQ50" i="2" a="1"/>
  <c r="DQ50" i="2" s="1"/>
  <c r="DP52" i="2" a="1"/>
  <c r="DP52" i="2" s="1"/>
  <c r="CU38" i="2"/>
  <c r="CU30" i="2"/>
  <c r="DB39" i="2"/>
  <c r="CU20" i="2"/>
  <c r="CU28" i="2"/>
  <c r="DB31" i="2"/>
  <c r="J32" i="2"/>
  <c r="DO61" i="2" a="1"/>
  <c r="DO61" i="2" s="1"/>
  <c r="CU51" i="2"/>
  <c r="DB57" i="2"/>
  <c r="J51" i="2"/>
  <c r="DO69" i="2" a="1"/>
  <c r="DO69" i="2" s="1"/>
  <c r="DS76" i="2" a="1"/>
  <c r="DS76" i="2" s="1"/>
  <c r="DO77" i="2" a="1"/>
  <c r="DO77" i="2" s="1"/>
  <c r="CU67" i="2"/>
  <c r="DB67" i="2"/>
  <c r="CU59" i="2"/>
  <c r="CU60" i="2"/>
  <c r="DT60" i="2" s="1"/>
  <c r="CU44" i="2"/>
  <c r="DT44" i="2" s="1"/>
  <c r="CU62" i="2"/>
  <c r="DB62" i="2"/>
  <c r="CU63" i="2"/>
  <c r="CU68" i="2"/>
  <c r="DT68" i="2" s="1"/>
  <c r="CU72" i="2"/>
  <c r="DT72" i="2" s="1"/>
  <c r="CU80" i="2"/>
  <c r="DT80" i="2" s="1"/>
  <c r="J82" i="2"/>
  <c r="J72" i="2"/>
  <c r="DB75" i="2"/>
  <c r="J80" i="2"/>
  <c r="DB78" i="2"/>
  <c r="J77" i="2"/>
  <c r="DB81" i="2"/>
  <c r="CU85" i="2"/>
  <c r="CU83" i="2"/>
  <c r="DT83" i="2" s="1"/>
  <c r="J85" i="2"/>
  <c r="DU162" i="2" l="1" a="1"/>
  <c r="DU162" i="2" s="1"/>
  <c r="DW162" i="2" s="1" a="1"/>
  <c r="DW162" i="2" s="1"/>
  <c r="DU125" i="2" a="1"/>
  <c r="DU125" i="2" s="1"/>
  <c r="DW125" i="2" s="1" a="1"/>
  <c r="DW125" i="2" s="1"/>
  <c r="DR187" i="2" a="1"/>
  <c r="DR187" i="2" s="1"/>
  <c r="DA187" i="2"/>
  <c r="DM187" i="2" s="1"/>
  <c r="DT168" i="2"/>
  <c r="DU168" i="2" s="1" a="1"/>
  <c r="DU168" i="2" s="1"/>
  <c r="DW168" i="2" s="1" a="1"/>
  <c r="DW168" i="2" s="1"/>
  <c r="DU170" i="2" a="1"/>
  <c r="DU170" i="2" s="1"/>
  <c r="DW170" i="2" s="1" a="1"/>
  <c r="DW170" i="2" s="1"/>
  <c r="DT170" i="2"/>
  <c r="DT165" i="2"/>
  <c r="DU165" i="2" a="1"/>
  <c r="DU165" i="2" s="1"/>
  <c r="DW165" i="2" s="1" a="1"/>
  <c r="DW165" i="2" s="1"/>
  <c r="DU158" i="2" a="1"/>
  <c r="DU158" i="2" s="1"/>
  <c r="DW158" i="2" s="1" a="1"/>
  <c r="DW158" i="2" s="1"/>
  <c r="DT158" i="2"/>
  <c r="DR122" i="2" a="1"/>
  <c r="DR122" i="2" s="1"/>
  <c r="DA122" i="2"/>
  <c r="DM122" i="2" s="1"/>
  <c r="DU132" i="2" a="1"/>
  <c r="DU132" i="2" s="1"/>
  <c r="DW132" i="2" s="1" a="1"/>
  <c r="DW132" i="2" s="1"/>
  <c r="DT122" i="2"/>
  <c r="DU122" i="2" s="1" a="1"/>
  <c r="DU122" i="2" s="1"/>
  <c r="DW122" i="2" s="1" a="1"/>
  <c r="DW122" i="2" s="1"/>
  <c r="DU149" i="2" a="1"/>
  <c r="DU149" i="2" s="1"/>
  <c r="DW149" i="2" s="1" a="1"/>
  <c r="DW149" i="2" s="1"/>
  <c r="DU107" i="2" a="1"/>
  <c r="DU107" i="2" s="1"/>
  <c r="DW107" i="2" s="1" a="1"/>
  <c r="DW107" i="2" s="1"/>
  <c r="DT218" i="2"/>
  <c r="DU218" i="2" s="1" a="1"/>
  <c r="DU218" i="2" s="1"/>
  <c r="DW218" i="2" s="1" a="1"/>
  <c r="DW218" i="2" s="1"/>
  <c r="DR172" i="2" a="1"/>
  <c r="DR172" i="2" s="1"/>
  <c r="DA172" i="2"/>
  <c r="DM172" i="2" s="1"/>
  <c r="DR179" i="2" a="1"/>
  <c r="DR179" i="2" s="1"/>
  <c r="DA179" i="2"/>
  <c r="DM179" i="2" s="1"/>
  <c r="DT166" i="2"/>
  <c r="DU166" i="2" s="1" a="1"/>
  <c r="DU166" i="2" s="1"/>
  <c r="DW166" i="2" s="1" a="1"/>
  <c r="DW166" i="2" s="1"/>
  <c r="DA168" i="2"/>
  <c r="DM168" i="2" s="1"/>
  <c r="DR168" i="2" a="1"/>
  <c r="DR168" i="2" s="1"/>
  <c r="DR170" i="2" a="1"/>
  <c r="DR170" i="2" s="1"/>
  <c r="DA170" i="2"/>
  <c r="DM170" i="2" s="1"/>
  <c r="DA165" i="2"/>
  <c r="DM165" i="2" s="1"/>
  <c r="DR165" i="2" a="1"/>
  <c r="DR165" i="2" s="1"/>
  <c r="DU159" i="2" a="1"/>
  <c r="DU159" i="2" s="1"/>
  <c r="DW159" i="2" s="1" a="1"/>
  <c r="DW159" i="2" s="1"/>
  <c r="DR112" i="2" a="1"/>
  <c r="DR112" i="2" s="1"/>
  <c r="DA112" i="2"/>
  <c r="DM112" i="2" s="1"/>
  <c r="DU133" i="2" a="1"/>
  <c r="DU133" i="2" s="1"/>
  <c r="DW133" i="2" s="1" a="1"/>
  <c r="DW133" i="2" s="1"/>
  <c r="DA125" i="2"/>
  <c r="DM125" i="2" s="1"/>
  <c r="DR125" i="2" a="1"/>
  <c r="DR125" i="2" s="1"/>
  <c r="DM218" i="2"/>
  <c r="DU186" i="2" a="1"/>
  <c r="DU186" i="2" s="1"/>
  <c r="DW186" i="2" s="1" a="1"/>
  <c r="DW186" i="2" s="1"/>
  <c r="DT185" i="2"/>
  <c r="DU185" i="2" s="1" a="1"/>
  <c r="DU185" i="2" s="1"/>
  <c r="DW185" i="2" s="1" a="1"/>
  <c r="DW185" i="2" s="1"/>
  <c r="DT171" i="2"/>
  <c r="DU171" i="2" s="1" a="1"/>
  <c r="DU171" i="2" s="1"/>
  <c r="DW171" i="2" s="1" a="1"/>
  <c r="DW171" i="2" s="1"/>
  <c r="DA166" i="2"/>
  <c r="DM166" i="2" s="1"/>
  <c r="DR166" i="2" a="1"/>
  <c r="DR166" i="2" s="1"/>
  <c r="DT163" i="2"/>
  <c r="DU163" i="2" s="1" a="1"/>
  <c r="DU163" i="2" s="1"/>
  <c r="DW163" i="2" s="1" a="1"/>
  <c r="DW163" i="2" s="1"/>
  <c r="DA171" i="2"/>
  <c r="DM171" i="2" s="1"/>
  <c r="DR171" i="2" a="1"/>
  <c r="DR171" i="2" s="1"/>
  <c r="DA153" i="2"/>
  <c r="DM153" i="2" s="1"/>
  <c r="DR153" i="2" a="1"/>
  <c r="DR153" i="2" s="1"/>
  <c r="DA155" i="2"/>
  <c r="DM155" i="2" s="1"/>
  <c r="DR155" i="2" a="1"/>
  <c r="DR155" i="2" s="1"/>
  <c r="DU205" i="2" a="1"/>
  <c r="DU205" i="2" s="1"/>
  <c r="DW205" i="2" s="1" a="1"/>
  <c r="DW205" i="2" s="1"/>
  <c r="DU203" i="2" a="1"/>
  <c r="DU203" i="2" s="1"/>
  <c r="DW203" i="2" s="1" a="1"/>
  <c r="DW203" i="2" s="1"/>
  <c r="DR193" i="2" a="1"/>
  <c r="DR193" i="2" s="1"/>
  <c r="DA193" i="2"/>
  <c r="DM193" i="2" s="1"/>
  <c r="DR162" i="2" a="1"/>
  <c r="DR162" i="2" s="1"/>
  <c r="DA162" i="2"/>
  <c r="DM162" i="2" s="1"/>
  <c r="DT167" i="2"/>
  <c r="DU155" i="2" a="1"/>
  <c r="DU155" i="2" s="1"/>
  <c r="DW155" i="2" s="1" a="1"/>
  <c r="DW155" i="2" s="1"/>
  <c r="DT155" i="2"/>
  <c r="DT153" i="2"/>
  <c r="DU153" i="2" s="1" a="1"/>
  <c r="DU153" i="2" s="1"/>
  <c r="DW153" i="2" s="1" a="1"/>
  <c r="DW153" i="2" s="1"/>
  <c r="DU135" i="2" a="1"/>
  <c r="DU135" i="2" s="1"/>
  <c r="DW135" i="2" s="1" a="1"/>
  <c r="DW135" i="2" s="1"/>
  <c r="DT135" i="2"/>
  <c r="DT112" i="2"/>
  <c r="DR115" i="2" a="1"/>
  <c r="DR115" i="2" s="1"/>
  <c r="DA115" i="2"/>
  <c r="DM115" i="2" s="1"/>
  <c r="DR137" i="2" a="1"/>
  <c r="DR137" i="2" s="1"/>
  <c r="DA137" i="2"/>
  <c r="DM137" i="2" s="1"/>
  <c r="DU196" i="2" a="1"/>
  <c r="DU196" i="2" s="1"/>
  <c r="DW196" i="2" s="1" a="1"/>
  <c r="DW196" i="2" s="1"/>
  <c r="DA117" i="2"/>
  <c r="DM117" i="2" s="1"/>
  <c r="DR117" i="2" a="1"/>
  <c r="DR117" i="2" s="1"/>
  <c r="DU183" i="2" a="1"/>
  <c r="DU183" i="2" s="1"/>
  <c r="DW183" i="2" s="1" a="1"/>
  <c r="DW183" i="2" s="1"/>
  <c r="DA167" i="2"/>
  <c r="DM167" i="2" s="1"/>
  <c r="DR167" i="2" a="1"/>
  <c r="DR167" i="2" s="1"/>
  <c r="DR110" i="2" a="1"/>
  <c r="DR110" i="2" s="1"/>
  <c r="DA110" i="2"/>
  <c r="DM110" i="2" s="1"/>
  <c r="DR129" i="2" a="1"/>
  <c r="DR129" i="2" s="1"/>
  <c r="DA129" i="2"/>
  <c r="DM129" i="2" s="1"/>
  <c r="DT137" i="2"/>
  <c r="DR182" i="2" a="1"/>
  <c r="DR182" i="2" s="1"/>
  <c r="DA182" i="2"/>
  <c r="DM182" i="2" s="1"/>
  <c r="DR163" i="2" a="1"/>
  <c r="DR163" i="2" s="1"/>
  <c r="DA163" i="2"/>
  <c r="DM163" i="2" s="1"/>
  <c r="DT117" i="2"/>
  <c r="DU213" i="2" a="1"/>
  <c r="DU213" i="2" s="1"/>
  <c r="DW213" i="2" s="1" a="1"/>
  <c r="DW213" i="2" s="1"/>
  <c r="DU179" i="2" a="1"/>
  <c r="DU179" i="2" s="1"/>
  <c r="DW179" i="2" s="1" a="1"/>
  <c r="DW179" i="2" s="1"/>
  <c r="DT179" i="2"/>
  <c r="DT182" i="2"/>
  <c r="DU174" i="2" a="1"/>
  <c r="DU174" i="2" s="1"/>
  <c r="DW174" i="2" s="1" a="1"/>
  <c r="DW174" i="2" s="1"/>
  <c r="DT174" i="2"/>
  <c r="DT169" i="2"/>
  <c r="DU169" i="2" a="1"/>
  <c r="DU169" i="2" s="1"/>
  <c r="DW169" i="2" s="1" a="1"/>
  <c r="DW169" i="2" s="1"/>
  <c r="DU151" i="2" a="1"/>
  <c r="DU151" i="2" s="1"/>
  <c r="DW151" i="2" s="1" a="1"/>
  <c r="DW151" i="2" s="1"/>
  <c r="DT131" i="2"/>
  <c r="DU131" i="2" s="1" a="1"/>
  <c r="DU131" i="2" s="1"/>
  <c r="DW131" i="2" s="1" a="1"/>
  <c r="DW131" i="2" s="1"/>
  <c r="DU138" i="2" a="1"/>
  <c r="DU138" i="2" s="1"/>
  <c r="DW138" i="2" s="1" a="1"/>
  <c r="DW138" i="2" s="1"/>
  <c r="DT129" i="2"/>
  <c r="DU206" i="2" a="1"/>
  <c r="DU206" i="2" s="1"/>
  <c r="DW206" i="2" s="1" a="1"/>
  <c r="DW206" i="2" s="1"/>
  <c r="DM185" i="2"/>
  <c r="DU187" i="2" a="1"/>
  <c r="DU187" i="2" s="1"/>
  <c r="DW187" i="2" s="1" a="1"/>
  <c r="DW187" i="2" s="1"/>
  <c r="DT187" i="2"/>
  <c r="DT172" i="2"/>
  <c r="DU172" i="2" s="1" a="1"/>
  <c r="DU172" i="2" s="1"/>
  <c r="DW172" i="2" s="1" a="1"/>
  <c r="DW172" i="2" s="1"/>
  <c r="DA174" i="2"/>
  <c r="DM174" i="2" s="1"/>
  <c r="DR174" i="2" a="1"/>
  <c r="DR174" i="2" s="1"/>
  <c r="DA169" i="2"/>
  <c r="DM169" i="2" s="1"/>
  <c r="DR169" i="2" a="1"/>
  <c r="DR169" i="2" s="1"/>
  <c r="DA158" i="2"/>
  <c r="DM158" i="2" s="1"/>
  <c r="DR158" i="2" a="1"/>
  <c r="DR158" i="2" s="1"/>
  <c r="DU140" i="2" a="1"/>
  <c r="DU140" i="2" s="1"/>
  <c r="DW140" i="2" s="1" a="1"/>
  <c r="DW140" i="2" s="1"/>
  <c r="DA127" i="2"/>
  <c r="DR127" i="2" a="1"/>
  <c r="DR127" i="2" s="1"/>
  <c r="DR108" i="2" a="1"/>
  <c r="DR108" i="2" s="1"/>
  <c r="DA108" i="2"/>
  <c r="DM108" i="2" s="1"/>
  <c r="DA124" i="2"/>
  <c r="DM124" i="2" s="1"/>
  <c r="DR124" i="2" a="1"/>
  <c r="DR124" i="2" s="1"/>
  <c r="DT108" i="2"/>
  <c r="DU108" i="2" s="1" a="1"/>
  <c r="DU108" i="2" s="1"/>
  <c r="DW108" i="2" s="1" a="1"/>
  <c r="DW108" i="2" s="1"/>
  <c r="DT8" i="2"/>
  <c r="DU8" i="2" s="1" a="1"/>
  <c r="DU8" i="2" s="1"/>
  <c r="DW8" i="2" s="1" a="1"/>
  <c r="DW8" i="2" s="1"/>
  <c r="DM8" i="2"/>
  <c r="DT95" i="2"/>
  <c r="DR95" i="2" a="1"/>
  <c r="DR95" i="2" s="1"/>
  <c r="DT103" i="2"/>
  <c r="DT88" i="2"/>
  <c r="DA88" i="2"/>
  <c r="DM88" i="2" s="1"/>
  <c r="DR92" i="2" a="1"/>
  <c r="DR92" i="2" s="1"/>
  <c r="DT42" i="2"/>
  <c r="DU42" i="2" s="1" a="1"/>
  <c r="DU42" i="2" s="1"/>
  <c r="DW42" i="2" s="1" a="1"/>
  <c r="DW42" i="2" s="1"/>
  <c r="DR42" i="2" a="1"/>
  <c r="DR42" i="2" s="1"/>
  <c r="DT102" i="2"/>
  <c r="DU102" i="2" s="1" a="1"/>
  <c r="DU102" i="2" s="1"/>
  <c r="DW102" i="2" s="1" a="1"/>
  <c r="DW102" i="2" s="1"/>
  <c r="DT96" i="2"/>
  <c r="DR102" i="2" a="1"/>
  <c r="DR102" i="2" s="1"/>
  <c r="DT16" i="2"/>
  <c r="DU16" i="2" s="1" a="1"/>
  <c r="DU16" i="2" s="1"/>
  <c r="DW16" i="2" s="1" a="1"/>
  <c r="DW16" i="2" s="1"/>
  <c r="DT101" i="2"/>
  <c r="DU101" i="2" s="1" a="1"/>
  <c r="DU101" i="2" s="1"/>
  <c r="DW101" i="2" s="1" a="1"/>
  <c r="DW101" i="2" s="1"/>
  <c r="DR101" i="2" a="1"/>
  <c r="DR101" i="2" s="1"/>
  <c r="DM92" i="2"/>
  <c r="DT91" i="2"/>
  <c r="DU91" i="2" s="1" a="1"/>
  <c r="DU91" i="2" s="1"/>
  <c r="DW91" i="2" s="1" a="1"/>
  <c r="DW91" i="2" s="1"/>
  <c r="DR91" i="2" a="1"/>
  <c r="DR91" i="2" s="1"/>
  <c r="DM98" i="2"/>
  <c r="DT65" i="2"/>
  <c r="DU65" i="2" s="1" a="1"/>
  <c r="DU65" i="2" s="1"/>
  <c r="DW65" i="2" s="1" a="1"/>
  <c r="DW65" i="2" s="1"/>
  <c r="DA96" i="2"/>
  <c r="DM96" i="2" s="1"/>
  <c r="DT99" i="2"/>
  <c r="DU99" i="2" s="1" a="1"/>
  <c r="DU99" i="2" s="1"/>
  <c r="DW99" i="2" s="1" a="1"/>
  <c r="DW99" i="2" s="1"/>
  <c r="DT104" i="2"/>
  <c r="DR94" i="2" a="1"/>
  <c r="DR94" i="2" s="1"/>
  <c r="DA104" i="2"/>
  <c r="DM104" i="2" s="1"/>
  <c r="DA94" i="2"/>
  <c r="DM94" i="2" s="1"/>
  <c r="DA93" i="2"/>
  <c r="DM93" i="2" s="1"/>
  <c r="DR93" i="2" a="1"/>
  <c r="DR93" i="2" s="1"/>
  <c r="DT98" i="2"/>
  <c r="DU98" i="2" s="1" a="1"/>
  <c r="DU98" i="2" s="1"/>
  <c r="DW98" i="2" s="1" a="1"/>
  <c r="DW98" i="2" s="1"/>
  <c r="DM91" i="2"/>
  <c r="DR98" i="2" a="1"/>
  <c r="DR98" i="2" s="1"/>
  <c r="DA90" i="2"/>
  <c r="DM90" i="2" s="1"/>
  <c r="DA103" i="2"/>
  <c r="DM103" i="2" s="1"/>
  <c r="DR99" i="2" a="1"/>
  <c r="DR99" i="2" s="1"/>
  <c r="DU95" i="2" a="1"/>
  <c r="DU95" i="2" s="1"/>
  <c r="DW95" i="2" s="1" a="1"/>
  <c r="DW95" i="2" s="1"/>
  <c r="DM95" i="2"/>
  <c r="DA106" i="2"/>
  <c r="DM106" i="2" s="1"/>
  <c r="DA105" i="2"/>
  <c r="DM105" i="2" s="1"/>
  <c r="DR105" i="2" a="1"/>
  <c r="DR105" i="2" s="1"/>
  <c r="DT105" i="2"/>
  <c r="DA97" i="2"/>
  <c r="DM97" i="2" s="1"/>
  <c r="DR97" i="2" a="1"/>
  <c r="DR97" i="2" s="1"/>
  <c r="DT97" i="2"/>
  <c r="DA89" i="2"/>
  <c r="DM89" i="2" s="1"/>
  <c r="DR89" i="2" a="1"/>
  <c r="DR89" i="2" s="1"/>
  <c r="DT100" i="2"/>
  <c r="DU100" i="2" s="1" a="1"/>
  <c r="DU100" i="2" s="1"/>
  <c r="DW100" i="2" s="1" a="1"/>
  <c r="DW100" i="2" s="1"/>
  <c r="DT92" i="2"/>
  <c r="DU92" i="2" s="1" a="1"/>
  <c r="DU92" i="2" s="1"/>
  <c r="DW92" i="2" s="1" a="1"/>
  <c r="DW92" i="2" s="1"/>
  <c r="DM100" i="2"/>
  <c r="DT106" i="2"/>
  <c r="DT89" i="2"/>
  <c r="DA87" i="2"/>
  <c r="DM87" i="2" s="1"/>
  <c r="DA82" i="2"/>
  <c r="DM82" i="2" s="1"/>
  <c r="DT87" i="2"/>
  <c r="DT29" i="2"/>
  <c r="DR75" i="2" a="1"/>
  <c r="DR75" i="2" s="1"/>
  <c r="DT50" i="2"/>
  <c r="DU50" i="2" s="1" a="1"/>
  <c r="DU50" i="2" s="1"/>
  <c r="DW50" i="2" s="1" a="1"/>
  <c r="DW50" i="2" s="1"/>
  <c r="DA78" i="2"/>
  <c r="DM78" i="2" s="1"/>
  <c r="DA66" i="2"/>
  <c r="DM66" i="2" s="1"/>
  <c r="DR46" i="2" a="1"/>
  <c r="DR46" i="2" s="1"/>
  <c r="DT52" i="2"/>
  <c r="DA58" i="2"/>
  <c r="DM58" i="2" s="1"/>
  <c r="DA9" i="2"/>
  <c r="DM9" i="2" s="1"/>
  <c r="DT9" i="2"/>
  <c r="DR49" i="2" a="1"/>
  <c r="DR49" i="2" s="1"/>
  <c r="DT49" i="2"/>
  <c r="DU49" i="2" s="1" a="1"/>
  <c r="DU49" i="2" s="1"/>
  <c r="DW49" i="2" s="1" a="1"/>
  <c r="DW49" i="2" s="1"/>
  <c r="DT48" i="2"/>
  <c r="DT66" i="2"/>
  <c r="DT40" i="2"/>
  <c r="DA40" i="2"/>
  <c r="DM40" i="2" s="1"/>
  <c r="DR57" i="2" a="1"/>
  <c r="DR57" i="2" s="1"/>
  <c r="DT61" i="2"/>
  <c r="DU61" i="2" s="1" a="1"/>
  <c r="DU61" i="2" s="1"/>
  <c r="DW61" i="2" s="1" a="1"/>
  <c r="DW61" i="2" s="1"/>
  <c r="DT76" i="2"/>
  <c r="DR61" i="2" a="1"/>
  <c r="DR61" i="2" s="1"/>
  <c r="DA39" i="2"/>
  <c r="DM39" i="2" s="1"/>
  <c r="DR65" i="2" a="1"/>
  <c r="DR65" i="2" s="1"/>
  <c r="DR37" i="2" a="1"/>
  <c r="DR37" i="2" s="1"/>
  <c r="DT45" i="2"/>
  <c r="DA73" i="2"/>
  <c r="DM73" i="2" s="1"/>
  <c r="DA77" i="2"/>
  <c r="DM77" i="2" s="1"/>
  <c r="DA37" i="2"/>
  <c r="DM37" i="2" s="1"/>
  <c r="DA21" i="2"/>
  <c r="DM21" i="2" s="1"/>
  <c r="DT21" i="2"/>
  <c r="DR16" i="2" a="1"/>
  <c r="DR16" i="2" s="1"/>
  <c r="DT74" i="2"/>
  <c r="DT32" i="2"/>
  <c r="DA74" i="2"/>
  <c r="DM74" i="2" s="1"/>
  <c r="DT46" i="2"/>
  <c r="DU46" i="2" s="1" a="1"/>
  <c r="DU46" i="2" s="1"/>
  <c r="DW46" i="2" s="1" a="1"/>
  <c r="DW46" i="2" s="1"/>
  <c r="DT73" i="2"/>
  <c r="DT17" i="2"/>
  <c r="DU17" i="2" s="1" a="1"/>
  <c r="DU17" i="2" s="1"/>
  <c r="DW17" i="2" s="1" a="1"/>
  <c r="DW17" i="2" s="1"/>
  <c r="DR56" i="2" a="1"/>
  <c r="DR56" i="2" s="1"/>
  <c r="DT69" i="2"/>
  <c r="DU69" i="2" s="1" a="1"/>
  <c r="DU69" i="2" s="1"/>
  <c r="DW69" i="2" s="1" a="1"/>
  <c r="DW69" i="2" s="1"/>
  <c r="DR69" i="2" a="1"/>
  <c r="DR69" i="2" s="1"/>
  <c r="DT84" i="2"/>
  <c r="DR82" i="2" a="1"/>
  <c r="DR82" i="2" s="1"/>
  <c r="DT77" i="2"/>
  <c r="DR17" i="2" a="1"/>
  <c r="DR17" i="2" s="1"/>
  <c r="DR14" i="2" a="1"/>
  <c r="DR14" i="2" s="1"/>
  <c r="DT55" i="2"/>
  <c r="DU55" i="2" s="1" a="1"/>
  <c r="DU55" i="2" s="1"/>
  <c r="DW55" i="2" s="1" a="1"/>
  <c r="DW55" i="2" s="1"/>
  <c r="DR55" i="2" a="1"/>
  <c r="DR55" i="2" s="1"/>
  <c r="DA13" i="2"/>
  <c r="DM13" i="2" s="1"/>
  <c r="DA81" i="2"/>
  <c r="DM81" i="2" s="1"/>
  <c r="DT79" i="2"/>
  <c r="DU79" i="2" s="1" a="1"/>
  <c r="DU79" i="2" s="1"/>
  <c r="DW79" i="2" s="1" a="1"/>
  <c r="DW79" i="2" s="1"/>
  <c r="DA48" i="2"/>
  <c r="DM48" i="2" s="1"/>
  <c r="DT41" i="2"/>
  <c r="DU41" i="2" s="1" a="1"/>
  <c r="DU41" i="2" s="1"/>
  <c r="DW41" i="2" s="1" a="1"/>
  <c r="DW41" i="2" s="1"/>
  <c r="DT14" i="2"/>
  <c r="DU14" i="2" s="1" a="1"/>
  <c r="DU14" i="2" s="1"/>
  <c r="DW14" i="2" s="1" a="1"/>
  <c r="DW14" i="2" s="1"/>
  <c r="DA24" i="2"/>
  <c r="DM24" i="2" s="1"/>
  <c r="DA76" i="2"/>
  <c r="DM76" i="2" s="1"/>
  <c r="DR50" i="2" a="1"/>
  <c r="DR50" i="2" s="1"/>
  <c r="DA43" i="2"/>
  <c r="DM43" i="2" s="1"/>
  <c r="DA23" i="2"/>
  <c r="DM23" i="2" s="1"/>
  <c r="DT13" i="2"/>
  <c r="DT64" i="2"/>
  <c r="DR41" i="2" a="1"/>
  <c r="DR41" i="2" s="1"/>
  <c r="DA52" i="2"/>
  <c r="DM52" i="2" s="1"/>
  <c r="DA19" i="2"/>
  <c r="DM19" i="2" s="1"/>
  <c r="DR79" i="2" a="1"/>
  <c r="DR79" i="2" s="1"/>
  <c r="DR47" i="2" a="1"/>
  <c r="DR47" i="2" s="1"/>
  <c r="DA45" i="2"/>
  <c r="DM45" i="2" s="1"/>
  <c r="DR19" i="2" a="1"/>
  <c r="DR19" i="2" s="1"/>
  <c r="DM56" i="2"/>
  <c r="DT23" i="2"/>
  <c r="DT34" i="2"/>
  <c r="DT56" i="2"/>
  <c r="DU56" i="2" s="1" a="1"/>
  <c r="DU56" i="2" s="1"/>
  <c r="DW56" i="2" s="1" a="1"/>
  <c r="DW56" i="2" s="1"/>
  <c r="DA32" i="2"/>
  <c r="DM32" i="2" s="1"/>
  <c r="DA84" i="2"/>
  <c r="DM84" i="2" s="1"/>
  <c r="DT70" i="2"/>
  <c r="DU70" i="2" s="1" a="1"/>
  <c r="DU70" i="2" s="1"/>
  <c r="DW70" i="2" s="1" a="1"/>
  <c r="DW70" i="2" s="1"/>
  <c r="DT47" i="2"/>
  <c r="DU47" i="2" s="1" a="1"/>
  <c r="DU47" i="2" s="1"/>
  <c r="DW47" i="2" s="1" a="1"/>
  <c r="DW47" i="2" s="1"/>
  <c r="DM65" i="2"/>
  <c r="DT27" i="2"/>
  <c r="DU27" i="2" s="1" a="1"/>
  <c r="DU27" i="2" s="1"/>
  <c r="DW27" i="2" s="1" a="1"/>
  <c r="DW27" i="2" s="1"/>
  <c r="DR27" i="2" a="1"/>
  <c r="DR27" i="2" s="1"/>
  <c r="DA71" i="2"/>
  <c r="DM71" i="2" s="1"/>
  <c r="DT58" i="2"/>
  <c r="DA53" i="2"/>
  <c r="DM53" i="2" s="1"/>
  <c r="DA34" i="2"/>
  <c r="DM34" i="2" s="1"/>
  <c r="DA29" i="2"/>
  <c r="DM29" i="2" s="1"/>
  <c r="DA64" i="2"/>
  <c r="DM64" i="2" s="1"/>
  <c r="DR70" i="2" a="1"/>
  <c r="DR70" i="2" s="1"/>
  <c r="DT71" i="2"/>
  <c r="DA10" i="2"/>
  <c r="DM10" i="2" s="1"/>
  <c r="DT53" i="2"/>
  <c r="DR10" i="2" a="1"/>
  <c r="DR10" i="2" s="1"/>
  <c r="DT54" i="2"/>
  <c r="DU54" i="2" s="1" a="1"/>
  <c r="DU54" i="2" s="1"/>
  <c r="DW54" i="2" s="1" a="1"/>
  <c r="DW54" i="2" s="1"/>
  <c r="DR43" i="2" a="1"/>
  <c r="DR43" i="2" s="1"/>
  <c r="DR54" i="2" a="1"/>
  <c r="DR54" i="2" s="1"/>
  <c r="DA36" i="2"/>
  <c r="DM36" i="2" s="1"/>
  <c r="DT86" i="2"/>
  <c r="DA86" i="2"/>
  <c r="DM86" i="2" s="1"/>
  <c r="DA31" i="2"/>
  <c r="DM31" i="2" s="1"/>
  <c r="DR36" i="2" a="1"/>
  <c r="DR36" i="2" s="1"/>
  <c r="DT24" i="2"/>
  <c r="DT81" i="2"/>
  <c r="DR59" i="2" a="1"/>
  <c r="DR59" i="2" s="1"/>
  <c r="DA59" i="2"/>
  <c r="DM59" i="2" s="1"/>
  <c r="DT67" i="2"/>
  <c r="DA28" i="2"/>
  <c r="DM28" i="2" s="1"/>
  <c r="DR28" i="2" a="1"/>
  <c r="DR28" i="2" s="1"/>
  <c r="DT33" i="2"/>
  <c r="DR15" i="2" a="1"/>
  <c r="DR15" i="2" s="1"/>
  <c r="DA15" i="2"/>
  <c r="DM15" i="2" s="1"/>
  <c r="DT18" i="2"/>
  <c r="DA67" i="2"/>
  <c r="DM67" i="2" s="1"/>
  <c r="DR67" i="2" a="1"/>
  <c r="DR67" i="2" s="1"/>
  <c r="DT57" i="2"/>
  <c r="DU57" i="2" s="1" a="1"/>
  <c r="DU57" i="2" s="1"/>
  <c r="DW57" i="2" s="1" a="1"/>
  <c r="DW57" i="2" s="1"/>
  <c r="DA30" i="2"/>
  <c r="DM30" i="2" s="1"/>
  <c r="DR30" i="2" a="1"/>
  <c r="DR30" i="2" s="1"/>
  <c r="DA33" i="2"/>
  <c r="DM33" i="2" s="1"/>
  <c r="DR33" i="2" a="1"/>
  <c r="DR33" i="2" s="1"/>
  <c r="DR18" i="2" a="1"/>
  <c r="DR18" i="2" s="1"/>
  <c r="DA18" i="2"/>
  <c r="DM18" i="2" s="1"/>
  <c r="DT26" i="2"/>
  <c r="DA25" i="2"/>
  <c r="DM25" i="2" s="1"/>
  <c r="DR25" i="2" a="1"/>
  <c r="DR25" i="2" s="1"/>
  <c r="DR63" i="2" a="1"/>
  <c r="DR63" i="2" s="1"/>
  <c r="DA63" i="2"/>
  <c r="DM63" i="2" s="1"/>
  <c r="DR51" i="2" a="1"/>
  <c r="DR51" i="2" s="1"/>
  <c r="DA51" i="2"/>
  <c r="DM51" i="2" s="1"/>
  <c r="DA20" i="2"/>
  <c r="DM20" i="2" s="1"/>
  <c r="DR20" i="2" a="1"/>
  <c r="DR20" i="2" s="1"/>
  <c r="DR26" i="2" a="1"/>
  <c r="DR26" i="2" s="1"/>
  <c r="DA26" i="2"/>
  <c r="DM26" i="2" s="1"/>
  <c r="DT25" i="2"/>
  <c r="DR72" i="2" a="1"/>
  <c r="DR72" i="2" s="1"/>
  <c r="DA72" i="2"/>
  <c r="DM72" i="2" s="1"/>
  <c r="DA38" i="2"/>
  <c r="DM38" i="2" s="1"/>
  <c r="DR38" i="2" a="1"/>
  <c r="DR38" i="2" s="1"/>
  <c r="DT12" i="2"/>
  <c r="DA83" i="2"/>
  <c r="DM83" i="2" s="1"/>
  <c r="DR83" i="2" a="1"/>
  <c r="DR83" i="2" s="1"/>
  <c r="DA85" i="2"/>
  <c r="DM85" i="2" s="1"/>
  <c r="DR85" i="2" a="1"/>
  <c r="DR85" i="2" s="1"/>
  <c r="DT78" i="2"/>
  <c r="DR44" i="2" a="1"/>
  <c r="DR44" i="2" s="1"/>
  <c r="DA44" i="2"/>
  <c r="DM44" i="2" s="1"/>
  <c r="DT38" i="2"/>
  <c r="DT28" i="2"/>
  <c r="DR11" i="2" a="1"/>
  <c r="DR11" i="2" s="1"/>
  <c r="DA11" i="2"/>
  <c r="DM11" i="2" s="1"/>
  <c r="DT62" i="2"/>
  <c r="DR68" i="2" a="1"/>
  <c r="DR68" i="2" s="1"/>
  <c r="DA68" i="2"/>
  <c r="DM68" i="2" s="1"/>
  <c r="DT63" i="2"/>
  <c r="DT75" i="2"/>
  <c r="DU75" i="2" s="1" a="1"/>
  <c r="DU75" i="2" s="1"/>
  <c r="DW75" i="2" s="1" a="1"/>
  <c r="DW75" i="2" s="1"/>
  <c r="DM75" i="2"/>
  <c r="DT51" i="2"/>
  <c r="DT39" i="2"/>
  <c r="DA22" i="2"/>
  <c r="DM22" i="2" s="1"/>
  <c r="DR22" i="2" a="1"/>
  <c r="DR22" i="2" s="1"/>
  <c r="C5" i="2"/>
  <c r="D4" i="2"/>
  <c r="DA62" i="2"/>
  <c r="DM62" i="2" s="1"/>
  <c r="DR62" i="2" a="1"/>
  <c r="DR62" i="2" s="1"/>
  <c r="DT30" i="2"/>
  <c r="DA12" i="2"/>
  <c r="DM12" i="2" s="1"/>
  <c r="DR12" i="2" a="1"/>
  <c r="DR12" i="2" s="1"/>
  <c r="DT85" i="2"/>
  <c r="DA80" i="2"/>
  <c r="DR80" i="2" a="1"/>
  <c r="DR80" i="2" s="1"/>
  <c r="DR60" i="2" a="1"/>
  <c r="DR60" i="2" s="1"/>
  <c r="DA60" i="2"/>
  <c r="DM60" i="2" s="1"/>
  <c r="DT59" i="2"/>
  <c r="DT31" i="2"/>
  <c r="DA35" i="2"/>
  <c r="DM35" i="2" s="1"/>
  <c r="DR35" i="2" a="1"/>
  <c r="DR35" i="2" s="1"/>
  <c r="DM57" i="2"/>
  <c r="DT15" i="2"/>
  <c r="DT20" i="2"/>
  <c r="DT22" i="2"/>
  <c r="DT11" i="2"/>
  <c r="DU129" i="2" l="1" a="1"/>
  <c r="DU129" i="2" s="1"/>
  <c r="DW129" i="2" s="1" a="1"/>
  <c r="DW129" i="2" s="1"/>
  <c r="DU137" i="2" a="1"/>
  <c r="DU137" i="2" s="1"/>
  <c r="DW137" i="2" s="1" a="1"/>
  <c r="DW137" i="2" s="1"/>
  <c r="DU115" i="2" a="1"/>
  <c r="DU115" i="2" s="1"/>
  <c r="DW115" i="2" s="1" a="1"/>
  <c r="DW115" i="2" s="1"/>
  <c r="DU110" i="2" a="1"/>
  <c r="DU110" i="2" s="1"/>
  <c r="DW110" i="2" s="1" a="1"/>
  <c r="DW110" i="2" s="1"/>
  <c r="DU117" i="2" a="1"/>
  <c r="DU117" i="2" s="1"/>
  <c r="DW117" i="2" s="1" a="1"/>
  <c r="DW117" i="2" s="1"/>
  <c r="DU182" i="2" a="1"/>
  <c r="DU182" i="2" s="1"/>
  <c r="DW182" i="2" s="1" a="1"/>
  <c r="DW182" i="2" s="1"/>
  <c r="DU167" i="2" a="1"/>
  <c r="DU167" i="2" s="1"/>
  <c r="DW167" i="2" s="1" a="1"/>
  <c r="DW167" i="2" s="1"/>
  <c r="DU193" i="2" a="1"/>
  <c r="DU193" i="2" s="1"/>
  <c r="DW193" i="2" s="1" a="1"/>
  <c r="DW193" i="2" s="1"/>
  <c r="DM127" i="2"/>
  <c r="DU127" i="2" a="1"/>
  <c r="DU127" i="2" s="1"/>
  <c r="DW127" i="2" s="1" a="1"/>
  <c r="DW127" i="2" s="1"/>
  <c r="DU112" i="2" a="1"/>
  <c r="DU112" i="2" s="1"/>
  <c r="DW112" i="2" s="1" a="1"/>
  <c r="DW112" i="2" s="1"/>
  <c r="DU124" i="2" a="1"/>
  <c r="DU124" i="2" s="1"/>
  <c r="DW124" i="2" s="1" a="1"/>
  <c r="DW124" i="2" s="1"/>
  <c r="DU88" i="2" a="1"/>
  <c r="DU88" i="2" s="1"/>
  <c r="DW88" i="2" s="1" a="1"/>
  <c r="DW88" i="2" s="1"/>
  <c r="DU103" i="2" a="1"/>
  <c r="DU103" i="2" s="1"/>
  <c r="DW103" i="2" s="1" a="1"/>
  <c r="DW103" i="2" s="1"/>
  <c r="DU96" i="2" a="1"/>
  <c r="DU96" i="2" s="1"/>
  <c r="DW96" i="2" s="1" a="1"/>
  <c r="DW96" i="2" s="1"/>
  <c r="DU87" i="2" a="1"/>
  <c r="DU87" i="2" s="1"/>
  <c r="DW87" i="2" s="1" a="1"/>
  <c r="DW87" i="2" s="1"/>
  <c r="DU97" i="2" a="1"/>
  <c r="DU97" i="2" s="1"/>
  <c r="DW97" i="2" s="1" a="1"/>
  <c r="DW97" i="2" s="1"/>
  <c r="DU104" i="2" a="1"/>
  <c r="DU104" i="2" s="1"/>
  <c r="DW104" i="2" s="1" a="1"/>
  <c r="DW104" i="2" s="1"/>
  <c r="DU93" i="2" a="1"/>
  <c r="DU93" i="2" s="1"/>
  <c r="DW93" i="2" s="1" a="1"/>
  <c r="DW93" i="2" s="1"/>
  <c r="DU94" i="2" a="1"/>
  <c r="DU94" i="2" s="1"/>
  <c r="DW94" i="2" s="1" a="1"/>
  <c r="DW94" i="2" s="1"/>
  <c r="DU90" i="2" a="1"/>
  <c r="DU90" i="2" s="1"/>
  <c r="DW90" i="2" s="1" a="1"/>
  <c r="DW90" i="2" s="1"/>
  <c r="DU105" i="2" a="1"/>
  <c r="DU105" i="2" s="1"/>
  <c r="DW105" i="2" s="1" a="1"/>
  <c r="DW105" i="2" s="1"/>
  <c r="DU82" i="2" a="1"/>
  <c r="DU82" i="2" s="1"/>
  <c r="DW82" i="2" s="1" a="1"/>
  <c r="DW82" i="2" s="1"/>
  <c r="DU106" i="2" a="1"/>
  <c r="DU106" i="2" s="1"/>
  <c r="DW106" i="2" s="1" a="1"/>
  <c r="DW106" i="2" s="1"/>
  <c r="DU89" i="2" a="1"/>
  <c r="DU89" i="2" s="1"/>
  <c r="DW89" i="2" s="1" a="1"/>
  <c r="DW89" i="2" s="1"/>
  <c r="DU21" i="2" a="1"/>
  <c r="DU21" i="2" s="1"/>
  <c r="DW21" i="2" s="1" a="1"/>
  <c r="DW21" i="2" s="1"/>
  <c r="DU37" i="2" a="1"/>
  <c r="DU37" i="2" s="1"/>
  <c r="DW37" i="2" s="1" a="1"/>
  <c r="DW37" i="2" s="1"/>
  <c r="DU74" i="2" a="1"/>
  <c r="DU74" i="2" s="1"/>
  <c r="DW74" i="2" s="1" a="1"/>
  <c r="DW74" i="2" s="1"/>
  <c r="DU78" i="2" a="1"/>
  <c r="DU78" i="2" s="1"/>
  <c r="DW78" i="2" s="1" a="1"/>
  <c r="DW78" i="2" s="1"/>
  <c r="DU40" i="2" a="1"/>
  <c r="DU40" i="2" s="1"/>
  <c r="DW40" i="2" s="1" a="1"/>
  <c r="DW40" i="2" s="1"/>
  <c r="DU66" i="2" a="1"/>
  <c r="DU66" i="2" s="1"/>
  <c r="DW66" i="2" s="1" a="1"/>
  <c r="DW66" i="2" s="1"/>
  <c r="DU77" i="2" a="1"/>
  <c r="DU77" i="2" s="1"/>
  <c r="DW77" i="2" s="1" a="1"/>
  <c r="DW77" i="2" s="1"/>
  <c r="DU58" i="2" a="1"/>
  <c r="DU58" i="2" s="1"/>
  <c r="DW58" i="2" s="1" a="1"/>
  <c r="DW58" i="2" s="1"/>
  <c r="DU9" i="2" a="1"/>
  <c r="DU9" i="2" s="1"/>
  <c r="DW9" i="2" s="1" a="1"/>
  <c r="DW9" i="2" s="1"/>
  <c r="DU24" i="2" a="1"/>
  <c r="DU24" i="2" s="1"/>
  <c r="DW24" i="2" s="1" a="1"/>
  <c r="DW24" i="2" s="1"/>
  <c r="DU39" i="2" a="1"/>
  <c r="DU39" i="2" s="1"/>
  <c r="DW39" i="2" s="1" a="1"/>
  <c r="DW39" i="2" s="1"/>
  <c r="DU73" i="2" a="1"/>
  <c r="DU73" i="2" s="1"/>
  <c r="DW73" i="2" s="1" a="1"/>
  <c r="DW73" i="2" s="1"/>
  <c r="DU48" i="2" a="1"/>
  <c r="DU48" i="2" s="1"/>
  <c r="DW48" i="2" s="1" a="1"/>
  <c r="DW48" i="2" s="1"/>
  <c r="DU53" i="2" a="1"/>
  <c r="DU53" i="2" s="1"/>
  <c r="DW53" i="2" s="1" a="1"/>
  <c r="DW53" i="2" s="1"/>
  <c r="DU76" i="2" a="1"/>
  <c r="DU76" i="2" s="1"/>
  <c r="DW76" i="2" s="1" a="1"/>
  <c r="DW76" i="2" s="1"/>
  <c r="DU23" i="2" a="1"/>
  <c r="DU23" i="2" s="1"/>
  <c r="DW23" i="2" s="1" a="1"/>
  <c r="DW23" i="2" s="1"/>
  <c r="DU52" i="2" a="1"/>
  <c r="DU52" i="2" s="1"/>
  <c r="DW52" i="2" s="1" a="1"/>
  <c r="DW52" i="2" s="1"/>
  <c r="DU31" i="2" a="1"/>
  <c r="DU31" i="2" s="1"/>
  <c r="DW31" i="2" s="1" a="1"/>
  <c r="DW31" i="2" s="1"/>
  <c r="DU86" i="2" a="1"/>
  <c r="DU86" i="2" s="1"/>
  <c r="DW86" i="2" s="1" a="1"/>
  <c r="DW86" i="2" s="1"/>
  <c r="DU13" i="2" a="1"/>
  <c r="DU13" i="2" s="1"/>
  <c r="DW13" i="2" s="1" a="1"/>
  <c r="DW13" i="2" s="1"/>
  <c r="DU59" i="2" a="1"/>
  <c r="DU59" i="2" s="1"/>
  <c r="DW59" i="2" s="1" a="1"/>
  <c r="DW59" i="2" s="1"/>
  <c r="DU19" i="2" a="1"/>
  <c r="DU19" i="2" s="1"/>
  <c r="DW19" i="2" s="1" a="1"/>
  <c r="DW19" i="2" s="1"/>
  <c r="DU71" i="2" a="1"/>
  <c r="DU71" i="2" s="1"/>
  <c r="DW71" i="2" s="1" a="1"/>
  <c r="DW71" i="2" s="1"/>
  <c r="DU28" i="2" a="1"/>
  <c r="DU28" i="2" s="1"/>
  <c r="DW28" i="2" s="1" a="1"/>
  <c r="DW28" i="2" s="1"/>
  <c r="DU63" i="2" a="1"/>
  <c r="DU63" i="2" s="1"/>
  <c r="DW63" i="2" s="1" a="1"/>
  <c r="DW63" i="2" s="1"/>
  <c r="DU43" i="2" a="1"/>
  <c r="DU43" i="2" s="1"/>
  <c r="DW43" i="2" s="1" a="1"/>
  <c r="DW43" i="2" s="1"/>
  <c r="DU36" i="2" a="1"/>
  <c r="DU36" i="2" s="1"/>
  <c r="DW36" i="2" s="1" a="1"/>
  <c r="DW36" i="2" s="1"/>
  <c r="DU38" i="2" a="1"/>
  <c r="DU38" i="2" s="1"/>
  <c r="DW38" i="2" s="1" a="1"/>
  <c r="DW38" i="2" s="1"/>
  <c r="DU45" i="2" a="1"/>
  <c r="DU45" i="2" s="1"/>
  <c r="DW45" i="2" s="1" a="1"/>
  <c r="DW45" i="2" s="1"/>
  <c r="DU81" i="2" a="1"/>
  <c r="DU81" i="2" s="1"/>
  <c r="DW81" i="2" s="1" a="1"/>
  <c r="DW81" i="2" s="1"/>
  <c r="DU10" i="2" a="1"/>
  <c r="DU10" i="2" s="1"/>
  <c r="DW10" i="2" s="1" a="1"/>
  <c r="DW10" i="2" s="1"/>
  <c r="DU34" i="2" a="1"/>
  <c r="DU34" i="2" s="1"/>
  <c r="DW34" i="2" s="1" a="1"/>
  <c r="DW34" i="2" s="1"/>
  <c r="DU64" i="2" a="1"/>
  <c r="DU64" i="2" s="1"/>
  <c r="DW64" i="2" s="1" a="1"/>
  <c r="DW64" i="2" s="1"/>
  <c r="DU32" i="2" a="1"/>
  <c r="DU32" i="2" s="1"/>
  <c r="DW32" i="2" s="1" a="1"/>
  <c r="DW32" i="2" s="1"/>
  <c r="DU22" i="2" a="1"/>
  <c r="DU22" i="2" s="1"/>
  <c r="DW22" i="2" s="1" a="1"/>
  <c r="DW22" i="2" s="1"/>
  <c r="DU15" i="2" a="1"/>
  <c r="DU15" i="2" s="1"/>
  <c r="DW15" i="2" s="1" a="1"/>
  <c r="DW15" i="2" s="1"/>
  <c r="DU26" i="2" a="1"/>
  <c r="DU26" i="2" s="1"/>
  <c r="DW26" i="2" s="1" a="1"/>
  <c r="DW26" i="2" s="1"/>
  <c r="DU84" i="2" a="1"/>
  <c r="DU84" i="2" s="1"/>
  <c r="DW84" i="2" s="1" a="1"/>
  <c r="DW84" i="2" s="1"/>
  <c r="DU20" i="2" a="1"/>
  <c r="DU20" i="2" s="1"/>
  <c r="DW20" i="2" s="1" a="1"/>
  <c r="DW20" i="2" s="1"/>
  <c r="DU29" i="2" a="1"/>
  <c r="DU29" i="2" s="1"/>
  <c r="DW29" i="2" s="1" a="1"/>
  <c r="DW29" i="2" s="1"/>
  <c r="DU30" i="2" a="1"/>
  <c r="DU30" i="2" s="1"/>
  <c r="DW30" i="2" s="1" a="1"/>
  <c r="DW30" i="2" s="1"/>
  <c r="DU12" i="2" a="1"/>
  <c r="DU12" i="2" s="1"/>
  <c r="DW12" i="2" s="1" a="1"/>
  <c r="DW12" i="2" s="1"/>
  <c r="DU33" i="2" a="1"/>
  <c r="DU33" i="2" s="1"/>
  <c r="DW33" i="2" s="1" a="1"/>
  <c r="DW33" i="2" s="1"/>
  <c r="DU11" i="2" a="1"/>
  <c r="DU11" i="2" s="1"/>
  <c r="DW11" i="2" s="1" a="1"/>
  <c r="DW11" i="2" s="1"/>
  <c r="DU25" i="2" a="1"/>
  <c r="DU25" i="2" s="1"/>
  <c r="DW25" i="2" s="1" a="1"/>
  <c r="DW25" i="2" s="1"/>
  <c r="DU51" i="2" a="1"/>
  <c r="DU51" i="2" s="1"/>
  <c r="DW51" i="2" s="1" a="1"/>
  <c r="DW51" i="2" s="1"/>
  <c r="DU85" i="2" a="1"/>
  <c r="DU85" i="2" s="1"/>
  <c r="DW85" i="2" s="1" a="1"/>
  <c r="DW85" i="2" s="1"/>
  <c r="E4" i="2"/>
  <c r="D5" i="2"/>
  <c r="DU62" i="2" a="1"/>
  <c r="DU62" i="2" s="1"/>
  <c r="DW62" i="2" s="1" a="1"/>
  <c r="DW62" i="2" s="1"/>
  <c r="DM80" i="2"/>
  <c r="DU80" i="2" a="1"/>
  <c r="DU80" i="2" s="1"/>
  <c r="DW80" i="2" s="1" a="1"/>
  <c r="DW80" i="2" s="1"/>
  <c r="DU68" i="2" a="1"/>
  <c r="DU68" i="2" s="1"/>
  <c r="DW68" i="2" s="1" a="1"/>
  <c r="DW68" i="2" s="1"/>
  <c r="DU60" i="2" a="1"/>
  <c r="DU60" i="2" s="1"/>
  <c r="DW60" i="2" s="1" a="1"/>
  <c r="DW60" i="2" s="1"/>
  <c r="DU44" i="2" a="1"/>
  <c r="DU44" i="2" s="1"/>
  <c r="DW44" i="2" s="1" a="1"/>
  <c r="DW44" i="2" s="1"/>
  <c r="DU18" i="2" a="1"/>
  <c r="DU18" i="2" s="1"/>
  <c r="DW18" i="2" s="1" a="1"/>
  <c r="DW18" i="2" s="1"/>
  <c r="DU72" i="2" a="1"/>
  <c r="DU72" i="2" s="1"/>
  <c r="DW72" i="2" s="1" a="1"/>
  <c r="DW72" i="2" s="1"/>
  <c r="DU67" i="2" a="1"/>
  <c r="DU67" i="2" s="1"/>
  <c r="DW67" i="2" s="1" a="1"/>
  <c r="DW67" i="2" s="1"/>
  <c r="DU35" i="2" a="1"/>
  <c r="DU35" i="2" s="1"/>
  <c r="DW35" i="2" s="1" a="1"/>
  <c r="DW35" i="2" s="1"/>
  <c r="DU83" i="2" a="1"/>
  <c r="DU83" i="2" s="1"/>
  <c r="DW83" i="2" s="1" a="1"/>
  <c r="DW83" i="2" s="1"/>
  <c r="A60" i="4" l="1" a="1"/>
  <c r="A68" i="4" s="1"/>
  <c r="F30" i="4" a="1"/>
  <c r="F30" i="4" s="1"/>
  <c r="F60" i="4" a="1"/>
  <c r="F71" i="4" s="1"/>
  <c r="A30" i="4" a="1"/>
  <c r="A30" i="4" s="1"/>
  <c r="C30" i="4" a="1"/>
  <c r="C30" i="4" s="1"/>
  <c r="E115" i="4" a="1"/>
  <c r="E115" i="4" s="1"/>
  <c r="F115" i="4" a="1"/>
  <c r="F115" i="4" s="1"/>
  <c r="F4" i="2"/>
  <c r="E5" i="2"/>
  <c r="E60" i="4" a="1"/>
  <c r="H30" i="4" a="1"/>
  <c r="H30" i="4" s="1"/>
  <c r="C5" i="4" a="1"/>
  <c r="C5" i="4" s="1"/>
  <c r="B30" i="4" a="1"/>
  <c r="B30" i="4" s="1"/>
  <c r="E5" i="4" a="1"/>
  <c r="E5" i="4" s="1"/>
  <c r="G5" i="4" a="1"/>
  <c r="G5" i="4" s="1"/>
  <c r="D60" i="4" a="1"/>
  <c r="B115" i="4" a="1"/>
  <c r="B115" i="4" s="1"/>
  <c r="B5" i="4" a="1"/>
  <c r="B5" i="4" s="1"/>
  <c r="D115" i="4" a="1"/>
  <c r="D115" i="4" s="1"/>
  <c r="A115" i="4" a="1"/>
  <c r="A115" i="4" s="1"/>
  <c r="D30" i="4" a="1"/>
  <c r="D30" i="4" s="1"/>
  <c r="B60" i="4" a="1"/>
  <c r="C60" i="4" a="1"/>
  <c r="E30" i="4" a="1"/>
  <c r="E30" i="4" s="1"/>
  <c r="D5" i="4" a="1"/>
  <c r="D5" i="4" s="1"/>
  <c r="G30" i="4" a="1"/>
  <c r="G30" i="4" s="1"/>
  <c r="F5" i="4" a="1"/>
  <c r="F5" i="4" s="1"/>
  <c r="C115" i="4" a="1"/>
  <c r="C115" i="4" s="1"/>
  <c r="EF7" i="2"/>
  <c r="A5" i="4" a="1"/>
  <c r="A5" i="4" s="1"/>
  <c r="A74" i="4" l="1"/>
  <c r="F94" i="4"/>
  <c r="F64" i="4"/>
  <c r="F89" i="4"/>
  <c r="F102" i="4"/>
  <c r="A64" i="4"/>
  <c r="F72" i="4"/>
  <c r="A76" i="4"/>
  <c r="F77" i="4"/>
  <c r="A88" i="4"/>
  <c r="A61" i="4"/>
  <c r="A94" i="4"/>
  <c r="F106" i="4"/>
  <c r="A105" i="4"/>
  <c r="F81" i="4"/>
  <c r="A80" i="4"/>
  <c r="A70" i="4"/>
  <c r="A107" i="4"/>
  <c r="F85" i="4"/>
  <c r="A96" i="4"/>
  <c r="F107" i="4"/>
  <c r="A63" i="4"/>
  <c r="A82" i="4"/>
  <c r="F98" i="4"/>
  <c r="A78" i="4"/>
  <c r="A66" i="4"/>
  <c r="A77" i="4"/>
  <c r="A71" i="4"/>
  <c r="A104" i="4"/>
  <c r="A98" i="4"/>
  <c r="A84" i="4"/>
  <c r="A93" i="4"/>
  <c r="A79" i="4"/>
  <c r="A65" i="4"/>
  <c r="A60" i="4"/>
  <c r="A92" i="4"/>
  <c r="A101" i="4"/>
  <c r="A87" i="4"/>
  <c r="A81" i="4"/>
  <c r="A67" i="4"/>
  <c r="A100" i="4"/>
  <c r="F68" i="4"/>
  <c r="A62" i="4"/>
  <c r="A95" i="4"/>
  <c r="A97" i="4"/>
  <c r="A75" i="4"/>
  <c r="A83" i="4"/>
  <c r="A91" i="4"/>
  <c r="F96" i="4"/>
  <c r="F66" i="4"/>
  <c r="F75" i="4"/>
  <c r="F92" i="4"/>
  <c r="F62" i="4"/>
  <c r="F79" i="4"/>
  <c r="F104" i="4"/>
  <c r="F74" i="4"/>
  <c r="F83" i="4"/>
  <c r="F100" i="4"/>
  <c r="F70" i="4"/>
  <c r="F87" i="4"/>
  <c r="F65" i="4"/>
  <c r="F82" i="4"/>
  <c r="F91" i="4"/>
  <c r="F61" i="4"/>
  <c r="F78" i="4"/>
  <c r="F95" i="4"/>
  <c r="F73" i="4"/>
  <c r="F90" i="4"/>
  <c r="F99" i="4"/>
  <c r="F69" i="4"/>
  <c r="F86" i="4"/>
  <c r="F103" i="4"/>
  <c r="A69" i="4"/>
  <c r="A86" i="4"/>
  <c r="A103" i="4"/>
  <c r="A73" i="4"/>
  <c r="A90" i="4"/>
  <c r="A99" i="4"/>
  <c r="F80" i="4"/>
  <c r="F97" i="4"/>
  <c r="F60" i="4"/>
  <c r="F76" i="4"/>
  <c r="F93" i="4"/>
  <c r="F63" i="4"/>
  <c r="A85" i="4"/>
  <c r="A102" i="4"/>
  <c r="A72" i="4"/>
  <c r="A89" i="4"/>
  <c r="A106" i="4"/>
  <c r="F88" i="4"/>
  <c r="F105" i="4"/>
  <c r="F67" i="4"/>
  <c r="F84" i="4"/>
  <c r="F101" i="4"/>
  <c r="B107" i="4"/>
  <c r="B99" i="4"/>
  <c r="B91" i="4"/>
  <c r="B83" i="4"/>
  <c r="B75" i="4"/>
  <c r="B67" i="4"/>
  <c r="B60" i="4"/>
  <c r="B106" i="4"/>
  <c r="B98" i="4"/>
  <c r="B90" i="4"/>
  <c r="B82" i="4"/>
  <c r="B74" i="4"/>
  <c r="B66" i="4"/>
  <c r="B105" i="4"/>
  <c r="B97" i="4"/>
  <c r="B89" i="4"/>
  <c r="B81" i="4"/>
  <c r="B73" i="4"/>
  <c r="B65" i="4"/>
  <c r="B104" i="4"/>
  <c r="B96" i="4"/>
  <c r="B88" i="4"/>
  <c r="B80" i="4"/>
  <c r="B72" i="4"/>
  <c r="B64" i="4"/>
  <c r="B103" i="4"/>
  <c r="B95" i="4"/>
  <c r="B87" i="4"/>
  <c r="B79" i="4"/>
  <c r="B71" i="4"/>
  <c r="B63" i="4"/>
  <c r="B102" i="4"/>
  <c r="B94" i="4"/>
  <c r="B86" i="4"/>
  <c r="B78" i="4"/>
  <c r="B70" i="4"/>
  <c r="B62" i="4"/>
  <c r="B101" i="4"/>
  <c r="B93" i="4"/>
  <c r="B85" i="4"/>
  <c r="B77" i="4"/>
  <c r="B69" i="4"/>
  <c r="B61" i="4"/>
  <c r="B100" i="4"/>
  <c r="B92" i="4"/>
  <c r="B84" i="4"/>
  <c r="B76" i="4"/>
  <c r="B68" i="4"/>
  <c r="E104" i="4"/>
  <c r="E96" i="4"/>
  <c r="E88" i="4"/>
  <c r="E80" i="4"/>
  <c r="E72" i="4"/>
  <c r="E64" i="4"/>
  <c r="E103" i="4"/>
  <c r="E95" i="4"/>
  <c r="E87" i="4"/>
  <c r="E79" i="4"/>
  <c r="E71" i="4"/>
  <c r="E63" i="4"/>
  <c r="E102" i="4"/>
  <c r="E94" i="4"/>
  <c r="E86" i="4"/>
  <c r="E78" i="4"/>
  <c r="E70" i="4"/>
  <c r="E62" i="4"/>
  <c r="E101" i="4"/>
  <c r="E93" i="4"/>
  <c r="E85" i="4"/>
  <c r="E77" i="4"/>
  <c r="E69" i="4"/>
  <c r="E61" i="4"/>
  <c r="E100" i="4"/>
  <c r="E92" i="4"/>
  <c r="E84" i="4"/>
  <c r="E76" i="4"/>
  <c r="E68" i="4"/>
  <c r="E107" i="4"/>
  <c r="E99" i="4"/>
  <c r="E91" i="4"/>
  <c r="E83" i="4"/>
  <c r="E75" i="4"/>
  <c r="E67" i="4"/>
  <c r="E60" i="4"/>
  <c r="E106" i="4"/>
  <c r="E98" i="4"/>
  <c r="E90" i="4"/>
  <c r="E82" i="4"/>
  <c r="E74" i="4"/>
  <c r="E66" i="4"/>
  <c r="E105" i="4"/>
  <c r="E97" i="4"/>
  <c r="E89" i="4"/>
  <c r="E81" i="4"/>
  <c r="E73" i="4"/>
  <c r="E65" i="4"/>
  <c r="C106" i="4"/>
  <c r="C98" i="4"/>
  <c r="C90" i="4"/>
  <c r="C82" i="4"/>
  <c r="C74" i="4"/>
  <c r="C66" i="4"/>
  <c r="C105" i="4"/>
  <c r="C97" i="4"/>
  <c r="C89" i="4"/>
  <c r="C81" i="4"/>
  <c r="C73" i="4"/>
  <c r="C65" i="4"/>
  <c r="C104" i="4"/>
  <c r="C96" i="4"/>
  <c r="C88" i="4"/>
  <c r="C80" i="4"/>
  <c r="C72" i="4"/>
  <c r="C64" i="4"/>
  <c r="C103" i="4"/>
  <c r="C95" i="4"/>
  <c r="C87" i="4"/>
  <c r="C79" i="4"/>
  <c r="C71" i="4"/>
  <c r="C63" i="4"/>
  <c r="C102" i="4"/>
  <c r="C94" i="4"/>
  <c r="C86" i="4"/>
  <c r="C78" i="4"/>
  <c r="C70" i="4"/>
  <c r="C62" i="4"/>
  <c r="C101" i="4"/>
  <c r="C93" i="4"/>
  <c r="C85" i="4"/>
  <c r="C77" i="4"/>
  <c r="C69" i="4"/>
  <c r="C61" i="4"/>
  <c r="C100" i="4"/>
  <c r="C92" i="4"/>
  <c r="C84" i="4"/>
  <c r="C76" i="4"/>
  <c r="C68" i="4"/>
  <c r="C107" i="4"/>
  <c r="C99" i="4"/>
  <c r="C91" i="4"/>
  <c r="C83" i="4"/>
  <c r="C75" i="4"/>
  <c r="C67" i="4"/>
  <c r="C60" i="4"/>
  <c r="D105" i="4"/>
  <c r="D97" i="4"/>
  <c r="D89" i="4"/>
  <c r="D81" i="4"/>
  <c r="D73" i="4"/>
  <c r="D65" i="4"/>
  <c r="D104" i="4"/>
  <c r="D96" i="4"/>
  <c r="D88" i="4"/>
  <c r="D80" i="4"/>
  <c r="D72" i="4"/>
  <c r="D64" i="4"/>
  <c r="D103" i="4"/>
  <c r="D95" i="4"/>
  <c r="D87" i="4"/>
  <c r="D79" i="4"/>
  <c r="D71" i="4"/>
  <c r="D63" i="4"/>
  <c r="D102" i="4"/>
  <c r="D94" i="4"/>
  <c r="D86" i="4"/>
  <c r="D78" i="4"/>
  <c r="D70" i="4"/>
  <c r="D62" i="4"/>
  <c r="D101" i="4"/>
  <c r="D93" i="4"/>
  <c r="D85" i="4"/>
  <c r="D77" i="4"/>
  <c r="D69" i="4"/>
  <c r="D61" i="4"/>
  <c r="D100" i="4"/>
  <c r="D92" i="4"/>
  <c r="D84" i="4"/>
  <c r="D76" i="4"/>
  <c r="D68" i="4"/>
  <c r="D107" i="4"/>
  <c r="D99" i="4"/>
  <c r="D91" i="4"/>
  <c r="D83" i="4"/>
  <c r="D75" i="4"/>
  <c r="D67" i="4"/>
  <c r="D60" i="4"/>
  <c r="D106" i="4"/>
  <c r="D98" i="4"/>
  <c r="D90" i="4"/>
  <c r="D82" i="4"/>
  <c r="D74" i="4"/>
  <c r="D66" i="4"/>
  <c r="F5" i="2"/>
  <c r="G4" i="2"/>
  <c r="G5" i="2" l="1"/>
  <c r="H4" i="2"/>
  <c r="I4" i="2" l="1"/>
  <c r="H5" i="2"/>
  <c r="J4" i="2" l="1"/>
  <c r="I5" i="2"/>
  <c r="K4" i="2" l="1"/>
  <c r="J5" i="2"/>
  <c r="L4" i="2" l="1"/>
  <c r="K5" i="2"/>
  <c r="M4" i="2" l="1"/>
  <c r="L5" i="2"/>
  <c r="N4" i="2" l="1"/>
  <c r="M5" i="2"/>
  <c r="N5" i="2" l="1"/>
  <c r="O4" i="2"/>
  <c r="O5" i="2" l="1"/>
  <c r="P4" i="2"/>
  <c r="Q4" i="2" l="1"/>
  <c r="P5" i="2"/>
  <c r="Q5" i="2" l="1"/>
  <c r="R4" i="2"/>
  <c r="R5" i="2" l="1"/>
  <c r="S4" i="2"/>
  <c r="T4" i="2" l="1"/>
  <c r="S5" i="2"/>
  <c r="U4" i="2" l="1"/>
  <c r="T5" i="2"/>
  <c r="V4" i="2" l="1"/>
  <c r="U5" i="2"/>
  <c r="W4" i="2" l="1"/>
  <c r="V5" i="2"/>
  <c r="W5" i="2" l="1"/>
  <c r="X4" i="2"/>
  <c r="X5" i="2" l="1"/>
  <c r="Y4" i="2"/>
  <c r="Y5" i="2" l="1"/>
  <c r="Z4" i="2"/>
  <c r="AA4" i="2" l="1"/>
  <c r="Z5" i="2"/>
  <c r="AB4" i="2" l="1"/>
  <c r="AA5" i="2"/>
  <c r="AC4" i="2" l="1"/>
  <c r="AB5" i="2"/>
  <c r="AD4" i="2" l="1"/>
  <c r="AC5" i="2"/>
  <c r="AE4" i="2" l="1"/>
  <c r="AD5" i="2"/>
  <c r="AE5" i="2" l="1"/>
  <c r="AF4" i="2"/>
  <c r="AG4" i="2" l="1"/>
  <c r="AF5" i="2"/>
  <c r="AG5" i="2" l="1"/>
  <c r="AH4" i="2"/>
  <c r="AH5" i="2" l="1"/>
  <c r="AI4" i="2"/>
  <c r="AI5" i="2" l="1"/>
  <c r="AJ4" i="2"/>
  <c r="AJ5" i="2" l="1"/>
  <c r="AK4" i="2"/>
  <c r="AL4" i="2" l="1"/>
  <c r="AK5" i="2"/>
  <c r="AM4" i="2" l="1"/>
  <c r="AL5" i="2"/>
  <c r="AM5" i="2" l="1"/>
  <c r="AN4" i="2"/>
  <c r="AO4" i="2" l="1"/>
  <c r="AN5" i="2"/>
  <c r="AP4" i="2" l="1"/>
  <c r="AO5" i="2"/>
  <c r="AQ4" i="2" l="1"/>
  <c r="AP5" i="2"/>
  <c r="AQ5" i="2" l="1"/>
  <c r="AR4" i="2"/>
  <c r="AR5" i="2" l="1"/>
  <c r="AS4" i="2"/>
  <c r="AT4" i="2" l="1"/>
  <c r="AS5" i="2"/>
  <c r="AU4" i="2" l="1"/>
  <c r="AT5" i="2"/>
  <c r="AU5" i="2" l="1"/>
  <c r="AV4" i="2"/>
  <c r="AW4" i="2" l="1"/>
  <c r="AV5" i="2"/>
  <c r="AX4" i="2" l="1"/>
  <c r="AW5" i="2"/>
  <c r="AX5" i="2" l="1"/>
  <c r="AY4" i="2"/>
  <c r="AZ4" i="2" l="1"/>
  <c r="AY5" i="2"/>
  <c r="BA4" i="2" l="1"/>
  <c r="AZ5" i="2"/>
  <c r="BB4" i="2" l="1"/>
  <c r="BA5" i="2"/>
  <c r="BC4" i="2" l="1"/>
  <c r="BB5" i="2"/>
  <c r="BC5" i="2" l="1"/>
  <c r="BD4" i="2"/>
  <c r="BE4" i="2" l="1"/>
  <c r="BD5" i="2"/>
  <c r="BE5" i="2" l="1"/>
  <c r="BF4" i="2"/>
  <c r="BG4" i="2" l="1"/>
  <c r="BF5" i="2"/>
  <c r="BG5" i="2" l="1"/>
  <c r="BH4" i="2"/>
  <c r="BI4" i="2" l="1"/>
  <c r="BH5" i="2"/>
  <c r="BJ4" i="2" l="1"/>
  <c r="BI5" i="2"/>
  <c r="BK4" i="2" l="1"/>
  <c r="BJ5" i="2"/>
  <c r="BK5" i="2" l="1"/>
  <c r="BL4" i="2"/>
  <c r="BM4" i="2" l="1"/>
  <c r="BL5" i="2"/>
  <c r="BM5" i="2" l="1"/>
  <c r="BN4" i="2"/>
  <c r="BN5" i="2" l="1"/>
  <c r="BO4" i="2"/>
  <c r="BO5" i="2" l="1"/>
  <c r="BP4" i="2"/>
  <c r="BQ4" i="2" l="1"/>
  <c r="BP5" i="2"/>
  <c r="BR4" i="2" l="1"/>
  <c r="BQ5" i="2"/>
  <c r="BS4" i="2" l="1"/>
  <c r="BR5" i="2"/>
  <c r="BS5" i="2" l="1"/>
  <c r="BT4" i="2"/>
  <c r="BU4" i="2" l="1"/>
  <c r="BT5" i="2"/>
  <c r="BV4" i="2" l="1"/>
  <c r="BU5" i="2"/>
  <c r="BW4" i="2" l="1"/>
  <c r="BV5" i="2"/>
  <c r="BW5" i="2" l="1"/>
  <c r="BX4" i="2"/>
  <c r="BX5" i="2" l="1"/>
  <c r="BY4" i="2"/>
  <c r="BZ4" i="2" l="1"/>
  <c r="BY5" i="2"/>
  <c r="CA4" i="2" l="1"/>
  <c r="BZ5" i="2"/>
  <c r="CA5" i="2" l="1"/>
  <c r="CB4" i="2"/>
  <c r="CC4" i="2" l="1"/>
  <c r="CB5" i="2"/>
  <c r="CC5" i="2" l="1"/>
  <c r="CD4" i="2"/>
  <c r="CE4" i="2" l="1"/>
  <c r="CD5" i="2"/>
  <c r="CE5" i="2" l="1"/>
  <c r="CF4" i="2"/>
  <c r="CG4" i="2" l="1"/>
  <c r="CF5" i="2"/>
  <c r="CH4" i="2" l="1"/>
  <c r="CG5" i="2"/>
  <c r="CI4" i="2" l="1"/>
  <c r="CH5" i="2"/>
  <c r="CI5" i="2" l="1"/>
  <c r="CJ4" i="2"/>
  <c r="CJ5" i="2" l="1"/>
  <c r="CK4" i="2"/>
  <c r="CK5" i="2" l="1"/>
  <c r="CL4" i="2"/>
  <c r="CM4" i="2" l="1"/>
  <c r="CL5" i="2"/>
  <c r="CN4" i="2" l="1"/>
  <c r="CM5" i="2"/>
  <c r="CO4" i="2" l="1"/>
  <c r="CN5" i="2"/>
  <c r="CP4" i="2" l="1"/>
  <c r="CO5" i="2"/>
  <c r="CQ4" i="2" l="1"/>
  <c r="CP5" i="2"/>
  <c r="CQ5" i="2" l="1"/>
  <c r="CR4" i="2"/>
  <c r="CS4" i="2" l="1"/>
  <c r="CR5" i="2"/>
  <c r="CS5" i="2" l="1"/>
  <c r="CT4" i="2"/>
  <c r="CT5" i="2" l="1"/>
  <c r="CU4" i="2"/>
  <c r="CU5" i="2" l="1"/>
  <c r="CV4" i="2"/>
  <c r="CW4" i="2" l="1"/>
  <c r="CV5" i="2"/>
  <c r="CX4" i="2" l="1"/>
  <c r="CW5" i="2"/>
  <c r="CX5" i="2" l="1"/>
  <c r="CY4" i="2"/>
  <c r="CY5" i="2" l="1"/>
  <c r="CZ4" i="2"/>
  <c r="CZ5" i="2" l="1"/>
  <c r="DA4" i="2"/>
  <c r="DB4" i="2" l="1"/>
  <c r="DA5" i="2"/>
  <c r="DC4" i="2" l="1"/>
  <c r="DB5" i="2"/>
  <c r="DD4" i="2" l="1"/>
  <c r="DC5" i="2"/>
  <c r="DD5" i="2" l="1"/>
  <c r="DE4" i="2"/>
  <c r="DF4" i="2" l="1"/>
  <c r="DE5" i="2"/>
  <c r="DF5" i="2" l="1"/>
  <c r="DG4" i="2"/>
  <c r="DG5" i="2" l="1"/>
  <c r="DH4" i="2"/>
  <c r="DH5" i="2" l="1"/>
  <c r="DI4" i="2"/>
  <c r="DI5" i="2" l="1"/>
  <c r="DJ4" i="2"/>
  <c r="DJ5" i="2" l="1"/>
  <c r="DK4" i="2"/>
  <c r="DL4" i="2" l="1"/>
  <c r="DK5" i="2"/>
  <c r="DM4" i="2" l="1"/>
  <c r="DL5" i="2"/>
  <c r="DN4" i="2" l="1"/>
  <c r="DM5" i="2"/>
  <c r="DN5" i="2" l="1"/>
  <c r="DO4" i="2"/>
  <c r="DP4" i="2" l="1"/>
  <c r="DO5" i="2"/>
  <c r="DP5" i="2" l="1"/>
  <c r="DQ4" i="2"/>
  <c r="DQ5" i="2" l="1"/>
  <c r="DR4" i="2"/>
  <c r="DR5" i="2" l="1"/>
  <c r="DS4" i="2"/>
  <c r="DS5" i="2" l="1"/>
  <c r="DT4" i="2"/>
  <c r="DT5" i="2" l="1"/>
  <c r="DU4" i="2"/>
  <c r="DV4" i="2" l="1"/>
  <c r="DU5" i="2"/>
  <c r="DV5" i="2" l="1"/>
  <c r="DW4" i="2"/>
  <c r="DX4" i="2" l="1"/>
  <c r="DW5" i="2"/>
  <c r="DX5" i="2" l="1"/>
  <c r="DY4" i="2"/>
  <c r="DY5" i="2" l="1"/>
  <c r="DZ4" i="2"/>
  <c r="DZ5" i="2" l="1"/>
  <c r="EA4" i="2"/>
  <c r="EA5" i="2" l="1"/>
  <c r="EB4" i="2"/>
  <c r="EC4" i="2" l="1"/>
  <c r="EB5" i="2"/>
  <c r="ED4" i="2" l="1"/>
  <c r="EC5" i="2"/>
  <c r="ED5" i="2" l="1"/>
  <c r="EE4" i="2"/>
  <c r="EE5" i="2" l="1"/>
  <c r="EF4" i="2"/>
  <c r="EF5" i="2" s="1"/>
</calcChain>
</file>

<file path=xl/sharedStrings.xml><?xml version="1.0" encoding="utf-8"?>
<sst xmlns="http://schemas.openxmlformats.org/spreadsheetml/2006/main" count="3164" uniqueCount="1618">
  <si>
    <t>RAG SCREENING SHEET WORKBOOK  |  ESADE MSc Finance | Sustainable Finance | May 2026
Academic Prototype — Not Investment Advice — Not a Regulated ESG Product</t>
  </si>
  <si>
    <t>NINE-STEP WORKFLOW</t>
  </si>
  <si>
    <t>Step 1</t>
  </si>
  <si>
    <t>Paste company identifiers</t>
  </si>
  <si>
    <t>Universe Tracker sheet → paste Company Name, Ticker, ISIN, Country, BICS Sector. One row per company. Row ID is calculated automatically.</t>
  </si>
  <si>
    <t>Step 2</t>
  </si>
  <si>
    <t>Assign review priority</t>
  </si>
  <si>
    <t>Universe Tracker → Review Priority column. Deep Review = 10–12 companies for full Claude Project extraction. Light Screen = remaining 38–40.</t>
  </si>
  <si>
    <t>Step 3</t>
  </si>
  <si>
    <t>Collect source documents</t>
  </si>
  <si>
    <t>For each Deep Review company: sustainability report PDF, annual report (if ESG-relevant), TCFD report, assurance statement. Log all in Source Register sheet.</t>
  </si>
  <si>
    <t>Step 4</t>
  </si>
  <si>
    <t>Run RAG extraction in Claude Project</t>
  </si>
  <si>
    <t>Create one Claude Project per Deep Review company. Upload PDFs. Paste system prompt from 8-Test Greenwashing sheet. Run extraction. Save JSON output.</t>
  </si>
  <si>
    <t>Step 5</t>
  </si>
  <si>
    <t>Paste outputs into RAG Screening Sheet</t>
  </si>
  <si>
    <t>Copy extracted evidence into relevant columns. Mark each cell with its source document and page reference. Use evidence confidence dropdowns.</t>
  </si>
  <si>
    <t>Step 6</t>
  </si>
  <si>
    <t>Verify source evidence manually</t>
  </si>
  <si>
    <t>Verify ≥30% of all extractions against source PDF. 100% verification for any Watchlist or Exclusion flag. Record in Verification Log sheet.</t>
  </si>
  <si>
    <t>Step 7</t>
  </si>
  <si>
    <t>Review scores and flags</t>
  </si>
  <si>
    <t>Check auto-calculated columns (G12–G15, G21, G22, H10–H12, I6, I7). Review any triggered flags. Note: C19, D12, E13, F11 require manual formula implementation — see Scoring Logic sheet.</t>
  </si>
  <si>
    <t>Step 8</t>
  </si>
  <si>
    <t>Assign final RAG verdict</t>
  </si>
  <si>
    <t>Review I7 auto-verdict. Override in I8 if human judgement requires it. Document rationale in I10. Never leave I10 blank for Watchlist or Exclusion verdicts.</t>
  </si>
  <si>
    <t>Step 9</t>
  </si>
  <si>
    <t>Handoff</t>
  </si>
  <si>
    <t>Pipeline Operator → JSON schema from JSON Output Schema sheet. ESG Specialist → indicator columns + Verification Log. Captain → Watchlist &amp; Exclusion Summary sheet.</t>
  </si>
  <si>
    <t>COLOUR CODING</t>
  </si>
  <si>
    <t>Green fill</t>
  </si>
  <si>
    <t>Strong evidence / PASS</t>
  </si>
  <si>
    <t>Apply manually to cells with strong supporting evidence</t>
  </si>
  <si>
    <t>Amber fill</t>
  </si>
  <si>
    <t>Partial evidence / PARTIAL / see note</t>
  </si>
  <si>
    <t>Used automatically for C19/D12/E13/F11 placeholder cells (requires formula implementation)</t>
  </si>
  <si>
    <t>Red fill</t>
  </si>
  <si>
    <t>Failed test / hard exclusion trigger</t>
  </si>
  <si>
    <t>Apply manually to cells triggering hard exclusion</t>
  </si>
  <si>
    <t>Grey fill</t>
  </si>
  <si>
    <t>MISSING — evidence not found</t>
  </si>
  <si>
    <t>Apply manually when evidence is absent</t>
  </si>
  <si>
    <t>Yellow fill</t>
  </si>
  <si>
    <t>Unverified — human check required</t>
  </si>
  <si>
    <t>Apply when verification is pending</t>
  </si>
  <si>
    <t>IMPORTANT CONSTRAINTS</t>
  </si>
  <si>
    <t>Missing ≠ Good</t>
  </si>
  <si>
    <t>Absence of evidence is a risk signal, not positive evidence</t>
  </si>
  <si>
    <t>A company that does not disclose a metric receives no positive score for it</t>
  </si>
  <si>
    <t>Disclosure ≠ Performance</t>
  </si>
  <si>
    <t>Disclosing Scope 3 data ≠ performing well on Scope 3</t>
  </si>
  <si>
    <t>Only the actual figures determine the climate score</t>
  </si>
  <si>
    <t>Eligibility ≠ Alignment</t>
  </si>
  <si>
    <t>EU Taxonomy eligible revenue ≠ aligned revenue</t>
  </si>
  <si>
    <t>Do not use eligibility to meet the ≥50% alignment mandate target</t>
  </si>
  <si>
    <t>Score ≠ Truth</t>
  </si>
  <si>
    <t>This model produces signals, not verdicts</t>
  </si>
  <si>
    <t>Human review required at all Watchlist and Exclusion decisions</t>
  </si>
  <si>
    <t>AI flags. Humans decide. Everything is logged.</t>
  </si>
  <si>
    <t>Core operating principle of this workbook</t>
  </si>
  <si>
    <t>All verdicts are subject to Captain and ESG Specialist confirmation</t>
  </si>
  <si>
    <t>SHEET DIRECTORY</t>
  </si>
  <si>
    <t>Sheet</t>
  </si>
  <si>
    <t>Purpose</t>
  </si>
  <si>
    <t>Owned By</t>
  </si>
  <si>
    <t>RAG Screening Sheet</t>
  </si>
  <si>
    <t>Main working sheet — one row per company, all groups A–I</t>
  </si>
  <si>
    <t>RAG Operator</t>
  </si>
  <si>
    <t>Universe Tracker</t>
  </si>
  <si>
    <t>50-company master list with review priority and status</t>
  </si>
  <si>
    <t>RAG Operator / Data Engineer</t>
  </si>
  <si>
    <t>Watchlist &amp; Exclusion Summary</t>
  </si>
  <si>
    <t>Decision-ready flags for Captain and ESG Specialist</t>
  </si>
  <si>
    <t>8-Test Greenwashing</t>
  </si>
  <si>
    <t>Test definitions, pass/fail criteria, Claude Project system prompt</t>
  </si>
  <si>
    <t>Scoring Logic</t>
  </si>
  <si>
    <t>All formulas, weights, override rules, scoring point tables</t>
  </si>
  <si>
    <t>Biodiversity Framework</t>
  </si>
  <si>
    <t>ENCORE / WWF / Aqueduct / TNFD methodology reference</t>
  </si>
  <si>
    <t>Verification Log</t>
  </si>
  <si>
    <t>Manual verification records — 30% sample minimum</t>
  </si>
  <si>
    <t>Source Register</t>
  </si>
  <si>
    <t>All documents reviewed with URL and citation format</t>
  </si>
  <si>
    <t>Factor Definitions</t>
  </si>
  <si>
    <t>Academic rationale for every screening dimension</t>
  </si>
  <si>
    <t>Data Dictionary</t>
  </si>
  <si>
    <t>Glossary of all terms and abbreviations</t>
  </si>
  <si>
    <t>JSON Output Schema</t>
  </si>
  <si>
    <t>JSON structure for Pipeline Operator handoff</t>
  </si>
  <si>
    <t>RAG Operator / Pipeline Operator</t>
  </si>
  <si>
    <t>Disclaimer &amp; Limitations</t>
  </si>
  <si>
    <t>Anti-overclaiming language — extract for Section 11</t>
  </si>
  <si>
    <t>RAG SCREENING SHEET  |  ESADE Sustainable Finance  |  Academic Prototype — Not Investment Advice  |  v1.0</t>
  </si>
  <si>
    <t>A — COMPANY IDENTIFIERS</t>
  </si>
  <si>
    <t>B — DOCUMENT COVERAGE</t>
  </si>
  <si>
    <t>C — CLIMATE CLAIM CREDIBILITY</t>
  </si>
  <si>
    <t>D — ESG SAFEGUARDS</t>
  </si>
  <si>
    <t>E — BIODIVERSITY / NATURE-RISK</t>
  </si>
  <si>
    <t>F — EU REGULATION / TAXONOMY</t>
  </si>
  <si>
    <t>G — CONTROVERSY &amp; GREENWASHING  (8-TEST)</t>
  </si>
  <si>
    <t>H — EVIDENCE QUALITY &amp; VERIFICATION</t>
  </si>
  <si>
    <t>I — FINAL RAG OUTPUT</t>
  </si>
  <si>
    <t>J — SUMMARY TAB</t>
  </si>
  <si>
    <t>A</t>
  </si>
  <si>
    <t>B</t>
  </si>
  <si>
    <t>C</t>
  </si>
  <si>
    <t>D</t>
  </si>
  <si>
    <t>E</t>
  </si>
  <si>
    <t>F</t>
  </si>
  <si>
    <t>G</t>
  </si>
  <si>
    <t>H</t>
  </si>
  <si>
    <t>I</t>
  </si>
  <si>
    <t>J</t>
  </si>
  <si>
    <t>Company Name</t>
  </si>
  <si>
    <t>Ticker</t>
  </si>
  <si>
    <t>ISIN</t>
  </si>
  <si>
    <t>Country (Incorporation)</t>
  </si>
  <si>
    <t>Country (Domicile)</t>
  </si>
  <si>
    <t>BICS Sector</t>
  </si>
  <si>
    <t>BICS Industry</t>
  </si>
  <si>
    <t>Universe Status</t>
  </si>
  <si>
    <t>Review Priority</t>
  </si>
  <si>
    <t>Row ID [auto]</t>
  </si>
  <si>
    <t>Annual Report Available?</t>
  </si>
  <si>
    <t>Sustainability Report Available?</t>
  </si>
  <si>
    <t>TCFD Report Available?</t>
  </si>
  <si>
    <t>CSRD / ESRS Disclosure?</t>
  </si>
  <si>
    <t>SBTi Database Checked?</t>
  </si>
  <si>
    <t>TPI Checked?</t>
  </si>
  <si>
    <t>CA100+ Checked?</t>
  </si>
  <si>
    <t>ENCORE Checked?</t>
  </si>
  <si>
    <t>WWF BRF Checked?</t>
  </si>
  <si>
    <t>WRI Aqueduct Checked?</t>
  </si>
  <si>
    <t>Controversy Search Done?</t>
  </si>
  <si>
    <t># Sources Reviewed</t>
  </si>
  <si>
    <t>Most Recent Report Year</t>
  </si>
  <si>
    <t>Data Vintage Note</t>
  </si>
  <si>
    <t>Doc Coverage Flag [auto]</t>
  </si>
  <si>
    <t>Net-Zero Target Claimed?</t>
  </si>
  <si>
    <t>Net-Zero Target Year</t>
  </si>
  <si>
    <t>Interim Target Stated?</t>
  </si>
  <si>
    <t>Interim Target Year</t>
  </si>
  <si>
    <t>Interim Target % Reduction</t>
  </si>
  <si>
    <t>Interim Target Baseline Year</t>
  </si>
  <si>
    <t>Scope 1+2 Coverage</t>
  </si>
  <si>
    <t>Scope 3 Disclosed?</t>
  </si>
  <si>
    <t>Scope 3 Categories Count (of 15)</t>
  </si>
  <si>
    <t>Scope 3 Included in Target?</t>
  </si>
  <si>
    <t>SBTi Status</t>
  </si>
  <si>
    <t>SBTi Approval Year</t>
  </si>
  <si>
    <t>Transition Plan Disclosed?</t>
  </si>
  <si>
    <t>Capex Alignment Evidence?</t>
  </si>
  <si>
    <t>Capex Alignment Quote</t>
  </si>
  <si>
    <t>Capex % Sustainable</t>
  </si>
  <si>
    <t>Climate Governance Evidence</t>
  </si>
  <si>
    <t>Lobbying Consistency</t>
  </si>
  <si>
    <t>Climate Credibility Score [auto]</t>
  </si>
  <si>
    <t>Climate Red Flag</t>
  </si>
  <si>
    <t>HR Policy Status</t>
  </si>
  <si>
    <t>HR Policy Page Ref</t>
  </si>
  <si>
    <t>UNGC Signatory?</t>
  </si>
  <si>
    <t>UNGC Violation Evidence</t>
  </si>
  <si>
    <t>OECD MNE Compliance</t>
  </si>
  <si>
    <t>Supply Chain DD Evidence</t>
  </si>
  <si>
    <t>Labour / H&amp;S Controversy</t>
  </si>
  <si>
    <t>Board Sustainability Oversight</t>
  </si>
  <si>
    <t>ESG-Linked Exec Pay</t>
  </si>
  <si>
    <t>ESG Data Assurance</t>
  </si>
  <si>
    <t>Assurance Provider</t>
  </si>
  <si>
    <t>Safeguards Score [auto]</t>
  </si>
  <si>
    <t>Safeguards Red Flag</t>
  </si>
  <si>
    <t>Biodiversity Policy</t>
  </si>
  <si>
    <t>Nature Dependency (ENCORE)</t>
  </si>
  <si>
    <t>Nature Impact (ENCORE)</t>
  </si>
  <si>
    <t>Water Risk (WRI Aqueduct)</t>
  </si>
  <si>
    <t>Land Use Exposure</t>
  </si>
  <si>
    <t>Pollution / Waste Exposure</t>
  </si>
  <si>
    <t>Biodiversity-Sensitive Sites</t>
  </si>
  <si>
    <t>PAI 7 Relevance</t>
  </si>
  <si>
    <t>PAI 7 % Revenue</t>
  </si>
  <si>
    <t>Sector Nature Risk Class</t>
  </si>
  <si>
    <t>Mitigation Hierarchy Evidence</t>
  </si>
  <si>
    <t>TNFD Alignment</t>
  </si>
  <si>
    <t>Biodiversity Score [auto]</t>
  </si>
  <si>
    <t>Nature-Risk Red Flag</t>
  </si>
  <si>
    <t>Taxonomy Eligibility Source</t>
  </si>
  <si>
    <t>Taxonomy Eligible Revenue %</t>
  </si>
  <si>
    <t>Taxonomy Aligned Revenue %</t>
  </si>
  <si>
    <t>Taxonomy Aligned Capex %</t>
  </si>
  <si>
    <t>Alignment Company-Stated?</t>
  </si>
  <si>
    <t>DNSH Evidence</t>
  </si>
  <si>
    <t>Minimum Safeguards Evidence</t>
  </si>
  <si>
    <t>PAI Indicators Reported (of 18)</t>
  </si>
  <si>
    <t>CSRD / ESRS Disclosure Quality</t>
  </si>
  <si>
    <t>SFDR Fund Classification (self)</t>
  </si>
  <si>
    <t>EU Reg Evidence Score [auto]</t>
  </si>
  <si>
    <t>EU Reg Red Flag</t>
  </si>
  <si>
    <t>Main Claim Tested</t>
  </si>
  <si>
    <t>Claim Source Document</t>
  </si>
  <si>
    <t>Claim Page / Section Ref</t>
  </si>
  <si>
    <t>8-Test 1: Specificity</t>
  </si>
  <si>
    <t>8-Test 2: Metric</t>
  </si>
  <si>
    <t>8-Test 3: Baseline</t>
  </si>
  <si>
    <t>8-Test 4: Target</t>
  </si>
  <si>
    <t>8-Test 5: Time Horizon</t>
  </si>
  <si>
    <t>8-Test 6: Scope</t>
  </si>
  <si>
    <t>8-Test 7: Verification</t>
  </si>
  <si>
    <t>8-Test 8: Consistency</t>
  </si>
  <si>
    <t># Tests FAILED [auto]</t>
  </si>
  <si>
    <t># Tests PARTIAL [auto]</t>
  </si>
  <si>
    <t># Tests MISSING [auto]</t>
  </si>
  <si>
    <t>Greenwashing Risk Score [auto]</t>
  </si>
  <si>
    <t>Worst Dimension</t>
  </si>
  <si>
    <t>Controversy Severity</t>
  </si>
  <si>
    <t>Controversy Description</t>
  </si>
  <si>
    <t>Controversy Source</t>
  </si>
  <si>
    <t>Controversy Date</t>
  </si>
  <si>
    <t>Watchlist Trigger [auto]</t>
  </si>
  <si>
    <t>Exclusion Trigger [auto]</t>
  </si>
  <si>
    <t>Key Evidence Quote</t>
  </si>
  <si>
    <t>Key Evidence Source Doc</t>
  </si>
  <si>
    <t>Key Evidence Page Ref</t>
  </si>
  <si>
    <t>Evidence Confidence (1–5)</t>
  </si>
  <si>
    <t>AI Extraction Confidence (1–5)</t>
  </si>
  <si>
    <t>Verification Status</t>
  </si>
  <si>
    <t>Verified By</t>
  </si>
  <si>
    <t>Verification Date</t>
  </si>
  <si>
    <t>Verification Notes</t>
  </si>
  <si>
    <t>Low-Confidence Flag [auto]</t>
  </si>
  <si>
    <t>Human Review Required [auto]</t>
  </si>
  <si>
    <t>Evidence Quality Score [auto]</t>
  </si>
  <si>
    <t>Climate Verdict</t>
  </si>
  <si>
    <t>Biodiversity Verdict</t>
  </si>
  <si>
    <t>Safeguards Verdict</t>
  </si>
  <si>
    <t>Greenwashing Verdict</t>
  </si>
  <si>
    <t>EU Reg Verdict</t>
  </si>
  <si>
    <t>Overall RAG Score [auto]</t>
  </si>
  <si>
    <t>Final RAG Verdict [auto]</t>
  </si>
  <si>
    <t>Human Override</t>
  </si>
  <si>
    <t>Recommended Action</t>
  </si>
  <si>
    <t>Verdict Rationale</t>
  </si>
  <si>
    <t>Open Questions</t>
  </si>
  <si>
    <t>Handoff Owner</t>
  </si>
  <si>
    <t>Handoff Status</t>
  </si>
  <si>
    <t>Missing Source Flag</t>
  </si>
  <si>
    <t>Missing Page Reference Flag</t>
  </si>
  <si>
    <t>Verified Evidence Count</t>
  </si>
  <si>
    <t>Verification Completion Percentage</t>
  </si>
  <si>
    <t>Companies Ready for Handoff</t>
  </si>
  <si>
    <t>Deep Review</t>
  </si>
  <si>
    <t>Approved</t>
  </si>
  <si>
    <t>Formal Policy with Grievance Mechanism</t>
  </si>
  <si>
    <t>Signatory — Active</t>
  </si>
  <si>
    <t>No Issues</t>
  </si>
  <si>
    <t>Audit Programme Only</t>
  </si>
  <si>
    <t>None</t>
  </si>
  <si>
    <t>Formal Policy</t>
  </si>
  <si>
    <t>Low</t>
  </si>
  <si>
    <t>Disclosed and Quantified</t>
  </si>
  <si>
    <t>Full Hierarchy Applied</t>
  </si>
  <si>
    <t>Partial</t>
  </si>
  <si>
    <t>Explicit DNSH Assessment</t>
  </si>
  <si>
    <t>Explicit</t>
  </si>
  <si>
    <t>Substantial</t>
  </si>
  <si>
    <t>Committed</t>
  </si>
  <si>
    <t>Policy Without Process</t>
  </si>
  <si>
    <t>Minor</t>
  </si>
  <si>
    <t>Referenced in ESG Report</t>
  </si>
  <si>
    <t>High</t>
  </si>
  <si>
    <t>Referenced</t>
  </si>
  <si>
    <t>Basic</t>
  </si>
  <si>
    <t>Moderate</t>
  </si>
  <si>
    <t>UNIVERSE TRACKER  |  50-Company Candidate List  |  ESADE Sustainable Finance</t>
  </si>
  <si>
    <t>Market Cap EUR m</t>
  </si>
  <si>
    <t>STOXX 600 Confirmed?</t>
  </si>
  <si>
    <t>PDF Collected?</t>
  </si>
  <si>
    <t>Claude Project Created?</t>
  </si>
  <si>
    <t>Screening Status</t>
  </si>
  <si>
    <t>RAG Verdict [from Sheet]</t>
  </si>
  <si>
    <t>Notes</t>
  </si>
  <si>
    <t>NXG_GB0032</t>
  </si>
  <si>
    <t>Next PLC</t>
  </si>
  <si>
    <t>NXG</t>
  </si>
  <si>
    <t>GB0032089863</t>
  </si>
  <si>
    <t>GR</t>
  </si>
  <si>
    <t>Consumer Discretionary</t>
  </si>
  <si>
    <t>Retail &amp; Whsle - Discretionary</t>
  </si>
  <si>
    <t>Not yet screened</t>
  </si>
  <si>
    <t>IHCB_NL0000</t>
  </si>
  <si>
    <t>SBM Offshore NV</t>
  </si>
  <si>
    <t>IHCB</t>
  </si>
  <si>
    <t>NL0000360618</t>
  </si>
  <si>
    <t>Energy</t>
  </si>
  <si>
    <t>Oil &amp; Gas</t>
  </si>
  <si>
    <t>D9F2_GB00B1</t>
  </si>
  <si>
    <t>Drax Group PLC</t>
  </si>
  <si>
    <t>D9F2</t>
  </si>
  <si>
    <t>GB00B1VNSX38</t>
  </si>
  <si>
    <t>Utilities</t>
  </si>
  <si>
    <t>SKWA_SE0000</t>
  </si>
  <si>
    <t>SSAB AB</t>
  </si>
  <si>
    <t>SKWA</t>
  </si>
  <si>
    <t>SE0000171100</t>
  </si>
  <si>
    <t>Materials</t>
  </si>
  <si>
    <t>TW11_LU0156</t>
  </si>
  <si>
    <t>Tenaris SA</t>
  </si>
  <si>
    <t>TW11</t>
  </si>
  <si>
    <t>LU0156801721</t>
  </si>
  <si>
    <t>B3K_BE0003</t>
  </si>
  <si>
    <t>Ackermans &amp; van Haaren NV</t>
  </si>
  <si>
    <t>B3K</t>
  </si>
  <si>
    <t>BE0003764785</t>
  </si>
  <si>
    <t>Industrials</t>
  </si>
  <si>
    <t>Industrial Services</t>
  </si>
  <si>
    <t>NOT_CH0012</t>
  </si>
  <si>
    <t>Novartis AG</t>
  </si>
  <si>
    <t>NOT</t>
  </si>
  <si>
    <t>CH0012005267</t>
  </si>
  <si>
    <t>Health Care</t>
  </si>
  <si>
    <t>UEI_IT0003</t>
  </si>
  <si>
    <t>Terna - Rete Elettrica Nazionale</t>
  </si>
  <si>
    <t>UEI</t>
  </si>
  <si>
    <t>IT0003242622</t>
  </si>
  <si>
    <t>RYSD_GB00BM</t>
  </si>
  <si>
    <t>NatWest Group PLC</t>
  </si>
  <si>
    <t>RYSD</t>
  </si>
  <si>
    <t>GB00BM8PJY71</t>
  </si>
  <si>
    <t>Financials</t>
  </si>
  <si>
    <t>Banking</t>
  </si>
  <si>
    <t>MTA_FI0009</t>
  </si>
  <si>
    <t>Wartsila OYJ Abp</t>
  </si>
  <si>
    <t>MTA</t>
  </si>
  <si>
    <t>FI0009003727</t>
  </si>
  <si>
    <t>Industrial Products</t>
  </si>
  <si>
    <t>CRIN_IT0005</t>
  </si>
  <si>
    <t>UniCredit SpA</t>
  </si>
  <si>
    <t>CRIN</t>
  </si>
  <si>
    <t>IT0005239360</t>
  </si>
  <si>
    <t>G7W_GB0003</t>
  </si>
  <si>
    <t>Games Workshop Group PLC</t>
  </si>
  <si>
    <t>G7W</t>
  </si>
  <si>
    <t>GB0003718474</t>
  </si>
  <si>
    <t>Consumer Discretionary Products</t>
  </si>
  <si>
    <t>IGQ5_GB00B1</t>
  </si>
  <si>
    <t>3i Group PLC</t>
  </si>
  <si>
    <t>IGQ5</t>
  </si>
  <si>
    <t>GB00B1YW4409</t>
  </si>
  <si>
    <t>Financial Services</t>
  </si>
  <si>
    <t>P9O_PLPKO0</t>
  </si>
  <si>
    <t>Powszechna Kasa Oszczednosci Bank Polski SA</t>
  </si>
  <si>
    <t>P9O</t>
  </si>
  <si>
    <t>PLPKO0000016</t>
  </si>
  <si>
    <t>LRC_FR0010</t>
  </si>
  <si>
    <t>Legrand SA</t>
  </si>
  <si>
    <t>LRC</t>
  </si>
  <si>
    <t>FR0010307819</t>
  </si>
  <si>
    <t>1SQ_CH0010</t>
  </si>
  <si>
    <t>Swissquote Group Holding SA</t>
  </si>
  <si>
    <t>1SQ</t>
  </si>
  <si>
    <t>CH0010675863</t>
  </si>
  <si>
    <t>Light Screen</t>
  </si>
  <si>
    <t>AXA_FR0000</t>
  </si>
  <si>
    <t>AXA SA</t>
  </si>
  <si>
    <t>AXA</t>
  </si>
  <si>
    <t>FR0000120628</t>
  </si>
  <si>
    <t>Insurance</t>
  </si>
  <si>
    <t>EOAN_DE000E</t>
  </si>
  <si>
    <t>E.ON SE</t>
  </si>
  <si>
    <t>EOAN</t>
  </si>
  <si>
    <t>DE000ENAG999</t>
  </si>
  <si>
    <t>2NN_NL0010</t>
  </si>
  <si>
    <t>NN Group NV</t>
  </si>
  <si>
    <t>2NN</t>
  </si>
  <si>
    <t>NL0010773842</t>
  </si>
  <si>
    <t>OFK_FI0009</t>
  </si>
  <si>
    <t>Orion Oyj</t>
  </si>
  <si>
    <t>OFK</t>
  </si>
  <si>
    <t>FI0009014377</t>
  </si>
  <si>
    <t>BIH_GB0000</t>
  </si>
  <si>
    <t>Balfour Beatty PLC</t>
  </si>
  <si>
    <t>BIH</t>
  </si>
  <si>
    <t>GB0000961622</t>
  </si>
  <si>
    <t>UNC_BE0003</t>
  </si>
  <si>
    <t>UCB SA</t>
  </si>
  <si>
    <t>UNC</t>
  </si>
  <si>
    <t>BE0003739530</t>
  </si>
  <si>
    <t>ZEG_GB0009</t>
  </si>
  <si>
    <t>AstraZeneca PLC</t>
  </si>
  <si>
    <t>ZEG</t>
  </si>
  <si>
    <t>GB0009895292</t>
  </si>
  <si>
    <t>9TG_FR0011</t>
  </si>
  <si>
    <t>Gaztransport Et Technigaz SA</t>
  </si>
  <si>
    <t>9TG</t>
  </si>
  <si>
    <t>FR0011726835</t>
  </si>
  <si>
    <t>NOH1_NO0005</t>
  </si>
  <si>
    <t>Norsk Hydro ASA</t>
  </si>
  <si>
    <t>NOH1</t>
  </si>
  <si>
    <t>NO0005052605</t>
  </si>
  <si>
    <t>PKY1_PLPKN0</t>
  </si>
  <si>
    <t>Polski Koncern Naftowy ORLEN SA</t>
  </si>
  <si>
    <t>PKY1</t>
  </si>
  <si>
    <t>PLPKN0000018</t>
  </si>
  <si>
    <t>IC1H_GB00BH</t>
  </si>
  <si>
    <t>InterContinental Hotels Group PLC</t>
  </si>
  <si>
    <t>IC1H</t>
  </si>
  <si>
    <t>GB00BHJYC057</t>
  </si>
  <si>
    <t>Consumer Discretionary Services</t>
  </si>
  <si>
    <t>TM2_DK0010</t>
  </si>
  <si>
    <t>Sydbank AS</t>
  </si>
  <si>
    <t>TM2</t>
  </si>
  <si>
    <t>DK0010311471</t>
  </si>
  <si>
    <t>JGE_CH0102</t>
  </si>
  <si>
    <t>Julius Baer Group Ltd</t>
  </si>
  <si>
    <t>JGE</t>
  </si>
  <si>
    <t>CH0102484968</t>
  </si>
  <si>
    <t>SOAN_IT0004</t>
  </si>
  <si>
    <t>UnipolSai Assicurazioni SpA</t>
  </si>
  <si>
    <t>SOAN</t>
  </si>
  <si>
    <t>IT0004827447</t>
  </si>
  <si>
    <t>REP_ES0173</t>
  </si>
  <si>
    <t>Repsol SA</t>
  </si>
  <si>
    <t>REP</t>
  </si>
  <si>
    <t>ES0173516115</t>
  </si>
  <si>
    <t>INN1_NL0011</t>
  </si>
  <si>
    <t>ING Groep NV</t>
  </si>
  <si>
    <t>INN1</t>
  </si>
  <si>
    <t>NL0011821202</t>
  </si>
  <si>
    <t>DP9_GB0001</t>
  </si>
  <si>
    <t>Diploma PLC</t>
  </si>
  <si>
    <t>DP9</t>
  </si>
  <si>
    <t>GB0001826634</t>
  </si>
  <si>
    <t>BCY_GB0031</t>
  </si>
  <si>
    <t>Barclays PLC</t>
  </si>
  <si>
    <t>BCY</t>
  </si>
  <si>
    <t>GB0031348658</t>
  </si>
  <si>
    <t>CJ2_DK0060</t>
  </si>
  <si>
    <t>Ringkjoebing Landbobank A/S</t>
  </si>
  <si>
    <t>CJ2</t>
  </si>
  <si>
    <t>DK0060854669</t>
  </si>
  <si>
    <t>B7A_IT0001</t>
  </si>
  <si>
    <t>Banca Generali SpA</t>
  </si>
  <si>
    <t>B7A</t>
  </si>
  <si>
    <t>IT0001031084</t>
  </si>
  <si>
    <t>GEB_GB00BF</t>
  </si>
  <si>
    <t>Bank of Georgia Group PLC</t>
  </si>
  <si>
    <t>GEB</t>
  </si>
  <si>
    <t>GB00BF4HYT85</t>
  </si>
  <si>
    <t>ME1_IT0004</t>
  </si>
  <si>
    <t>Banca Mediolanum SpA</t>
  </si>
  <si>
    <t>ME1</t>
  </si>
  <si>
    <t>IT0004776628</t>
  </si>
  <si>
    <t>IMI1_GB00BG</t>
  </si>
  <si>
    <t>IMI PLC</t>
  </si>
  <si>
    <t>IMI1</t>
  </si>
  <si>
    <t>GB00BGLP8L22</t>
  </si>
  <si>
    <t>HBC1_GB0005</t>
  </si>
  <si>
    <t>HSBC Holdings PLC</t>
  </si>
  <si>
    <t>HBC1</t>
  </si>
  <si>
    <t>GB0005405286</t>
  </si>
  <si>
    <t>7PZ_PLPZU0</t>
  </si>
  <si>
    <t>Powszechny Zaklad Ubezpieczen SA</t>
  </si>
  <si>
    <t>7PZ</t>
  </si>
  <si>
    <t>PLPZU0000011</t>
  </si>
  <si>
    <t>SUL1_CH0038</t>
  </si>
  <si>
    <t>Sulzer AG</t>
  </si>
  <si>
    <t>SUL1</t>
  </si>
  <si>
    <t>CH0038388911</t>
  </si>
  <si>
    <t>DNQ_NO0010</t>
  </si>
  <si>
    <t>Equinor ASA</t>
  </si>
  <si>
    <t>DNQ</t>
  </si>
  <si>
    <t>NO0010096985</t>
  </si>
  <si>
    <t>H11_GB0004</t>
  </si>
  <si>
    <t>Halma PLC</t>
  </si>
  <si>
    <t>H11</t>
  </si>
  <si>
    <t>GB0004052071</t>
  </si>
  <si>
    <t>OMV_AT0000</t>
  </si>
  <si>
    <t>OMV AG</t>
  </si>
  <si>
    <t>OMV</t>
  </si>
  <si>
    <t>AT0000743059</t>
  </si>
  <si>
    <t>RAW_AT0000</t>
  </si>
  <si>
    <t>Raiffeisen Bank International AG</t>
  </si>
  <si>
    <t>RAW</t>
  </si>
  <si>
    <t>AT0000606306</t>
  </si>
  <si>
    <t>IFX_DE0006</t>
  </si>
  <si>
    <t>Infineon Technologies AG</t>
  </si>
  <si>
    <t>IFX</t>
  </si>
  <si>
    <t>DE0006231004</t>
  </si>
  <si>
    <t>Technology</t>
  </si>
  <si>
    <t>Tech Hardware &amp; Semiconductors</t>
  </si>
  <si>
    <t>ASG_IT0000</t>
  </si>
  <si>
    <t>Assicurazioni Generali SpA</t>
  </si>
  <si>
    <t>ASG</t>
  </si>
  <si>
    <t>IT0000062072</t>
  </si>
  <si>
    <t>ABJ_CH0012</t>
  </si>
  <si>
    <t>ABB Ltd</t>
  </si>
  <si>
    <t>ABJ</t>
  </si>
  <si>
    <t>CH0012221716</t>
  </si>
  <si>
    <t>VOL3_SE0000</t>
  </si>
  <si>
    <t>Volvo AB</t>
  </si>
  <si>
    <t>VOL3</t>
  </si>
  <si>
    <t>SE0000115420</t>
  </si>
  <si>
    <t>M3N_JE00BJ</t>
  </si>
  <si>
    <t>Man Group PLC/Jersey</t>
  </si>
  <si>
    <t>M3N</t>
  </si>
  <si>
    <t>JE00BJ1DLW90</t>
  </si>
  <si>
    <t>Pipeline Only</t>
  </si>
  <si>
    <t>ASME_NL0010</t>
  </si>
  <si>
    <t>ASML Holding NV</t>
  </si>
  <si>
    <t>ASME</t>
  </si>
  <si>
    <t>NL0010273215</t>
  </si>
  <si>
    <t>ALV_DE0008</t>
  </si>
  <si>
    <t>Allianz SE</t>
  </si>
  <si>
    <t>ALV</t>
  </si>
  <si>
    <t>DE0008404005</t>
  </si>
  <si>
    <t>B1V1_CH0531</t>
  </si>
  <si>
    <t>Banque Cantonale Vaudoise</t>
  </si>
  <si>
    <t>B1V1</t>
  </si>
  <si>
    <t>CH0531751755</t>
  </si>
  <si>
    <t>04Q_FI4000</t>
  </si>
  <si>
    <t>Nordea Bank Abp</t>
  </si>
  <si>
    <t>04Q</t>
  </si>
  <si>
    <t>FI4000297767</t>
  </si>
  <si>
    <t>BNP_FR0000</t>
  </si>
  <si>
    <t>BNP Paribas SA</t>
  </si>
  <si>
    <t>BNP</t>
  </si>
  <si>
    <t>FR0000131104</t>
  </si>
  <si>
    <t>SOC_LU0075</t>
  </si>
  <si>
    <t>Subsea 7 SA</t>
  </si>
  <si>
    <t>SOC</t>
  </si>
  <si>
    <t>LU0075646355</t>
  </si>
  <si>
    <t>7PI_IT0003</t>
  </si>
  <si>
    <t>Poste Italiane SpA</t>
  </si>
  <si>
    <t>7PI</t>
  </si>
  <si>
    <t>IT0003796171</t>
  </si>
  <si>
    <t>AJ3_ES0125</t>
  </si>
  <si>
    <t>Acciona SA</t>
  </si>
  <si>
    <t>AJ3</t>
  </si>
  <si>
    <t>ES0125220311</t>
  </si>
  <si>
    <t>SND_FR0000</t>
  </si>
  <si>
    <t>Schneider Electric SE</t>
  </si>
  <si>
    <t>SND</t>
  </si>
  <si>
    <t>FR0000121972</t>
  </si>
  <si>
    <t>STD_GB0004</t>
  </si>
  <si>
    <t>Standard Chartered PLC</t>
  </si>
  <si>
    <t>STD</t>
  </si>
  <si>
    <t>GB0004082847</t>
  </si>
  <si>
    <t>SVKB_SE0000</t>
  </si>
  <si>
    <t>Sandvik AB</t>
  </si>
  <si>
    <t>SVKB</t>
  </si>
  <si>
    <t>SE0000667891</t>
  </si>
  <si>
    <t>ZFIN_CH0011</t>
  </si>
  <si>
    <t>Zurich Insurance Group AG</t>
  </si>
  <si>
    <t>ZFIN</t>
  </si>
  <si>
    <t>CH0011075394</t>
  </si>
  <si>
    <t>K5X_NO0012</t>
  </si>
  <si>
    <t>Sparebanken More</t>
  </si>
  <si>
    <t>K5X</t>
  </si>
  <si>
    <t>NO0012483207</t>
  </si>
  <si>
    <t>E4S_BE0003</t>
  </si>
  <si>
    <t>Elia Group SA/NV</t>
  </si>
  <si>
    <t>E4S</t>
  </si>
  <si>
    <t>BE0003822393</t>
  </si>
  <si>
    <t>B6E_SE0000</t>
  </si>
  <si>
    <t>Swedish Orphan Biovitrum AB</t>
  </si>
  <si>
    <t>B6E</t>
  </si>
  <si>
    <t>SE0000872095</t>
  </si>
  <si>
    <t>SIE_DE0007</t>
  </si>
  <si>
    <t>Siemens AG</t>
  </si>
  <si>
    <t>SIE</t>
  </si>
  <si>
    <t>DE0007236101</t>
  </si>
  <si>
    <t>6GF_PLBSK0</t>
  </si>
  <si>
    <t>ING Bank Slaski SA</t>
  </si>
  <si>
    <t>6GF</t>
  </si>
  <si>
    <t>PLBSK0000017</t>
  </si>
  <si>
    <t>MLT_SE0000</t>
  </si>
  <si>
    <t>Mycronic AB</t>
  </si>
  <si>
    <t>MLT</t>
  </si>
  <si>
    <t>SE0000375115</t>
  </si>
  <si>
    <t>D1NC_NO0010</t>
  </si>
  <si>
    <t>DNB Bank ASA</t>
  </si>
  <si>
    <t>D1NC</t>
  </si>
  <si>
    <t>NO0010161896</t>
  </si>
  <si>
    <t>19V_CH0311</t>
  </si>
  <si>
    <t>VAT Group AG</t>
  </si>
  <si>
    <t>19V</t>
  </si>
  <si>
    <t>CH0311864901</t>
  </si>
  <si>
    <t>BSD2_ES0113</t>
  </si>
  <si>
    <t>Banco Santander SA</t>
  </si>
  <si>
    <t>BSD2</t>
  </si>
  <si>
    <t>ES0113900J37</t>
  </si>
  <si>
    <t>TCO0_GB00BL</t>
  </si>
  <si>
    <t>Tesco PLC</t>
  </si>
  <si>
    <t>TCO0</t>
  </si>
  <si>
    <t>GB00BLGZ9862</t>
  </si>
  <si>
    <t>Consumer Staples</t>
  </si>
  <si>
    <t>Retail &amp; Wholesale - Staples</t>
  </si>
  <si>
    <t>C0Q_CH0198</t>
  </si>
  <si>
    <t>Coca-Cola HBC AG</t>
  </si>
  <si>
    <t>C0Q</t>
  </si>
  <si>
    <t>CH0198251305</t>
  </si>
  <si>
    <t>Consumer Staple Products</t>
  </si>
  <si>
    <t>XCA_FR0000</t>
  </si>
  <si>
    <t>Credit Agricole SA</t>
  </si>
  <si>
    <t>XCA</t>
  </si>
  <si>
    <t>FR0000045072</t>
  </si>
  <si>
    <t>BOY_ES0113</t>
  </si>
  <si>
    <t>Banco Bilbao Vizcaya Argentaria SA</t>
  </si>
  <si>
    <t>BOY</t>
  </si>
  <si>
    <t>ES0113211835</t>
  </si>
  <si>
    <t>EAM_IT0001</t>
  </si>
  <si>
    <t>A2A SpA</t>
  </si>
  <si>
    <t>EAM</t>
  </si>
  <si>
    <t>IT0001233417</t>
  </si>
  <si>
    <t>4AJ0_DK0061</t>
  </si>
  <si>
    <t>ALK-Abello A/S</t>
  </si>
  <si>
    <t>4AJ0</t>
  </si>
  <si>
    <t>DK0061802139</t>
  </si>
  <si>
    <t>OCI1_ES0167</t>
  </si>
  <si>
    <t>ACS Actividades de Construccion y Servicios SA</t>
  </si>
  <si>
    <t>OCI1</t>
  </si>
  <si>
    <t>ES0167050915</t>
  </si>
  <si>
    <t>2FE_NL0011</t>
  </si>
  <si>
    <t>Ferrari NV</t>
  </si>
  <si>
    <t>2FE</t>
  </si>
  <si>
    <t>NL0011585146</t>
  </si>
  <si>
    <t>8BU_IT0004</t>
  </si>
  <si>
    <t>Brunello Cucinelli SpA</t>
  </si>
  <si>
    <t>8BU</t>
  </si>
  <si>
    <t>IT0004764699</t>
  </si>
  <si>
    <t>IBE1_ES0144</t>
  </si>
  <si>
    <t>Iberdrola SA</t>
  </si>
  <si>
    <t>IBE1</t>
  </si>
  <si>
    <t>ES0144580Y14</t>
  </si>
  <si>
    <t>NCYD_SE0005</t>
  </si>
  <si>
    <t>Tele2 AB</t>
  </si>
  <si>
    <t>NCYD</t>
  </si>
  <si>
    <t>SE0005190238</t>
  </si>
  <si>
    <t>Communications</t>
  </si>
  <si>
    <t>Telecommunications</t>
  </si>
  <si>
    <t>48CA_ES0140</t>
  </si>
  <si>
    <t>CaixaBank SA</t>
  </si>
  <si>
    <t>48CA</t>
  </si>
  <si>
    <t>ES0140609019</t>
  </si>
  <si>
    <t>8GC_JE00B4</t>
  </si>
  <si>
    <t>Glencore PLC</t>
  </si>
  <si>
    <t>8GC</t>
  </si>
  <si>
    <t>JE00B4T3BW64</t>
  </si>
  <si>
    <t>EBO_AT0000</t>
  </si>
  <si>
    <t>Erste Group Bank AG</t>
  </si>
  <si>
    <t>EBO</t>
  </si>
  <si>
    <t>AT0000652011</t>
  </si>
  <si>
    <t>RITN_CH0210</t>
  </si>
  <si>
    <t>Cie Financiere Richemont SA</t>
  </si>
  <si>
    <t>RITN</t>
  </si>
  <si>
    <t>CH0210483332</t>
  </si>
  <si>
    <t>HVXA_CH0466</t>
  </si>
  <si>
    <t>Helvetia Holding AG</t>
  </si>
  <si>
    <t>HVXA</t>
  </si>
  <si>
    <t>CH0466642201</t>
  </si>
  <si>
    <t>BAKA_ES0113</t>
  </si>
  <si>
    <t>Bankinter SA</t>
  </si>
  <si>
    <t>BAKA</t>
  </si>
  <si>
    <t>ES0113679I37</t>
  </si>
  <si>
    <t>ZS3_IT0000</t>
  </si>
  <si>
    <t>FinecoBank Banca Fineco SpA</t>
  </si>
  <si>
    <t>ZS3</t>
  </si>
  <si>
    <t>IT0000072170</t>
  </si>
  <si>
    <t>KGHA_PLKGHM</t>
  </si>
  <si>
    <t>KGHM Polska Miedz SA</t>
  </si>
  <si>
    <t>KGHA</t>
  </si>
  <si>
    <t>PLKGHM000017</t>
  </si>
  <si>
    <t>61L0_SE0018</t>
  </si>
  <si>
    <t>Sectra AB</t>
  </si>
  <si>
    <t>61L0</t>
  </si>
  <si>
    <t>SE0018245953</t>
  </si>
  <si>
    <t>MUV2_DE0008</t>
  </si>
  <si>
    <t>Muenchener Rueckversicherungs-Gesellschaft AG in Muenchen</t>
  </si>
  <si>
    <t>MUV2</t>
  </si>
  <si>
    <t>DE0008430026</t>
  </si>
  <si>
    <t>IVS_SE0015</t>
  </si>
  <si>
    <t>Investor AB</t>
  </si>
  <si>
    <t>IVS</t>
  </si>
  <si>
    <t>SE0015811955</t>
  </si>
  <si>
    <t>IES_IT0000</t>
  </si>
  <si>
    <t>Intesa Sanpaolo SpA</t>
  </si>
  <si>
    <t>IES</t>
  </si>
  <si>
    <t>IT0000072618</t>
  </si>
  <si>
    <t>SEO_GB0007</t>
  </si>
  <si>
    <t>Serco Group PLC</t>
  </si>
  <si>
    <t>SEO</t>
  </si>
  <si>
    <t>GB0007973794</t>
  </si>
  <si>
    <t>Software &amp; Tech Services</t>
  </si>
  <si>
    <t>NKT_DK0010</t>
  </si>
  <si>
    <t>NKT A/S</t>
  </si>
  <si>
    <t>NKT</t>
  </si>
  <si>
    <t>DK0010287663</t>
  </si>
  <si>
    <t>SKT_NO0003</t>
  </si>
  <si>
    <t>Storebrand ASA</t>
  </si>
  <si>
    <t>SKT</t>
  </si>
  <si>
    <t>NO0003053605</t>
  </si>
  <si>
    <t>3ZV_PLBNFT</t>
  </si>
  <si>
    <t>Benefit Systems SA</t>
  </si>
  <si>
    <t>3ZV</t>
  </si>
  <si>
    <t>PLBNFTS00018</t>
  </si>
  <si>
    <t>TLX_DE000T</t>
  </si>
  <si>
    <t>Talanx AG</t>
  </si>
  <si>
    <t>TLX</t>
  </si>
  <si>
    <t>DE000TLX1005</t>
  </si>
  <si>
    <t>K34_FI0009</t>
  </si>
  <si>
    <t>Konecranes Oyj</t>
  </si>
  <si>
    <t>K34</t>
  </si>
  <si>
    <t>FI0009005870</t>
  </si>
  <si>
    <t>AEU_IT0004</t>
  </si>
  <si>
    <t>Prysmian SpA</t>
  </si>
  <si>
    <t>AEU</t>
  </si>
  <si>
    <t>IT0004176001</t>
  </si>
  <si>
    <t>VHM_ES0182</t>
  </si>
  <si>
    <t>Sacyr SA</t>
  </si>
  <si>
    <t>VHM</t>
  </si>
  <si>
    <t>ES0182870214</t>
  </si>
  <si>
    <t>HLBN_CH0012</t>
  </si>
  <si>
    <t>Holcim AG</t>
  </si>
  <si>
    <t>HLBN</t>
  </si>
  <si>
    <t>CH0012214059</t>
  </si>
  <si>
    <t>IHJN_CH0528</t>
  </si>
  <si>
    <t>VZ Holding AG</t>
  </si>
  <si>
    <t>IHJN</t>
  </si>
  <si>
    <t>CH0528751586</t>
  </si>
  <si>
    <t>0UB_CH0244</t>
  </si>
  <si>
    <t>UBS Group AG</t>
  </si>
  <si>
    <t>0UB</t>
  </si>
  <si>
    <t>CH0244767585</t>
  </si>
  <si>
    <t>FG1_GB0000</t>
  </si>
  <si>
    <t>Antofagasta PLC</t>
  </si>
  <si>
    <t>FG1</t>
  </si>
  <si>
    <t>GB0000456144</t>
  </si>
  <si>
    <t>B9W_CH0130</t>
  </si>
  <si>
    <t>BKW AG</t>
  </si>
  <si>
    <t>B9W</t>
  </si>
  <si>
    <t>CH0130293662</t>
  </si>
  <si>
    <t>JYS1_DK0010</t>
  </si>
  <si>
    <t>Jyske Bank A/S</t>
  </si>
  <si>
    <t>JYS1</t>
  </si>
  <si>
    <t>DK0010307958</t>
  </si>
  <si>
    <t>ENA_ES0130</t>
  </si>
  <si>
    <t>Endesa SA</t>
  </si>
  <si>
    <t>ENA</t>
  </si>
  <si>
    <t>ES0130670112</t>
  </si>
  <si>
    <t>UFG_ES0118</t>
  </si>
  <si>
    <t>Ferrovial SA</t>
  </si>
  <si>
    <t>UFG</t>
  </si>
  <si>
    <t>ES0118900010</t>
  </si>
  <si>
    <t>NOA3_FI0009</t>
  </si>
  <si>
    <t>Nokia Oyj</t>
  </si>
  <si>
    <t>NOA3</t>
  </si>
  <si>
    <t>FI0009000681</t>
  </si>
  <si>
    <t>E7V_FR0010</t>
  </si>
  <si>
    <t>Rexel SA</t>
  </si>
  <si>
    <t>E7V</t>
  </si>
  <si>
    <t>FR0010451203</t>
  </si>
  <si>
    <t>NDA_DE0006</t>
  </si>
  <si>
    <t>Aurubis AG</t>
  </si>
  <si>
    <t>NDA</t>
  </si>
  <si>
    <t>DE0006766504</t>
  </si>
  <si>
    <t>I7G_FR0010</t>
  </si>
  <si>
    <t>Ipsen SA</t>
  </si>
  <si>
    <t>I7G</t>
  </si>
  <si>
    <t>FR0010259150</t>
  </si>
  <si>
    <t>SLW_CH0014</t>
  </si>
  <si>
    <t>Swiss Life Holding AG</t>
  </si>
  <si>
    <t>SLW</t>
  </si>
  <si>
    <t>CH0014852781</t>
  </si>
  <si>
    <t>ARC_NO0010</t>
  </si>
  <si>
    <t>Aker BP ASA</t>
  </si>
  <si>
    <t>ARC</t>
  </si>
  <si>
    <t>NO0010345853</t>
  </si>
  <si>
    <t>HGUA_CH0030</t>
  </si>
  <si>
    <t>Huber + Suhner AG</t>
  </si>
  <si>
    <t>HGUA</t>
  </si>
  <si>
    <t>CH0030380734</t>
  </si>
  <si>
    <t>GBF_DE0005</t>
  </si>
  <si>
    <t>Bilfinger SE</t>
  </si>
  <si>
    <t>GBF</t>
  </si>
  <si>
    <t>DE0005909006</t>
  </si>
  <si>
    <t>AA9_SE0000</t>
  </si>
  <si>
    <t>Alfa Laval AB</t>
  </si>
  <si>
    <t>AA9</t>
  </si>
  <si>
    <t>SE0000695876</t>
  </si>
  <si>
    <t>DB1_DE0005</t>
  </si>
  <si>
    <t>Deutsche Boerse AG</t>
  </si>
  <si>
    <t>DB1</t>
  </si>
  <si>
    <t>DE0005810055</t>
  </si>
  <si>
    <t>HEI_DE0006</t>
  </si>
  <si>
    <t>HeidelbergCement AG</t>
  </si>
  <si>
    <t>HEI</t>
  </si>
  <si>
    <t>DE0006047004</t>
  </si>
  <si>
    <t>HNR1_DE0008</t>
  </si>
  <si>
    <t>Hannover Rueck SE</t>
  </si>
  <si>
    <t>HNR1</t>
  </si>
  <si>
    <t>DE0008402215</t>
  </si>
  <si>
    <t>7LB_BE0003</t>
  </si>
  <si>
    <t>Lotus Bakeries NV</t>
  </si>
  <si>
    <t>7LB</t>
  </si>
  <si>
    <t>BE0003604155</t>
  </si>
  <si>
    <t>ENXB_NL0006</t>
  </si>
  <si>
    <t>Euronext NV</t>
  </si>
  <si>
    <t>ENXB</t>
  </si>
  <si>
    <t>NL0006294274</t>
  </si>
  <si>
    <t>SFB1_PLSOFT</t>
  </si>
  <si>
    <t>Asseco Poland SA</t>
  </si>
  <si>
    <t>SFB1</t>
  </si>
  <si>
    <t>PLSOFTB00016</t>
  </si>
  <si>
    <t>EZ4_NO0006</t>
  </si>
  <si>
    <t>SpareBank 1 Sorost-Norge</t>
  </si>
  <si>
    <t>EZ4</t>
  </si>
  <si>
    <t>NO0006000207</t>
  </si>
  <si>
    <t>FTD_BE0003</t>
  </si>
  <si>
    <t>Financiere de Tubize SA</t>
  </si>
  <si>
    <t>FTD</t>
  </si>
  <si>
    <t>BE0003823409</t>
  </si>
  <si>
    <t>2D7_GB00BY</t>
  </si>
  <si>
    <t>Beazley PLC</t>
  </si>
  <si>
    <t>2D7</t>
  </si>
  <si>
    <t>GB00BYQ0JC66</t>
  </si>
  <si>
    <t>AZZ2_SE0014</t>
  </si>
  <si>
    <t>AddTech AB</t>
  </si>
  <si>
    <t>AZZ2</t>
  </si>
  <si>
    <t>SE0014781795</t>
  </si>
  <si>
    <t>4SP_FR0012</t>
  </si>
  <si>
    <t>SPIE SA</t>
  </si>
  <si>
    <t>4SP</t>
  </si>
  <si>
    <t>FR0012757854</t>
  </si>
  <si>
    <t>SEBA_SE0000</t>
  </si>
  <si>
    <t>Skandinaviska Enskilda Banken AB</t>
  </si>
  <si>
    <t>SEBA</t>
  </si>
  <si>
    <t>SE0000148884</t>
  </si>
  <si>
    <t>HOT_DE0006</t>
  </si>
  <si>
    <t>HOCHTIEF AG</t>
  </si>
  <si>
    <t>HOT</t>
  </si>
  <si>
    <t>DE0006070006</t>
  </si>
  <si>
    <t>LG72_SE0014</t>
  </si>
  <si>
    <t>Lagercrantz Group AB</t>
  </si>
  <si>
    <t>LG72</t>
  </si>
  <si>
    <t>SE0014990966</t>
  </si>
  <si>
    <t>RWE_DE0007</t>
  </si>
  <si>
    <t>RWE AG</t>
  </si>
  <si>
    <t>RWE</t>
  </si>
  <si>
    <t>DE0007037129</t>
  </si>
  <si>
    <t>GZF_FR0010</t>
  </si>
  <si>
    <t>Engie SA</t>
  </si>
  <si>
    <t>GZF</t>
  </si>
  <si>
    <t>FR0010208488</t>
  </si>
  <si>
    <t>DJDA_BE0974</t>
  </si>
  <si>
    <t>D'ieteren Group</t>
  </si>
  <si>
    <t>DJDA</t>
  </si>
  <si>
    <t>BE0974259880</t>
  </si>
  <si>
    <t>NXS_FR0000</t>
  </si>
  <si>
    <t>Nexans SA</t>
  </si>
  <si>
    <t>NXS</t>
  </si>
  <si>
    <t>FR0000044448</t>
  </si>
  <si>
    <t>TLLB_SE0000</t>
  </si>
  <si>
    <t>Trelleborg AB</t>
  </si>
  <si>
    <t>TLLB</t>
  </si>
  <si>
    <t>SE0000114837</t>
  </si>
  <si>
    <t>KDB_BE0003</t>
  </si>
  <si>
    <t>KBC Group NV</t>
  </si>
  <si>
    <t>KDB</t>
  </si>
  <si>
    <t>BE0003565737</t>
  </si>
  <si>
    <t>KB9_BE0003</t>
  </si>
  <si>
    <t>KBC Ancora</t>
  </si>
  <si>
    <t>KB9</t>
  </si>
  <si>
    <t>BE0003867844</t>
  </si>
  <si>
    <t>8RJ_CH1101</t>
  </si>
  <si>
    <t>Belimo Holding AG</t>
  </si>
  <si>
    <t>8RJ</t>
  </si>
  <si>
    <t>CH1101098163</t>
  </si>
  <si>
    <t>UCM_IT0001</t>
  </si>
  <si>
    <t>Buzzi Unicem SpA</t>
  </si>
  <si>
    <t>UCM</t>
  </si>
  <si>
    <t>IT0001347308</t>
  </si>
  <si>
    <t>HDB_IT0003</t>
  </si>
  <si>
    <t>Azimut Holding SpA</t>
  </si>
  <si>
    <t>HDB</t>
  </si>
  <si>
    <t>IT0003261697</t>
  </si>
  <si>
    <t>CBK_DE000C</t>
  </si>
  <si>
    <t>Commerzbank AG</t>
  </si>
  <si>
    <t>CBK</t>
  </si>
  <si>
    <t>DE000CBK1001</t>
  </si>
  <si>
    <t>Excluded — Vol Cap</t>
  </si>
  <si>
    <t>AIXA_DE000A</t>
  </si>
  <si>
    <t>AIXTRON SE</t>
  </si>
  <si>
    <t>AIXA</t>
  </si>
  <si>
    <t>DE000A0WMPJ6</t>
  </si>
  <si>
    <t>BSI_NL0012</t>
  </si>
  <si>
    <t>BE Semiconductor Industries NV</t>
  </si>
  <si>
    <t>BSI</t>
  </si>
  <si>
    <t>NL0012866412</t>
  </si>
  <si>
    <t>SGM_NL0000</t>
  </si>
  <si>
    <t>STMicroelectronics NV</t>
  </si>
  <si>
    <t>SGM</t>
  </si>
  <si>
    <t>NL0000226223</t>
  </si>
  <si>
    <t>AVS_NL0000</t>
  </si>
  <si>
    <t>ASM International NV</t>
  </si>
  <si>
    <t>AVS</t>
  </si>
  <si>
    <t>NL0000334118</t>
  </si>
  <si>
    <t>HF6_CY0200</t>
  </si>
  <si>
    <t>Frontline PLC</t>
  </si>
  <si>
    <t>HF6</t>
  </si>
  <si>
    <t>CY0200352116</t>
  </si>
  <si>
    <t>RTZ_GB0004</t>
  </si>
  <si>
    <t>Pan African Resources PLC</t>
  </si>
  <si>
    <t>RTZ</t>
  </si>
  <si>
    <t>GB0004300496</t>
  </si>
  <si>
    <t>H3M_GB00B1</t>
  </si>
  <si>
    <t>Hochschild Mining PLC</t>
  </si>
  <si>
    <t>H3M</t>
  </si>
  <si>
    <t>GB00B1FW5029</t>
  </si>
  <si>
    <t>ARRD_LU1598</t>
  </si>
  <si>
    <t>ArcelorMittal SA</t>
  </si>
  <si>
    <t>ARRD</t>
  </si>
  <si>
    <t>LU1598757687</t>
  </si>
  <si>
    <t>M6Q_FI0009</t>
  </si>
  <si>
    <t>Metso Outotec Oyj</t>
  </si>
  <si>
    <t>M6Q</t>
  </si>
  <si>
    <t>FI0009014575</t>
  </si>
  <si>
    <t>FNL_GB00B2</t>
  </si>
  <si>
    <t>Fresnillo PLC</t>
  </si>
  <si>
    <t>FNL</t>
  </si>
  <si>
    <t>GB00B2QPKJ12</t>
  </si>
  <si>
    <t>4BE_IT0000</t>
  </si>
  <si>
    <t>BPER Banca</t>
  </si>
  <si>
    <t>4BE</t>
  </si>
  <si>
    <t>IT0000066123</t>
  </si>
  <si>
    <t>22Z_DK0060</t>
  </si>
  <si>
    <t>Zealand Pharma A/S</t>
  </si>
  <si>
    <t>22Z</t>
  </si>
  <si>
    <t>DK0060257814</t>
  </si>
  <si>
    <t>1T5_PLTAUR</t>
  </si>
  <si>
    <t>Tauron Polska Energia SA</t>
  </si>
  <si>
    <t>1T5</t>
  </si>
  <si>
    <t>PLTAURN00011</t>
  </si>
  <si>
    <t>BRU_PLBRE0</t>
  </si>
  <si>
    <t>mBank SA</t>
  </si>
  <si>
    <t>BRU</t>
  </si>
  <si>
    <t>PLBRE0000012</t>
  </si>
  <si>
    <t>7CD_PLOPTT</t>
  </si>
  <si>
    <t>CD Projekt SA</t>
  </si>
  <si>
    <t>7CD</t>
  </si>
  <si>
    <t>PLOPTTC00011</t>
  </si>
  <si>
    <t>Media</t>
  </si>
  <si>
    <t>1AE_NL0010</t>
  </si>
  <si>
    <t>Argenx SE</t>
  </si>
  <si>
    <t>1AE</t>
  </si>
  <si>
    <t>NL0010832176</t>
  </si>
  <si>
    <t>1ZG_GB00BV</t>
  </si>
  <si>
    <t>Zegona Communications plc</t>
  </si>
  <si>
    <t>1ZG</t>
  </si>
  <si>
    <t>GB00BVGBY890</t>
  </si>
  <si>
    <t>7CA_SE0007</t>
  </si>
  <si>
    <t>Camurus AB</t>
  </si>
  <si>
    <t>7CA</t>
  </si>
  <si>
    <t>SE0007692850</t>
  </si>
  <si>
    <t>BPM_IT0005</t>
  </si>
  <si>
    <t>Banco BPM SpA</t>
  </si>
  <si>
    <t>BPM</t>
  </si>
  <si>
    <t>IT0005218380</t>
  </si>
  <si>
    <t>2X1_FR0012</t>
  </si>
  <si>
    <t>Abivax SA</t>
  </si>
  <si>
    <t>2X1</t>
  </si>
  <si>
    <t>FR0012333284</t>
  </si>
  <si>
    <t>BIRG_IE00BD</t>
  </si>
  <si>
    <t>Bank of Ireland Group PLC</t>
  </si>
  <si>
    <t>BIRG</t>
  </si>
  <si>
    <t>IE00BD1RP616</t>
  </si>
  <si>
    <t>1RY_PLLPP0</t>
  </si>
  <si>
    <t>LPP SA</t>
  </si>
  <si>
    <t>1RY</t>
  </si>
  <si>
    <t>PLLPP0000011</t>
  </si>
  <si>
    <t>WATCHLIST &amp; EXCLUSION SUMMARY  |  For Captain and ESG Specialist  |  Updated from RAG Screening Sheet</t>
  </si>
  <si>
    <t>A — HARD EXCLUSIONS</t>
  </si>
  <si>
    <t>Company</t>
  </si>
  <si>
    <t>Exclusion Trigger</t>
  </si>
  <si>
    <t>Evidence Source</t>
  </si>
  <si>
    <t>Page Ref</t>
  </si>
  <si>
    <t>Date</t>
  </si>
  <si>
    <t>Captain Confirmed</t>
  </si>
  <si>
    <t>B — WATCHLIST</t>
  </si>
  <si>
    <t>Watchlist Reason</t>
  </si>
  <si>
    <t>Worst 8-Test Dim.</t>
  </si>
  <si>
    <t>GRS Score</t>
  </si>
  <si>
    <t>Climate Flag</t>
  </si>
  <si>
    <t>Safeguards Flag</t>
  </si>
  <si>
    <t>C — INSUFFICIENT EVIDENCE</t>
  </si>
  <si>
    <t>EQS Score</t>
  </si>
  <si>
    <t>Docs Reviewed</t>
  </si>
  <si>
    <t>Missing Evidence</t>
  </si>
  <si>
    <t>Action Required</t>
  </si>
  <si>
    <t>D — CLEAR — PROCEED TO ESG SCORING</t>
  </si>
  <si>
    <t>Overall RAG Score</t>
  </si>
  <si>
    <t>Handoff Date</t>
  </si>
  <si>
    <t>8-TEST GREENWASHING FRAMEWORK  |  Applied uniformly across all 50 candidate companies</t>
  </si>
  <si>
    <t>#</t>
  </si>
  <si>
    <t>Dimension</t>
  </si>
  <si>
    <t>PASS Criteria</t>
  </si>
  <si>
    <t>PARTIAL Criteria</t>
  </si>
  <si>
    <t>FAIL Criteria</t>
  </si>
  <si>
    <t>MISSING</t>
  </si>
  <si>
    <t>Output Field</t>
  </si>
  <si>
    <t>1</t>
  </si>
  <si>
    <t>Specificity</t>
  </si>
  <si>
    <t>Named asset / product / division with exact claim</t>
  </si>
  <si>
    <t>General direction with some constraint</t>
  </si>
  <si>
    <t>"Committed to sustainability" or equivalent vague language</t>
  </si>
  <si>
    <t>No sustainability claim found in documents</t>
  </si>
  <si>
    <t>G4 — test1_specificity</t>
  </si>
  <si>
    <t>2</t>
  </si>
  <si>
    <t>Metric</t>
  </si>
  <si>
    <t>Specific number with unit and context (%, tCO2, GWh)</t>
  </si>
  <si>
    <t>Direction stated, no quantity given</t>
  </si>
  <si>
    <t>Claim quantified but number is misleading or restated after restructuring</t>
  </si>
  <si>
    <t>No quantitative data on the topic</t>
  </si>
  <si>
    <t>G5 — test2_metric</t>
  </si>
  <si>
    <t>3</t>
  </si>
  <si>
    <t>Baseline</t>
  </si>
  <si>
    <t>Explicit baseline year + figure, methodology stable</t>
  </si>
  <si>
    <t>Baseline year stated but no value; or methodology changed</t>
  </si>
  <si>
    <t>Baseline cherry-picked or shifted post-acquisition / disposal</t>
  </si>
  <si>
    <t>No baseline information in documents</t>
  </si>
  <si>
    <t>G6 — test3_baseline</t>
  </si>
  <si>
    <t>4</t>
  </si>
  <si>
    <t>Target</t>
  </si>
  <si>
    <t>SBTi-approved OR legally binding OR board-approved with documented governance</t>
  </si>
  <si>
    <t>Company-stated target only, non-binding</t>
  </si>
  <si>
    <t>No target exists; or target contradicts stated behaviour</t>
  </si>
  <si>
    <t>No target information found</t>
  </si>
  <si>
    <t>G7 — test4_target</t>
  </si>
  <si>
    <t>5</t>
  </si>
  <si>
    <t>Time Horizon</t>
  </si>
  <si>
    <t>Near-term date ≤2030 with reported interim progress</t>
  </si>
  <si>
    <t>Long-term date only (&gt;2040); or near-term date with no progress reported</t>
  </si>
  <si>
    <t>No date given; or date stated with no evidence of progress toward it</t>
  </si>
  <si>
    <t>No time-related information found</t>
  </si>
  <si>
    <t>G8 — test5_time_horizon</t>
  </si>
  <si>
    <t>6</t>
  </si>
  <si>
    <t>Scope</t>
  </si>
  <si>
    <t>Named entities, scopes (1/2/3), geographies all clearly defined</t>
  </si>
  <si>
    <t>"Most operations" or "core business" without clear definition</t>
  </si>
  <si>
    <t>Ambiguous scope that likely excludes problem assets or activities</t>
  </si>
  <si>
    <t>No scope definition found</t>
  </si>
  <si>
    <t>G9 — test6_scope</t>
  </si>
  <si>
    <t>7</t>
  </si>
  <si>
    <t>External Validation</t>
  </si>
  <si>
    <t>Named verifier + standard (ISAE 3000 / 3410) + reasonable assurance level</t>
  </si>
  <si>
    <t>Limited assurance only; or verification of a subset of data only</t>
  </si>
  <si>
    <t>Self-reported only; or "reviewed by management" with no external party</t>
  </si>
  <si>
    <t>No assurance statement found in documents reviewed</t>
  </si>
  <si>
    <t>G10 — test7_verification</t>
  </si>
  <si>
    <t>8</t>
  </si>
  <si>
    <t>Behavioural Consistency</t>
  </si>
  <si>
    <t>Capex aligned with claim; no contradictory lobbying; no relevant controversy</t>
  </si>
  <si>
    <t>Some capex misalignment; minor contradiction; minor controversy</t>
  </si>
  <si>
    <t>Capex directly contradicts claim; active lobbying against stated position; severe controversy</t>
  </si>
  <si>
    <t>Insufficient capex or lobbying disclosure to assess</t>
  </si>
  <si>
    <t>G11 — test8_consistency</t>
  </si>
  <si>
    <t>STANDARD CLAUDE PROJECT SYSTEM PROMPT  (copy into each company Claude Project)</t>
  </si>
  <si>
    <t>You are an ESG forensic analyst. For [COMPANY NAME], analyse the uploaded sustainability report and assess each of the 8 greenwashing dimensions below.
For each dimension provide: (a) direct quote with page number, (b) numerical value or factual statement, (c) result: PASS / PARTIAL / FAIL / MISSING, (d) 1–2 sentences of reasoning.
RULES: Use only uploaded documents. Never invent quotes, page numbers, or figures. If a dimension has no information, mark it MISSING — not FAIL. MISSING = evidence absent. FAIL = evidence contradicts the claim. Separate reported facts from your analytical conclusions. Output as a JSON object with exactly 8 fields: test1 through test8. Each field: result, quote, page_ref, numeric_value, reasoning.</t>
  </si>
  <si>
    <t>SCORING LOGIC  |  All formulas, weights and override rules</t>
  </si>
  <si>
    <t>SCORE</t>
  </si>
  <si>
    <t>FORMULA / LOGIC</t>
  </si>
  <si>
    <t>WEIGHT IN I6</t>
  </si>
  <si>
    <t>DIRECTION</t>
  </si>
  <si>
    <t>SCREENING COL</t>
  </si>
  <si>
    <t>Climate Credibility Score (C19)</t>
  </si>
  <si>
    <t>Points-based — see table below. Implemented via IFS or helper columns. Max 100.</t>
  </si>
  <si>
    <t>Higher = Better</t>
  </si>
  <si>
    <t>C19</t>
  </si>
  <si>
    <t>Biodiversity Score (E13)</t>
  </si>
  <si>
    <t>Points-based — see table below. Sector penalty applied. Max 100.</t>
  </si>
  <si>
    <t>E13</t>
  </si>
  <si>
    <t>Safeguards Score (D12)</t>
  </si>
  <si>
    <t>Points-based — see table below. Violation penalty applied. Max 100.</t>
  </si>
  <si>
    <t>D12</t>
  </si>
  <si>
    <t>EU Reg Evidence Score (F11)</t>
  </si>
  <si>
    <t>Points-based — see table below. Overclaiming penalty applied. Max 100.</t>
  </si>
  <si>
    <t>F11</t>
  </si>
  <si>
    <t>Greenwashing Risk Score (G15)</t>
  </si>
  <si>
    <t>G12×15 + G13×6 + G14×3 + controversy modifier. Higher = worse.</t>
  </si>
  <si>
    <t>15% (inverted)</t>
  </si>
  <si>
    <t>Lower = Better</t>
  </si>
  <si>
    <t>G15</t>
  </si>
  <si>
    <t>Evidence Quality Score (H12)</t>
  </si>
  <si>
    <t>Points for sources, confidence, verification. Applied as multiplier on I6.</t>
  </si>
  <si>
    <t>Modifier</t>
  </si>
  <si>
    <t>H12</t>
  </si>
  <si>
    <t>Overall RAG Score (I6)</t>
  </si>
  <si>
    <t>(C19×0.30 + E13×0.20 + D12×0.20 + F11×0.15 + (100-G15)×0.15) × EQS modifier</t>
  </si>
  <si>
    <t>—</t>
  </si>
  <si>
    <t>I6</t>
  </si>
  <si>
    <t>EQS MODIFIER TABLE</t>
  </si>
  <si>
    <t>EQS ≥ 75</t>
  </si>
  <si>
    <t>No reduction applied</t>
  </si>
  <si>
    <t>×1.00</t>
  </si>
  <si>
    <t>EQS 50–74</t>
  </si>
  <si>
    <t>10% reduction</t>
  </si>
  <si>
    <t>×0.90</t>
  </si>
  <si>
    <t>EQS 25–49</t>
  </si>
  <si>
    <t>25% reduction</t>
  </si>
  <si>
    <t>×0.75</t>
  </si>
  <si>
    <t>EQS &lt; 25</t>
  </si>
  <si>
    <t>40% reduction — score largely unreliable</t>
  </si>
  <si>
    <t>×0.60</t>
  </si>
  <si>
    <t>OVERRIDE RULES</t>
  </si>
  <si>
    <t>Hard exclusion triggered (G22=Automatic)</t>
  </si>
  <si>
    <t>I6 forced to 0. Final verdict = Exclusion Risk regardless of scores.</t>
  </si>
  <si>
    <t>Override all</t>
  </si>
  <si>
    <t>EQS &lt; 20 or B12 = 0</t>
  </si>
  <si>
    <t>Final verdict forced to Insufficient Evidence regardless of scores.</t>
  </si>
  <si>
    <t>G12 ≥ 6 (6+ tests FAIL)</t>
  </si>
  <si>
    <t>G22 auto = Exclusion Trigger. Captain must confirm.</t>
  </si>
  <si>
    <t>Hard trigger</t>
  </si>
  <si>
    <t>Human override (I8)</t>
  </si>
  <si>
    <t>Always takes precedence. Rationale must be documented in I10.</t>
  </si>
  <si>
    <t>CLIMATE CREDIBILITY SCORE — POINTS TABLE</t>
  </si>
  <si>
    <t>Net-zero target claimed</t>
  </si>
  <si>
    <t>+5 base</t>
  </si>
  <si>
    <t xml:space="preserve">  + SBTi Approved</t>
  </si>
  <si>
    <t>+15 additional (total 20)</t>
  </si>
  <si>
    <t xml:space="preserve">  + SBTi Committed only</t>
  </si>
  <si>
    <t>+5 additional (total 10)</t>
  </si>
  <si>
    <t>Interim target ≤ 2030 with baseline</t>
  </si>
  <si>
    <t>+15 (else +10 if target exists)</t>
  </si>
  <si>
    <t>Scope 1+2 fully covered</t>
  </si>
  <si>
    <t>+10</t>
  </si>
  <si>
    <t>Scope 3 disclosed (≥5 categories)</t>
  </si>
  <si>
    <t>Scope 3 included in target</t>
  </si>
  <si>
    <t>+5</t>
  </si>
  <si>
    <t>Transition plan (detailed)</t>
  </si>
  <si>
    <t>+10 (high level: +5)</t>
  </si>
  <si>
    <t>Capex alignment quantified</t>
  </si>
  <si>
    <t>+15 (directional only: +7)</t>
  </si>
  <si>
    <t>Climate governance formal</t>
  </si>
  <si>
    <t>No lobbying contradiction</t>
  </si>
  <si>
    <t>External assurance on emissions</t>
  </si>
  <si>
    <t>PENALTY: Scope 3 not in target despite net-zero</t>
  </si>
  <si>
    <t>-10</t>
  </si>
  <si>
    <t>PENALTY: No capex evidence despite net-zero claim</t>
  </si>
  <si>
    <t>SAFEGUARDS SCORE — POINTS TABLE</t>
  </si>
  <si>
    <t>HR policy — Formal with grievance mechanism</t>
  </si>
  <si>
    <t>+20 (limited scope: +10; mention: +5)</t>
  </si>
  <si>
    <t>UNGC Active Signatory</t>
  </si>
  <si>
    <t>+15 (overdue COP: +5)</t>
  </si>
  <si>
    <t>No UNGC violation confirmed</t>
  </si>
  <si>
    <t>+15</t>
  </si>
  <si>
    <t>No OECD breach confirmed</t>
  </si>
  <si>
    <t>Supply chain HRDD — Full process</t>
  </si>
  <si>
    <t>+15 (audit programme: +8)</t>
  </si>
  <si>
    <t>No labour/HS controversy</t>
  </si>
  <si>
    <t>+10 (material: 0; severe: -15)</t>
  </si>
  <si>
    <t>Board oversight formal</t>
  </si>
  <si>
    <t>ESG exec pay quantified</t>
  </si>
  <si>
    <t>ESG data reasonably assured</t>
  </si>
  <si>
    <t>BIODIVERSITY SCORE — POINTS TABLE</t>
  </si>
  <si>
    <t>Biodiversity policy formal</t>
  </si>
  <si>
    <t>+15 (referenced: +5)</t>
  </si>
  <si>
    <t>TNFD aligned</t>
  </si>
  <si>
    <t>+15 (partial: +7)</t>
  </si>
  <si>
    <t>Mitigation hierarchy full</t>
  </si>
  <si>
    <t>+15 (partial: +7; offset only: +2)</t>
  </si>
  <si>
    <t>Nature dependency LOW</t>
  </si>
  <si>
    <t>+15; MEDIUM: +10; HIGH: +5; VERY HIGH: 0</t>
  </si>
  <si>
    <t>Water risk LOW/LOW-MEDIUM</t>
  </si>
  <si>
    <t>+15; MEDIUM-HIGH: +8; HIGH: +3; EXT HIGH: 0</t>
  </si>
  <si>
    <t>PAI 7 disclosed and quantified</t>
  </si>
  <si>
    <t>+10 (referenced: +5)</t>
  </si>
  <si>
    <t>No biodiversity-sensitive site conflict</t>
  </si>
  <si>
    <t>+10 (unknown: +3)</t>
  </si>
  <si>
    <t>SECTOR PENALTY: Critical nature risk class</t>
  </si>
  <si>
    <t>-20 from base</t>
  </si>
  <si>
    <t>SECTOR PENALTY: High nature risk class</t>
  </si>
  <si>
    <t>-10 from base</t>
  </si>
  <si>
    <t>EU REGULATION EVIDENCE SCORE — POINTS TABLE</t>
  </si>
  <si>
    <t>Taxonomy eligible revenue disclosed</t>
  </si>
  <si>
    <t>Taxonomy aligned revenue — company stated</t>
  </si>
  <si>
    <t>+15 (independently verified: +25)</t>
  </si>
  <si>
    <t>DNSH explicitly assessed</t>
  </si>
  <si>
    <t>+20 (referenced: +10)</t>
  </si>
  <si>
    <t>Minimum safeguards evidenced</t>
  </si>
  <si>
    <t>PAI indicators: 1–5 reported</t>
  </si>
  <si>
    <t>+5; 6–10: +10; 11–18: +15</t>
  </si>
  <si>
    <t>CSRD/ESRS full disclosure</t>
  </si>
  <si>
    <t>+15 (substantial: +8; basic: +3)</t>
  </si>
  <si>
    <t>PENALTY: Aligned % &gt; Eligible %</t>
  </si>
  <si>
    <t>-20 (overclaiming detected)</t>
  </si>
  <si>
    <t>PENALTY: Company-stated alignment &gt;60% unverified</t>
  </si>
  <si>
    <t>-10 (high overclaiming risk)</t>
  </si>
  <si>
    <t>SBTi STATUS</t>
  </si>
  <si>
    <t>POINTS</t>
  </si>
  <si>
    <t>HR POLICY STATUS</t>
  </si>
  <si>
    <t>UNGC SIGNATORY</t>
  </si>
  <si>
    <t>UNGC VIOLATION EVIDENCE</t>
  </si>
  <si>
    <t>SUPPLY CHAIN DD EVIDENCE</t>
  </si>
  <si>
    <t>LABOUR / H&amp;S CONTROVERSY</t>
  </si>
  <si>
    <t>Full HRDD Process</t>
  </si>
  <si>
    <t>Achieved</t>
  </si>
  <si>
    <t>Policy Exists – Limited Scope</t>
  </si>
  <si>
    <t>Signatory — COP Overdue</t>
  </si>
  <si>
    <t>Concern Flagged</t>
  </si>
  <si>
    <t>Targets Submitted</t>
  </si>
  <si>
    <t>Mention Only</t>
  </si>
  <si>
    <t>Non-Signatory</t>
  </si>
  <si>
    <t>Confirmed Violation</t>
  </si>
  <si>
    <t>Material</t>
  </si>
  <si>
    <t>Absent</t>
  </si>
  <si>
    <t>(blank)</t>
  </si>
  <si>
    <t>Severe</t>
  </si>
  <si>
    <t>Commitment Lapsed</t>
  </si>
  <si>
    <t>No commitment</t>
  </si>
  <si>
    <t>BIODIVERSITY POLICY</t>
  </si>
  <si>
    <t>NATURE DEPENDENCY (ENCORE)</t>
  </si>
  <si>
    <t>WATER RISK (WRI AQUEDUCT)</t>
  </si>
  <si>
    <t>MITIGATION HIERARCHY</t>
  </si>
  <si>
    <t>TNFD ALIGNMENT</t>
  </si>
  <si>
    <t>PAI 7 RELEVANCE</t>
  </si>
  <si>
    <t>TNFD Aligned</t>
  </si>
  <si>
    <t>Aligned</t>
  </si>
  <si>
    <t>Medium</t>
  </si>
  <si>
    <t>Low-Medium</t>
  </si>
  <si>
    <t>Referenced but not Quantified</t>
  </si>
  <si>
    <t>Medium-High</t>
  </si>
  <si>
    <t>Offset Only</t>
  </si>
  <si>
    <t>Not Applicable</t>
  </si>
  <si>
    <t>Very High</t>
  </si>
  <si>
    <t>No Evidence</t>
  </si>
  <si>
    <t>Not Disclosed</t>
  </si>
  <si>
    <t>Not Assessed</t>
  </si>
  <si>
    <t>Extremely High</t>
  </si>
  <si>
    <t>DNSH EVIDENCE</t>
  </si>
  <si>
    <t>MINIMUM SAFEGUARDS EVIDENCE</t>
  </si>
  <si>
    <t>CSRD / ESRS QUALITY</t>
  </si>
  <si>
    <t>SECTOR NATURE RISK CLASS</t>
  </si>
  <si>
    <t>CONTROVERSY SEVERITY</t>
  </si>
  <si>
    <t>Full</t>
  </si>
  <si>
    <t>Critical</t>
  </si>
  <si>
    <t>BIODIVERSITY / NATURE-RISK FRAMEWORK  |  ENCORE + WWF BRF + WRI Aqueduct + TNFD</t>
  </si>
  <si>
    <t>STEP 1 — SECTOR CLASSIFICATION (ENCORE)</t>
  </si>
  <si>
    <t>Map BICS sector to ENCORE nature dependency and impact ratings</t>
  </si>
  <si>
    <t>Nature Dependency Rating</t>
  </si>
  <si>
    <t>What nature provides to the business (regulating services, provisioning services)</t>
  </si>
  <si>
    <t>Very High / High / Medium / Low</t>
  </si>
  <si>
    <t>Column E2</t>
  </si>
  <si>
    <t>Nature Impact Rating</t>
  </si>
  <si>
    <t>What the business does to nature (GHG, water, land, pollution, waste)</t>
  </si>
  <si>
    <t>Column E3</t>
  </si>
  <si>
    <t>STEP 2 — WATER RISK (WRI AQUEDUCT)</t>
  </si>
  <si>
    <t>Map primary operating geographies to Aqueduct basin-level water stress scores</t>
  </si>
  <si>
    <t>Water Risk Score</t>
  </si>
  <si>
    <t>Overall water risk for primary country of operations</t>
  </si>
  <si>
    <t>Ext High / High / Med-High / Low-Med / Low</t>
  </si>
  <si>
    <t>Column E4</t>
  </si>
  <si>
    <t>STEP 3 — WWF BIODIVERSITY RISK FILTER</t>
  </si>
  <si>
    <t>Apply sector-level biodiversity risk score (physical + reputational risk)</t>
  </si>
  <si>
    <t>Sector Risk Level</t>
  </si>
  <si>
    <t>Combined physical (proximity to sensitive areas) and reputational risk</t>
  </si>
  <si>
    <t>Use as qualitative input to E10</t>
  </si>
  <si>
    <t>Column E10</t>
  </si>
  <si>
    <t>STEP 4 — COMPANY-LEVEL RAG EXTRACTION</t>
  </si>
  <si>
    <t>Extract from sustainability PDFs via Claude Project</t>
  </si>
  <si>
    <t>Biodiversity policy</t>
  </si>
  <si>
    <t>Formal policy existence and quality</t>
  </si>
  <si>
    <t>Formal / Referenced / TNFD / Mention / Absent</t>
  </si>
  <si>
    <t>Column E1</t>
  </si>
  <si>
    <t>TNFD alignment</t>
  </si>
  <si>
    <t>Evidence of TNFD framework adoption</t>
  </si>
  <si>
    <t>Aligned / Partial / None</t>
  </si>
  <si>
    <t>Column E12</t>
  </si>
  <si>
    <t>PAI 7 reporting</t>
  </si>
  <si>
    <t>SFDR PAI 7: % revenue from biodiversity-sensitive activities</t>
  </si>
  <si>
    <t>Disclosed &amp; Quantified / Referenced / Not Disclosed</t>
  </si>
  <si>
    <t>Column E8/E9</t>
  </si>
  <si>
    <t>Mitigation hierarchy</t>
  </si>
  <si>
    <t>Avoid → Minimise → Restore → Offset evidence</t>
  </si>
  <si>
    <t>Full / Partial / Offset Only / No Evidence</t>
  </si>
  <si>
    <t>Column E11</t>
  </si>
  <si>
    <t>ENCORE SECTOR CLASSIFICATION TABLE</t>
  </si>
  <si>
    <t>Critical (Very High dep. + Very High/High impact)</t>
  </si>
  <si>
    <t>Agriculture, Forestry, Mining, Fisheries, Food &amp; Beverage</t>
  </si>
  <si>
    <t>Sector penalty: -20</t>
  </si>
  <si>
    <t>High (High dep. + High/Medium impact)</t>
  </si>
  <si>
    <t>Chemicals, Water-intensive Utilities, Textiles, Paper &amp; Pulp</t>
  </si>
  <si>
    <t>Sector penalty: -10</t>
  </si>
  <si>
    <t>Moderate (Medium dep. + Medium/Low impact)</t>
  </si>
  <si>
    <t>Construction, Pharma, Autos, Semiconductors (water)</t>
  </si>
  <si>
    <t>No sector penalty</t>
  </si>
  <si>
    <t>Low (Low dep. + Low impact)</t>
  </si>
  <si>
    <t>Software, Financial Services, Telecoms, Insurance</t>
  </si>
  <si>
    <t>PAI 7 ASSESSMENT NOTE</t>
  </si>
  <si>
    <t>What PAI 7 covers</t>
  </si>
  <si>
    <t>SFDR Delegated Regulation (2022/1288) Annex I: revenue from activities negatively affecting biodiversity-sensitive areas (UNESCO World Heritage Sites, IUCN Cat I–IV, Ramsar Wetlands, Key Biodiversity Areas)</t>
  </si>
  <si>
    <t>Data availability</t>
  </si>
  <si>
    <t>Most companies do not proactively disclose PAI 7. Use sector proxy for light screen. Deep review: search for TCFD/TNFD location disclosures and known controversies involving protected areas.</t>
  </si>
  <si>
    <t>MITIGATION HIERARCHY (TNFD / Kunming-Montreal)</t>
  </si>
  <si>
    <t>Avoid</t>
  </si>
  <si>
    <t>Site selection that avoids sensitive areas in the first place — strongest level</t>
  </si>
  <si>
    <t>Score contribution: highest</t>
  </si>
  <si>
    <t>Minimise</t>
  </si>
  <si>
    <t>Operational controls to reduce biodiversity impact during operations</t>
  </si>
  <si>
    <t>Score contribution: high</t>
  </si>
  <si>
    <t>Restore</t>
  </si>
  <si>
    <t>Active habitat restoration programmes for impacted areas</t>
  </si>
  <si>
    <t>Score contribution: medium</t>
  </si>
  <si>
    <t>Offset</t>
  </si>
  <si>
    <t>Biodiversity credits / offsets as a last resort only — weakest level</t>
  </si>
  <si>
    <t>Score contribution: lowest</t>
  </si>
  <si>
    <t>Offset-only claim</t>
  </si>
  <si>
    <t>Company claims biodiversity neutrality primarily through offsets — significant red flag</t>
  </si>
  <si>
    <t>Scores E11 as "Offset Only"</t>
  </si>
  <si>
    <t>EVIDENCE QUALITY &amp; VERIFICATION LOG  |  30% random sample minimum  |  100% for any Watchlist or Exclusion item</t>
  </si>
  <si>
    <t>Field Verified</t>
  </si>
  <si>
    <t>Claim / Figure Checked</t>
  </si>
  <si>
    <t>Source Doc Checked</t>
  </si>
  <si>
    <t>Page Checked</t>
  </si>
  <si>
    <t>AI Extraction Output</t>
  </si>
  <si>
    <t>Human Finding in Doc</t>
  </si>
  <si>
    <t>Match Status</t>
  </si>
  <si>
    <t>Correction Applied</t>
  </si>
  <si>
    <t>Time Spent (mins)</t>
  </si>
  <si>
    <t>SOURCE REGISTER  |  All documents reviewed — with URL, vintage and citation</t>
  </si>
  <si>
    <t>Source ID</t>
  </si>
  <si>
    <t>Document Type</t>
  </si>
  <si>
    <t>Document Title</t>
  </si>
  <si>
    <t>Publisher</t>
  </si>
  <si>
    <t>Publication Date</t>
  </si>
  <si>
    <t>Fiscal Year Covered</t>
  </si>
  <si>
    <t>URL</t>
  </si>
  <si>
    <t>Date Accessed</t>
  </si>
  <si>
    <t>Language</t>
  </si>
  <si>
    <t>Page Count</t>
  </si>
  <si>
    <t>Uploaded to Claude Project?</t>
  </si>
  <si>
    <t>Claude Project Name</t>
  </si>
  <si>
    <t>Citation (Report Bibliography)</t>
  </si>
  <si>
    <t>FACTOR DEFINITIONS &amp; RATIONALE  |  Academic grounding for every screening dimension</t>
  </si>
  <si>
    <t>Group</t>
  </si>
  <si>
    <t>Column Name</t>
  </si>
  <si>
    <t>Definition</t>
  </si>
  <si>
    <t>Why It Matters (Rationale)</t>
  </si>
  <si>
    <t>Regulatory / Academic Link</t>
  </si>
  <si>
    <t>Company Identifiers</t>
  </si>
  <si>
    <t>Full legal name, ticker, ISIN, country, BICS sector</t>
  </si>
  <si>
    <t>Ensures every row is traceable to a real, verifiable entity. ISIN is the gold standard for company identification in financial databases.</t>
  </si>
  <si>
    <t>STOXX Europe 600 universe</t>
  </si>
  <si>
    <t>Document Coverage</t>
  </si>
  <si>
    <t>Flags which sources have been reviewed for each company</t>
  </si>
  <si>
    <t>Models Berg et al. (2022) insight that ESG divergence is partly explained by disclosure gaps. Thin coverage is treated as a risk signal.</t>
  </si>
  <si>
    <t>Berg, Koelbel &amp; Rigobon (2022); IOSCO (2021)</t>
  </si>
  <si>
    <t>Climate Claim Credibility</t>
  </si>
  <si>
    <t>Net-zero targets, SBTi status, Scope 3, capex alignment</t>
  </si>
  <si>
    <t>Commitment without capital allocation is a promise without a plan. The capex column tests whether climate claims are financially real.</t>
  </si>
  <si>
    <t>PCAF; SBTi Standard; Bolton &amp; Kacperczyk (2021)</t>
  </si>
  <si>
    <t>Current Science Based Targets initiative status</t>
  </si>
  <si>
    <t>Distinguishes self-committed targets (anyone can commit) from independently validated targets (requires SBTi approval). A critical evidence-quality distinction.</t>
  </si>
  <si>
    <t>SBTi Corporate Net-Zero Standard</t>
  </si>
  <si>
    <t>ESG Safeguards</t>
  </si>
  <si>
    <t>UNGC/OECD compliance, HR policy, supply chain due diligence</t>
  </si>
  <si>
    <t>Article 9-style mandate requires 100% UNGC and OECD MNE compliance. Safeguard violations are hard exclusion triggers.</t>
  </si>
  <si>
    <t>SFDR Art. 4; UNGC 10 Principles; OECD MNE Guidelines</t>
  </si>
  <si>
    <t>Whether ESG metrics drive executive compensation</t>
  </si>
  <si>
    <t>Boards that tie pay to ESG targets have stronger governance incentives to deliver. Dimson et al. (2015) link engagement quality to governance structure.</t>
  </si>
  <si>
    <t>Dimson, Karakas &amp; Li (2015)</t>
  </si>
  <si>
    <t>Formal nature policy existence and quality</t>
  </si>
  <si>
    <t>Dasgupta (2021) established that economic decision-making must account for natural capital. A company with no biodiversity policy has no management framework for material nature risks.</t>
  </si>
  <si>
    <t>Dasgupta (2021); TNFD v1.0; ESRS E4</t>
  </si>
  <si>
    <t>SFDR PAI indicator on biodiversity-sensitive area revenue</t>
  </si>
  <si>
    <t>PAI 7 is a mandatory SFDR indicator. Its inclusion is non-negotiable for any Article 9-style fund claim.</t>
  </si>
  <si>
    <t>SFDR Del. Reg. (2022/1288), Annex I</t>
  </si>
  <si>
    <t>ENCORE-based sector-level nature risk classification</t>
  </si>
  <si>
    <t>Sector exposure provides the prior risk assessment before company-level evidence modifies it. Critical sectors face a score penalty regardless of policy claims.</t>
  </si>
  <si>
    <t>ENCORE; WWF Biodiversity Risk Filter</t>
  </si>
  <si>
    <t>Taxonomy Eligibility vs Alignment</t>
  </si>
  <si>
    <t>Distinction between eligible revenue and aligned revenue</t>
  </si>
  <si>
    <t>EU Taxonomy Art. 3 defines eligibility; Art. 17 (DNSH) defines alignment. These are not the same. Treating eligibility as alignment is a common overclaiming error.</t>
  </si>
  <si>
    <t>EU Taxonomy Reg. 2020/852, Art. 3 &amp; 17</t>
  </si>
  <si>
    <t>Do No Significant Harm assessment documentation</t>
  </si>
  <si>
    <t>A Taxonomy-aligned activity must not significantly harm any of the six environmental objectives. Without DNSH evidence, alignment claims cannot be substantiated.</t>
  </si>
  <si>
    <t>EU Taxonomy Reg. 2020/852, Art. 17</t>
  </si>
  <si>
    <t>8-Test Result</t>
  </si>
  <si>
    <t>Greenwashing assessment across 8 dimensions</t>
  </si>
  <si>
    <t>Directly implements the Lecture 1 greenwashing framework. Each FAIL reduces the Greenwashing Risk Score materially. 6+ FAILs trigger a hard exclusion.</t>
  </si>
  <si>
    <t>Lecture 1 slides; SFDR PAI framework</t>
  </si>
  <si>
    <t>Test 8 Consistency</t>
  </si>
  <si>
    <t>Capital allocation vs stated sustainability position</t>
  </si>
  <si>
    <t>A company that claims climate leadership while directing 70%+ of capex to carbon-intensive expansion is making a false claim. This is the single most powerful greenwashing test.</t>
  </si>
  <si>
    <t>DWS case study; Lecture 1</t>
  </si>
  <si>
    <t>Evidence Quality Score</t>
  </si>
  <si>
    <t>Confidence modifier applied to all scores</t>
  </si>
  <si>
    <t>Weak evidence should not earn the same treatment as strong evidence. EQS as a multiplier ensures thin evidence genuinely degrades the assessment rather than averaging away.</t>
  </si>
  <si>
    <t>NIST AI RMF (2023); Berg et al. (2022)</t>
  </si>
  <si>
    <t>Whether AI extractions have been manually checked</t>
  </si>
  <si>
    <t>Operationalises the assignment philosophy: "AI flags, humans decide, everything is logged." All Watchlist and Exclusion driving evidence is 100% verified by a human.</t>
  </si>
  <si>
    <t>NIST AI RMF; course anti-hallucination protocol</t>
  </si>
  <si>
    <t>DATA DICTIONARY  |  Full glossary of terms and abbreviations</t>
  </si>
  <si>
    <t>Term</t>
  </si>
  <si>
    <t>Regulatory Reference</t>
  </si>
  <si>
    <t>8-Test</t>
  </si>
  <si>
    <t>The greenwashing assessment framework applied to each candidate company. Eight dimensions: specificity, metric, baseline, target, time horizon, scope, external validation, behavioural consistency.</t>
  </si>
  <si>
    <t>Lecture 1; Project Plan s.8</t>
  </si>
  <si>
    <t>BICS</t>
  </si>
  <si>
    <t>Bloomberg Industry Classification System. Level 2 = sector; Level 3 = industry. Used for ENCORE mapping.</t>
  </si>
  <si>
    <t>equityBicsV2 dataset</t>
  </si>
  <si>
    <t>CCS — Climate Credibility Score</t>
  </si>
  <si>
    <t>Sub-score 0–100. Higher = more credible climate position. Weight: 30% of Overall RAG Score.</t>
  </si>
  <si>
    <t>Model, Sheet 5</t>
  </si>
  <si>
    <t>CSRD</t>
  </si>
  <si>
    <t>Corporate Sustainability Reporting Directive (EU, 2022/2464). Large EU companies must report under ESRS from FY2024.</t>
  </si>
  <si>
    <t>CSRD Art. 19a and 29a</t>
  </si>
  <si>
    <t>DNSH</t>
  </si>
  <si>
    <t>Do No Significant Harm. EU Taxonomy (Art. 17): an activity is only aligned if it does not significantly harm any of the six environmental objectives.</t>
  </si>
  <si>
    <t>EU Taxonomy 2020/852, Art. 17</t>
  </si>
  <si>
    <t>ENCORE</t>
  </si>
  <si>
    <t>Exploring Natural Capital Opportunities, Risks and Exposure. Maps sector dependencies and impacts on nature.</t>
  </si>
  <si>
    <t>encore.naturalcapital.finance</t>
  </si>
  <si>
    <t>EQS — Evidence Quality Score</t>
  </si>
  <si>
    <t>Confidence modifier 0–100. Applied as a multiplier (not additive) to the Overall RAG Score. Low EQS = less reliable overall score.</t>
  </si>
  <si>
    <t>EU Taxonomy</t>
  </si>
  <si>
    <t>EU Regulation 2020/852. Defines environmentally sustainable economic activities. Three tiers: ineligible / eligible / aligned.</t>
  </si>
  <si>
    <t>EU Taxonomy 2020/852, Art. 3</t>
  </si>
  <si>
    <t>FAIL (8-Test)</t>
  </si>
  <si>
    <t>Evidence directly contradicts or undermines the claim. Not the same as MISSING.</t>
  </si>
  <si>
    <t>Sheet 6 — 8-Test Framework</t>
  </si>
  <si>
    <t>GRS — Greenwashing Risk Score</t>
  </si>
  <si>
    <t>Sub-score 0–100 where higher = worse (more risk). Inverted to (100−GRS) before use in Overall RAG Score.</t>
  </si>
  <si>
    <t>G15 formula; Sheet 5</t>
  </si>
  <si>
    <t>International Securities Identification Number. 12-character alphanumeric identifier. Gold standard for entity matching.</t>
  </si>
  <si>
    <t>MISSING (8-Test)</t>
  </si>
  <si>
    <t>Evidence not found in reviewed documents. Signals a disclosure gap. Not the same as FAIL.</t>
  </si>
  <si>
    <t>OECD MNE Guidelines</t>
  </si>
  <si>
    <t>OECD Guidelines for Multinational Enterprises. Confirmed breach = hard exclusion trigger.</t>
  </si>
  <si>
    <t>Investment Brief s.6</t>
  </si>
  <si>
    <t>Weighted composite (0–100) adjusted by the EQS confidence modifier. Hard exclusion forces this to 0.</t>
  </si>
  <si>
    <t>I6 formula; Sheet 5</t>
  </si>
  <si>
    <t>PAI</t>
  </si>
  <si>
    <t>Principal Adverse Impact. 18 SFDR mandatory indicators at fund level. PAI 7 = biodiversity-sensitive area revenue.</t>
  </si>
  <si>
    <t>SFDR Del. Reg. 2022/1288, Annex I</t>
  </si>
  <si>
    <t>PCAF</t>
  </si>
  <si>
    <t>Partnership for Carbon Accounting Financials. Standard for WACI calculation methodology.</t>
  </si>
  <si>
    <t>PCAF Global GHG Accounting Standard, Part A</t>
  </si>
  <si>
    <t>RAG</t>
  </si>
  <si>
    <t>Retrieval-Augmented Generation. AI technique where the model reads specific source documents before generating output. Reduces hallucination.</t>
  </si>
  <si>
    <t>Lewis et al. (2020)</t>
  </si>
  <si>
    <t>SBTi</t>
  </si>
  <si>
    <t>Science Based Targets initiative. Key distinction: Committed (self-reported, unverified) vs Approved (independently validated by SBTi).</t>
  </si>
  <si>
    <t>SFDR</t>
  </si>
  <si>
    <t>Sustainable Finance Disclosure Regulation (EU, 2019/2088). Defines Article 6/8/9 fund tiers.</t>
  </si>
  <si>
    <t>SFDR 2019/2088</t>
  </si>
  <si>
    <t>TNFD</t>
  </si>
  <si>
    <t>Taskforce on Nature-related Financial Disclosures v1.0 (2023). Nature risk disclosure framework.</t>
  </si>
  <si>
    <t>TNFD v1.0</t>
  </si>
  <si>
    <t>TPI</t>
  </si>
  <si>
    <t>Transition Pathway Initiative. Assesses management quality and carbon performance on climate transition.</t>
  </si>
  <si>
    <t>transitionpathwayinitiative.org</t>
  </si>
  <si>
    <t>UNGC</t>
  </si>
  <si>
    <t>United Nations Global Compact. 10 principles on human rights, labour, environment, anti-corruption. Confirmed violation = hard exclusion.</t>
  </si>
  <si>
    <t>WACI</t>
  </si>
  <si>
    <t>Weighted Average Carbon Intensity. Sum of (portfolio weight × company revenue carbon intensity). Target: ≥30% below STOXX Europe 600.</t>
  </si>
  <si>
    <t>Investment Brief s.4; PCAF</t>
  </si>
  <si>
    <t>Watchlist</t>
  </si>
  <si>
    <t>Companies flagged for additional human review before inclusion or exclusion. The model generates the signal; humans make the decision.</t>
  </si>
  <si>
    <t>Project Plan s.8; Investment Brief s.4</t>
  </si>
  <si>
    <t>WWF BRF</t>
  </si>
  <si>
    <t>WWF Biodiversity Risk Filter. Sector and company level biodiversity risk screening tool.</t>
  </si>
  <si>
    <t>riskfilter.org</t>
  </si>
  <si>
    <t>WRI Aqueduct</t>
  </si>
  <si>
    <t>World Resources Institute water risk atlas. Basin-level and country-level water stress scores.</t>
  </si>
  <si>
    <t>World Resources Institute</t>
  </si>
  <si>
    <t>JSON OUTPUT SCHEMA  |  For Pipeline Operator handoff  |  One file per Deep Review company</t>
  </si>
  <si>
    <t>JSON Field</t>
  </si>
  <si>
    <t>Data Type</t>
  </si>
  <si>
    <t>Valid Values / Notes</t>
  </si>
  <si>
    <t>Screening Sheet Column</t>
  </si>
  <si>
    <t>COMPANY OBJECT</t>
  </si>
  <si>
    <t>company_name</t>
  </si>
  <si>
    <t>String</t>
  </si>
  <si>
    <t>Full legal company name</t>
  </si>
  <si>
    <t>A1</t>
  </si>
  <si>
    <t>ticker</t>
  </si>
  <si>
    <t>Bloomberg format preferred</t>
  </si>
  <si>
    <t>A2</t>
  </si>
  <si>
    <t>isin</t>
  </si>
  <si>
    <t>12-character ISIN</t>
  </si>
  <si>
    <t>A3</t>
  </si>
  <si>
    <t>bics_sector</t>
  </si>
  <si>
    <t>BICS Level 2 from equityBicsV2</t>
  </si>
  <si>
    <t>A6</t>
  </si>
  <si>
    <t>review_priority</t>
  </si>
  <si>
    <t>Deep Review / Light Screen / Pending</t>
  </si>
  <si>
    <t>A9</t>
  </si>
  <si>
    <t>DOCUMENT COVERAGE</t>
  </si>
  <si>
    <t>num_sources_reviewed</t>
  </si>
  <si>
    <t>Integer</t>
  </si>
  <si>
    <t>Count of distinct sources reviewed</t>
  </si>
  <si>
    <t>B12</t>
  </si>
  <si>
    <t>document_coverage_flag</t>
  </si>
  <si>
    <t>Sufficient / Thin / Insufficient</t>
  </si>
  <si>
    <t>B15</t>
  </si>
  <si>
    <t>CLIMATE EVIDENCE</t>
  </si>
  <si>
    <t>sbti_status</t>
  </si>
  <si>
    <t>Committed / Targets Submitted / Approved / Achieved / No Commitment / Commitment Lapsed</t>
  </si>
  <si>
    <t>C11</t>
  </si>
  <si>
    <t>scope3_disclosed</t>
  </si>
  <si>
    <t>Yes / Partial / No</t>
  </si>
  <si>
    <t>C8</t>
  </si>
  <si>
    <t>capex_alignment_evidence</t>
  </si>
  <si>
    <t>Yes — Quantified / Yes — Directional Only / No</t>
  </si>
  <si>
    <t>C14</t>
  </si>
  <si>
    <t>climate_credibility_score</t>
  </si>
  <si>
    <t>Float</t>
  </si>
  <si>
    <t>0–100, see scoring logic</t>
  </si>
  <si>
    <t>BIODIVERSITY &amp; NATURE-RISK</t>
  </si>
  <si>
    <t>nature_dependency_exposure</t>
  </si>
  <si>
    <t>Very High / High / Medium / Low / Not Assessed</t>
  </si>
  <si>
    <t>E2</t>
  </si>
  <si>
    <t>water_risk_aqueduct</t>
  </si>
  <si>
    <t>Extremely High / High / Medium-High / Low-Medium / Low / Not Assessed</t>
  </si>
  <si>
    <t>E4</t>
  </si>
  <si>
    <t>biodiversity_score</t>
  </si>
  <si>
    <t>SAFEGUARDS</t>
  </si>
  <si>
    <t>ungc_signatory</t>
  </si>
  <si>
    <t>Signatory — Active / Signatory — COP Overdue / Non-Signatory</t>
  </si>
  <si>
    <t>D3</t>
  </si>
  <si>
    <t>ungc_violation_evidence</t>
  </si>
  <si>
    <t>No Issues / Concern Flagged / Confirmed Violation</t>
  </si>
  <si>
    <t>D4</t>
  </si>
  <si>
    <t>safeguards_score</t>
  </si>
  <si>
    <t>EU REGULATION</t>
  </si>
  <si>
    <t>taxonomy_eligible_revenue_pct</t>
  </si>
  <si>
    <t>% from disclosure or Bloomberg CSV</t>
  </si>
  <si>
    <t>F2</t>
  </si>
  <si>
    <t>taxonomy_aligned_revenue_pct</t>
  </si>
  <si>
    <t>% post-DNSH — flag if company-stated only</t>
  </si>
  <si>
    <t>F3</t>
  </si>
  <si>
    <t>eu_reg_evidence_score</t>
  </si>
  <si>
    <t>GREENWASHING 8-TEST</t>
  </si>
  <si>
    <t>test1_specificity</t>
  </si>
  <si>
    <t>PASS / PARTIAL / FAIL / MISSING</t>
  </si>
  <si>
    <t>G4</t>
  </si>
  <si>
    <t>test2_metric</t>
  </si>
  <si>
    <t>G5</t>
  </si>
  <si>
    <t>test3_baseline</t>
  </si>
  <si>
    <t>G6</t>
  </si>
  <si>
    <t>test4_target</t>
  </si>
  <si>
    <t>G7</t>
  </si>
  <si>
    <t>test5_time_horizon</t>
  </si>
  <si>
    <t>G8</t>
  </si>
  <si>
    <t>test6_scope</t>
  </si>
  <si>
    <t>G9</t>
  </si>
  <si>
    <t>test7_verification</t>
  </si>
  <si>
    <t>G10</t>
  </si>
  <si>
    <t>test8_consistency</t>
  </si>
  <si>
    <t>G11</t>
  </si>
  <si>
    <t>test_fail_count</t>
  </si>
  <si>
    <t>0–8, auto-calculated</t>
  </si>
  <si>
    <t>G12</t>
  </si>
  <si>
    <t>greenwashing_risk_score</t>
  </si>
  <si>
    <t>0–100, higher = worse</t>
  </si>
  <si>
    <t>watchlist_trigger</t>
  </si>
  <si>
    <t>Yes / No</t>
  </si>
  <si>
    <t>G21</t>
  </si>
  <si>
    <t>exclusion_trigger</t>
  </si>
  <si>
    <t>Yes — Automatic / Yes — Requires Captain Confirmation / No</t>
  </si>
  <si>
    <t>G22</t>
  </si>
  <si>
    <t>EVIDENCE QUALITY</t>
  </si>
  <si>
    <t>evidence_confidence</t>
  </si>
  <si>
    <t>1=Very Low, 2=Low, 3=Medium, 4=High, 5=Very High</t>
  </si>
  <si>
    <t>H4</t>
  </si>
  <si>
    <t>verification_status</t>
  </si>
  <si>
    <t>Fully Verified / Partially Verified / Unverified</t>
  </si>
  <si>
    <t>H6</t>
  </si>
  <si>
    <t>evidence_quality_score</t>
  </si>
  <si>
    <t>0–100, confidence modifier</t>
  </si>
  <si>
    <t>FINAL OUTPUT</t>
  </si>
  <si>
    <t>overall_rag_score</t>
  </si>
  <si>
    <t>0–100 (0 if hard exclusion triggered)</t>
  </si>
  <si>
    <t>final_rag_verdict</t>
  </si>
  <si>
    <t>Clear / Watchlist / Exclusion Risk / Insufficient Evidence</t>
  </si>
  <si>
    <t>I7</t>
  </si>
  <si>
    <t>recommended_action</t>
  </si>
  <si>
    <t>Include — No Conditions / Include — Monitor / Watchlist — Further Evidence Needed / Exclude — Hard Trigger / Exclude — Judgement</t>
  </si>
  <si>
    <t>I9</t>
  </si>
  <si>
    <t>verdict_rationale</t>
  </si>
  <si>
    <t>2–4 sentences. Required for all non-Clear verdicts.</t>
  </si>
  <si>
    <t>I10</t>
  </si>
  <si>
    <t>open_questions</t>
  </si>
  <si>
    <t>Array of strings</t>
  </si>
  <si>
    <t>Unresolved questions for team</t>
  </si>
  <si>
    <t>I11</t>
  </si>
  <si>
    <t>DISCLAIMER &amp; LIMITATIONS  |  Read before using any output from this workbook</t>
  </si>
  <si>
    <t>SCOPE</t>
  </si>
  <si>
    <t>This RAG Screening Sheet is an academic prototype produced for the ESADE MSc Finance Sustainable Finance group assignment (April–May 2026). It is part of an AI-assisted research pipeline designed to support the construction of a hypothetical sustainable European equity portfolio. It must not be interpreted as investment advice, a compliant SFDR disclosure, a regulated ESG scoring product, or a legally valid Article 8 or Article 9 fund methodology.</t>
  </si>
  <si>
    <t>DATA QUALITY AND COVERAGE</t>
  </si>
  <si>
    <t>The model relies on publicly available company sustainability reports, third-party datasets (ENCORE, WWF BRF, WRI Aqueduct), and AI-assisted document extraction. Sustainability disclosures vary widely in quality, scope, and auditability. Data vintage mismatches exist — financial data may be current while ESG data relates to prior fiscal years. Companies with limited disclosures receive lower Evidence Quality Scores; the absence of data is treated as a risk signal, not as evidence of good performance.</t>
  </si>
  <si>
    <t>AI EXTRACTION LIMITATIONS</t>
  </si>
  <si>
    <t>All AI-extracted outputs were generated using Claude Projects (Anthropic). AI extraction can produce inaccurate quotes, incorrect page references, and unsupported inferences. A 30% random sample of all extractions and 100% of watchlist/exclusion-driving extractions have been manually verified against source documents. Any extraction marked Unverified should not be used in final report arguments without additional human review.</t>
  </si>
  <si>
    <t>GREENWASHING ASSESSMENTS</t>
  </si>
  <si>
    <t>The 8-Test framework assesses the quality of companies' sustainability claims based on publicly available documents. A PASS result does not confirm that a company is sustainable or ESG-compliant. A FAIL or PARTIAL result reflects the evidence in reviewed documents and does not constitute a legal or regulatory finding of greenwashing.</t>
  </si>
  <si>
    <t>BIODIVERSITY SCORES</t>
  </si>
  <si>
    <t>Biodiversity and nature-risk assessments use sector-level proxies derived from ENCORE, WWF Biodiversity Risk Filter, and WRI Aqueduct. These are screening tools, not site-level assessments. They cannot capture the full complexity of a company's biodiversity footprint. Location-specific nature-risk data is available only where companies have voluntarily disclosed it.</t>
  </si>
  <si>
    <t>EU TAXONOMY</t>
  </si>
  <si>
    <t>Taxonomy alignment figures used in this model come from company self-disclosures and the Bloomberg ESG dataset provided for this assignment. Self-reported alignment figures are not equivalent to independently audited alignment. The model applies a scoring penalty to unverified high-alignment figures to reduce overclaiming risk. Eligibility ≠ Alignment.</t>
  </si>
  <si>
    <t>SCORES AND COMPARABILITY</t>
  </si>
  <si>
    <t>All scores are relative indicators within this model. They are not comparable to ESG scores from Sustainalytics, MSCI, or Bloomberg. They reflect the quality of evidence available to this research team at the time of analysis, within the constraints of a 4-week academic project timeline.</t>
  </si>
  <si>
    <t>HUMAN JUDGEMENT</t>
  </si>
  <si>
    <t>All watchlist and exclusion decisions require human confirmation by the team Captain and ESG Specialist before they are treated as final. The model generates signals; humans make decisions. This distinction is intentional and constitutes the human oversight layer of the pipeline. AI flags. Humans decide. Everything is logged.</t>
  </si>
  <si>
    <t>KEY ANTI-OVERCLAIMING RULES</t>
  </si>
  <si>
    <t>1. Missing ≠ Good. A company that does not disclose a metric is not assumed to perform well on it.</t>
  </si>
  <si>
    <t>2. Disclosure ≠ Performance. Disclosing Scope 3 data does not earn a performance score — only a disclosure credit.</t>
  </si>
  <si>
    <t>3. Eligibility ≠ Alignment. EU Taxonomy eligible revenue is not Taxonomy-aligned revenue.</t>
  </si>
  <si>
    <t>4. Commitment ≠ Validation. An SBTi commitment scores lower than an SBTi-approved target.</t>
  </si>
  <si>
    <t>5. Score ≠ Truth. This model produces signals, not verdicts. Human review is required at every Watchlist and Exclusion decision.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</si>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</sst>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3"/>
      <color rgb="FFFFFFFF"/>
      <name val="Times New Roman"/>
      <family val="1"/>
    </font>
    <font>
      <sz val="11"/>
      <color theme="1"/>
      <name val="Times New Roman"/>
      <family val="1"/>
    </font>
    <font>
      <b/>
      <sz val="10"/>
      <color rgb="FFFFFFFF"/>
      <name val="Times New Roman"/>
      <family val="1"/>
    </font>
    <font>
      <b/>
      <sz val="9"/>
      <name val="Times New Roman"/>
      <family val="1"/>
    </font>
    <font>
      <sz val="9"/>
      <name val="Times New Roman"/>
      <family val="1"/>
    </font>
    <font>
      <b/>
      <sz val="12"/>
      <color rgb="FFFFFFFF"/>
      <name val="Times New Roman"/>
      <family val="1"/>
    </font>
    <font>
      <b/>
      <i/>
      <sz val="8"/>
      <color rgb="FF000000"/>
      <name val="Times New Roman"/>
      <family val="1"/>
    </font>
    <font>
      <b/>
      <sz val="9"/>
      <color rgb="FFFFFFFF"/>
      <name val="Times New Roman"/>
      <family val="1"/>
    </font>
    <font>
      <b/>
      <sz val="11"/>
      <color rgb="FFFFFFFF"/>
      <name val="Times New Roman"/>
      <family val="1"/>
    </font>
    <font>
      <i/>
      <sz val="9"/>
      <name val="Times New Roman"/>
      <family val="1"/>
    </font>
    <font>
      <sz val="10"/>
      <name val="Times New Roman"/>
      <family val="1"/>
    </font>
    <font>
      <b/>
      <sz val="10"/>
      <color theme="1"/>
      <name val="Times New Roman"/>
      <family val="1"/>
    </font>
    <font>
      <i/>
      <sz val="8"/>
      <name val="Times New Roman"/>
      <family val="1"/>
    </font>
    <font>
      <i/>
      <sz val="8"/>
      <color theme="1"/>
      <name val="Times New Roman"/>
      <family val="1"/>
    </font>
    <font>
      <sz val="8"/>
      <color theme="1"/>
      <name val="Times New Roman"/>
      <family val="1"/>
    </font>
  </fonts>
  <fills count="1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2F2F2"/>
      </patternFill>
    </fill>
    <fill>
      <patternFill patternType="solid">
        <fgColor rgb="FFF2F2F2"/>
        <bgColor rgb="FFE2EFDA"/>
      </patternFill>
    </fill>
    <fill>
      <patternFill patternType="solid">
        <fgColor rgb="FFBDD7EE"/>
        <bgColor rgb="FFC9DAF8"/>
      </patternFill>
    </fill>
    <fill>
      <patternFill patternType="solid">
        <fgColor rgb="FFE2EFDA"/>
        <bgColor rgb="FFD9EAD3"/>
      </patternFill>
    </fill>
    <fill>
      <patternFill patternType="solid">
        <fgColor rgb="FFFCE4D6"/>
        <bgColor rgb="FFFFF2CC"/>
      </patternFill>
    </fill>
    <fill>
      <patternFill patternType="solid">
        <fgColor rgb="FFEAD1DC"/>
        <bgColor rgb="FFF4CCCC"/>
      </patternFill>
    </fill>
    <fill>
      <patternFill patternType="solid">
        <fgColor rgb="FFD9EAD3"/>
        <bgColor rgb="FFE2EFDA"/>
      </patternFill>
    </fill>
    <fill>
      <patternFill patternType="solid">
        <fgColor rgb="FFFFF2CC"/>
        <bgColor rgb="FFFCE4D6"/>
      </patternFill>
    </fill>
    <fill>
      <patternFill patternType="solid">
        <fgColor rgb="FFF4CCCC"/>
        <bgColor rgb="FFEAD1DC"/>
      </patternFill>
    </fill>
    <fill>
      <patternFill patternType="solid">
        <fgColor rgb="FFD9D9D9"/>
        <bgColor rgb="FFEAD1DC"/>
      </patternFill>
    </fill>
    <fill>
      <patternFill patternType="solid">
        <fgColor rgb="FFC9DAF8"/>
        <bgColor rgb="FFBDD7EE"/>
      </patternFill>
    </fill>
    <fill>
      <patternFill patternType="solid">
        <fgColor theme="6" tint="0.79998168889431442"/>
        <bgColor rgb="FFBDD7EE"/>
      </patternFill>
    </fill>
  </fills>
  <borders count="10">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dashed">
        <color indexed="64"/>
      </left>
      <right style="dashed">
        <color indexed="64"/>
      </right>
      <top style="dashed">
        <color indexed="64"/>
      </top>
      <bottom style="dashed">
        <color indexed="64"/>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dashed">
        <color indexed="64"/>
      </right>
      <top style="dashed">
        <color indexed="64"/>
      </top>
      <bottom style="dashed">
        <color indexed="64"/>
      </bottom>
      <diagonal/>
    </border>
    <border>
      <left/>
      <right/>
      <top/>
      <bottom style="thin">
        <color rgb="FFBFBFBF"/>
      </bottom>
      <diagonal/>
    </border>
    <border>
      <left/>
      <right/>
      <top/>
      <bottom style="dashed">
        <color indexed="64"/>
      </bottom>
      <diagonal/>
    </border>
    <border>
      <left/>
      <right/>
      <top style="dashed">
        <color indexed="64"/>
      </top>
      <bottom style="dashed">
        <color indexed="64"/>
      </bottom>
      <diagonal/>
    </border>
  </borders>
  <cellStyleXfs count="1">
    <xf numFmtId="0" fontId="0" fillId="0" borderId="0"/>
  </cellStyleXfs>
  <cellXfs count="61">
    <xf numFmtId="0" fontId="0" fillId="0" borderId="0" xfId="0"/>
    <xf numFmtId="0" fontId="2" fillId="0" borderId="0" xfId="0" applyFont="1"/>
    <xf numFmtId="0" fontId="4"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7" fillId="6" borderId="4" xfId="0" applyFont="1" applyFill="1" applyBorder="1" applyAlignment="1">
      <alignment horizontal="center" vertical="center"/>
    </xf>
    <xf numFmtId="0" fontId="7" fillId="7" borderId="4" xfId="0" applyFont="1" applyFill="1" applyBorder="1" applyAlignment="1">
      <alignment horizontal="center" vertical="center"/>
    </xf>
    <xf numFmtId="0" fontId="7" fillId="8" borderId="4" xfId="0" applyFont="1" applyFill="1" applyBorder="1" applyAlignment="1">
      <alignment horizontal="center" vertical="center"/>
    </xf>
    <xf numFmtId="0" fontId="7" fillId="9" borderId="4" xfId="0" applyFont="1" applyFill="1" applyBorder="1" applyAlignment="1">
      <alignment horizontal="center" vertical="center"/>
    </xf>
    <xf numFmtId="0" fontId="7" fillId="10" borderId="4" xfId="0" applyFont="1" applyFill="1" applyBorder="1" applyAlignment="1">
      <alignment horizontal="center" vertical="center"/>
    </xf>
    <xf numFmtId="0" fontId="7" fillId="11" borderId="4" xfId="0" applyFont="1" applyFill="1" applyBorder="1" applyAlignment="1">
      <alignment horizontal="center" vertical="center"/>
    </xf>
    <xf numFmtId="0" fontId="7" fillId="12" borderId="4" xfId="0" applyFont="1" applyFill="1" applyBorder="1" applyAlignment="1">
      <alignment horizontal="center" vertical="center"/>
    </xf>
    <xf numFmtId="0" fontId="7" fillId="13" borderId="4" xfId="0" applyFont="1" applyFill="1" applyBorder="1" applyAlignment="1">
      <alignment horizontal="center" vertical="center"/>
    </xf>
    <xf numFmtId="0" fontId="7" fillId="14" borderId="4" xfId="0" applyFont="1" applyFill="1" applyBorder="1" applyAlignment="1">
      <alignment horizontal="center" vertical="center"/>
    </xf>
    <xf numFmtId="0" fontId="8" fillId="3"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5" fillId="4" borderId="2" xfId="0" applyFont="1" applyFill="1" applyBorder="1" applyAlignment="1">
      <alignment horizontal="left" vertical="center"/>
    </xf>
    <xf numFmtId="0" fontId="5" fillId="5" borderId="2" xfId="0" applyFont="1" applyFill="1" applyBorder="1" applyAlignment="1">
      <alignment horizontal="left" vertical="center"/>
    </xf>
    <xf numFmtId="0" fontId="4" fillId="12"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5" fillId="0" borderId="2" xfId="0" applyFont="1" applyBorder="1" applyAlignment="1">
      <alignment horizontal="left" vertical="center" wrapText="1"/>
    </xf>
    <xf numFmtId="0" fontId="5" fillId="7"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5" fillId="1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9" fontId="5" fillId="5" borderId="2" xfId="0" applyNumberFormat="1" applyFont="1" applyFill="1" applyBorder="1" applyAlignment="1">
      <alignment horizontal="left" vertical="center" wrapText="1"/>
    </xf>
    <xf numFmtId="9" fontId="5" fillId="4" borderId="2" xfId="0" applyNumberFormat="1" applyFont="1" applyFill="1" applyBorder="1" applyAlignment="1">
      <alignment horizontal="left" vertical="center" wrapText="1"/>
    </xf>
    <xf numFmtId="0" fontId="5" fillId="10" borderId="2" xfId="0" applyFont="1" applyFill="1" applyBorder="1" applyAlignment="1">
      <alignment horizontal="left" vertical="center" wrapText="1"/>
    </xf>
    <xf numFmtId="0" fontId="6" fillId="2" borderId="0" xfId="0" applyFont="1" applyFill="1" applyAlignment="1">
      <alignment horizontal="center" vertical="center"/>
    </xf>
    <xf numFmtId="0" fontId="11" fillId="4"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0" borderId="0" xfId="0" applyFont="1" applyAlignment="1">
      <alignment horizontal="center" vertical="center"/>
    </xf>
    <xf numFmtId="0" fontId="7" fillId="15" borderId="4" xfId="0" applyFont="1" applyFill="1" applyBorder="1" applyAlignment="1">
      <alignment horizontal="center" vertical="center"/>
    </xf>
    <xf numFmtId="0" fontId="13" fillId="5"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14" fillId="5" borderId="2" xfId="0" applyFont="1" applyFill="1" applyBorder="1" applyAlignment="1">
      <alignment horizontal="left" vertical="center" wrapText="1"/>
    </xf>
    <xf numFmtId="0" fontId="14" fillId="4"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15" fillId="4" borderId="2" xfId="0" applyFont="1" applyFill="1" applyBorder="1" applyAlignment="1">
      <alignment horizontal="left" vertical="center" wrapText="1"/>
    </xf>
    <xf numFmtId="0" fontId="14" fillId="4" borderId="2" xfId="0" quotePrefix="1" applyFont="1" applyFill="1" applyBorder="1" applyAlignment="1">
      <alignment horizontal="left" vertical="center" wrapText="1"/>
    </xf>
    <xf numFmtId="0" fontId="5" fillId="4" borderId="0" xfId="0" applyFont="1" applyFill="1" applyAlignment="1">
      <alignment horizontal="left" vertical="center"/>
    </xf>
    <xf numFmtId="0" fontId="3" fillId="3" borderId="1" xfId="0" applyFont="1" applyFill="1" applyBorder="1" applyAlignment="1">
      <alignment horizontal="left" vertical="center" wrapText="1"/>
    </xf>
    <xf numFmtId="0" fontId="0" fillId="0" borderId="5" xfId="0" applyBorder="1"/>
    <xf numFmtId="0" fontId="1" fillId="2" borderId="7" xfId="0" applyFont="1" applyFill="1" applyBorder="1" applyAlignment="1">
      <alignment horizontal="center" vertical="center" wrapText="1"/>
    </xf>
    <xf numFmtId="0" fontId="0" fillId="0" borderId="7" xfId="0" applyBorder="1"/>
    <xf numFmtId="0" fontId="3" fillId="3" borderId="3" xfId="0" applyFont="1" applyFill="1" applyBorder="1" applyAlignment="1">
      <alignment horizontal="center" vertical="center"/>
    </xf>
    <xf numFmtId="0" fontId="0" fillId="0" borderId="9" xfId="0" applyBorder="1"/>
    <xf numFmtId="0" fontId="0" fillId="0" borderId="6" xfId="0" applyBorder="1"/>
    <xf numFmtId="0" fontId="6" fillId="2" borderId="8" xfId="0" applyFont="1" applyFill="1" applyBorder="1" applyAlignment="1">
      <alignment horizontal="center" vertical="center"/>
    </xf>
    <xf numFmtId="0" fontId="0" fillId="0" borderId="8" xfId="0" applyBorder="1"/>
    <xf numFmtId="0" fontId="9" fillId="2" borderId="0" xfId="0" applyFont="1" applyFill="1" applyAlignment="1">
      <alignment horizontal="center" vertical="center"/>
    </xf>
    <xf numFmtId="0" fontId="2" fillId="0" borderId="0" xfId="0" applyFont="1"/>
    <xf numFmtId="0" fontId="3" fillId="3" borderId="0" xfId="0" applyFont="1" applyFill="1" applyAlignment="1">
      <alignment horizontal="left" vertical="center"/>
    </xf>
    <xf numFmtId="0" fontId="10" fillId="5" borderId="1" xfId="0" applyFont="1" applyFill="1" applyBorder="1" applyAlignment="1">
      <alignment horizontal="left" vertical="top" wrapText="1"/>
    </xf>
    <xf numFmtId="0" fontId="0" fillId="0" borderId="0" xfId="0"/>
  </cellXfs>
  <cellStyles count="1">
    <cellStyle name="Normal" xfId="0" builtinId="0"/>
  </cellStyles>
  <dxfs count="330">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i/>
      </font>
      <fill>
        <patternFill>
          <bgColor rgb="FFD9D9D9"/>
        </patternFill>
      </fill>
    </dxf>
    <dxf>
      <fill>
        <patternFill>
          <bgColor rgb="FFFFF2CC"/>
        </patternFill>
      </fill>
    </dxf>
    <dxf>
      <font>
        <b/>
        <color theme="0"/>
      </font>
      <fill>
        <patternFill>
          <bgColor rgb="FFEA4335"/>
        </patternFill>
      </fill>
    </dxf>
    <dxf>
      <font>
        <b/>
        <color theme="0"/>
      </font>
      <fill>
        <patternFill>
          <bgColor rgb="FFCC0000"/>
        </patternFill>
      </fill>
    </dxf>
    <dxf>
      <font>
        <b/>
        <color theme="0"/>
      </font>
      <fill>
        <patternFill>
          <bgColor rgb="FFEA4335"/>
        </patternFill>
      </fill>
    </dxf>
    <dxf>
      <fill>
        <patternFill>
          <bgColor rgb="FFF6B26B"/>
        </patternFill>
      </fill>
    </dxf>
    <dxf>
      <fill>
        <patternFill>
          <bgColor rgb="FFEA9999"/>
        </patternFill>
      </fill>
    </dxf>
    <dxf>
      <fill>
        <patternFill>
          <bgColor rgb="FFE06666"/>
        </patternFill>
      </fill>
    </dxf>
    <dxf>
      <font>
        <b/>
        <color theme="0"/>
      </font>
      <fill>
        <patternFill>
          <bgColor rgb="FFCC0000"/>
        </patternFill>
      </fill>
    </dxf>
    <dxf>
      <fill>
        <patternFill>
          <bgColor rgb="FFFCE5CD"/>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F2F2F2"/>
      <rgbColor rgb="FFD9EAD3"/>
      <rgbColor rgb="FFFCE4D6"/>
      <rgbColor rgb="FFBDD7EE"/>
      <rgbColor rgb="FFEAD1DC"/>
      <rgbColor rgb="FFD9D9D9"/>
      <rgbColor rgb="FFF4CCCC"/>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showGridLines="0" zoomScaleNormal="100" workbookViewId="0">
      <selection activeCell="C16" sqref="C16"/>
    </sheetView>
  </sheetViews>
  <sheetFormatPr baseColWidth="10" defaultColWidth="8.6640625" defaultRowHeight="14" x14ac:dyDescent="0.15"/>
  <cols>
    <col min="1" max="1" width="32.6640625" style="1" bestFit="1" customWidth="1"/>
    <col min="2" max="2" width="43.1640625" style="1" bestFit="1" customWidth="1"/>
    <col min="3" max="3" width="122.83203125" style="1" bestFit="1" customWidth="1"/>
    <col min="4" max="4" width="8.6640625" style="1" customWidth="1"/>
    <col min="5" max="16384" width="8.6640625" style="1"/>
  </cols>
  <sheetData>
    <row r="1" spans="1:3" ht="39.75" customHeight="1" x14ac:dyDescent="0.2">
      <c r="A1" s="49" t="s">
        <v>0</v>
      </c>
      <c r="B1" s="50"/>
      <c r="C1" s="50"/>
    </row>
    <row r="2" spans="1:3" ht="18" customHeight="1" x14ac:dyDescent="0.2">
      <c r="A2" s="47" t="s">
        <v>1</v>
      </c>
      <c r="B2" s="48"/>
      <c r="C2" s="48"/>
    </row>
    <row r="3" spans="1:3" ht="26" customHeight="1" x14ac:dyDescent="0.15">
      <c r="A3" s="2" t="s">
        <v>2</v>
      </c>
      <c r="B3" s="3" t="s">
        <v>3</v>
      </c>
      <c r="C3" s="3" t="s">
        <v>4</v>
      </c>
    </row>
    <row r="4" spans="1:3" ht="26" customHeight="1" x14ac:dyDescent="0.15">
      <c r="A4" s="4" t="s">
        <v>5</v>
      </c>
      <c r="B4" s="5" t="s">
        <v>6</v>
      </c>
      <c r="C4" s="5" t="s">
        <v>7</v>
      </c>
    </row>
    <row r="5" spans="1:3" ht="26" customHeight="1" x14ac:dyDescent="0.15">
      <c r="A5" s="2" t="s">
        <v>8</v>
      </c>
      <c r="B5" s="3" t="s">
        <v>9</v>
      </c>
      <c r="C5" s="3" t="s">
        <v>10</v>
      </c>
    </row>
    <row r="6" spans="1:3" ht="26" customHeight="1" x14ac:dyDescent="0.15">
      <c r="A6" s="4" t="s">
        <v>11</v>
      </c>
      <c r="B6" s="5" t="s">
        <v>12</v>
      </c>
      <c r="C6" s="5" t="s">
        <v>13</v>
      </c>
    </row>
    <row r="7" spans="1:3" ht="26" customHeight="1" x14ac:dyDescent="0.15">
      <c r="A7" s="2" t="s">
        <v>14</v>
      </c>
      <c r="B7" s="3" t="s">
        <v>15</v>
      </c>
      <c r="C7" s="3" t="s">
        <v>16</v>
      </c>
    </row>
    <row r="8" spans="1:3" ht="26" customHeight="1" x14ac:dyDescent="0.15">
      <c r="A8" s="4" t="s">
        <v>17</v>
      </c>
      <c r="B8" s="5" t="s">
        <v>18</v>
      </c>
      <c r="C8" s="5" t="s">
        <v>19</v>
      </c>
    </row>
    <row r="9" spans="1:3" ht="26" customHeight="1" x14ac:dyDescent="0.15">
      <c r="A9" s="2" t="s">
        <v>20</v>
      </c>
      <c r="B9" s="3" t="s">
        <v>21</v>
      </c>
      <c r="C9" s="3" t="s">
        <v>22</v>
      </c>
    </row>
    <row r="10" spans="1:3" ht="26" customHeight="1" x14ac:dyDescent="0.15">
      <c r="A10" s="4" t="s">
        <v>23</v>
      </c>
      <c r="B10" s="5" t="s">
        <v>24</v>
      </c>
      <c r="C10" s="5" t="s">
        <v>25</v>
      </c>
    </row>
    <row r="11" spans="1:3" ht="26" customHeight="1" x14ac:dyDescent="0.15">
      <c r="A11" s="2" t="s">
        <v>26</v>
      </c>
      <c r="B11" s="3" t="s">
        <v>27</v>
      </c>
      <c r="C11" s="3" t="s">
        <v>28</v>
      </c>
    </row>
    <row r="12" spans="1:3" ht="7.5" customHeight="1" x14ac:dyDescent="0.15">
      <c r="A12" s="6"/>
      <c r="B12" s="6"/>
      <c r="C12" s="6"/>
    </row>
    <row r="13" spans="1:3" ht="18" customHeight="1" x14ac:dyDescent="0.2">
      <c r="A13" s="47" t="s">
        <v>29</v>
      </c>
      <c r="B13" s="48"/>
      <c r="C13" s="48"/>
    </row>
    <row r="14" spans="1:3" ht="18" customHeight="1" x14ac:dyDescent="0.15">
      <c r="A14" s="4" t="s">
        <v>30</v>
      </c>
      <c r="B14" s="5" t="s">
        <v>31</v>
      </c>
      <c r="C14" s="5" t="s">
        <v>32</v>
      </c>
    </row>
    <row r="15" spans="1:3" ht="18" customHeight="1" x14ac:dyDescent="0.15">
      <c r="A15" s="2" t="s">
        <v>33</v>
      </c>
      <c r="B15" s="3" t="s">
        <v>34</v>
      </c>
      <c r="C15" s="3" t="s">
        <v>35</v>
      </c>
    </row>
    <row r="16" spans="1:3" ht="18" customHeight="1" x14ac:dyDescent="0.15">
      <c r="A16" s="4" t="s">
        <v>36</v>
      </c>
      <c r="B16" s="5" t="s">
        <v>37</v>
      </c>
      <c r="C16" s="5" t="s">
        <v>38</v>
      </c>
    </row>
    <row r="17" spans="1:3" ht="18" customHeight="1" x14ac:dyDescent="0.15">
      <c r="A17" s="2" t="s">
        <v>39</v>
      </c>
      <c r="B17" s="3" t="s">
        <v>40</v>
      </c>
      <c r="C17" s="3" t="s">
        <v>41</v>
      </c>
    </row>
    <row r="18" spans="1:3" ht="18" customHeight="1" x14ac:dyDescent="0.15">
      <c r="A18" s="4" t="s">
        <v>42</v>
      </c>
      <c r="B18" s="5" t="s">
        <v>43</v>
      </c>
      <c r="C18" s="5" t="s">
        <v>44</v>
      </c>
    </row>
    <row r="19" spans="1:3" ht="7.5" customHeight="1" x14ac:dyDescent="0.15">
      <c r="A19" s="6"/>
      <c r="B19" s="6"/>
      <c r="C19" s="6"/>
    </row>
    <row r="20" spans="1:3" ht="18" customHeight="1" x14ac:dyDescent="0.2">
      <c r="A20" s="47" t="s">
        <v>45</v>
      </c>
      <c r="B20" s="48"/>
      <c r="C20" s="48"/>
    </row>
    <row r="21" spans="1:3" ht="18" customHeight="1" x14ac:dyDescent="0.15">
      <c r="A21" s="2" t="s">
        <v>46</v>
      </c>
      <c r="B21" s="3" t="s">
        <v>47</v>
      </c>
      <c r="C21" s="3" t="s">
        <v>48</v>
      </c>
    </row>
    <row r="22" spans="1:3" ht="18" customHeight="1" x14ac:dyDescent="0.15">
      <c r="A22" s="4" t="s">
        <v>49</v>
      </c>
      <c r="B22" s="5" t="s">
        <v>50</v>
      </c>
      <c r="C22" s="5" t="s">
        <v>51</v>
      </c>
    </row>
    <row r="23" spans="1:3" ht="18" customHeight="1" x14ac:dyDescent="0.15">
      <c r="A23" s="2" t="s">
        <v>52</v>
      </c>
      <c r="B23" s="3" t="s">
        <v>53</v>
      </c>
      <c r="C23" s="3" t="s">
        <v>54</v>
      </c>
    </row>
    <row r="24" spans="1:3" ht="18" customHeight="1" x14ac:dyDescent="0.15">
      <c r="A24" s="4" t="s">
        <v>55</v>
      </c>
      <c r="B24" s="5" t="s">
        <v>56</v>
      </c>
      <c r="C24" s="5" t="s">
        <v>57</v>
      </c>
    </row>
    <row r="25" spans="1:3" ht="18" customHeight="1" x14ac:dyDescent="0.15">
      <c r="A25" s="2" t="s">
        <v>58</v>
      </c>
      <c r="B25" s="3" t="s">
        <v>59</v>
      </c>
      <c r="C25" s="3" t="s">
        <v>60</v>
      </c>
    </row>
    <row r="26" spans="1:3" ht="7.5" customHeight="1" x14ac:dyDescent="0.15">
      <c r="A26" s="6"/>
      <c r="B26" s="6"/>
      <c r="C26" s="6"/>
    </row>
    <row r="27" spans="1:3" ht="18" customHeight="1" x14ac:dyDescent="0.2">
      <c r="A27" s="47" t="s">
        <v>61</v>
      </c>
      <c r="B27" s="48"/>
      <c r="C27" s="48"/>
    </row>
    <row r="28" spans="1:3" ht="18" customHeight="1" x14ac:dyDescent="0.15">
      <c r="A28" s="4" t="s">
        <v>62</v>
      </c>
      <c r="B28" s="4" t="s">
        <v>63</v>
      </c>
      <c r="C28" s="4" t="s">
        <v>64</v>
      </c>
    </row>
    <row r="29" spans="1:3" ht="18" customHeight="1" x14ac:dyDescent="0.15">
      <c r="A29" s="2" t="s">
        <v>65</v>
      </c>
      <c r="B29" s="3" t="s">
        <v>66</v>
      </c>
      <c r="C29" s="3" t="s">
        <v>67</v>
      </c>
    </row>
    <row r="30" spans="1:3" ht="18" customHeight="1" x14ac:dyDescent="0.15">
      <c r="A30" s="4" t="s">
        <v>68</v>
      </c>
      <c r="B30" s="5" t="s">
        <v>69</v>
      </c>
      <c r="C30" s="5" t="s">
        <v>70</v>
      </c>
    </row>
    <row r="31" spans="1:3" ht="18" customHeight="1" x14ac:dyDescent="0.15">
      <c r="A31" s="2" t="s">
        <v>71</v>
      </c>
      <c r="B31" s="3" t="s">
        <v>72</v>
      </c>
      <c r="C31" s="3" t="s">
        <v>67</v>
      </c>
    </row>
    <row r="32" spans="1:3" ht="18" customHeight="1" x14ac:dyDescent="0.15">
      <c r="A32" s="4" t="s">
        <v>73</v>
      </c>
      <c r="B32" s="5" t="s">
        <v>74</v>
      </c>
      <c r="C32" s="5" t="s">
        <v>67</v>
      </c>
    </row>
    <row r="33" spans="1:3" ht="18" customHeight="1" x14ac:dyDescent="0.15">
      <c r="A33" s="2" t="s">
        <v>75</v>
      </c>
      <c r="B33" s="3" t="s">
        <v>76</v>
      </c>
      <c r="C33" s="3" t="s">
        <v>67</v>
      </c>
    </row>
    <row r="34" spans="1:3" ht="18" customHeight="1" x14ac:dyDescent="0.15">
      <c r="A34" s="4" t="s">
        <v>77</v>
      </c>
      <c r="B34" s="5" t="s">
        <v>78</v>
      </c>
      <c r="C34" s="5" t="s">
        <v>67</v>
      </c>
    </row>
    <row r="35" spans="1:3" ht="18" customHeight="1" x14ac:dyDescent="0.15">
      <c r="A35" s="2" t="s">
        <v>79</v>
      </c>
      <c r="B35" s="3" t="s">
        <v>80</v>
      </c>
      <c r="C35" s="3" t="s">
        <v>67</v>
      </c>
    </row>
    <row r="36" spans="1:3" ht="18" customHeight="1" x14ac:dyDescent="0.15">
      <c r="A36" s="4" t="s">
        <v>81</v>
      </c>
      <c r="B36" s="5" t="s">
        <v>82</v>
      </c>
      <c r="C36" s="5" t="s">
        <v>67</v>
      </c>
    </row>
    <row r="37" spans="1:3" ht="18" customHeight="1" x14ac:dyDescent="0.15">
      <c r="A37" s="2" t="s">
        <v>83</v>
      </c>
      <c r="B37" s="3" t="s">
        <v>84</v>
      </c>
      <c r="C37" s="3" t="s">
        <v>67</v>
      </c>
    </row>
    <row r="38" spans="1:3" ht="18" customHeight="1" x14ac:dyDescent="0.15">
      <c r="A38" s="4" t="s">
        <v>85</v>
      </c>
      <c r="B38" s="5" t="s">
        <v>86</v>
      </c>
      <c r="C38" s="5" t="s">
        <v>67</v>
      </c>
    </row>
    <row r="39" spans="1:3" ht="18" customHeight="1" x14ac:dyDescent="0.15">
      <c r="A39" s="2" t="s">
        <v>87</v>
      </c>
      <c r="B39" s="3" t="s">
        <v>88</v>
      </c>
      <c r="C39" s="3" t="s">
        <v>89</v>
      </c>
    </row>
    <row r="40" spans="1:3" ht="18" customHeight="1" x14ac:dyDescent="0.15">
      <c r="A40" s="4" t="s">
        <v>90</v>
      </c>
      <c r="B40" s="5" t="s">
        <v>91</v>
      </c>
      <c r="C40" s="5" t="s">
        <v>67</v>
      </c>
    </row>
  </sheetData>
  <mergeCells count="5">
    <mergeCell ref="A13:C13"/>
    <mergeCell ref="A1:C1"/>
    <mergeCell ref="A27:C27"/>
    <mergeCell ref="A20:C20"/>
    <mergeCell ref="A2:C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220"/>
  <sheetViews>
    <sheetView showGridLines="0" tabSelected="1" zoomScaleNormal="100" workbookViewId="0">
      <pane xSplit="3" ySplit="6" topLeftCell="D7" activePane="bottomRight" state="frozen"/>
      <selection pane="topRight" activeCell="D1" sqref="D1"/>
      <selection pane="bottomLeft" activeCell="A5" sqref="A5"/>
      <selection pane="bottomRight" activeCell="B18" sqref="B18"/>
    </sheetView>
  </sheetViews>
  <sheetFormatPr baseColWidth="10" defaultColWidth="8.6640625" defaultRowHeight="14" outlineLevelRow="1" x14ac:dyDescent="0.15"/>
  <cols>
    <col min="1" max="1" width="28" style="1" customWidth="1"/>
    <col min="2" max="2" width="12" style="1" customWidth="1"/>
    <col min="3" max="3" width="16" style="1" customWidth="1"/>
    <col min="4" max="5" width="20" style="1" customWidth="1"/>
    <col min="6" max="7" width="22" style="1" customWidth="1"/>
    <col min="8" max="9" width="18" style="1" customWidth="1"/>
    <col min="10" max="10" width="20" style="1" customWidth="1"/>
    <col min="11" max="11" width="22" style="1" customWidth="1"/>
    <col min="12" max="12" width="26" style="1" customWidth="1"/>
    <col min="13" max="14" width="22" style="1" customWidth="1"/>
    <col min="15" max="15" width="20" style="1" customWidth="1"/>
    <col min="16" max="16" width="16" style="1" customWidth="1"/>
    <col min="17" max="17" width="18" style="1" customWidth="1"/>
    <col min="18" max="19" width="16" style="1" customWidth="1"/>
    <col min="20" max="20" width="18" style="1" customWidth="1"/>
    <col min="21" max="21" width="22" style="1" customWidth="1"/>
    <col min="22" max="22" width="18" style="1" customWidth="1"/>
    <col min="23" max="23" width="20" style="1" customWidth="1"/>
    <col min="24" max="24" width="28" style="1" customWidth="1"/>
    <col min="25" max="25" width="22" style="1" customWidth="1"/>
    <col min="26" max="26" width="24" style="1" customWidth="1"/>
    <col min="27" max="27" width="18" style="1" customWidth="1"/>
    <col min="28" max="28" width="22" style="1" customWidth="1"/>
    <col min="29" max="29" width="18" style="1" customWidth="1"/>
    <col min="30" max="30" width="22" style="1" customWidth="1"/>
    <col min="31" max="31" width="24" style="1" customWidth="1"/>
    <col min="32" max="33" width="20" style="1" customWidth="1"/>
    <col min="34" max="34" width="28" style="1" customWidth="1"/>
    <col min="35" max="35" width="26" style="1" customWidth="1"/>
    <col min="36" max="36" width="22" style="1" customWidth="1"/>
    <col min="37" max="37" width="18" style="1" customWidth="1"/>
    <col min="38" max="39" width="26" style="1" customWidth="1"/>
    <col min="40" max="40" width="32" style="1" customWidth="1"/>
    <col min="41" max="41" width="20" style="1" customWidth="1"/>
    <col min="42" max="42" width="26" style="1" customWidth="1"/>
    <col min="43" max="44" width="28" style="1" customWidth="1"/>
    <col min="45" max="45" width="20" style="1" customWidth="1"/>
    <col min="46" max="46" width="28" style="1" customWidth="1"/>
    <col min="47" max="47" width="20" style="1" customWidth="1"/>
    <col min="48" max="48" width="22" style="1" customWidth="1"/>
    <col min="49" max="50" width="26" style="1" customWidth="1"/>
    <col min="51" max="51" width="30" style="1" customWidth="1"/>
    <col min="52" max="52" width="26" style="1" customWidth="1"/>
    <col min="53" max="53" width="28" style="1" customWidth="1"/>
    <col min="54" max="55" width="26" style="1" customWidth="1"/>
    <col min="56" max="56" width="20" style="1" customWidth="1"/>
    <col min="57" max="58" width="22" style="1" customWidth="1"/>
    <col min="59" max="59" width="26" style="1" customWidth="1"/>
    <col min="60" max="60" width="24" style="1" customWidth="1"/>
    <col min="61" max="61" width="22" style="1" customWidth="1"/>
    <col min="62" max="62" width="24" style="1" customWidth="1"/>
    <col min="63" max="63" width="20" style="1" customWidth="1"/>
    <col min="64" max="64" width="22" style="1" customWidth="1"/>
    <col min="65" max="65" width="26" style="1" customWidth="1"/>
    <col min="66" max="66" width="24" style="1" customWidth="1"/>
    <col min="67" max="67" width="18" style="1" customWidth="1"/>
    <col min="68" max="68" width="24" style="1" customWidth="1"/>
    <col min="69" max="69" width="28" style="1" customWidth="1"/>
    <col min="70" max="70" width="20" style="1" customWidth="1"/>
    <col min="71" max="71" width="24" style="1" customWidth="1"/>
    <col min="72" max="72" width="22" style="1" customWidth="1"/>
    <col min="73" max="73" width="26" style="1" customWidth="1"/>
    <col min="74" max="75" width="24" style="1" customWidth="1"/>
    <col min="76" max="76" width="22" style="1" customWidth="1"/>
    <col min="77" max="78" width="24" style="1" customWidth="1"/>
    <col min="79" max="79" width="26" style="1" customWidth="1"/>
    <col min="80" max="80" width="28" style="1" customWidth="1"/>
    <col min="81" max="81" width="26" style="1" customWidth="1"/>
    <col min="82" max="82" width="24" style="1" customWidth="1"/>
    <col min="83" max="84" width="26" style="1" customWidth="1"/>
    <col min="85" max="85" width="32" style="1" customWidth="1"/>
    <col min="86" max="86" width="28" style="1" customWidth="1"/>
    <col min="87" max="88" width="22" style="1" customWidth="1"/>
    <col min="89" max="91" width="20" style="1" customWidth="1"/>
    <col min="92" max="92" width="22" style="1" customWidth="1"/>
    <col min="93" max="93" width="20" style="1" customWidth="1"/>
    <col min="94" max="95" width="22" style="1" customWidth="1"/>
    <col min="96" max="98" width="20" style="1" customWidth="1"/>
    <col min="99" max="99" width="28" style="1" customWidth="1"/>
    <col min="100" max="100" width="20" style="1" customWidth="1"/>
    <col min="101" max="101" width="22" style="1" customWidth="1"/>
    <col min="102" max="102" width="32" style="1" customWidth="1"/>
    <col min="103" max="103" width="24" style="1" customWidth="1"/>
    <col min="104" max="104" width="18" style="1" customWidth="1"/>
    <col min="105" max="105" width="22" style="1" customWidth="1"/>
    <col min="106" max="106" width="24" style="1" customWidth="1"/>
    <col min="107" max="107" width="36" style="1" customWidth="1"/>
    <col min="108" max="108" width="28" style="1" customWidth="1"/>
    <col min="109" max="109" width="20" style="1" customWidth="1"/>
    <col min="110" max="110" width="24" style="1" customWidth="1"/>
    <col min="111" max="111" width="26" style="1" customWidth="1"/>
    <col min="112" max="112" width="22" style="1" customWidth="1"/>
    <col min="113" max="113" width="16" style="1" customWidth="1"/>
    <col min="114" max="114" width="18" style="1" customWidth="1"/>
    <col min="115" max="115" width="30" style="1" customWidth="1"/>
    <col min="116" max="117" width="24" style="1" customWidth="1"/>
    <col min="118" max="118" width="26" style="1" customWidth="1"/>
    <col min="119" max="121" width="22" style="1" customWidth="1"/>
    <col min="122" max="122" width="24" style="1" customWidth="1"/>
    <col min="123" max="123" width="22" style="1" customWidth="1"/>
    <col min="124" max="125" width="24" style="1" customWidth="1"/>
    <col min="126" max="126" width="26" style="1" customWidth="1"/>
    <col min="127" max="127" width="30" style="1" customWidth="1"/>
    <col min="128" max="128" width="36" style="1" customWidth="1"/>
    <col min="129" max="129" width="32" style="1" customWidth="1"/>
    <col min="130" max="130" width="20" style="1" customWidth="1"/>
    <col min="131" max="136" width="18" style="1" customWidth="1"/>
    <col min="137" max="137" width="8.6640625" style="1" customWidth="1"/>
    <col min="138" max="16384" width="8.6640625" style="1"/>
  </cols>
  <sheetData>
    <row r="1" spans="1:136" ht="30" customHeight="1" x14ac:dyDescent="0.2">
      <c r="A1" s="54" t="s">
        <v>92</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row>
    <row r="2" spans="1:136" ht="21.75" customHeight="1" x14ac:dyDescent="0.2">
      <c r="A2" s="51" t="s">
        <v>93</v>
      </c>
      <c r="B2" s="52"/>
      <c r="C2" s="52"/>
      <c r="D2" s="52"/>
      <c r="E2" s="52"/>
      <c r="F2" s="52"/>
      <c r="G2" s="52"/>
      <c r="H2" s="52"/>
      <c r="I2" s="52"/>
      <c r="J2" s="53"/>
      <c r="K2" s="51" t="s">
        <v>94</v>
      </c>
      <c r="L2" s="52"/>
      <c r="M2" s="52"/>
      <c r="N2" s="52"/>
      <c r="O2" s="52"/>
      <c r="P2" s="52"/>
      <c r="Q2" s="52"/>
      <c r="R2" s="52"/>
      <c r="S2" s="52"/>
      <c r="T2" s="52"/>
      <c r="U2" s="52"/>
      <c r="V2" s="52"/>
      <c r="W2" s="52"/>
      <c r="X2" s="52"/>
      <c r="Y2" s="53"/>
      <c r="Z2" s="51" t="s">
        <v>95</v>
      </c>
      <c r="AA2" s="52"/>
      <c r="AB2" s="52"/>
      <c r="AC2" s="52"/>
      <c r="AD2" s="52"/>
      <c r="AE2" s="52"/>
      <c r="AF2" s="52"/>
      <c r="AG2" s="52"/>
      <c r="AH2" s="52"/>
      <c r="AI2" s="52"/>
      <c r="AJ2" s="52"/>
      <c r="AK2" s="52"/>
      <c r="AL2" s="52"/>
      <c r="AM2" s="52"/>
      <c r="AN2" s="52"/>
      <c r="AO2" s="52"/>
      <c r="AP2" s="52"/>
      <c r="AQ2" s="52"/>
      <c r="AR2" s="52"/>
      <c r="AS2" s="53"/>
      <c r="AT2" s="51" t="s">
        <v>96</v>
      </c>
      <c r="AU2" s="52"/>
      <c r="AV2" s="52"/>
      <c r="AW2" s="52"/>
      <c r="AX2" s="52"/>
      <c r="AY2" s="52"/>
      <c r="AZ2" s="52"/>
      <c r="BA2" s="52"/>
      <c r="BB2" s="52"/>
      <c r="BC2" s="52"/>
      <c r="BD2" s="52"/>
      <c r="BE2" s="52"/>
      <c r="BF2" s="53"/>
      <c r="BG2" s="51" t="s">
        <v>97</v>
      </c>
      <c r="BH2" s="52"/>
      <c r="BI2" s="52"/>
      <c r="BJ2" s="52"/>
      <c r="BK2" s="52"/>
      <c r="BL2" s="52"/>
      <c r="BM2" s="52"/>
      <c r="BN2" s="52"/>
      <c r="BO2" s="52"/>
      <c r="BP2" s="52"/>
      <c r="BQ2" s="52"/>
      <c r="BR2" s="52"/>
      <c r="BS2" s="52"/>
      <c r="BT2" s="53"/>
      <c r="BU2" s="51" t="s">
        <v>98</v>
      </c>
      <c r="BV2" s="52"/>
      <c r="BW2" s="52"/>
      <c r="BX2" s="52"/>
      <c r="BY2" s="52"/>
      <c r="BZ2" s="52"/>
      <c r="CA2" s="52"/>
      <c r="CB2" s="52"/>
      <c r="CC2" s="52"/>
      <c r="CD2" s="52"/>
      <c r="CE2" s="52"/>
      <c r="CF2" s="53"/>
      <c r="CG2" s="51" t="s">
        <v>99</v>
      </c>
      <c r="CH2" s="52"/>
      <c r="CI2" s="52"/>
      <c r="CJ2" s="52"/>
      <c r="CK2" s="52"/>
      <c r="CL2" s="52"/>
      <c r="CM2" s="52"/>
      <c r="CN2" s="52"/>
      <c r="CO2" s="52"/>
      <c r="CP2" s="52"/>
      <c r="CQ2" s="52"/>
      <c r="CR2" s="52"/>
      <c r="CS2" s="52"/>
      <c r="CT2" s="52"/>
      <c r="CU2" s="52"/>
      <c r="CV2" s="52"/>
      <c r="CW2" s="52"/>
      <c r="CX2" s="52"/>
      <c r="CY2" s="52"/>
      <c r="CZ2" s="52"/>
      <c r="DA2" s="52"/>
      <c r="DB2" s="53"/>
      <c r="DC2" s="51" t="s">
        <v>100</v>
      </c>
      <c r="DD2" s="52"/>
      <c r="DE2" s="52"/>
      <c r="DF2" s="52"/>
      <c r="DG2" s="52"/>
      <c r="DH2" s="52"/>
      <c r="DI2" s="52"/>
      <c r="DJ2" s="52"/>
      <c r="DK2" s="52"/>
      <c r="DL2" s="52"/>
      <c r="DM2" s="52"/>
      <c r="DN2" s="53"/>
      <c r="DO2" s="51" t="s">
        <v>101</v>
      </c>
      <c r="DP2" s="52"/>
      <c r="DQ2" s="52"/>
      <c r="DR2" s="52"/>
      <c r="DS2" s="52"/>
      <c r="DT2" s="52"/>
      <c r="DU2" s="52"/>
      <c r="DV2" s="52"/>
      <c r="DW2" s="52"/>
      <c r="DX2" s="52"/>
      <c r="DY2" s="52"/>
      <c r="DZ2" s="52"/>
      <c r="EA2" s="53"/>
      <c r="EB2" s="51" t="s">
        <v>102</v>
      </c>
      <c r="EC2" s="52"/>
      <c r="ED2" s="52"/>
      <c r="EE2" s="52"/>
      <c r="EF2" s="53"/>
    </row>
    <row r="3" spans="1:136" ht="21.75" customHeight="1" outlineLevel="1" x14ac:dyDescent="0.15">
      <c r="A3" s="37" t="s">
        <v>103</v>
      </c>
      <c r="B3" s="37" t="s">
        <v>103</v>
      </c>
      <c r="C3" s="37" t="s">
        <v>103</v>
      </c>
      <c r="D3" s="37" t="s">
        <v>103</v>
      </c>
      <c r="E3" s="37" t="s">
        <v>103</v>
      </c>
      <c r="F3" s="37" t="s">
        <v>103</v>
      </c>
      <c r="G3" s="37" t="s">
        <v>103</v>
      </c>
      <c r="H3" s="37" t="s">
        <v>103</v>
      </c>
      <c r="I3" s="37" t="s">
        <v>103</v>
      </c>
      <c r="J3" s="37" t="s">
        <v>103</v>
      </c>
      <c r="K3" s="37" t="s">
        <v>104</v>
      </c>
      <c r="L3" s="37" t="s">
        <v>104</v>
      </c>
      <c r="M3" s="37" t="s">
        <v>104</v>
      </c>
      <c r="N3" s="37" t="s">
        <v>104</v>
      </c>
      <c r="O3" s="37" t="s">
        <v>104</v>
      </c>
      <c r="P3" s="37" t="s">
        <v>104</v>
      </c>
      <c r="Q3" s="37" t="s">
        <v>104</v>
      </c>
      <c r="R3" s="37" t="s">
        <v>104</v>
      </c>
      <c r="S3" s="37" t="s">
        <v>104</v>
      </c>
      <c r="T3" s="37" t="s">
        <v>104</v>
      </c>
      <c r="U3" s="37" t="s">
        <v>104</v>
      </c>
      <c r="V3" s="37" t="s">
        <v>104</v>
      </c>
      <c r="W3" s="37" t="s">
        <v>104</v>
      </c>
      <c r="X3" s="37" t="s">
        <v>104</v>
      </c>
      <c r="Y3" s="37" t="s">
        <v>104</v>
      </c>
      <c r="Z3" s="37" t="s">
        <v>105</v>
      </c>
      <c r="AA3" s="37" t="s">
        <v>105</v>
      </c>
      <c r="AB3" s="37" t="s">
        <v>105</v>
      </c>
      <c r="AC3" s="37" t="s">
        <v>105</v>
      </c>
      <c r="AD3" s="37" t="s">
        <v>105</v>
      </c>
      <c r="AE3" s="37" t="s">
        <v>105</v>
      </c>
      <c r="AF3" s="37" t="s">
        <v>105</v>
      </c>
      <c r="AG3" s="37" t="s">
        <v>105</v>
      </c>
      <c r="AH3" s="37" t="s">
        <v>105</v>
      </c>
      <c r="AI3" s="37" t="s">
        <v>105</v>
      </c>
      <c r="AJ3" s="37" t="s">
        <v>105</v>
      </c>
      <c r="AK3" s="37" t="s">
        <v>105</v>
      </c>
      <c r="AL3" s="37" t="s">
        <v>105</v>
      </c>
      <c r="AM3" s="37" t="s">
        <v>105</v>
      </c>
      <c r="AN3" s="37" t="s">
        <v>105</v>
      </c>
      <c r="AO3" s="37" t="s">
        <v>105</v>
      </c>
      <c r="AP3" s="37" t="s">
        <v>105</v>
      </c>
      <c r="AQ3" s="37" t="s">
        <v>105</v>
      </c>
      <c r="AR3" s="37" t="s">
        <v>105</v>
      </c>
      <c r="AS3" s="37" t="s">
        <v>105</v>
      </c>
      <c r="AT3" s="37" t="s">
        <v>106</v>
      </c>
      <c r="AU3" s="37" t="s">
        <v>106</v>
      </c>
      <c r="AV3" s="37" t="s">
        <v>106</v>
      </c>
      <c r="AW3" s="37" t="s">
        <v>106</v>
      </c>
      <c r="AX3" s="37" t="s">
        <v>106</v>
      </c>
      <c r="AY3" s="37" t="s">
        <v>106</v>
      </c>
      <c r="AZ3" s="37" t="s">
        <v>106</v>
      </c>
      <c r="BA3" s="37" t="s">
        <v>106</v>
      </c>
      <c r="BB3" s="37" t="s">
        <v>106</v>
      </c>
      <c r="BC3" s="37" t="s">
        <v>106</v>
      </c>
      <c r="BD3" s="37" t="s">
        <v>106</v>
      </c>
      <c r="BE3" s="37" t="s">
        <v>106</v>
      </c>
      <c r="BF3" s="37" t="s">
        <v>106</v>
      </c>
      <c r="BG3" s="37" t="s">
        <v>107</v>
      </c>
      <c r="BH3" s="37" t="s">
        <v>107</v>
      </c>
      <c r="BI3" s="37" t="s">
        <v>107</v>
      </c>
      <c r="BJ3" s="37" t="s">
        <v>107</v>
      </c>
      <c r="BK3" s="37" t="s">
        <v>107</v>
      </c>
      <c r="BL3" s="37" t="s">
        <v>107</v>
      </c>
      <c r="BM3" s="37" t="s">
        <v>107</v>
      </c>
      <c r="BN3" s="37" t="s">
        <v>107</v>
      </c>
      <c r="BO3" s="37" t="s">
        <v>107</v>
      </c>
      <c r="BP3" s="37" t="s">
        <v>107</v>
      </c>
      <c r="BQ3" s="37" t="s">
        <v>107</v>
      </c>
      <c r="BR3" s="37" t="s">
        <v>107</v>
      </c>
      <c r="BS3" s="37" t="s">
        <v>107</v>
      </c>
      <c r="BT3" s="37" t="s">
        <v>107</v>
      </c>
      <c r="BU3" s="37" t="s">
        <v>108</v>
      </c>
      <c r="BV3" s="37" t="s">
        <v>108</v>
      </c>
      <c r="BW3" s="37" t="s">
        <v>108</v>
      </c>
      <c r="BX3" s="37" t="s">
        <v>108</v>
      </c>
      <c r="BY3" s="37" t="s">
        <v>108</v>
      </c>
      <c r="BZ3" s="37" t="s">
        <v>108</v>
      </c>
      <c r="CA3" s="37" t="s">
        <v>108</v>
      </c>
      <c r="CB3" s="37" t="s">
        <v>108</v>
      </c>
      <c r="CC3" s="37" t="s">
        <v>108</v>
      </c>
      <c r="CD3" s="37" t="s">
        <v>108</v>
      </c>
      <c r="CE3" s="37" t="s">
        <v>108</v>
      </c>
      <c r="CF3" s="37" t="s">
        <v>108</v>
      </c>
      <c r="CG3" s="37" t="s">
        <v>109</v>
      </c>
      <c r="CH3" s="37" t="s">
        <v>109</v>
      </c>
      <c r="CI3" s="37" t="s">
        <v>109</v>
      </c>
      <c r="CJ3" s="37" t="s">
        <v>109</v>
      </c>
      <c r="CK3" s="37" t="s">
        <v>109</v>
      </c>
      <c r="CL3" s="37" t="s">
        <v>109</v>
      </c>
      <c r="CM3" s="37" t="s">
        <v>109</v>
      </c>
      <c r="CN3" s="37" t="s">
        <v>109</v>
      </c>
      <c r="CO3" s="37" t="s">
        <v>109</v>
      </c>
      <c r="CP3" s="37" t="s">
        <v>109</v>
      </c>
      <c r="CQ3" s="37" t="s">
        <v>109</v>
      </c>
      <c r="CR3" s="37" t="s">
        <v>109</v>
      </c>
      <c r="CS3" s="37" t="s">
        <v>109</v>
      </c>
      <c r="CT3" s="37" t="s">
        <v>109</v>
      </c>
      <c r="CU3" s="37" t="s">
        <v>109</v>
      </c>
      <c r="CV3" s="37" t="s">
        <v>109</v>
      </c>
      <c r="CW3" s="37" t="s">
        <v>109</v>
      </c>
      <c r="CX3" s="37" t="s">
        <v>109</v>
      </c>
      <c r="CY3" s="37" t="s">
        <v>109</v>
      </c>
      <c r="CZ3" s="37" t="s">
        <v>109</v>
      </c>
      <c r="DA3" s="37" t="s">
        <v>109</v>
      </c>
      <c r="DB3" s="37" t="s">
        <v>109</v>
      </c>
      <c r="DC3" s="37" t="s">
        <v>110</v>
      </c>
      <c r="DD3" s="37" t="s">
        <v>110</v>
      </c>
      <c r="DE3" s="37" t="s">
        <v>110</v>
      </c>
      <c r="DF3" s="37" t="s">
        <v>110</v>
      </c>
      <c r="DG3" s="37" t="s">
        <v>110</v>
      </c>
      <c r="DH3" s="37" t="s">
        <v>110</v>
      </c>
      <c r="DI3" s="37" t="s">
        <v>110</v>
      </c>
      <c r="DJ3" s="37" t="s">
        <v>110</v>
      </c>
      <c r="DK3" s="37" t="s">
        <v>110</v>
      </c>
      <c r="DL3" s="37" t="s">
        <v>110</v>
      </c>
      <c r="DM3" s="37" t="s">
        <v>110</v>
      </c>
      <c r="DN3" s="37" t="s">
        <v>110</v>
      </c>
      <c r="DO3" s="37" t="s">
        <v>111</v>
      </c>
      <c r="DP3" s="37" t="s">
        <v>111</v>
      </c>
      <c r="DQ3" s="37" t="s">
        <v>111</v>
      </c>
      <c r="DR3" s="37" t="s">
        <v>111</v>
      </c>
      <c r="DS3" s="37" t="s">
        <v>111</v>
      </c>
      <c r="DT3" s="37" t="s">
        <v>111</v>
      </c>
      <c r="DU3" s="37" t="s">
        <v>111</v>
      </c>
      <c r="DV3" s="37" t="s">
        <v>111</v>
      </c>
      <c r="DW3" s="37" t="s">
        <v>111</v>
      </c>
      <c r="DX3" s="37" t="s">
        <v>111</v>
      </c>
      <c r="DY3" s="37" t="s">
        <v>111</v>
      </c>
      <c r="DZ3" s="37" t="s">
        <v>111</v>
      </c>
      <c r="EA3" s="37" t="s">
        <v>111</v>
      </c>
      <c r="EB3" s="37" t="s">
        <v>112</v>
      </c>
      <c r="EC3" s="37" t="s">
        <v>112</v>
      </c>
      <c r="ED3" s="37" t="s">
        <v>112</v>
      </c>
      <c r="EE3" s="37" t="s">
        <v>112</v>
      </c>
      <c r="EF3" s="37" t="s">
        <v>112</v>
      </c>
    </row>
    <row r="4" spans="1:136" ht="21.75" customHeight="1" outlineLevel="1" x14ac:dyDescent="0.15">
      <c r="A4" s="37">
        <v>1</v>
      </c>
      <c r="B4" s="37">
        <f t="shared" ref="B4:AG4" si="0">A4+1</f>
        <v>2</v>
      </c>
      <c r="C4" s="37">
        <f t="shared" si="0"/>
        <v>3</v>
      </c>
      <c r="D4" s="37">
        <f t="shared" si="0"/>
        <v>4</v>
      </c>
      <c r="E4" s="37">
        <f t="shared" si="0"/>
        <v>5</v>
      </c>
      <c r="F4" s="37">
        <f t="shared" si="0"/>
        <v>6</v>
      </c>
      <c r="G4" s="37">
        <f t="shared" si="0"/>
        <v>7</v>
      </c>
      <c r="H4" s="37">
        <f t="shared" si="0"/>
        <v>8</v>
      </c>
      <c r="I4" s="37">
        <f t="shared" si="0"/>
        <v>9</v>
      </c>
      <c r="J4" s="37">
        <f t="shared" si="0"/>
        <v>10</v>
      </c>
      <c r="K4" s="37">
        <f t="shared" si="0"/>
        <v>11</v>
      </c>
      <c r="L4" s="37">
        <f t="shared" si="0"/>
        <v>12</v>
      </c>
      <c r="M4" s="37">
        <f t="shared" si="0"/>
        <v>13</v>
      </c>
      <c r="N4" s="37">
        <f t="shared" si="0"/>
        <v>14</v>
      </c>
      <c r="O4" s="37">
        <f t="shared" si="0"/>
        <v>15</v>
      </c>
      <c r="P4" s="37">
        <f t="shared" si="0"/>
        <v>16</v>
      </c>
      <c r="Q4" s="37">
        <f t="shared" si="0"/>
        <v>17</v>
      </c>
      <c r="R4" s="37">
        <f t="shared" si="0"/>
        <v>18</v>
      </c>
      <c r="S4" s="37">
        <f t="shared" si="0"/>
        <v>19</v>
      </c>
      <c r="T4" s="37">
        <f t="shared" si="0"/>
        <v>20</v>
      </c>
      <c r="U4" s="37">
        <f t="shared" si="0"/>
        <v>21</v>
      </c>
      <c r="V4" s="37">
        <f t="shared" si="0"/>
        <v>22</v>
      </c>
      <c r="W4" s="37">
        <f t="shared" si="0"/>
        <v>23</v>
      </c>
      <c r="X4" s="37">
        <f t="shared" si="0"/>
        <v>24</v>
      </c>
      <c r="Y4" s="37">
        <f t="shared" si="0"/>
        <v>25</v>
      </c>
      <c r="Z4" s="37">
        <f t="shared" si="0"/>
        <v>26</v>
      </c>
      <c r="AA4" s="37">
        <f t="shared" si="0"/>
        <v>27</v>
      </c>
      <c r="AB4" s="37">
        <f t="shared" si="0"/>
        <v>28</v>
      </c>
      <c r="AC4" s="37">
        <f t="shared" si="0"/>
        <v>29</v>
      </c>
      <c r="AD4" s="37">
        <f t="shared" si="0"/>
        <v>30</v>
      </c>
      <c r="AE4" s="37">
        <f t="shared" si="0"/>
        <v>31</v>
      </c>
      <c r="AF4" s="37">
        <f t="shared" si="0"/>
        <v>32</v>
      </c>
      <c r="AG4" s="37">
        <f t="shared" si="0"/>
        <v>33</v>
      </c>
      <c r="AH4" s="37">
        <f t="shared" ref="AH4:BM4" si="1">AG4+1</f>
        <v>34</v>
      </c>
      <c r="AI4" s="37">
        <f t="shared" si="1"/>
        <v>35</v>
      </c>
      <c r="AJ4" s="37">
        <f t="shared" si="1"/>
        <v>36</v>
      </c>
      <c r="AK4" s="37">
        <f t="shared" si="1"/>
        <v>37</v>
      </c>
      <c r="AL4" s="37">
        <f t="shared" si="1"/>
        <v>38</v>
      </c>
      <c r="AM4" s="37">
        <f t="shared" si="1"/>
        <v>39</v>
      </c>
      <c r="AN4" s="37">
        <f t="shared" si="1"/>
        <v>40</v>
      </c>
      <c r="AO4" s="37">
        <f t="shared" si="1"/>
        <v>41</v>
      </c>
      <c r="AP4" s="37">
        <f t="shared" si="1"/>
        <v>42</v>
      </c>
      <c r="AQ4" s="37">
        <f t="shared" si="1"/>
        <v>43</v>
      </c>
      <c r="AR4" s="37">
        <f t="shared" si="1"/>
        <v>44</v>
      </c>
      <c r="AS4" s="37">
        <f t="shared" si="1"/>
        <v>45</v>
      </c>
      <c r="AT4" s="37">
        <f t="shared" si="1"/>
        <v>46</v>
      </c>
      <c r="AU4" s="37">
        <f t="shared" si="1"/>
        <v>47</v>
      </c>
      <c r="AV4" s="37">
        <f t="shared" si="1"/>
        <v>48</v>
      </c>
      <c r="AW4" s="37">
        <f t="shared" si="1"/>
        <v>49</v>
      </c>
      <c r="AX4" s="37">
        <f t="shared" si="1"/>
        <v>50</v>
      </c>
      <c r="AY4" s="37">
        <f t="shared" si="1"/>
        <v>51</v>
      </c>
      <c r="AZ4" s="37">
        <f t="shared" si="1"/>
        <v>52</v>
      </c>
      <c r="BA4" s="37">
        <f t="shared" si="1"/>
        <v>53</v>
      </c>
      <c r="BB4" s="37">
        <f t="shared" si="1"/>
        <v>54</v>
      </c>
      <c r="BC4" s="37">
        <f t="shared" si="1"/>
        <v>55</v>
      </c>
      <c r="BD4" s="37">
        <f t="shared" si="1"/>
        <v>56</v>
      </c>
      <c r="BE4" s="37">
        <f t="shared" si="1"/>
        <v>57</v>
      </c>
      <c r="BF4" s="37">
        <f t="shared" si="1"/>
        <v>58</v>
      </c>
      <c r="BG4" s="37">
        <f t="shared" si="1"/>
        <v>59</v>
      </c>
      <c r="BH4" s="37">
        <f t="shared" si="1"/>
        <v>60</v>
      </c>
      <c r="BI4" s="37">
        <f t="shared" si="1"/>
        <v>61</v>
      </c>
      <c r="BJ4" s="37">
        <f t="shared" si="1"/>
        <v>62</v>
      </c>
      <c r="BK4" s="37">
        <f t="shared" si="1"/>
        <v>63</v>
      </c>
      <c r="BL4" s="37">
        <f t="shared" si="1"/>
        <v>64</v>
      </c>
      <c r="BM4" s="37">
        <f t="shared" si="1"/>
        <v>65</v>
      </c>
      <c r="BN4" s="37">
        <f t="shared" ref="BN4:CS4" si="2">BM4+1</f>
        <v>66</v>
      </c>
      <c r="BO4" s="37">
        <f t="shared" si="2"/>
        <v>67</v>
      </c>
      <c r="BP4" s="37">
        <f t="shared" si="2"/>
        <v>68</v>
      </c>
      <c r="BQ4" s="37">
        <f t="shared" si="2"/>
        <v>69</v>
      </c>
      <c r="BR4" s="37">
        <f t="shared" si="2"/>
        <v>70</v>
      </c>
      <c r="BS4" s="37">
        <f t="shared" si="2"/>
        <v>71</v>
      </c>
      <c r="BT4" s="37">
        <f t="shared" si="2"/>
        <v>72</v>
      </c>
      <c r="BU4" s="37">
        <f t="shared" si="2"/>
        <v>73</v>
      </c>
      <c r="BV4" s="37">
        <f t="shared" si="2"/>
        <v>74</v>
      </c>
      <c r="BW4" s="37">
        <f t="shared" si="2"/>
        <v>75</v>
      </c>
      <c r="BX4" s="37">
        <f t="shared" si="2"/>
        <v>76</v>
      </c>
      <c r="BY4" s="37">
        <f t="shared" si="2"/>
        <v>77</v>
      </c>
      <c r="BZ4" s="37">
        <f t="shared" si="2"/>
        <v>78</v>
      </c>
      <c r="CA4" s="37">
        <f t="shared" si="2"/>
        <v>79</v>
      </c>
      <c r="CB4" s="37">
        <f t="shared" si="2"/>
        <v>80</v>
      </c>
      <c r="CC4" s="37">
        <f t="shared" si="2"/>
        <v>81</v>
      </c>
      <c r="CD4" s="37">
        <f t="shared" si="2"/>
        <v>82</v>
      </c>
      <c r="CE4" s="37">
        <f t="shared" si="2"/>
        <v>83</v>
      </c>
      <c r="CF4" s="37">
        <f t="shared" si="2"/>
        <v>84</v>
      </c>
      <c r="CG4" s="37">
        <f t="shared" si="2"/>
        <v>85</v>
      </c>
      <c r="CH4" s="37">
        <f t="shared" si="2"/>
        <v>86</v>
      </c>
      <c r="CI4" s="37">
        <f t="shared" si="2"/>
        <v>87</v>
      </c>
      <c r="CJ4" s="37">
        <f t="shared" si="2"/>
        <v>88</v>
      </c>
      <c r="CK4" s="37">
        <f t="shared" si="2"/>
        <v>89</v>
      </c>
      <c r="CL4" s="37">
        <f t="shared" si="2"/>
        <v>90</v>
      </c>
      <c r="CM4" s="37">
        <f t="shared" si="2"/>
        <v>91</v>
      </c>
      <c r="CN4" s="37">
        <f t="shared" si="2"/>
        <v>92</v>
      </c>
      <c r="CO4" s="37">
        <f t="shared" si="2"/>
        <v>93</v>
      </c>
      <c r="CP4" s="37">
        <f t="shared" si="2"/>
        <v>94</v>
      </c>
      <c r="CQ4" s="37">
        <f t="shared" si="2"/>
        <v>95</v>
      </c>
      <c r="CR4" s="37">
        <f t="shared" si="2"/>
        <v>96</v>
      </c>
      <c r="CS4" s="37">
        <f t="shared" si="2"/>
        <v>97</v>
      </c>
      <c r="CT4" s="37">
        <f t="shared" ref="CT4:DY4" si="3">CS4+1</f>
        <v>98</v>
      </c>
      <c r="CU4" s="37">
        <f t="shared" si="3"/>
        <v>99</v>
      </c>
      <c r="CV4" s="37">
        <f t="shared" si="3"/>
        <v>100</v>
      </c>
      <c r="CW4" s="37">
        <f t="shared" si="3"/>
        <v>101</v>
      </c>
      <c r="CX4" s="37">
        <f t="shared" si="3"/>
        <v>102</v>
      </c>
      <c r="CY4" s="37">
        <f t="shared" si="3"/>
        <v>103</v>
      </c>
      <c r="CZ4" s="37">
        <f t="shared" si="3"/>
        <v>104</v>
      </c>
      <c r="DA4" s="37">
        <f t="shared" si="3"/>
        <v>105</v>
      </c>
      <c r="DB4" s="37">
        <f t="shared" si="3"/>
        <v>106</v>
      </c>
      <c r="DC4" s="37">
        <f t="shared" si="3"/>
        <v>107</v>
      </c>
      <c r="DD4" s="37">
        <f t="shared" si="3"/>
        <v>108</v>
      </c>
      <c r="DE4" s="37">
        <f t="shared" si="3"/>
        <v>109</v>
      </c>
      <c r="DF4" s="37">
        <f t="shared" si="3"/>
        <v>110</v>
      </c>
      <c r="DG4" s="37">
        <f t="shared" si="3"/>
        <v>111</v>
      </c>
      <c r="DH4" s="37">
        <f t="shared" si="3"/>
        <v>112</v>
      </c>
      <c r="DI4" s="37">
        <f t="shared" si="3"/>
        <v>113</v>
      </c>
      <c r="DJ4" s="37">
        <f t="shared" si="3"/>
        <v>114</v>
      </c>
      <c r="DK4" s="37">
        <f t="shared" si="3"/>
        <v>115</v>
      </c>
      <c r="DL4" s="37">
        <f t="shared" si="3"/>
        <v>116</v>
      </c>
      <c r="DM4" s="37">
        <f t="shared" si="3"/>
        <v>117</v>
      </c>
      <c r="DN4" s="37">
        <f t="shared" si="3"/>
        <v>118</v>
      </c>
      <c r="DO4" s="37">
        <f t="shared" si="3"/>
        <v>119</v>
      </c>
      <c r="DP4" s="37">
        <f t="shared" si="3"/>
        <v>120</v>
      </c>
      <c r="DQ4" s="37">
        <f t="shared" si="3"/>
        <v>121</v>
      </c>
      <c r="DR4" s="37">
        <f t="shared" si="3"/>
        <v>122</v>
      </c>
      <c r="DS4" s="37">
        <f t="shared" si="3"/>
        <v>123</v>
      </c>
      <c r="DT4" s="37">
        <f t="shared" si="3"/>
        <v>124</v>
      </c>
      <c r="DU4" s="37">
        <f t="shared" si="3"/>
        <v>125</v>
      </c>
      <c r="DV4" s="37">
        <f t="shared" si="3"/>
        <v>126</v>
      </c>
      <c r="DW4" s="37">
        <f t="shared" si="3"/>
        <v>127</v>
      </c>
      <c r="DX4" s="37">
        <f t="shared" si="3"/>
        <v>128</v>
      </c>
      <c r="DY4" s="37">
        <f t="shared" si="3"/>
        <v>129</v>
      </c>
      <c r="DZ4" s="37">
        <f t="shared" ref="DZ4:EF4" si="4">DY4+1</f>
        <v>130</v>
      </c>
      <c r="EA4" s="37">
        <f t="shared" si="4"/>
        <v>131</v>
      </c>
      <c r="EB4" s="37">
        <f t="shared" si="4"/>
        <v>132</v>
      </c>
      <c r="EC4" s="37">
        <f t="shared" si="4"/>
        <v>133</v>
      </c>
      <c r="ED4" s="37">
        <f t="shared" si="4"/>
        <v>134</v>
      </c>
      <c r="EE4" s="37">
        <f t="shared" si="4"/>
        <v>135</v>
      </c>
      <c r="EF4" s="37">
        <f t="shared" si="4"/>
        <v>136</v>
      </c>
    </row>
    <row r="5" spans="1:136" ht="18" customHeight="1" x14ac:dyDescent="0.15">
      <c r="A5" s="7" t="str">
        <f t="shared" ref="A5:AF5" si="5">CONCATENATE(A3,A4)</f>
        <v>A1</v>
      </c>
      <c r="B5" s="7" t="str">
        <f t="shared" si="5"/>
        <v>A2</v>
      </c>
      <c r="C5" s="7" t="str">
        <f t="shared" si="5"/>
        <v>A3</v>
      </c>
      <c r="D5" s="7" t="str">
        <f t="shared" si="5"/>
        <v>A4</v>
      </c>
      <c r="E5" s="7" t="str">
        <f t="shared" si="5"/>
        <v>A5</v>
      </c>
      <c r="F5" s="7" t="str">
        <f t="shared" si="5"/>
        <v>A6</v>
      </c>
      <c r="G5" s="7" t="str">
        <f t="shared" si="5"/>
        <v>A7</v>
      </c>
      <c r="H5" s="7" t="str">
        <f t="shared" si="5"/>
        <v>A8</v>
      </c>
      <c r="I5" s="7" t="str">
        <f t="shared" si="5"/>
        <v>A9</v>
      </c>
      <c r="J5" s="7" t="str">
        <f t="shared" si="5"/>
        <v>A10</v>
      </c>
      <c r="K5" s="8" t="str">
        <f t="shared" si="5"/>
        <v>B11</v>
      </c>
      <c r="L5" s="8" t="str">
        <f t="shared" si="5"/>
        <v>B12</v>
      </c>
      <c r="M5" s="8" t="str">
        <f t="shared" si="5"/>
        <v>B13</v>
      </c>
      <c r="N5" s="8" t="str">
        <f t="shared" si="5"/>
        <v>B14</v>
      </c>
      <c r="O5" s="8" t="str">
        <f t="shared" si="5"/>
        <v>B15</v>
      </c>
      <c r="P5" s="8" t="str">
        <f t="shared" si="5"/>
        <v>B16</v>
      </c>
      <c r="Q5" s="8" t="str">
        <f t="shared" si="5"/>
        <v>B17</v>
      </c>
      <c r="R5" s="8" t="str">
        <f t="shared" si="5"/>
        <v>B18</v>
      </c>
      <c r="S5" s="8" t="str">
        <f t="shared" si="5"/>
        <v>B19</v>
      </c>
      <c r="T5" s="8" t="str">
        <f t="shared" si="5"/>
        <v>B20</v>
      </c>
      <c r="U5" s="8" t="str">
        <f t="shared" si="5"/>
        <v>B21</v>
      </c>
      <c r="V5" s="8" t="str">
        <f t="shared" si="5"/>
        <v>B22</v>
      </c>
      <c r="W5" s="8" t="str">
        <f t="shared" si="5"/>
        <v>B23</v>
      </c>
      <c r="X5" s="8" t="str">
        <f t="shared" si="5"/>
        <v>B24</v>
      </c>
      <c r="Y5" s="8" t="str">
        <f t="shared" si="5"/>
        <v>B25</v>
      </c>
      <c r="Z5" s="9" t="str">
        <f t="shared" si="5"/>
        <v>C26</v>
      </c>
      <c r="AA5" s="9" t="str">
        <f t="shared" si="5"/>
        <v>C27</v>
      </c>
      <c r="AB5" s="9" t="str">
        <f t="shared" si="5"/>
        <v>C28</v>
      </c>
      <c r="AC5" s="9" t="str">
        <f t="shared" si="5"/>
        <v>C29</v>
      </c>
      <c r="AD5" s="9" t="str">
        <f t="shared" si="5"/>
        <v>C30</v>
      </c>
      <c r="AE5" s="9" t="str">
        <f t="shared" si="5"/>
        <v>C31</v>
      </c>
      <c r="AF5" s="9" t="str">
        <f t="shared" si="5"/>
        <v>C32</v>
      </c>
      <c r="AG5" s="9" t="str">
        <f t="shared" ref="AG5:BL5" si="6">CONCATENATE(AG3,AG4)</f>
        <v>C33</v>
      </c>
      <c r="AH5" s="9" t="str">
        <f t="shared" si="6"/>
        <v>C34</v>
      </c>
      <c r="AI5" s="9" t="str">
        <f t="shared" si="6"/>
        <v>C35</v>
      </c>
      <c r="AJ5" s="9" t="str">
        <f t="shared" si="6"/>
        <v>C36</v>
      </c>
      <c r="AK5" s="9" t="str">
        <f t="shared" si="6"/>
        <v>C37</v>
      </c>
      <c r="AL5" s="9" t="str">
        <f t="shared" si="6"/>
        <v>C38</v>
      </c>
      <c r="AM5" s="9" t="str">
        <f t="shared" si="6"/>
        <v>C39</v>
      </c>
      <c r="AN5" s="9" t="str">
        <f t="shared" si="6"/>
        <v>C40</v>
      </c>
      <c r="AO5" s="9" t="str">
        <f t="shared" si="6"/>
        <v>C41</v>
      </c>
      <c r="AP5" s="9" t="str">
        <f t="shared" si="6"/>
        <v>C42</v>
      </c>
      <c r="AQ5" s="9" t="str">
        <f t="shared" si="6"/>
        <v>C43</v>
      </c>
      <c r="AR5" s="9" t="str">
        <f t="shared" si="6"/>
        <v>C44</v>
      </c>
      <c r="AS5" s="9" t="str">
        <f t="shared" si="6"/>
        <v>C45</v>
      </c>
      <c r="AT5" s="10" t="str">
        <f t="shared" si="6"/>
        <v>D46</v>
      </c>
      <c r="AU5" s="10" t="str">
        <f t="shared" si="6"/>
        <v>D47</v>
      </c>
      <c r="AV5" s="10" t="str">
        <f t="shared" si="6"/>
        <v>D48</v>
      </c>
      <c r="AW5" s="10" t="str">
        <f t="shared" si="6"/>
        <v>D49</v>
      </c>
      <c r="AX5" s="10" t="str">
        <f t="shared" si="6"/>
        <v>D50</v>
      </c>
      <c r="AY5" s="10" t="str">
        <f t="shared" si="6"/>
        <v>D51</v>
      </c>
      <c r="AZ5" s="10" t="str">
        <f t="shared" si="6"/>
        <v>D52</v>
      </c>
      <c r="BA5" s="10" t="str">
        <f t="shared" si="6"/>
        <v>D53</v>
      </c>
      <c r="BB5" s="10" t="str">
        <f t="shared" si="6"/>
        <v>D54</v>
      </c>
      <c r="BC5" s="10" t="str">
        <f t="shared" si="6"/>
        <v>D55</v>
      </c>
      <c r="BD5" s="10" t="str">
        <f t="shared" si="6"/>
        <v>D56</v>
      </c>
      <c r="BE5" s="10" t="str">
        <f t="shared" si="6"/>
        <v>D57</v>
      </c>
      <c r="BF5" s="10" t="str">
        <f t="shared" si="6"/>
        <v>D58</v>
      </c>
      <c r="BG5" s="11" t="str">
        <f t="shared" si="6"/>
        <v>E59</v>
      </c>
      <c r="BH5" s="11" t="str">
        <f t="shared" si="6"/>
        <v>E60</v>
      </c>
      <c r="BI5" s="11" t="str">
        <f t="shared" si="6"/>
        <v>E61</v>
      </c>
      <c r="BJ5" s="11" t="str">
        <f t="shared" si="6"/>
        <v>E62</v>
      </c>
      <c r="BK5" s="11" t="str">
        <f t="shared" si="6"/>
        <v>E63</v>
      </c>
      <c r="BL5" s="11" t="str">
        <f t="shared" si="6"/>
        <v>E64</v>
      </c>
      <c r="BM5" s="11" t="str">
        <f t="shared" ref="BM5:CR5" si="7">CONCATENATE(BM3,BM4)</f>
        <v>E65</v>
      </c>
      <c r="BN5" s="11" t="str">
        <f t="shared" si="7"/>
        <v>E66</v>
      </c>
      <c r="BO5" s="11" t="str">
        <f t="shared" si="7"/>
        <v>E67</v>
      </c>
      <c r="BP5" s="11" t="str">
        <f t="shared" si="7"/>
        <v>E68</v>
      </c>
      <c r="BQ5" s="11" t="str">
        <f t="shared" si="7"/>
        <v>E69</v>
      </c>
      <c r="BR5" s="11" t="str">
        <f t="shared" si="7"/>
        <v>E70</v>
      </c>
      <c r="BS5" s="11" t="str">
        <f t="shared" si="7"/>
        <v>E71</v>
      </c>
      <c r="BT5" s="11" t="str">
        <f t="shared" si="7"/>
        <v>E72</v>
      </c>
      <c r="BU5" s="12" t="str">
        <f t="shared" si="7"/>
        <v>F73</v>
      </c>
      <c r="BV5" s="12" t="str">
        <f t="shared" si="7"/>
        <v>F74</v>
      </c>
      <c r="BW5" s="12" t="str">
        <f t="shared" si="7"/>
        <v>F75</v>
      </c>
      <c r="BX5" s="12" t="str">
        <f t="shared" si="7"/>
        <v>F76</v>
      </c>
      <c r="BY5" s="12" t="str">
        <f t="shared" si="7"/>
        <v>F77</v>
      </c>
      <c r="BZ5" s="12" t="str">
        <f t="shared" si="7"/>
        <v>F78</v>
      </c>
      <c r="CA5" s="12" t="str">
        <f t="shared" si="7"/>
        <v>F79</v>
      </c>
      <c r="CB5" s="12" t="str">
        <f t="shared" si="7"/>
        <v>F80</v>
      </c>
      <c r="CC5" s="12" t="str">
        <f t="shared" si="7"/>
        <v>F81</v>
      </c>
      <c r="CD5" s="12" t="str">
        <f t="shared" si="7"/>
        <v>F82</v>
      </c>
      <c r="CE5" s="12" t="str">
        <f t="shared" si="7"/>
        <v>F83</v>
      </c>
      <c r="CF5" s="12" t="str">
        <f t="shared" si="7"/>
        <v>F84</v>
      </c>
      <c r="CG5" s="13" t="str">
        <f t="shared" si="7"/>
        <v>G85</v>
      </c>
      <c r="CH5" s="13" t="str">
        <f t="shared" si="7"/>
        <v>G86</v>
      </c>
      <c r="CI5" s="13" t="str">
        <f t="shared" si="7"/>
        <v>G87</v>
      </c>
      <c r="CJ5" s="13" t="str">
        <f t="shared" si="7"/>
        <v>G88</v>
      </c>
      <c r="CK5" s="13" t="str">
        <f t="shared" si="7"/>
        <v>G89</v>
      </c>
      <c r="CL5" s="13" t="str">
        <f t="shared" si="7"/>
        <v>G90</v>
      </c>
      <c r="CM5" s="13" t="str">
        <f t="shared" si="7"/>
        <v>G91</v>
      </c>
      <c r="CN5" s="13" t="str">
        <f t="shared" si="7"/>
        <v>G92</v>
      </c>
      <c r="CO5" s="13" t="str">
        <f t="shared" si="7"/>
        <v>G93</v>
      </c>
      <c r="CP5" s="13" t="str">
        <f t="shared" si="7"/>
        <v>G94</v>
      </c>
      <c r="CQ5" s="13" t="str">
        <f t="shared" si="7"/>
        <v>G95</v>
      </c>
      <c r="CR5" s="13" t="str">
        <f t="shared" si="7"/>
        <v>G96</v>
      </c>
      <c r="CS5" s="13" t="str">
        <f t="shared" ref="CS5:DX5" si="8">CONCATENATE(CS3,CS4)</f>
        <v>G97</v>
      </c>
      <c r="CT5" s="13" t="str">
        <f t="shared" si="8"/>
        <v>G98</v>
      </c>
      <c r="CU5" s="13" t="str">
        <f t="shared" si="8"/>
        <v>G99</v>
      </c>
      <c r="CV5" s="13" t="str">
        <f t="shared" si="8"/>
        <v>G100</v>
      </c>
      <c r="CW5" s="13" t="str">
        <f t="shared" si="8"/>
        <v>G101</v>
      </c>
      <c r="CX5" s="13" t="str">
        <f t="shared" si="8"/>
        <v>G102</v>
      </c>
      <c r="CY5" s="13" t="str">
        <f t="shared" si="8"/>
        <v>G103</v>
      </c>
      <c r="CZ5" s="13" t="str">
        <f t="shared" si="8"/>
        <v>G104</v>
      </c>
      <c r="DA5" s="13" t="str">
        <f t="shared" si="8"/>
        <v>G105</v>
      </c>
      <c r="DB5" s="13" t="str">
        <f t="shared" si="8"/>
        <v>G106</v>
      </c>
      <c r="DC5" s="14" t="str">
        <f t="shared" si="8"/>
        <v>H107</v>
      </c>
      <c r="DD5" s="14" t="str">
        <f t="shared" si="8"/>
        <v>H108</v>
      </c>
      <c r="DE5" s="14" t="str">
        <f t="shared" si="8"/>
        <v>H109</v>
      </c>
      <c r="DF5" s="14" t="str">
        <f t="shared" si="8"/>
        <v>H110</v>
      </c>
      <c r="DG5" s="14" t="str">
        <f t="shared" si="8"/>
        <v>H111</v>
      </c>
      <c r="DH5" s="14" t="str">
        <f t="shared" si="8"/>
        <v>H112</v>
      </c>
      <c r="DI5" s="14" t="str">
        <f t="shared" si="8"/>
        <v>H113</v>
      </c>
      <c r="DJ5" s="14" t="str">
        <f t="shared" si="8"/>
        <v>H114</v>
      </c>
      <c r="DK5" s="14" t="str">
        <f t="shared" si="8"/>
        <v>H115</v>
      </c>
      <c r="DL5" s="14" t="str">
        <f t="shared" si="8"/>
        <v>H116</v>
      </c>
      <c r="DM5" s="14" t="str">
        <f t="shared" si="8"/>
        <v>H117</v>
      </c>
      <c r="DN5" s="14" t="str">
        <f t="shared" si="8"/>
        <v>H118</v>
      </c>
      <c r="DO5" s="15" t="str">
        <f t="shared" si="8"/>
        <v>I119</v>
      </c>
      <c r="DP5" s="15" t="str">
        <f t="shared" si="8"/>
        <v>I120</v>
      </c>
      <c r="DQ5" s="15" t="str">
        <f t="shared" si="8"/>
        <v>I121</v>
      </c>
      <c r="DR5" s="15" t="str">
        <f t="shared" si="8"/>
        <v>I122</v>
      </c>
      <c r="DS5" s="15" t="str">
        <f t="shared" si="8"/>
        <v>I123</v>
      </c>
      <c r="DT5" s="15" t="str">
        <f t="shared" si="8"/>
        <v>I124</v>
      </c>
      <c r="DU5" s="15" t="str">
        <f t="shared" si="8"/>
        <v>I125</v>
      </c>
      <c r="DV5" s="15" t="str">
        <f t="shared" si="8"/>
        <v>I126</v>
      </c>
      <c r="DW5" s="15" t="str">
        <f t="shared" si="8"/>
        <v>I127</v>
      </c>
      <c r="DX5" s="15" t="str">
        <f t="shared" si="8"/>
        <v>I128</v>
      </c>
      <c r="DY5" s="15" t="str">
        <f t="shared" ref="DY5:FD5" si="9">CONCATENATE(DY3,DY4)</f>
        <v>I129</v>
      </c>
      <c r="DZ5" s="15" t="str">
        <f t="shared" si="9"/>
        <v>I130</v>
      </c>
      <c r="EA5" s="15" t="str">
        <f t="shared" si="9"/>
        <v>I131</v>
      </c>
      <c r="EB5" s="38" t="str">
        <f t="shared" si="9"/>
        <v>J132</v>
      </c>
      <c r="EC5" s="38" t="str">
        <f t="shared" si="9"/>
        <v>J133</v>
      </c>
      <c r="ED5" s="38" t="str">
        <f t="shared" si="9"/>
        <v>J134</v>
      </c>
      <c r="EE5" s="38" t="str">
        <f t="shared" si="9"/>
        <v>J135</v>
      </c>
      <c r="EF5" s="38" t="str">
        <f t="shared" si="9"/>
        <v>J136</v>
      </c>
    </row>
    <row r="6" spans="1:136" ht="39.75" customHeight="1" x14ac:dyDescent="0.15">
      <c r="A6" s="16" t="s">
        <v>113</v>
      </c>
      <c r="B6" s="16" t="s">
        <v>114</v>
      </c>
      <c r="C6" s="16" t="s">
        <v>115</v>
      </c>
      <c r="D6" s="16" t="s">
        <v>116</v>
      </c>
      <c r="E6" s="16" t="s">
        <v>117</v>
      </c>
      <c r="F6" s="16" t="s">
        <v>118</v>
      </c>
      <c r="G6" s="16" t="s">
        <v>119</v>
      </c>
      <c r="H6" s="16" t="s">
        <v>120</v>
      </c>
      <c r="I6" s="16" t="s">
        <v>121</v>
      </c>
      <c r="J6" s="16" t="s">
        <v>122</v>
      </c>
      <c r="K6" s="16" t="s">
        <v>123</v>
      </c>
      <c r="L6" s="16" t="s">
        <v>124</v>
      </c>
      <c r="M6" s="16" t="s">
        <v>125</v>
      </c>
      <c r="N6" s="16" t="s">
        <v>126</v>
      </c>
      <c r="O6" s="16" t="s">
        <v>127</v>
      </c>
      <c r="P6" s="16" t="s">
        <v>128</v>
      </c>
      <c r="Q6" s="16" t="s">
        <v>129</v>
      </c>
      <c r="R6" s="16" t="s">
        <v>130</v>
      </c>
      <c r="S6" s="16" t="s">
        <v>131</v>
      </c>
      <c r="T6" s="16" t="s">
        <v>132</v>
      </c>
      <c r="U6" s="16" t="s">
        <v>133</v>
      </c>
      <c r="V6" s="16" t="s">
        <v>134</v>
      </c>
      <c r="W6" s="16" t="s">
        <v>135</v>
      </c>
      <c r="X6" s="16" t="s">
        <v>136</v>
      </c>
      <c r="Y6" s="16" t="s">
        <v>137</v>
      </c>
      <c r="Z6" s="16" t="s">
        <v>138</v>
      </c>
      <c r="AA6" s="16" t="s">
        <v>139</v>
      </c>
      <c r="AB6" s="16" t="s">
        <v>140</v>
      </c>
      <c r="AC6" s="16" t="s">
        <v>141</v>
      </c>
      <c r="AD6" s="16" t="s">
        <v>142</v>
      </c>
      <c r="AE6" s="16" t="s">
        <v>143</v>
      </c>
      <c r="AF6" s="16" t="s">
        <v>144</v>
      </c>
      <c r="AG6" s="16" t="s">
        <v>145</v>
      </c>
      <c r="AH6" s="16" t="s">
        <v>146</v>
      </c>
      <c r="AI6" s="16" t="s">
        <v>147</v>
      </c>
      <c r="AJ6" s="16" t="s">
        <v>148</v>
      </c>
      <c r="AK6" s="16" t="s">
        <v>149</v>
      </c>
      <c r="AL6" s="16" t="s">
        <v>150</v>
      </c>
      <c r="AM6" s="16" t="s">
        <v>151</v>
      </c>
      <c r="AN6" s="16" t="s">
        <v>152</v>
      </c>
      <c r="AO6" s="16" t="s">
        <v>153</v>
      </c>
      <c r="AP6" s="16" t="s">
        <v>154</v>
      </c>
      <c r="AQ6" s="16" t="s">
        <v>155</v>
      </c>
      <c r="AR6" s="16" t="s">
        <v>156</v>
      </c>
      <c r="AS6" s="16" t="s">
        <v>157</v>
      </c>
      <c r="AT6" s="16" t="s">
        <v>158</v>
      </c>
      <c r="AU6" s="16" t="s">
        <v>159</v>
      </c>
      <c r="AV6" s="16" t="s">
        <v>160</v>
      </c>
      <c r="AW6" s="16" t="s">
        <v>161</v>
      </c>
      <c r="AX6" s="16" t="s">
        <v>162</v>
      </c>
      <c r="AY6" s="16" t="s">
        <v>163</v>
      </c>
      <c r="AZ6" s="16" t="s">
        <v>164</v>
      </c>
      <c r="BA6" s="16" t="s">
        <v>165</v>
      </c>
      <c r="BB6" s="16" t="s">
        <v>166</v>
      </c>
      <c r="BC6" s="16" t="s">
        <v>167</v>
      </c>
      <c r="BD6" s="16" t="s">
        <v>168</v>
      </c>
      <c r="BE6" s="16" t="s">
        <v>169</v>
      </c>
      <c r="BF6" s="16" t="s">
        <v>170</v>
      </c>
      <c r="BG6" s="16" t="s">
        <v>171</v>
      </c>
      <c r="BH6" s="16" t="s">
        <v>172</v>
      </c>
      <c r="BI6" s="16" t="s">
        <v>173</v>
      </c>
      <c r="BJ6" s="16" t="s">
        <v>174</v>
      </c>
      <c r="BK6" s="16" t="s">
        <v>175</v>
      </c>
      <c r="BL6" s="16" t="s">
        <v>176</v>
      </c>
      <c r="BM6" s="16" t="s">
        <v>177</v>
      </c>
      <c r="BN6" s="16" t="s">
        <v>178</v>
      </c>
      <c r="BO6" s="16" t="s">
        <v>179</v>
      </c>
      <c r="BP6" s="16" t="s">
        <v>180</v>
      </c>
      <c r="BQ6" s="16" t="s">
        <v>181</v>
      </c>
      <c r="BR6" s="16" t="s">
        <v>182</v>
      </c>
      <c r="BS6" s="16" t="s">
        <v>183</v>
      </c>
      <c r="BT6" s="16" t="s">
        <v>184</v>
      </c>
      <c r="BU6" s="16" t="s">
        <v>185</v>
      </c>
      <c r="BV6" s="16" t="s">
        <v>186</v>
      </c>
      <c r="BW6" s="16" t="s">
        <v>187</v>
      </c>
      <c r="BX6" s="16" t="s">
        <v>188</v>
      </c>
      <c r="BY6" s="16" t="s">
        <v>189</v>
      </c>
      <c r="BZ6" s="16" t="s">
        <v>190</v>
      </c>
      <c r="CA6" s="16" t="s">
        <v>191</v>
      </c>
      <c r="CB6" s="16" t="s">
        <v>192</v>
      </c>
      <c r="CC6" s="16" t="s">
        <v>193</v>
      </c>
      <c r="CD6" s="16" t="s">
        <v>194</v>
      </c>
      <c r="CE6" s="16" t="s">
        <v>195</v>
      </c>
      <c r="CF6" s="16" t="s">
        <v>196</v>
      </c>
      <c r="CG6" s="16" t="s">
        <v>197</v>
      </c>
      <c r="CH6" s="16" t="s">
        <v>198</v>
      </c>
      <c r="CI6" s="16" t="s">
        <v>199</v>
      </c>
      <c r="CJ6" s="16" t="s">
        <v>200</v>
      </c>
      <c r="CK6" s="16" t="s">
        <v>201</v>
      </c>
      <c r="CL6" s="16" t="s">
        <v>202</v>
      </c>
      <c r="CM6" s="16" t="s">
        <v>203</v>
      </c>
      <c r="CN6" s="16" t="s">
        <v>204</v>
      </c>
      <c r="CO6" s="16" t="s">
        <v>205</v>
      </c>
      <c r="CP6" s="16" t="s">
        <v>206</v>
      </c>
      <c r="CQ6" s="16" t="s">
        <v>207</v>
      </c>
      <c r="CR6" s="16" t="s">
        <v>208</v>
      </c>
      <c r="CS6" s="16" t="s">
        <v>209</v>
      </c>
      <c r="CT6" s="16" t="s">
        <v>210</v>
      </c>
      <c r="CU6" s="16" t="s">
        <v>211</v>
      </c>
      <c r="CV6" s="16" t="s">
        <v>212</v>
      </c>
      <c r="CW6" s="16" t="s">
        <v>213</v>
      </c>
      <c r="CX6" s="16" t="s">
        <v>214</v>
      </c>
      <c r="CY6" s="16" t="s">
        <v>215</v>
      </c>
      <c r="CZ6" s="16" t="s">
        <v>216</v>
      </c>
      <c r="DA6" s="16" t="s">
        <v>217</v>
      </c>
      <c r="DB6" s="16" t="s">
        <v>218</v>
      </c>
      <c r="DC6" s="17" t="s">
        <v>219</v>
      </c>
      <c r="DD6" s="17" t="s">
        <v>220</v>
      </c>
      <c r="DE6" s="17" t="s">
        <v>221</v>
      </c>
      <c r="DF6" s="17" t="s">
        <v>222</v>
      </c>
      <c r="DG6" s="17" t="s">
        <v>223</v>
      </c>
      <c r="DH6" s="17" t="s">
        <v>224</v>
      </c>
      <c r="DI6" s="17" t="s">
        <v>225</v>
      </c>
      <c r="DJ6" s="17" t="s">
        <v>226</v>
      </c>
      <c r="DK6" s="17" t="s">
        <v>227</v>
      </c>
      <c r="DL6" s="17" t="s">
        <v>228</v>
      </c>
      <c r="DM6" s="17" t="s">
        <v>229</v>
      </c>
      <c r="DN6" s="17" t="s">
        <v>230</v>
      </c>
      <c r="DO6" s="17" t="s">
        <v>231</v>
      </c>
      <c r="DP6" s="17" t="s">
        <v>232</v>
      </c>
      <c r="DQ6" s="17" t="s">
        <v>233</v>
      </c>
      <c r="DR6" s="17" t="s">
        <v>234</v>
      </c>
      <c r="DS6" s="17" t="s">
        <v>235</v>
      </c>
      <c r="DT6" s="17" t="s">
        <v>236</v>
      </c>
      <c r="DU6" s="17" t="s">
        <v>237</v>
      </c>
      <c r="DV6" s="17" t="s">
        <v>238</v>
      </c>
      <c r="DW6" s="17" t="s">
        <v>239</v>
      </c>
      <c r="DX6" s="17" t="s">
        <v>240</v>
      </c>
      <c r="DY6" s="17" t="s">
        <v>241</v>
      </c>
      <c r="DZ6" s="17" t="s">
        <v>242</v>
      </c>
      <c r="EA6" s="17" t="s">
        <v>243</v>
      </c>
      <c r="EB6" s="17" t="s">
        <v>244</v>
      </c>
      <c r="EC6" s="17" t="s">
        <v>245</v>
      </c>
      <c r="ED6" s="17" t="s">
        <v>246</v>
      </c>
      <c r="EE6" s="17" t="s">
        <v>247</v>
      </c>
      <c r="EF6" s="17" t="s">
        <v>248</v>
      </c>
    </row>
    <row r="7" spans="1:136" ht="18" customHeight="1" x14ac:dyDescent="0.15">
      <c r="A7" s="3" t="s">
        <v>281</v>
      </c>
      <c r="B7" s="3" t="s">
        <v>282</v>
      </c>
      <c r="C7" s="3" t="str">
        <f>IF(ISBLANK('Universe Tracker'!D3),"",'Universe Tracker'!D3)</f>
        <v>GB0032089863</v>
      </c>
      <c r="D7" s="3"/>
      <c r="E7" s="3"/>
      <c r="F7" s="3" t="str">
        <f>IF(ISBLANK('Universe Tracker'!F3),"",'Universe Tracker'!F3)</f>
        <v>Consumer Discretionary</v>
      </c>
      <c r="G7" s="3" t="str">
        <f>IF(ISBLANK('Universe Tracker'!G3),"",'Universe Tracker'!G3)</f>
        <v>Retail &amp; Whsle - Discretionary</v>
      </c>
      <c r="H7" s="3"/>
      <c r="I7" s="3"/>
      <c r="J7" s="3" t="str">
        <f t="shared" ref="J7" si="10">IF(ISBLANK(B7),"",B7&amp;"_"&amp;C7)</f>
        <v>NXG_GB0032089863</v>
      </c>
      <c r="K7" s="3"/>
      <c r="L7" s="3"/>
      <c r="M7" s="3"/>
      <c r="N7" s="3"/>
      <c r="O7" s="3"/>
      <c r="P7" s="3"/>
      <c r="Q7" s="3"/>
      <c r="R7" s="3"/>
      <c r="S7" s="3"/>
      <c r="T7" s="3"/>
      <c r="U7" s="3"/>
      <c r="V7" s="3"/>
      <c r="W7" s="3"/>
      <c r="X7" s="3"/>
      <c r="Y7" s="3" t="str">
        <f t="shared" ref="Y7" si="11">IF(AND(V7&gt;=2,K7="Yes",L7="Yes"),"Sufficient",IF(AND(V7&gt;=1,OR(K7="Yes",L7="Yes")),"Thin","Insufficient"))</f>
        <v>Insufficient</v>
      </c>
      <c r="Z7" s="3"/>
      <c r="AA7" s="3"/>
      <c r="AB7" s="3"/>
      <c r="AC7" s="3"/>
      <c r="AD7" s="3"/>
      <c r="AE7" s="3"/>
      <c r="AF7" s="3"/>
      <c r="AG7" s="3"/>
      <c r="AH7" s="3"/>
      <c r="AI7" s="3"/>
      <c r="AJ7" s="3"/>
      <c r="AK7" s="3"/>
      <c r="AL7" s="3"/>
      <c r="AM7" s="3"/>
      <c r="AN7" s="3"/>
      <c r="AO7" s="3"/>
      <c r="AP7" s="3"/>
      <c r="AQ7" s="3"/>
      <c r="AR7" s="40">
        <f t="array" ref="AR7">MIN(100, MAX(0,
  IFERROR(_xlfn.XLOOKUP(AJ7,'Lookup Tables'!$A$2:$A$7,'Lookup Tables'!$B$2:$B$7,0),0)
  + IF(Z7="Yes", IF(IFERROR(_xlfn.XLOOKUP(AJ7,'Lookup Tables'!$A$2:$A$7,'Lookup Tables'!$B$2:$B$7,0),0)&lt;20, 5, 0), 0)
  + _xlfn.IFS(AB7="Yes", IF(ISNUMBER(AC7)*AND(AC7&lt;=2030),15,10), AB7="Long-term Only", 5, AB7="No", 0, TRUE, 0)
  + _xlfn.IFS(AF7="Full",10, AF7="Partial",5, AF7="Scope 2 Only",3, TRUE,0)
  + _xlfn.IFS(AG7="Yes", IF(ISNUMBER(AH7)*AND(AH7&gt;=5),10,6), AG7="Partial",4, TRUE,0)
  + _xlfn.IFS(AI7="Yes",5, AI7="Partial (material categories only)",3, TRUE,0)
  + _xlfn.IFS(AL7="Yes — Detailed",10, AL7="Yes — High Level",5, TRUE,0)
  + _xlfn.IFS(AM7="Yes — Quantified",15, AM7="Yes — Directional Only",7, TRUE,0)
  + _xlfn.IFS(AP7="Formal",5, AP7="Referenced",2, TRUE,0)
  + _xlfn.IFS(AQ7="No Issues Found",5, AQ7="Concern Identified",-5, AQ7="Severe Contradiction",-15, TRUE,0)
  + _xlfn.IFS(BC7="Reasonable Assurance",5, BC7="Limited Assurance",3, TRUE,0)
  - IF(AND(Z7="Yes", AI7="No"), 10, 0)
  - IF(AND(Z7="Yes", AM7="No"), 10, 0)
))</f>
        <v>0</v>
      </c>
      <c r="AS7" s="3"/>
      <c r="AT7" s="3"/>
      <c r="AU7" s="3"/>
      <c r="AV7" s="3"/>
      <c r="AW7" s="3"/>
      <c r="AX7" s="3"/>
      <c r="AY7" s="3"/>
      <c r="AZ7" s="3"/>
      <c r="BA7" s="3"/>
      <c r="BB7" s="3"/>
      <c r="BC7" s="3"/>
      <c r="BD7" s="3"/>
      <c r="BE7" s="40">
        <f t="array" ref="BE7">MIN(100, MAX(0,
  IFERROR(_xlfn.XLOOKUP(AT7,'Lookup Tables'!$D$2:$D$6,'Lookup Tables'!$E$2:$E$6,0),0)
  + IFERROR(_xlfn.XLOOKUP(AV7,'Lookup Tables'!$G$2:$G$5,'Lookup Tables'!$H$2:$H$5,0),0)
  + IFERROR(_xlfn.XLOOKUP(AW7,'Lookup Tables'!$J$2:$J$5,'Lookup Tables'!$K$2:$K$5,0),0)
  + _xlfn.IFS(AX7="No Issues",10, AX7="Complaint Filed",3, AX7="Confirmed Breach",-15, TRUE,0)
  + IFERROR(_xlfn.XLOOKUP(AY7,'Lookup Tables'!$M$2:$M$6,'Lookup Tables'!$N$2:$N$6,0),0)
  + IFERROR(_xlfn.XLOOKUP(AZ7,'Lookup Tables'!$P$2:$P$6,'Lookup Tables'!$Q$2:$Q$6,0),0)
  + _xlfn.IFS(BA7="Formal Board Committee",5, BA7="Board Oversight Mentioned",2, TRUE,0)
  + _xlfn.IFS(BB7="Yes — Quantified Targets",5, BB7="Yes — Discretionary Only",2, TRUE,0)
  + _xlfn.IFS(BC7="Reasonable Assurance",5, BC7="Limited Assurance",3, BC7="Management Review Only",1, TRUE,0)
))</f>
        <v>0</v>
      </c>
      <c r="BF7" s="3"/>
      <c r="BG7" s="3"/>
      <c r="BH7" s="3"/>
      <c r="BI7" s="3"/>
      <c r="BJ7" s="3"/>
      <c r="BK7" s="3"/>
      <c r="BL7" s="3"/>
      <c r="BM7" s="3"/>
      <c r="BN7" s="3"/>
      <c r="BO7" s="3"/>
      <c r="BP7" s="3"/>
      <c r="BQ7" s="3"/>
      <c r="BR7" s="3"/>
      <c r="BS7" s="45">
        <f t="array" ref="BS7">MIN(100, MAX(0,
  IFERROR(_xlfn.XLOOKUP(BG7,'Lookup Tables'!$A$11:$A$16,'Lookup Tables'!$B$11:$B$16,0),0)
  + IFERROR(_xlfn.XLOOKUP(BR7,'Lookup Tables'!$M$11:$M$14,'Lookup Tables'!$N$11:$N$14,0),0)
  + IFERROR(_xlfn.XLOOKUP(BQ7,'Lookup Tables'!$J$11:$J$15,'Lookup Tables'!$K$11:$K$15,0),0)
  + IFERROR(_xlfn.XLOOKUP(BH7,'Lookup Tables'!$D$11:$D$15,'Lookup Tables'!$E$11:$E$15,0),0)
  + IFERROR(_xlfn.XLOOKUP(BJ7,'Lookup Tables'!$G$11:$G$16,'Lookup Tables'!$H$11:$H$16,0),0)
  + IFERROR(_xlfn.XLOOKUP(BN7,'Lookup Tables'!$P$11:$P$15,'Lookup Tables'!$Q$11:$Q$15,0),0)
  + _xlfn.IFS(BM7="No Evidence",10, BM7="Unknown",3, BM7="Likely",0, BM7="Confirmed",-10, TRUE,3)
  + IFERROR(_xlfn.XLOOKUP(BP7,'Lookup Tables'!$J$21:$J$24,'Lookup Tables'!$K$21:$K$24,0),0)
))</f>
        <v>3</v>
      </c>
      <c r="BT7" s="3"/>
      <c r="BU7" s="3"/>
      <c r="BV7" s="3"/>
      <c r="BW7" s="3"/>
      <c r="BX7" s="3"/>
      <c r="BY7" s="3"/>
      <c r="BZ7" s="3"/>
      <c r="CA7" s="3"/>
      <c r="CB7" s="3"/>
      <c r="CC7" s="3"/>
      <c r="CD7" s="3"/>
      <c r="CE7" s="44">
        <f t="array" ref="CE7">MIN(100, MAX(0,
  IF(ISNUMBER(BV7)*AND(BV7&gt;0), 10, 0)
  + _xlfn.IFS(BY7="Independently Verified",25, BY7="Yes",15, TRUE,0)
  + IFERROR(_xlfn.XLOOKUP(BZ7,'Lookup Tables'!$A$21:$A$24,'Lookup Tables'!$B$21:$B$24,0),0)
  + IFERROR(_xlfn.XLOOKUP(CA7,'Lookup Tables'!$D$21:$D$24,'Lookup Tables'!$E$21:$E$24,0),0)
  + _xlfn.IFS(ISNUMBER(CB7)*AND(CB7&gt;=11),15, ISNUMBER(CB7)*AND(CB7&gt;=6),10, ISNUMBER(CB7)*AND(CB7&gt;=1),5, TRUE,0)
  + IFERROR(_xlfn.XLOOKUP(CC7,'Lookup Tables'!$G$21:$G$25,'Lookup Tables'!$H$21:$H$25,0),0)
  - IF(ISNUMBER(BW7)*AND(ISNUMBER(BV7))*AND(BW7&gt;BV7), 20, 0)
  - IF(AND(BY7="Yes", ISNUMBER(BW7), BW7&gt;60), 10, 0)
))</f>
        <v>0</v>
      </c>
      <c r="CF7" s="3"/>
      <c r="CG7" s="3"/>
      <c r="CH7" s="3"/>
      <c r="CI7" s="3"/>
      <c r="CJ7" s="3"/>
      <c r="CK7" s="3"/>
      <c r="CL7" s="3"/>
      <c r="CM7" s="3"/>
      <c r="CN7" s="3"/>
      <c r="CO7" s="3"/>
      <c r="CP7" s="3"/>
      <c r="CQ7" s="3"/>
      <c r="CR7" s="3">
        <f t="shared" ref="CR7" si="12">COUNTIF(CJ7:CQ7,"FAIL")</f>
        <v>0</v>
      </c>
      <c r="CS7" s="3">
        <f t="shared" ref="CS7" si="13">COUNTIF(CJ7:CQ7,"PARTIAL")</f>
        <v>0</v>
      </c>
      <c r="CT7" s="3">
        <f t="shared" ref="CT7" si="14">COUNTIF(CJ7:CQ7,"MISSING")</f>
        <v>0</v>
      </c>
      <c r="CU7" s="3">
        <f>MIN(100,
  CR7*15
  + CS7*6
  + CT7*3
  + IFERROR(_xlfn.XLOOKUP(CW7,'Lookup Tables'!$M$21:$M$25,'Lookup Tables'!$N$21:$N$25,0),0)
)</f>
        <v>0</v>
      </c>
      <c r="CV7" s="3" t="str">
        <f t="shared" ref="CV7" si="15">IFERROR(
CHOOSE(
MATCH("FAIL",CJ7:CQ7,0),
"1-Specificity","2-Metric","3-Baseline","4-Target",
"5-Time Horizon","6-Scope","7-Verification","8-Consistency"
),
IFERROR(
CHOOSE(
MATCH("PARTIAL",CJ7:CQ7,0),
"1-Specificity","2-Metric","3-Baseline","4-Target",
"5-Time Horizon","6-Scope","7-Verification","8-Consistency"
),
"No failures"
)
)</f>
        <v>No failures</v>
      </c>
      <c r="CW7" s="3"/>
      <c r="CX7" s="3"/>
      <c r="CY7" s="3"/>
      <c r="CZ7" s="3"/>
      <c r="DA7" s="3" t="str">
        <f t="shared" ref="DA7" si="16">IF(OR(CU7&gt;=50,CW7="Material",CW7="Severe",AS7="Material",AS7="Severe",BF7="Material",BF7="Severe — Exclusion Trigger",AND(ISNUMBER(BS7),BS7&lt;30)),"Yes","No")</f>
        <v>Yes</v>
      </c>
      <c r="DB7" s="3" t="str">
        <f t="shared" ref="DB7" si="17">IF(OR(CR7&gt;=6,AW7="Confirmed Violation",AX7="Confirmed Breach"),"Yes — Automatic",IF(CW7="Severe","Yes — Requires Captain Confirmation","No"))</f>
        <v>No</v>
      </c>
      <c r="DC7" s="3"/>
      <c r="DD7" s="3"/>
      <c r="DE7" s="3"/>
      <c r="DF7" s="3"/>
      <c r="DG7" s="3"/>
      <c r="DH7" s="3"/>
      <c r="DI7" s="3"/>
      <c r="DJ7" s="3"/>
      <c r="DK7" s="3"/>
      <c r="DL7" s="3" t="str">
        <f t="shared" ref="DL7" si="18">IF(OR(IFERROR(VALUE(LEFT(DF7,1)),99)&lt;=2,IFERROR(VALUE(LEFT(DG7,1)),99)&lt;=2),"Flagged","Clear")</f>
        <v>Clear</v>
      </c>
      <c r="DM7" s="3" t="str">
        <f t="shared" ref="DM7" si="19">IF(OR(DA7="Yes",DB7&lt;&gt;"No",DH7="Unverified",DL7="Flagged"),"Yes","No")</f>
        <v>Yes</v>
      </c>
      <c r="DN7" s="3">
        <f t="array" ref="DN7">MIN(100,
  IF(ISNUMBER(V7), _xlfn.IFS(V7&gt;=3,25, V7=2,15, V7=1,5, TRUE,0), 0)
  + IFERROR(_xlfn.IFS(VALUE(LEFT(DF7,1))=5,25, VALUE(LEFT(DF7,1))=4,20, VALUE(LEFT(DF7,1))=3,15, VALUE(LEFT(DF7,1))=2,8, TRUE,0), 15)
  + IFERROR(_xlfn.IFS(VALUE(LEFT(DG7,1))=5,25, VALUE(LEFT(DG7,1))=4,20, VALUE(LEFT(DG7,1))=3,15, VALUE(LEFT(DG7,1))=2,8, TRUE,0), 15)
  + _xlfn.IFS(DH7="Fully Verified",25, DH7="Partially Verified",12, TRUE,0)
)</f>
        <v>30</v>
      </c>
      <c r="DO7" s="3" t="str">
        <f t="array" ref="DO7">_xlfn.IFS(
  ISBLANK(AR7), "Insufficient Evidence",
  AND(AR7&gt;=65, AJ7="Approved"), "Strong",
  AR7&gt;=65, "Adequate",
  AR7&gt;=40, "Adequate",
  AR7&gt;=20, "Weak",
  TRUE, "Insufficient Evidence"
)</f>
        <v>Insufficient Evidence</v>
      </c>
      <c r="DP7" s="3" t="str">
        <f t="array" ref="DP7">_xlfn.IFS(
  ISBLANK(BS7), "Insufficient Evidence",
  BS7&gt;=65, "Strong",
  BS7&gt;=40, "Adequate",
  BS7&gt;=20, "Weak",
  TRUE, "Insufficient Evidence"
)</f>
        <v>Insufficient Evidence</v>
      </c>
      <c r="DQ7" s="3" t="str">
        <f t="array" ref="DQ7">_xlfn.IFS(
  ISBLANK(BE7), "Insufficient Evidence",
  OR(AW7="Confirmed Violation", AX7="Confirmed Breach"), "Severe — Hard Trigger",
  BE7&gt;=65, "Strong",
  BE7&gt;=40, "Adequate",
  BE7&gt;=20, "Weak",
  TRUE, "Insufficient Evidence"
)</f>
        <v>Insufficient Evidence</v>
      </c>
      <c r="DR7" s="3" t="str">
        <f t="array" ref="DR7">_xlfn.IFS(
  ISBLANK(CU7), "Insufficient Evidence",
  CU7&lt;=20, "Low Risk",
  CU7&lt;=50, "Moderate Risk",
  CU7&lt;=75, "High Risk",
  TRUE, "Very High Risk"
)</f>
        <v>Low Risk</v>
      </c>
      <c r="DS7" s="3" t="str">
        <f t="array" ref="DS7">_xlfn.IFS(
  ISBLANK(CE7), "Insufficient Evidence",
  AND(ISNUMBER(BW7),ISNUMBER(BV7),BW7&gt;BV7), "Overclaiming Risk",
  CE7&gt;=65, "Strong",
  CE7&gt;=40, "Adequate",
  TRUE, "Weak"
)</f>
        <v>Weak</v>
      </c>
      <c r="DT7" s="3">
        <f t="shared" ref="DT7" si="20">IF(DB7="Yes — Automatic",0,ROUND((IF(ISNUMBER(AR7),AR7,0)*0.3+IF(ISNUMBER(BS7),BS7,0)*0.2+IF(ISNUMBER(BE7),BE7,0)*0.2+IF(ISNUMBER(CE7),CE7,0)*0.15+(100-IF(ISNUMBER(CU7),CU7,50))*0.15)*IF(DN7&gt;=75,1,IF(DN7&gt;=50,0.9,IF(DN7&gt;=25,0.75,0.6))),1))</f>
        <v>11.7</v>
      </c>
      <c r="DU7" s="3" t="str">
        <f t="array" ref="DU7">_xlfn.IFS(
  DV7="Upgraded to Clear", "Clear",
  DV7="Downgraded to Watchlist", "Watchlist",
  DV7="Downgraded to Exclusion", "Exclusion Risk",
  DB7="Yes — Automatic", "Exclusion Risk",
  OR(AW7="Confirmed Violation", AX7="Confirmed Breach"), "Exclusion Risk",
  OR(V7=0, ISBLANK(V7), DN7&lt;20), "Insufficient Evidence",
  AND(DT7&gt;=65, DA7="No", DB7="No"), "Clear",
  OR(DT7&gt;=40, DA7="Yes"), "Watchlist",
  TRUE, "Exclusion Risk"
)</f>
        <v>Insufficient Evidence</v>
      </c>
      <c r="DV7" s="3"/>
      <c r="DW7" s="3" t="str">
        <f t="array" ref="DW7">_xlfn.IFS(
  DU7="Exclusion Risk", "Exclude — Hard Trigger",
  DU7="Insufficient Evidence", "Watchlist — Further Evidence Needed",
  DU7="Watchlist", "Watchlist — Further Evidence Needed",
  AND(DU7="Clear", DT7&gt;=80), "Include — No Conditions",
  DU7="Clear", "Include — Monitor",
  TRUE, "Watchlist — Further Evidence Needed"
)</f>
        <v>Watchlist — Further Evidence Needed</v>
      </c>
      <c r="DX7" s="3"/>
      <c r="DY7" s="3"/>
      <c r="DZ7" s="3"/>
      <c r="EA7" s="3"/>
      <c r="EB7" s="3" t="str">
        <f t="shared" ref="EB7" si="21">IF(OR(V7=0, ISBLANK(V7)), "MISSING — No sources reviewed", "")</f>
        <v>MISSING — No sources reviewed</v>
      </c>
      <c r="EC7" s="3" t="str">
        <f t="shared" ref="EC7" si="22">IF(AND(NOT(ISBLANK(DC7)), ISBLANK(DE7)), "PAGE REF MISSING", "")</f>
        <v/>
      </c>
      <c r="ED7" s="3">
        <f>COUNTIF(DH7:DH56,"Fully Verified")</f>
        <v>0</v>
      </c>
      <c r="EE7" s="3">
        <f>IFERROR(COUNTIF(DH7:DH56,"Fully Verified")/COUNTA(B7:B56),0)</f>
        <v>0</v>
      </c>
      <c r="EF7" s="3">
        <f>COUNTIFS(DU7:DU56,"Clear",DH7:DH56,"Fully Verified")</f>
        <v>0</v>
      </c>
    </row>
    <row r="8" spans="1:136" ht="18" customHeight="1" x14ac:dyDescent="0.15">
      <c r="A8" s="5" t="s">
        <v>289</v>
      </c>
      <c r="B8" s="5" t="s">
        <v>290</v>
      </c>
      <c r="C8" s="5" t="str">
        <f>IF(ISBLANK('Universe Tracker'!D4),"",'Universe Tracker'!D4)</f>
        <v>NL0000360618</v>
      </c>
      <c r="D8" s="3"/>
      <c r="E8" s="3"/>
      <c r="F8" s="3" t="str">
        <f>IF(ISBLANK('Universe Tracker'!F4),"",'Universe Tracker'!F4)</f>
        <v>Energy</v>
      </c>
      <c r="G8" s="3" t="str">
        <f>IF(ISBLANK('Universe Tracker'!G4),"",'Universe Tracker'!G4)</f>
        <v>Oil &amp; Gas</v>
      </c>
      <c r="H8" s="3"/>
      <c r="I8" s="3"/>
      <c r="J8" s="3" t="str">
        <f t="shared" ref="J8" si="23">IF(ISBLANK(B8),"",B8&amp;"_"&amp;C8)</f>
        <v>IHCB_NL0000360618</v>
      </c>
      <c r="K8" s="3"/>
      <c r="L8" s="3"/>
      <c r="M8" s="3"/>
      <c r="N8" s="3"/>
      <c r="O8" s="3"/>
      <c r="P8" s="3"/>
      <c r="Q8" s="3"/>
      <c r="R8" s="3"/>
      <c r="S8" s="3"/>
      <c r="T8" s="3"/>
      <c r="U8" s="3"/>
      <c r="V8" s="3"/>
      <c r="W8" s="3"/>
      <c r="X8" s="3"/>
      <c r="Y8" s="3" t="str">
        <f t="shared" ref="Y8" si="24">IF(AND(V8&gt;=2,K8="Yes",L8="Yes"),"Sufficient",IF(AND(V8&gt;=1,OR(K8="Yes",L8="Yes")),"Thin","Insufficient"))</f>
        <v>Insufficient</v>
      </c>
      <c r="Z8" s="3"/>
      <c r="AA8" s="3"/>
      <c r="AB8" s="3"/>
      <c r="AC8" s="3"/>
      <c r="AD8" s="3"/>
      <c r="AE8" s="3"/>
      <c r="AF8" s="3"/>
      <c r="AG8" s="3"/>
      <c r="AH8" s="3"/>
      <c r="AI8" s="3"/>
      <c r="AJ8" s="3"/>
      <c r="AK8" s="3"/>
      <c r="AL8" s="3"/>
      <c r="AM8" s="3"/>
      <c r="AN8" s="3"/>
      <c r="AO8" s="3"/>
      <c r="AP8" s="3"/>
      <c r="AQ8" s="3"/>
      <c r="AR8" s="40">
        <f t="array" ref="AR8">MIN(100, MAX(0,
  IFERROR(_xlfn.XLOOKUP(AJ8,'Lookup Tables'!$A$2:$A$7,'Lookup Tables'!$B$2:$B$7,0),0)
  + IF(Z8="Yes", IF(IFERROR(_xlfn.XLOOKUP(AJ8,'Lookup Tables'!$A$2:$A$7,'Lookup Tables'!$B$2:$B$7,0),0)&lt;20, 5, 0), 0)
  + _xlfn.IFS(AB8="Yes", IF(ISNUMBER(AC8)*AND(AC8&lt;=2030),15,10), AB8="Long-term Only", 5, AB8="No", 0, TRUE, 0)
  + _xlfn.IFS(AF8="Full",10, AF8="Partial",5, AF8="Scope 2 Only",3, TRUE,0)
  + _xlfn.IFS(AG8="Yes", IF(ISNUMBER(AH8)*AND(AH8&gt;=5),10,6), AG8="Partial",4, TRUE,0)
  + _xlfn.IFS(AI8="Yes",5, AI8="Partial (material categories only)",3, TRUE,0)
  + _xlfn.IFS(AL8="Yes — Detailed",10, AL8="Yes — High Level",5, TRUE,0)
  + _xlfn.IFS(AM8="Yes — Quantified",15, AM8="Yes — Directional Only",7, TRUE,0)
  + _xlfn.IFS(AP8="Formal",5, AP8="Referenced",2, TRUE,0)
  + _xlfn.IFS(AQ8="No Issues Found",5, AQ8="Concern Identified",-5, AQ8="Severe Contradiction",-15, TRUE,0)
  + _xlfn.IFS(BC8="Reasonable Assurance",5, BC8="Limited Assurance",3, TRUE,0)
  - IF(AND(Z8="Yes", AI8="No"), 10, 0)
  - IF(AND(Z8="Yes", AM8="No"), 10, 0)
))</f>
        <v>0</v>
      </c>
      <c r="AS8" s="3"/>
      <c r="AT8" s="3"/>
      <c r="AU8" s="3"/>
      <c r="AV8" s="3"/>
      <c r="AW8" s="3"/>
      <c r="AX8" s="3"/>
      <c r="AY8" s="3"/>
      <c r="AZ8" s="3"/>
      <c r="BA8" s="3"/>
      <c r="BB8" s="3"/>
      <c r="BC8" s="3"/>
      <c r="BD8" s="3"/>
      <c r="BE8" s="40">
        <f t="array" ref="BE8">MIN(100, MAX(0,
  IFERROR(_xlfn.XLOOKUP(AT8,'Lookup Tables'!$D$2:$D$6,'Lookup Tables'!$E$2:$E$6,0),0)
  + IFERROR(_xlfn.XLOOKUP(AV8,'Lookup Tables'!$G$2:$G$5,'Lookup Tables'!$H$2:$H$5,0),0)
  + IFERROR(_xlfn.XLOOKUP(AW8,'Lookup Tables'!$J$2:$J$5,'Lookup Tables'!$K$2:$K$5,0),0)
  + _xlfn.IFS(AX8="No Issues",10, AX8="Complaint Filed",3, AX8="Confirmed Breach",-15, TRUE,0)
  + IFERROR(_xlfn.XLOOKUP(AY8,'Lookup Tables'!$M$2:$M$6,'Lookup Tables'!$N$2:$N$6,0),0)
  + IFERROR(_xlfn.XLOOKUP(AZ8,'Lookup Tables'!$P$2:$P$6,'Lookup Tables'!$Q$2:$Q$6,0),0)
  + _xlfn.IFS(BA8="Formal Board Committee",5, BA8="Board Oversight Mentioned",2, TRUE,0)
  + _xlfn.IFS(BB8="Yes — Quantified Targets",5, BB8="Yes — Discretionary Only",2, TRUE,0)
  + _xlfn.IFS(BC8="Reasonable Assurance",5, BC8="Limited Assurance",3, BC8="Management Review Only",1, TRUE,0)
))</f>
        <v>0</v>
      </c>
      <c r="BF8" s="3"/>
      <c r="BG8" s="3"/>
      <c r="BH8" s="3"/>
      <c r="BI8" s="3"/>
      <c r="BJ8" s="3"/>
      <c r="BK8" s="3"/>
      <c r="BL8" s="3"/>
      <c r="BM8" s="3"/>
      <c r="BN8" s="3"/>
      <c r="BO8" s="3"/>
      <c r="BP8" s="3"/>
      <c r="BQ8" s="3"/>
      <c r="BR8" s="3"/>
      <c r="BS8" s="45">
        <f t="array" ref="BS8">MIN(100, MAX(0,
  IFERROR(_xlfn.XLOOKUP(BG8,'Lookup Tables'!$A$11:$A$16,'Lookup Tables'!$B$11:$B$16,0),0)
  + IFERROR(_xlfn.XLOOKUP(BR8,'Lookup Tables'!$M$11:$M$14,'Lookup Tables'!$N$11:$N$14,0),0)
  + IFERROR(_xlfn.XLOOKUP(BQ8,'Lookup Tables'!$J$11:$J$15,'Lookup Tables'!$K$11:$K$15,0),0)
  + IFERROR(_xlfn.XLOOKUP(BH8,'Lookup Tables'!$D$11:$D$15,'Lookup Tables'!$E$11:$E$15,0),0)
  + IFERROR(_xlfn.XLOOKUP(BJ8,'Lookup Tables'!$G$11:$G$16,'Lookup Tables'!$H$11:$H$16,0),0)
  + IFERROR(_xlfn.XLOOKUP(BN8,'Lookup Tables'!$P$11:$P$15,'Lookup Tables'!$Q$11:$Q$15,0),0)
  + _xlfn.IFS(BM8="No Evidence",10, BM8="Unknown",3, BM8="Likely",0, BM8="Confirmed",-10, TRUE,3)
  + IFERROR(_xlfn.XLOOKUP(BP8,'Lookup Tables'!$J$21:$J$24,'Lookup Tables'!$K$21:$K$24,0),0)
))</f>
        <v>3</v>
      </c>
      <c r="BT8" s="3"/>
      <c r="BU8" s="3"/>
      <c r="BV8" s="3"/>
      <c r="BW8" s="3"/>
      <c r="BX8" s="3"/>
      <c r="BY8" s="3"/>
      <c r="BZ8" s="3"/>
      <c r="CA8" s="3"/>
      <c r="CB8" s="3"/>
      <c r="CC8" s="3"/>
      <c r="CD8" s="3"/>
      <c r="CE8" s="44">
        <f t="array" ref="CE8">MIN(100, MAX(0,
  IF(ISNUMBER(BV8)*AND(BV8&gt;0), 10, 0)
  + _xlfn.IFS(BY8="Independently Verified",25, BY8="Yes",15, TRUE,0)
  + IFERROR(_xlfn.XLOOKUP(BZ8,'Lookup Tables'!$A$21:$A$24,'Lookup Tables'!$B$21:$B$24,0),0)
  + IFERROR(_xlfn.XLOOKUP(CA8,'Lookup Tables'!$D$21:$D$24,'Lookup Tables'!$E$21:$E$24,0),0)
  + _xlfn.IFS(ISNUMBER(CB8)*AND(CB8&gt;=11),15, ISNUMBER(CB8)*AND(CB8&gt;=6),10, ISNUMBER(CB8)*AND(CB8&gt;=1),5, TRUE,0)
  + IFERROR(_xlfn.XLOOKUP(CC8,'Lookup Tables'!$G$21:$G$25,'Lookup Tables'!$H$21:$H$25,0),0)
  - IF(ISNUMBER(BW8)*AND(ISNUMBER(BV8))*AND(BW8&gt;BV8), 20, 0)
  - IF(AND(BY8="Yes", ISNUMBER(BW8), BW8&gt;60), 10, 0)
))</f>
        <v>0</v>
      </c>
      <c r="CF8" s="3"/>
      <c r="CG8" s="3"/>
      <c r="CH8" s="3"/>
      <c r="CI8" s="3"/>
      <c r="CJ8" s="3"/>
      <c r="CK8" s="3"/>
      <c r="CL8" s="3"/>
      <c r="CM8" s="3"/>
      <c r="CN8" s="3"/>
      <c r="CO8" s="3"/>
      <c r="CP8" s="3"/>
      <c r="CQ8" s="3"/>
      <c r="CR8" s="3">
        <f t="shared" ref="CR8" si="25">COUNTIF(CJ8:CQ8,"FAIL")</f>
        <v>0</v>
      </c>
      <c r="CS8" s="3">
        <f t="shared" ref="CS8" si="26">COUNTIF(CJ8:CQ8,"PARTIAL")</f>
        <v>0</v>
      </c>
      <c r="CT8" s="3">
        <f t="shared" ref="CT8" si="27">COUNTIF(CJ8:CQ8,"MISSING")</f>
        <v>0</v>
      </c>
      <c r="CU8" s="3">
        <f>MIN(100,
  CR8*15
  + CS8*6
  + CT8*3
  + IFERROR(_xlfn.XLOOKUP(CW8,'Lookup Tables'!$M$21:$M$25,'Lookup Tables'!$N$21:$N$25,0),0)
)</f>
        <v>0</v>
      </c>
      <c r="CV8" s="3" t="str">
        <f t="shared" ref="CV8" si="28">IFERROR(
CHOOSE(
MATCH("FAIL",CJ8:CQ8,0),
"1-Specificity","2-Metric","3-Baseline","4-Target",
"5-Time Horizon","6-Scope","7-Verification","8-Consistency"
),
IFERROR(
CHOOSE(
MATCH("PARTIAL",CJ8:CQ8,0),
"1-Specificity","2-Metric","3-Baseline","4-Target",
"5-Time Horizon","6-Scope","7-Verification","8-Consistency"
),
"No failures"
)
)</f>
        <v>No failures</v>
      </c>
      <c r="CW8" s="3"/>
      <c r="CX8" s="3"/>
      <c r="CY8" s="3"/>
      <c r="CZ8" s="3"/>
      <c r="DA8" s="3" t="str">
        <f t="shared" ref="DA8" si="29">IF(OR(CU8&gt;=50,CW8="Material",CW8="Severe",AS8="Material",AS8="Severe",BF8="Material",BF8="Severe — Exclusion Trigger",AND(ISNUMBER(BS8),BS8&lt;30)),"Yes","No")</f>
        <v>Yes</v>
      </c>
      <c r="DB8" s="3" t="str">
        <f t="shared" ref="DB8" si="30">IF(OR(CR8&gt;=6,AW8="Confirmed Violation",AX8="Confirmed Breach"),"Yes — Automatic",IF(CW8="Severe","Yes — Requires Captain Confirmation","No"))</f>
        <v>No</v>
      </c>
      <c r="DC8" s="3"/>
      <c r="DD8" s="3"/>
      <c r="DE8" s="3"/>
      <c r="DF8" s="3"/>
      <c r="DG8" s="3"/>
      <c r="DH8" s="3"/>
      <c r="DI8" s="3"/>
      <c r="DJ8" s="3"/>
      <c r="DK8" s="3"/>
      <c r="DL8" s="3" t="str">
        <f t="shared" ref="DL8" si="31">IF(OR(IFERROR(VALUE(LEFT(DF8,1)),99)&lt;=2,IFERROR(VALUE(LEFT(DG8,1)),99)&lt;=2),"Flagged","Clear")</f>
        <v>Clear</v>
      </c>
      <c r="DM8" s="3" t="str">
        <f t="shared" ref="DM8" si="32">IF(OR(DA8="Yes",DB8&lt;&gt;"No",DH8="Unverified",DL8="Flagged"),"Yes","No")</f>
        <v>Yes</v>
      </c>
      <c r="DN8" s="3">
        <f t="array" ref="DN8">MIN(100,
  IF(ISNUMBER(V8), _xlfn.IFS(V8&gt;=3,25, V8=2,15, V8=1,5, TRUE,0), 0)
  + IFERROR(_xlfn.IFS(VALUE(LEFT(DF8,1))=5,25, VALUE(LEFT(DF8,1))=4,20, VALUE(LEFT(DF8,1))=3,15, VALUE(LEFT(DF8,1))=2,8, TRUE,0), 15)
  + IFERROR(_xlfn.IFS(VALUE(LEFT(DG8,1))=5,25, VALUE(LEFT(DG8,1))=4,20, VALUE(LEFT(DG8,1))=3,15, VALUE(LEFT(DG8,1))=2,8, TRUE,0), 15)
  + _xlfn.IFS(DH8="Fully Verified",25, DH8="Partially Verified",12, TRUE,0)
)</f>
        <v>30</v>
      </c>
      <c r="DO8" s="3" t="str">
        <f t="array" ref="DO8">_xlfn.IFS(
  ISBLANK(AR8), "Insufficient Evidence",
  AND(AR8&gt;=65, AJ8="Approved"), "Strong",
  AR8&gt;=65, "Adequate",
  AR8&gt;=40, "Adequate",
  AR8&gt;=20, "Weak",
  TRUE, "Insufficient Evidence"
)</f>
        <v>Insufficient Evidence</v>
      </c>
      <c r="DP8" s="3" t="str">
        <f t="array" ref="DP8">_xlfn.IFS(
  ISBLANK(BS8), "Insufficient Evidence",
  BS8&gt;=65, "Strong",
  BS8&gt;=40, "Adequate",
  BS8&gt;=20, "Weak",
  TRUE, "Insufficient Evidence"
)</f>
        <v>Insufficient Evidence</v>
      </c>
      <c r="DQ8" s="3" t="str">
        <f t="array" ref="DQ8">_xlfn.IFS(
  ISBLANK(BE8), "Insufficient Evidence",
  OR(AW8="Confirmed Violation", AX8="Confirmed Breach"), "Severe — Hard Trigger",
  BE8&gt;=65, "Strong",
  BE8&gt;=40, "Adequate",
  BE8&gt;=20, "Weak",
  TRUE, "Insufficient Evidence"
)</f>
        <v>Insufficient Evidence</v>
      </c>
      <c r="DR8" s="3" t="str">
        <f t="array" ref="DR8">_xlfn.IFS(
  ISBLANK(CU8), "Insufficient Evidence",
  CU8&lt;=20, "Low Risk",
  CU8&lt;=50, "Moderate Risk",
  CU8&lt;=75, "High Risk",
  TRUE, "Very High Risk"
)</f>
        <v>Low Risk</v>
      </c>
      <c r="DS8" s="3" t="str">
        <f t="array" ref="DS8">_xlfn.IFS(
  ISBLANK(CE8), "Insufficient Evidence",
  AND(ISNUMBER(BW8),ISNUMBER(BV8),BW8&gt;BV8), "Overclaiming Risk",
  CE8&gt;=65, "Strong",
  CE8&gt;=40, "Adequate",
  TRUE, "Weak"
)</f>
        <v>Weak</v>
      </c>
      <c r="DT8" s="3">
        <f t="shared" ref="DT8" si="33">IF(DB8="Yes — Automatic",0,ROUND((IF(ISNUMBER(AR8),AR8,0)*0.3+IF(ISNUMBER(BS8),BS8,0)*0.2+IF(ISNUMBER(BE8),BE8,0)*0.2+IF(ISNUMBER(CE8),CE8,0)*0.15+(100-IF(ISNUMBER(CU8),CU8,50))*0.15)*IF(DN8&gt;=75,1,IF(DN8&gt;=50,0.9,IF(DN8&gt;=25,0.75,0.6))),1))</f>
        <v>11.7</v>
      </c>
      <c r="DU8" s="3" t="str">
        <f t="array" ref="DU8">_xlfn.IFS(
  DV8="Upgraded to Clear", "Clear",
  DV8="Downgraded to Watchlist", "Watchlist",
  DV8="Downgraded to Exclusion", "Exclusion Risk",
  DB8="Yes — Automatic", "Exclusion Risk",
  OR(AW8="Confirmed Violation", AX8="Confirmed Breach"), "Exclusion Risk",
  OR(V8=0, ISBLANK(V8), DN8&lt;20), "Insufficient Evidence",
  AND(DT8&gt;=65, DA8="No", DB8="No"), "Clear",
  OR(DT8&gt;=40, DA8="Yes"), "Watchlist",
  TRUE, "Exclusion Risk"
)</f>
        <v>Insufficient Evidence</v>
      </c>
      <c r="DV8" s="3"/>
      <c r="DW8" s="3" t="str">
        <f t="array" ref="DW8">_xlfn.IFS(
  DU8="Exclusion Risk", "Exclude — Hard Trigger",
  DU8="Insufficient Evidence", "Watchlist — Further Evidence Needed",
  DU8="Watchlist", "Watchlist — Further Evidence Needed",
  AND(DU8="Clear", DT8&gt;=80), "Include — No Conditions",
  DU8="Clear", "Include — Monitor",
  TRUE, "Watchlist — Further Evidence Needed"
)</f>
        <v>Watchlist — Further Evidence Needed</v>
      </c>
      <c r="DX8" s="3"/>
      <c r="DY8" s="3"/>
      <c r="DZ8" s="3"/>
      <c r="EA8" s="3"/>
      <c r="EB8" s="3" t="str">
        <f t="shared" ref="EB8" si="34">IF(OR(V8=0, ISBLANK(V8)), "MISSING — No sources reviewed", "")</f>
        <v>MISSING — No sources reviewed</v>
      </c>
      <c r="EC8" s="3" t="str">
        <f t="shared" ref="EC8" si="35">IF(AND(NOT(ISBLANK(DC8)), ISBLANK(DE8)), "PAGE REF MISSING", "")</f>
        <v/>
      </c>
    </row>
    <row r="9" spans="1:136" ht="18" customHeight="1" x14ac:dyDescent="0.15">
      <c r="A9" s="3" t="s">
        <v>295</v>
      </c>
      <c r="B9" s="3" t="s">
        <v>296</v>
      </c>
      <c r="C9" s="3" t="str">
        <f>IF(ISBLANK('Universe Tracker'!D5),"",'Universe Tracker'!D5)</f>
        <v>GB00B1VNSX38</v>
      </c>
      <c r="D9" s="3"/>
      <c r="E9" s="3"/>
      <c r="F9" s="3" t="str">
        <f>IF(ISBLANK('Universe Tracker'!F5),"",'Universe Tracker'!F5)</f>
        <v>Utilities</v>
      </c>
      <c r="G9" s="3" t="str">
        <f>IF(ISBLANK('Universe Tracker'!G5),"",'Universe Tracker'!G5)</f>
        <v>Utilities</v>
      </c>
      <c r="H9" s="3"/>
      <c r="I9" s="3"/>
      <c r="J9" s="3" t="str">
        <f t="shared" ref="J7:J38" si="36">IF(ISBLANK(B9),"",B9&amp;"_"&amp;C9)</f>
        <v>D9F2_GB00B1VNSX38</v>
      </c>
      <c r="K9" s="3"/>
      <c r="L9" s="3"/>
      <c r="M9" s="3"/>
      <c r="N9" s="3"/>
      <c r="O9" s="3"/>
      <c r="P9" s="3"/>
      <c r="Q9" s="3"/>
      <c r="R9" s="3"/>
      <c r="S9" s="3"/>
      <c r="T9" s="3"/>
      <c r="U9" s="3"/>
      <c r="V9" s="3"/>
      <c r="W9" s="3"/>
      <c r="X9" s="3"/>
      <c r="Y9" s="3" t="str">
        <f t="shared" ref="Y7:Y38" si="37">IF(AND(V9&gt;=2,K9="Yes",L9="Yes"),"Sufficient",IF(AND(V9&gt;=1,OR(K9="Yes",L9="Yes")),"Thin","Insufficient"))</f>
        <v>Insufficient</v>
      </c>
      <c r="Z9" s="3"/>
      <c r="AA9" s="3"/>
      <c r="AB9" s="3"/>
      <c r="AC9" s="3"/>
      <c r="AD9" s="3"/>
      <c r="AE9" s="3"/>
      <c r="AF9" s="3"/>
      <c r="AG9" s="3"/>
      <c r="AH9" s="3"/>
      <c r="AI9" s="3"/>
      <c r="AJ9" s="3"/>
      <c r="AK9" s="3"/>
      <c r="AL9" s="3"/>
      <c r="AM9" s="3"/>
      <c r="AN9" s="3"/>
      <c r="AO9" s="3"/>
      <c r="AP9" s="3"/>
      <c r="AQ9" s="3"/>
      <c r="AR9" s="40">
        <f t="array" ref="AR9">MIN(100, MAX(0,
  IFERROR(_xlfn.XLOOKUP(AJ9,'Lookup Tables'!$A$2:$A$7,'Lookup Tables'!$B$2:$B$7,0),0)
  + IF(Z9="Yes", IF(IFERROR(_xlfn.XLOOKUP(AJ9,'Lookup Tables'!$A$2:$A$7,'Lookup Tables'!$B$2:$B$7,0),0)&lt;20, 5, 0), 0)
  + _xlfn.IFS(AB9="Yes", IF(ISNUMBER(AC9)*AND(AC9&lt;=2030),15,10), AB9="Long-term Only", 5, AB9="No", 0, TRUE, 0)
  + _xlfn.IFS(AF9="Full",10, AF9="Partial",5, AF9="Scope 2 Only",3, TRUE,0)
  + _xlfn.IFS(AG9="Yes", IF(ISNUMBER(AH9)*AND(AH9&gt;=5),10,6), AG9="Partial",4, TRUE,0)
  + _xlfn.IFS(AI9="Yes",5, AI9="Partial (material categories only)",3, TRUE,0)
  + _xlfn.IFS(AL9="Yes — Detailed",10, AL9="Yes — High Level",5, TRUE,0)
  + _xlfn.IFS(AM9="Yes — Quantified",15, AM9="Yes — Directional Only",7, TRUE,0)
  + _xlfn.IFS(AP9="Formal",5, AP9="Referenced",2, TRUE,0)
  + _xlfn.IFS(AQ9="No Issues Found",5, AQ9="Concern Identified",-5, AQ9="Severe Contradiction",-15, TRUE,0)
  + _xlfn.IFS(BC9="Reasonable Assurance",5, BC9="Limited Assurance",3, TRUE,0)
  - IF(AND(Z9="Yes", AI9="No"), 10, 0)
  - IF(AND(Z9="Yes", AM9="No"), 10, 0)
))</f>
        <v>0</v>
      </c>
      <c r="AS9" s="3"/>
      <c r="AT9" s="3"/>
      <c r="AU9" s="3"/>
      <c r="AV9" s="3"/>
      <c r="AW9" s="3"/>
      <c r="AX9" s="3"/>
      <c r="AY9" s="3"/>
      <c r="AZ9" s="3"/>
      <c r="BA9" s="3"/>
      <c r="BB9" s="3"/>
      <c r="BC9" s="3"/>
      <c r="BD9" s="3"/>
      <c r="BE9" s="40">
        <f t="array" ref="BE9">MIN(100, MAX(0,
  IFERROR(_xlfn.XLOOKUP(AT9,'Lookup Tables'!$D$2:$D$6,'Lookup Tables'!$E$2:$E$6,0),0)
  + IFERROR(_xlfn.XLOOKUP(AV9,'Lookup Tables'!$G$2:$G$5,'Lookup Tables'!$H$2:$H$5,0),0)
  + IFERROR(_xlfn.XLOOKUP(AW9,'Lookup Tables'!$J$2:$J$5,'Lookup Tables'!$K$2:$K$5,0),0)
  + _xlfn.IFS(AX9="No Issues",10, AX9="Complaint Filed",3, AX9="Confirmed Breach",-15, TRUE,0)
  + IFERROR(_xlfn.XLOOKUP(AY9,'Lookup Tables'!$M$2:$M$6,'Lookup Tables'!$N$2:$N$6,0),0)
  + IFERROR(_xlfn.XLOOKUP(AZ9,'Lookup Tables'!$P$2:$P$6,'Lookup Tables'!$Q$2:$Q$6,0),0)
  + _xlfn.IFS(BA9="Formal Board Committee",5, BA9="Board Oversight Mentioned",2, TRUE,0)
  + _xlfn.IFS(BB9="Yes — Quantified Targets",5, BB9="Yes — Discretionary Only",2, TRUE,0)
  + _xlfn.IFS(BC9="Reasonable Assurance",5, BC9="Limited Assurance",3, BC9="Management Review Only",1, TRUE,0)
))</f>
        <v>0</v>
      </c>
      <c r="BF9" s="3"/>
      <c r="BG9" s="3"/>
      <c r="BH9" s="3"/>
      <c r="BI9" s="3"/>
      <c r="BJ9" s="3"/>
      <c r="BK9" s="3"/>
      <c r="BL9" s="3"/>
      <c r="BM9" s="3"/>
      <c r="BN9" s="3"/>
      <c r="BO9" s="3"/>
      <c r="BP9" s="3"/>
      <c r="BQ9" s="3"/>
      <c r="BR9" s="3"/>
      <c r="BS9" s="45">
        <f t="array" ref="BS9">MIN(100, MAX(0,
  IFERROR(_xlfn.XLOOKUP(BG9,'Lookup Tables'!$A$11:$A$16,'Lookup Tables'!$B$11:$B$16,0),0)
  + IFERROR(_xlfn.XLOOKUP(BR9,'Lookup Tables'!$M$11:$M$14,'Lookup Tables'!$N$11:$N$14,0),0)
  + IFERROR(_xlfn.XLOOKUP(BQ9,'Lookup Tables'!$J$11:$J$15,'Lookup Tables'!$K$11:$K$15,0),0)
  + IFERROR(_xlfn.XLOOKUP(BH9,'Lookup Tables'!$D$11:$D$15,'Lookup Tables'!$E$11:$E$15,0),0)
  + IFERROR(_xlfn.XLOOKUP(BJ9,'Lookup Tables'!$G$11:$G$16,'Lookup Tables'!$H$11:$H$16,0),0)
  + IFERROR(_xlfn.XLOOKUP(BN9,'Lookup Tables'!$P$11:$P$15,'Lookup Tables'!$Q$11:$Q$15,0),0)
  + _xlfn.IFS(BM9="No Evidence",10, BM9="Unknown",3, BM9="Likely",0, BM9="Confirmed",-10, TRUE,3)
  + IFERROR(_xlfn.XLOOKUP(BP9,'Lookup Tables'!$J$21:$J$24,'Lookup Tables'!$K$21:$K$24,0),0)
))</f>
        <v>3</v>
      </c>
      <c r="BT9" s="3"/>
      <c r="BU9" s="3"/>
      <c r="BV9" s="3"/>
      <c r="BW9" s="3"/>
      <c r="BX9" s="3"/>
      <c r="BY9" s="3"/>
      <c r="BZ9" s="3"/>
      <c r="CA9" s="3"/>
      <c r="CB9" s="3"/>
      <c r="CC9" s="3"/>
      <c r="CD9" s="3"/>
      <c r="CE9" s="44">
        <f t="array" ref="CE9">MIN(100, MAX(0,
  IF(ISNUMBER(BV9)*AND(BV9&gt;0), 10, 0)
  + _xlfn.IFS(BY9="Independently Verified",25, BY9="Yes",15, TRUE,0)
  + IFERROR(_xlfn.XLOOKUP(BZ9,'Lookup Tables'!$A$21:$A$24,'Lookup Tables'!$B$21:$B$24,0),0)
  + IFERROR(_xlfn.XLOOKUP(CA9,'Lookup Tables'!$D$21:$D$24,'Lookup Tables'!$E$21:$E$24,0),0)
  + _xlfn.IFS(ISNUMBER(CB9)*AND(CB9&gt;=11),15, ISNUMBER(CB9)*AND(CB9&gt;=6),10, ISNUMBER(CB9)*AND(CB9&gt;=1),5, TRUE,0)
  + IFERROR(_xlfn.XLOOKUP(CC9,'Lookup Tables'!$G$21:$G$25,'Lookup Tables'!$H$21:$H$25,0),0)
  - IF(ISNUMBER(BW9)*AND(ISNUMBER(BV9))*AND(BW9&gt;BV9), 20, 0)
  - IF(AND(BY9="Yes", ISNUMBER(BW9), BW9&gt;60), 10, 0)
))</f>
        <v>0</v>
      </c>
      <c r="CF9" s="3"/>
      <c r="CG9" s="3"/>
      <c r="CH9" s="3"/>
      <c r="CI9" s="3"/>
      <c r="CJ9" s="3"/>
      <c r="CK9" s="3"/>
      <c r="CL9" s="3"/>
      <c r="CM9" s="3"/>
      <c r="CN9" s="3"/>
      <c r="CO9" s="3"/>
      <c r="CP9" s="3"/>
      <c r="CQ9" s="3"/>
      <c r="CR9" s="3">
        <f t="shared" ref="CR7:CR38" si="38">COUNTIF(CJ9:CQ9,"FAIL")</f>
        <v>0</v>
      </c>
      <c r="CS9" s="3">
        <f t="shared" ref="CS7:CS38" si="39">COUNTIF(CJ9:CQ9,"PARTIAL")</f>
        <v>0</v>
      </c>
      <c r="CT9" s="3">
        <f t="shared" ref="CT7:CT38" si="40">COUNTIF(CJ9:CQ9,"MISSING")</f>
        <v>0</v>
      </c>
      <c r="CU9" s="3">
        <f>MIN(100,
  CR9*15
  + CS9*6
  + CT9*3
  + IFERROR(_xlfn.XLOOKUP(CW9,'Lookup Tables'!$M$21:$M$25,'Lookup Tables'!$N$21:$N$25,0),0)
)</f>
        <v>0</v>
      </c>
      <c r="CV9" s="3" t="str">
        <f t="shared" ref="CV9:CV40" si="41">IFERROR(
CHOOSE(
MATCH("FAIL",CJ9:CQ9,0),
"1-Specificity","2-Metric","3-Baseline","4-Target",
"5-Time Horizon","6-Scope","7-Verification","8-Consistency"
),
IFERROR(
CHOOSE(
MATCH("PARTIAL",CJ9:CQ9,0),
"1-Specificity","2-Metric","3-Baseline","4-Target",
"5-Time Horizon","6-Scope","7-Verification","8-Consistency"
),
"No failures"
)
)</f>
        <v>No failures</v>
      </c>
      <c r="CW9" s="3"/>
      <c r="CX9" s="3"/>
      <c r="CY9" s="3"/>
      <c r="CZ9" s="3"/>
      <c r="DA9" s="3" t="str">
        <f t="shared" ref="DA7:DA38" si="42">IF(OR(CU9&gt;=50,CW9="Material",CW9="Severe",AS9="Material",AS9="Severe",BF9="Material",BF9="Severe — Exclusion Trigger",AND(ISNUMBER(BS9),BS9&lt;30)),"Yes","No")</f>
        <v>Yes</v>
      </c>
      <c r="DB9" s="3" t="str">
        <f t="shared" ref="DB7:DB38" si="43">IF(OR(CR9&gt;=6,AW9="Confirmed Violation",AX9="Confirmed Breach"),"Yes — Automatic",IF(CW9="Severe","Yes — Requires Captain Confirmation","No"))</f>
        <v>No</v>
      </c>
      <c r="DC9" s="3"/>
      <c r="DD9" s="3"/>
      <c r="DE9" s="3"/>
      <c r="DF9" s="3"/>
      <c r="DG9" s="3"/>
      <c r="DH9" s="3"/>
      <c r="DI9" s="3"/>
      <c r="DJ9" s="3"/>
      <c r="DK9" s="3"/>
      <c r="DL9" s="3" t="str">
        <f t="shared" ref="DL7:DL38" si="44">IF(OR(IFERROR(VALUE(LEFT(DF9,1)),99)&lt;=2,IFERROR(VALUE(LEFT(DG9,1)),99)&lt;=2),"Flagged","Clear")</f>
        <v>Clear</v>
      </c>
      <c r="DM9" s="3" t="str">
        <f t="shared" ref="DM7:DM38" si="45">IF(OR(DA9="Yes",DB9&lt;&gt;"No",DH9="Unverified",DL9="Flagged"),"Yes","No")</f>
        <v>Yes</v>
      </c>
      <c r="DN9" s="3">
        <f t="array" ref="DN9">MIN(100,
  IF(ISNUMBER(V9), _xlfn.IFS(V9&gt;=3,25, V9=2,15, V9=1,5, TRUE,0), 0)
  + IFERROR(_xlfn.IFS(VALUE(LEFT(DF9,1))=5,25, VALUE(LEFT(DF9,1))=4,20, VALUE(LEFT(DF9,1))=3,15, VALUE(LEFT(DF9,1))=2,8, TRUE,0), 15)
  + IFERROR(_xlfn.IFS(VALUE(LEFT(DG9,1))=5,25, VALUE(LEFT(DG9,1))=4,20, VALUE(LEFT(DG9,1))=3,15, VALUE(LEFT(DG9,1))=2,8, TRUE,0), 15)
  + _xlfn.IFS(DH9="Fully Verified",25, DH9="Partially Verified",12, TRUE,0)
)</f>
        <v>30</v>
      </c>
      <c r="DO9" s="3" t="str">
        <f t="array" ref="DO9">_xlfn.IFS(
  ISBLANK(AR9), "Insufficient Evidence",
  AND(AR9&gt;=65, AJ9="Approved"), "Strong",
  AR9&gt;=65, "Adequate",
  AR9&gt;=40, "Adequate",
  AR9&gt;=20, "Weak",
  TRUE, "Insufficient Evidence"
)</f>
        <v>Insufficient Evidence</v>
      </c>
      <c r="DP9" s="3" t="str">
        <f t="array" ref="DP9">_xlfn.IFS(
  ISBLANK(BS9), "Insufficient Evidence",
  BS9&gt;=65, "Strong",
  BS9&gt;=40, "Adequate",
  BS9&gt;=20, "Weak",
  TRUE, "Insufficient Evidence"
)</f>
        <v>Insufficient Evidence</v>
      </c>
      <c r="DQ9" s="3" t="str">
        <f t="array" ref="DQ9">_xlfn.IFS(
  ISBLANK(BE9), "Insufficient Evidence",
  OR(AW9="Confirmed Violation", AX9="Confirmed Breach"), "Severe — Hard Trigger",
  BE9&gt;=65, "Strong",
  BE9&gt;=40, "Adequate",
  BE9&gt;=20, "Weak",
  TRUE, "Insufficient Evidence"
)</f>
        <v>Insufficient Evidence</v>
      </c>
      <c r="DR9" s="3" t="str">
        <f t="array" ref="DR9">_xlfn.IFS(
  ISBLANK(CU9), "Insufficient Evidence",
  CU9&lt;=20, "Low Risk",
  CU9&lt;=50, "Moderate Risk",
  CU9&lt;=75, "High Risk",
  TRUE, "Very High Risk"
)</f>
        <v>Low Risk</v>
      </c>
      <c r="DS9" s="3" t="str">
        <f t="array" ref="DS9">_xlfn.IFS(
  ISBLANK(CE9), "Insufficient Evidence",
  AND(ISNUMBER(BW9),ISNUMBER(BV9),BW9&gt;BV9), "Overclaiming Risk",
  CE9&gt;=65, "Strong",
  CE9&gt;=40, "Adequate",
  TRUE, "Weak"
)</f>
        <v>Weak</v>
      </c>
      <c r="DT9" s="3">
        <f t="shared" ref="DT7:DT38" si="46">IF(DB9="Yes — Automatic",0,ROUND((IF(ISNUMBER(AR9),AR9,0)*0.3+IF(ISNUMBER(BS9),BS9,0)*0.2+IF(ISNUMBER(BE9),BE9,0)*0.2+IF(ISNUMBER(CE9),CE9,0)*0.15+(100-IF(ISNUMBER(CU9),CU9,50))*0.15)*IF(DN9&gt;=75,1,IF(DN9&gt;=50,0.9,IF(DN9&gt;=25,0.75,0.6))),1))</f>
        <v>11.7</v>
      </c>
      <c r="DU9" s="3" t="str">
        <f t="array" ref="DU9">_xlfn.IFS(
  DV9="Upgraded to Clear", "Clear",
  DV9="Downgraded to Watchlist", "Watchlist",
  DV9="Downgraded to Exclusion", "Exclusion Risk",
  DB9="Yes — Automatic", "Exclusion Risk",
  OR(AW9="Confirmed Violation", AX9="Confirmed Breach"), "Exclusion Risk",
  OR(V9=0, ISBLANK(V9), DN9&lt;20), "Insufficient Evidence",
  AND(DT9&gt;=65, DA9="No", DB9="No"), "Clear",
  OR(DT9&gt;=40, DA9="Yes"), "Watchlist",
  TRUE, "Exclusion Risk"
)</f>
        <v>Insufficient Evidence</v>
      </c>
      <c r="DV9" s="3"/>
      <c r="DW9" s="3" t="str">
        <f t="array" ref="DW9">_xlfn.IFS(
  DU9="Exclusion Risk", "Exclude — Hard Trigger",
  DU9="Insufficient Evidence", "Watchlist — Further Evidence Needed",
  DU9="Watchlist", "Watchlist — Further Evidence Needed",
  AND(DU9="Clear", DT9&gt;=80), "Include — No Conditions",
  DU9="Clear", "Include — Monitor",
  TRUE, "Watchlist — Further Evidence Needed"
)</f>
        <v>Watchlist — Further Evidence Needed</v>
      </c>
      <c r="DX9" s="3"/>
      <c r="DY9" s="3"/>
      <c r="DZ9" s="3"/>
      <c r="EA9" s="3"/>
      <c r="EB9" s="3" t="str">
        <f t="shared" ref="EB7:EB38" si="47">IF(OR(V9=0, ISBLANK(V9)), "MISSING — No sources reviewed", "")</f>
        <v>MISSING — No sources reviewed</v>
      </c>
      <c r="EC9" s="3" t="str">
        <f t="shared" ref="EC7:EC38" si="48">IF(AND(NOT(ISBLANK(DC9)), ISBLANK(DE9)), "PAGE REF MISSING", "")</f>
        <v/>
      </c>
    </row>
    <row r="10" spans="1:136" ht="18" customHeight="1" x14ac:dyDescent="0.15">
      <c r="A10" s="5" t="s">
        <v>300</v>
      </c>
      <c r="B10" s="5" t="s">
        <v>301</v>
      </c>
      <c r="C10" s="5" t="str">
        <f>IF(ISBLANK('Universe Tracker'!D6),"",'Universe Tracker'!D6)</f>
        <v>SE0000171100</v>
      </c>
      <c r="D10" s="5"/>
      <c r="E10" s="5"/>
      <c r="F10" s="5" t="str">
        <f>IF(ISBLANK('Universe Tracker'!F6),"",'Universe Tracker'!F6)</f>
        <v>Materials</v>
      </c>
      <c r="G10" s="5" t="str">
        <f>IF(ISBLANK('Universe Tracker'!G6),"",'Universe Tracker'!G6)</f>
        <v>Materials</v>
      </c>
      <c r="H10" s="5"/>
      <c r="I10" s="5"/>
      <c r="J10" s="5" t="str">
        <f t="shared" si="36"/>
        <v>SKWA_SE0000171100</v>
      </c>
      <c r="K10" s="5"/>
      <c r="L10" s="5"/>
      <c r="M10" s="5"/>
      <c r="N10" s="5"/>
      <c r="O10" s="5"/>
      <c r="P10" s="5"/>
      <c r="Q10" s="5"/>
      <c r="R10" s="5"/>
      <c r="S10" s="5"/>
      <c r="T10" s="5"/>
      <c r="U10" s="5"/>
      <c r="V10" s="5"/>
      <c r="W10" s="5"/>
      <c r="X10" s="5"/>
      <c r="Y10" s="5" t="str">
        <f t="shared" si="37"/>
        <v>Insufficient</v>
      </c>
      <c r="Z10" s="5"/>
      <c r="AA10" s="5"/>
      <c r="AB10" s="5"/>
      <c r="AC10" s="5"/>
      <c r="AD10" s="5"/>
      <c r="AE10" s="5"/>
      <c r="AF10" s="5"/>
      <c r="AG10" s="5"/>
      <c r="AH10" s="5"/>
      <c r="AI10" s="5"/>
      <c r="AJ10" s="5"/>
      <c r="AK10" s="5"/>
      <c r="AL10" s="5"/>
      <c r="AM10" s="5"/>
      <c r="AN10" s="5"/>
      <c r="AO10" s="5"/>
      <c r="AP10" s="5"/>
      <c r="AQ10" s="5"/>
      <c r="AR10" s="40">
        <f t="array" ref="AR10">MIN(100, MAX(0,
  IFERROR(_xlfn.XLOOKUP(AJ10,'Lookup Tables'!$A$2:$A$7,'Lookup Tables'!$B$2:$B$7,0),0)
  + IF(Z10="Yes", IF(IFERROR(_xlfn.XLOOKUP(AJ10,'Lookup Tables'!$A$2:$A$7,'Lookup Tables'!$B$2:$B$7,0),0)&lt;20, 5, 0), 0)
  + _xlfn.IFS(AB10="Yes", IF(ISNUMBER(AC10)*AND(AC10&lt;=2030),15,10), AB10="Long-term Only", 5, AB10="No", 0, TRUE, 0)
  + _xlfn.IFS(AF10="Full",10, AF10="Partial",5, AF10="Scope 2 Only",3, TRUE,0)
  + _xlfn.IFS(AG10="Yes", IF(ISNUMBER(AH10)*AND(AH10&gt;=5),10,6), AG10="Partial",4, TRUE,0)
  + _xlfn.IFS(AI10="Yes",5, AI10="Partial (material categories only)",3, TRUE,0)
  + _xlfn.IFS(AL10="Yes — Detailed",10, AL10="Yes — High Level",5, TRUE,0)
  + _xlfn.IFS(AM10="Yes — Quantified",15, AM10="Yes — Directional Only",7, TRUE,0)
  + _xlfn.IFS(AP10="Formal",5, AP10="Referenced",2, TRUE,0)
  + _xlfn.IFS(AQ10="No Issues Found",5, AQ10="Concern Identified",-5, AQ10="Severe Contradiction",-15, TRUE,0)
  + _xlfn.IFS(BC10="Reasonable Assurance",5, BC10="Limited Assurance",3, TRUE,0)
  - IF(AND(Z10="Yes", AI10="No"), 10, 0)
  - IF(AND(Z10="Yes", AM10="No"), 10, 0)
))</f>
        <v>0</v>
      </c>
      <c r="AS10" s="5"/>
      <c r="AT10" s="5"/>
      <c r="AU10" s="5"/>
      <c r="AV10" s="5"/>
      <c r="AW10" s="5"/>
      <c r="AX10" s="5"/>
      <c r="AY10" s="5"/>
      <c r="AZ10" s="5"/>
      <c r="BA10" s="5"/>
      <c r="BB10" s="5"/>
      <c r="BC10" s="5"/>
      <c r="BD10" s="5"/>
      <c r="BE10" s="39">
        <f t="array" ref="BE10">MIN(100, MAX(0,
  IFERROR(_xlfn.XLOOKUP(AT10,'Lookup Tables'!$D$2:$D$6,'Lookup Tables'!$E$2:$E$6,0),0)
  + IFERROR(_xlfn.XLOOKUP(AV10,'Lookup Tables'!$G$2:$G$5,'Lookup Tables'!$H$2:$H$5,0),0)
  + IFERROR(_xlfn.XLOOKUP(AW10,'Lookup Tables'!$J$2:$J$5,'Lookup Tables'!$K$2:$K$5,0),0)
  + _xlfn.IFS(AX10="No Issues",10, AX10="Complaint Filed",3, AX10="Confirmed Breach",-15, TRUE,0)
  + IFERROR(_xlfn.XLOOKUP(AY10,'Lookup Tables'!$M$2:$M$6,'Lookup Tables'!$N$2:$N$6,0),0)
  + IFERROR(_xlfn.XLOOKUP(AZ10,'Lookup Tables'!$P$2:$P$6,'Lookup Tables'!$Q$2:$Q$6,0),0)
  + _xlfn.IFS(BA10="Formal Board Committee",5, BA10="Board Oversight Mentioned",2, TRUE,0)
  + _xlfn.IFS(BB10="Yes — Quantified Targets",5, BB10="Yes — Discretionary Only",2, TRUE,0)
  + _xlfn.IFS(BC10="Reasonable Assurance",5, BC10="Limited Assurance",3, BC10="Management Review Only",1, TRUE,0)
))</f>
        <v>0</v>
      </c>
      <c r="BF10" s="5"/>
      <c r="BG10" s="5"/>
      <c r="BH10" s="5"/>
      <c r="BI10" s="5"/>
      <c r="BJ10" s="5"/>
      <c r="BK10" s="5"/>
      <c r="BL10" s="5"/>
      <c r="BM10" s="5"/>
      <c r="BN10" s="5"/>
      <c r="BO10" s="5"/>
      <c r="BP10" s="5"/>
      <c r="BQ10" s="5"/>
      <c r="BR10" s="5"/>
      <c r="BS10" s="41">
        <f t="array" ref="BS10">MIN(100, MAX(0,
  IFERROR(_xlfn.XLOOKUP(BG10,'Lookup Tables'!$A$11:$A$16,'Lookup Tables'!$B$11:$B$16,0),0)
  + IFERROR(_xlfn.XLOOKUP(BR10,'Lookup Tables'!$M$11:$M$14,'Lookup Tables'!$N$11:$N$14,0),0)
  + IFERROR(_xlfn.XLOOKUP(BQ10,'Lookup Tables'!$J$11:$J$15,'Lookup Tables'!$K$11:$K$15,0),0)
  + IFERROR(_xlfn.XLOOKUP(BH10,'Lookup Tables'!$D$11:$D$15,'Lookup Tables'!$E$11:$E$15,0),0)
  + IFERROR(_xlfn.XLOOKUP(BJ10,'Lookup Tables'!$G$11:$G$16,'Lookup Tables'!$H$11:$H$16,0),0)
  + IFERROR(_xlfn.XLOOKUP(BN10,'Lookup Tables'!$P$11:$P$15,'Lookup Tables'!$Q$11:$Q$15,0),0)
  + _xlfn.IFS(BM10="No Evidence",10, BM10="Unknown",3, BM10="Likely",0, BM10="Confirmed",-10, TRUE,3)
  + IFERROR(_xlfn.XLOOKUP(BP10,'Lookup Tables'!$J$21:$J$24,'Lookup Tables'!$K$21:$K$24,0),0)
))</f>
        <v>3</v>
      </c>
      <c r="BT10" s="5"/>
      <c r="BU10" s="5"/>
      <c r="BV10" s="5"/>
      <c r="BW10" s="5"/>
      <c r="BX10" s="5"/>
      <c r="BY10" s="5"/>
      <c r="BZ10" s="5"/>
      <c r="CA10" s="5"/>
      <c r="CB10" s="5"/>
      <c r="CC10" s="5"/>
      <c r="CD10" s="5"/>
      <c r="CE10" s="43">
        <f t="array" ref="CE10">MIN(100, MAX(0,
  IF(ISNUMBER(BV10)*AND(BV10&gt;0), 10, 0)
  + _xlfn.IFS(BY10="Independently Verified",25, BY10="Yes",15, TRUE,0)
  + IFERROR(_xlfn.XLOOKUP(BZ10,'Lookup Tables'!$A$21:$A$24,'Lookup Tables'!$B$21:$B$24,0),0)
  + IFERROR(_xlfn.XLOOKUP(CA10,'Lookup Tables'!$D$21:$D$24,'Lookup Tables'!$E$21:$E$24,0),0)
  + _xlfn.IFS(ISNUMBER(CB10)*AND(CB10&gt;=11),15, ISNUMBER(CB10)*AND(CB10&gt;=6),10, ISNUMBER(CB10)*AND(CB10&gt;=1),5, TRUE,0)
  + IFERROR(_xlfn.XLOOKUP(CC10,'Lookup Tables'!$G$21:$G$25,'Lookup Tables'!$H$21:$H$25,0),0)
  - IF(ISNUMBER(BW10)*AND(ISNUMBER(BV10))*AND(BW10&gt;BV10), 20, 0)
  - IF(AND(BY10="Yes", ISNUMBER(BW10), BW10&gt;60), 10, 0)
))</f>
        <v>0</v>
      </c>
      <c r="CF10" s="5"/>
      <c r="CG10" s="5"/>
      <c r="CH10" s="5"/>
      <c r="CI10" s="5"/>
      <c r="CJ10" s="5"/>
      <c r="CK10" s="5"/>
      <c r="CL10" s="5"/>
      <c r="CM10" s="5"/>
      <c r="CN10" s="5"/>
      <c r="CO10" s="5"/>
      <c r="CP10" s="5"/>
      <c r="CQ10" s="5"/>
      <c r="CR10" s="5">
        <f t="shared" si="38"/>
        <v>0</v>
      </c>
      <c r="CS10" s="5">
        <f t="shared" si="39"/>
        <v>0</v>
      </c>
      <c r="CT10" s="5">
        <f t="shared" si="40"/>
        <v>0</v>
      </c>
      <c r="CU10" s="5">
        <f>MIN(100,
  CR10*15
  + CS10*6
  + CT10*3
  + IFERROR(_xlfn.XLOOKUP(CW10,'Lookup Tables'!$M$21:$M$25,'Lookup Tables'!$N$21:$N$25,0),0)
)</f>
        <v>0</v>
      </c>
      <c r="CV10" s="5" t="str">
        <f t="shared" si="41"/>
        <v>No failures</v>
      </c>
      <c r="CW10" s="5"/>
      <c r="CX10" s="5"/>
      <c r="CY10" s="5"/>
      <c r="CZ10" s="5"/>
      <c r="DA10" s="5" t="str">
        <f t="shared" si="42"/>
        <v>Yes</v>
      </c>
      <c r="DB10" s="5" t="str">
        <f t="shared" si="43"/>
        <v>No</v>
      </c>
      <c r="DC10" s="5"/>
      <c r="DD10" s="5"/>
      <c r="DE10" s="5"/>
      <c r="DF10" s="5"/>
      <c r="DG10" s="5"/>
      <c r="DH10" s="5"/>
      <c r="DI10" s="5"/>
      <c r="DJ10" s="5"/>
      <c r="DK10" s="5"/>
      <c r="DL10" s="5" t="str">
        <f t="shared" si="44"/>
        <v>Clear</v>
      </c>
      <c r="DM10" s="5" t="str">
        <f t="shared" si="45"/>
        <v>Yes</v>
      </c>
      <c r="DN10" s="5">
        <f t="array" ref="DN10">MIN(100,
  IF(ISNUMBER(V10), _xlfn.IFS(V10&gt;=3,25, V10=2,15, V10=1,5, TRUE,0), 0)
  + IFERROR(_xlfn.IFS(VALUE(LEFT(DF10,1))=5,25, VALUE(LEFT(DF10,1))=4,20, VALUE(LEFT(DF10,1))=3,15, VALUE(LEFT(DF10,1))=2,8, TRUE,0), 15)
  + IFERROR(_xlfn.IFS(VALUE(LEFT(DG10,1))=5,25, VALUE(LEFT(DG10,1))=4,20, VALUE(LEFT(DG10,1))=3,15, VALUE(LEFT(DG10,1))=2,8, TRUE,0), 15)
  + _xlfn.IFS(DH10="Fully Verified",25, DH10="Partially Verified",12, TRUE,0)
)</f>
        <v>30</v>
      </c>
      <c r="DO10" s="5" t="str">
        <f t="array" ref="DO10">_xlfn.IFS(
  ISBLANK(AR10), "Insufficient Evidence",
  AND(AR10&gt;=65, AJ10="Approved"), "Strong",
  AR10&gt;=65, "Adequate",
  AR10&gt;=40, "Adequate",
  AR10&gt;=20, "Weak",
  TRUE, "Insufficient Evidence"
)</f>
        <v>Insufficient Evidence</v>
      </c>
      <c r="DP10" s="5" t="str">
        <f t="array" ref="DP10">_xlfn.IFS(
  ISBLANK(BS10), "Insufficient Evidence",
  BS10&gt;=65, "Strong",
  BS10&gt;=40, "Adequate",
  BS10&gt;=20, "Weak",
  TRUE, "Insufficient Evidence"
)</f>
        <v>Insufficient Evidence</v>
      </c>
      <c r="DQ10" s="5" t="str">
        <f t="array" ref="DQ10">_xlfn.IFS(
  ISBLANK(BE10), "Insufficient Evidence",
  OR(AW10="Confirmed Violation", AX10="Confirmed Breach"), "Severe — Hard Trigger",
  BE10&gt;=65, "Strong",
  BE10&gt;=40, "Adequate",
  BE10&gt;=20, "Weak",
  TRUE, "Insufficient Evidence"
)</f>
        <v>Insufficient Evidence</v>
      </c>
      <c r="DR10" s="5" t="str">
        <f t="array" ref="DR10">_xlfn.IFS(
  ISBLANK(CU10), "Insufficient Evidence",
  CU10&lt;=20, "Low Risk",
  CU10&lt;=50, "Moderate Risk",
  CU10&lt;=75, "High Risk",
  TRUE, "Very High Risk"
)</f>
        <v>Low Risk</v>
      </c>
      <c r="DS10" s="5" t="str">
        <f t="array" ref="DS10">_xlfn.IFS(
  ISBLANK(CE10), "Insufficient Evidence",
  AND(ISNUMBER(BW10),ISNUMBER(BV10),BW10&gt;BV10), "Overclaiming Risk",
  CE10&gt;=65, "Strong",
  CE10&gt;=40, "Adequate",
  TRUE, "Weak"
)</f>
        <v>Weak</v>
      </c>
      <c r="DT10" s="5">
        <f t="shared" si="46"/>
        <v>11.7</v>
      </c>
      <c r="DU10" s="5" t="str">
        <f t="array" ref="DU10">_xlfn.IFS(
  DV10="Upgraded to Clear", "Clear",
  DV10="Downgraded to Watchlist", "Watchlist",
  DV10="Downgraded to Exclusion", "Exclusion Risk",
  DB10="Yes — Automatic", "Exclusion Risk",
  OR(AW10="Confirmed Violation", AX10="Confirmed Breach"), "Exclusion Risk",
  OR(V10=0, ISBLANK(V10), DN10&lt;20), "Insufficient Evidence",
  AND(DT10&gt;=65, DA10="No", DB10="No"), "Clear",
  OR(DT10&gt;=40, DA10="Yes"), "Watchlist",
  TRUE, "Exclusion Risk"
)</f>
        <v>Insufficient Evidence</v>
      </c>
      <c r="DV10" s="5"/>
      <c r="DW10" s="5" t="str">
        <f t="array" ref="DW10">_xlfn.IFS(
  DU10="Exclusion Risk", "Exclude — Hard Trigger",
  DU10="Insufficient Evidence", "Watchlist — Further Evidence Needed",
  DU10="Watchlist", "Watchlist — Further Evidence Needed",
  AND(DU10="Clear", DT10&gt;=80), "Include — No Conditions",
  DU10="Clear", "Include — Monitor",
  TRUE, "Watchlist — Further Evidence Needed"
)</f>
        <v>Watchlist — Further Evidence Needed</v>
      </c>
      <c r="DX10" s="5"/>
      <c r="DY10" s="5"/>
      <c r="DZ10" s="5"/>
      <c r="EA10" s="5"/>
      <c r="EB10" s="5" t="str">
        <f t="shared" si="47"/>
        <v>MISSING — No sources reviewed</v>
      </c>
      <c r="EC10" s="5" t="str">
        <f t="shared" si="48"/>
        <v/>
      </c>
    </row>
    <row r="11" spans="1:136" ht="18" customHeight="1" x14ac:dyDescent="0.15">
      <c r="A11" s="3" t="s">
        <v>305</v>
      </c>
      <c r="B11" s="3" t="s">
        <v>306</v>
      </c>
      <c r="C11" s="3" t="str">
        <f>IF(ISBLANK('Universe Tracker'!D7),"",'Universe Tracker'!D7)</f>
        <v>LU0156801721</v>
      </c>
      <c r="D11" s="3"/>
      <c r="E11" s="3"/>
      <c r="F11" s="3" t="str">
        <f>IF(ISBLANK('Universe Tracker'!F7),"",'Universe Tracker'!F7)</f>
        <v>Materials</v>
      </c>
      <c r="G11" s="3" t="str">
        <f>IF(ISBLANK('Universe Tracker'!G7),"",'Universe Tracker'!G7)</f>
        <v>Materials</v>
      </c>
      <c r="H11" s="3"/>
      <c r="I11" s="3"/>
      <c r="J11" s="3" t="str">
        <f t="shared" si="36"/>
        <v>TW11_LU0156801721</v>
      </c>
      <c r="K11" s="3"/>
      <c r="L11" s="3"/>
      <c r="M11" s="3"/>
      <c r="N11" s="3"/>
      <c r="O11" s="3"/>
      <c r="P11" s="3"/>
      <c r="Q11" s="3"/>
      <c r="R11" s="3"/>
      <c r="S11" s="3"/>
      <c r="T11" s="3"/>
      <c r="U11" s="3"/>
      <c r="V11" s="3"/>
      <c r="W11" s="3"/>
      <c r="X11" s="3"/>
      <c r="Y11" s="3" t="str">
        <f t="shared" si="37"/>
        <v>Insufficient</v>
      </c>
      <c r="Z11" s="3"/>
      <c r="AA11" s="3"/>
      <c r="AB11" s="3"/>
      <c r="AC11" s="3"/>
      <c r="AD11" s="3"/>
      <c r="AE11" s="3"/>
      <c r="AF11" s="3"/>
      <c r="AG11" s="3"/>
      <c r="AH11" s="3"/>
      <c r="AI11" s="3"/>
      <c r="AJ11" s="3"/>
      <c r="AK11" s="3"/>
      <c r="AL11" s="3"/>
      <c r="AM11" s="3"/>
      <c r="AN11" s="3"/>
      <c r="AO11" s="3"/>
      <c r="AP11" s="3"/>
      <c r="AQ11" s="3"/>
      <c r="AR11" s="40">
        <f t="array" ref="AR11">MIN(100, MAX(0,
  IFERROR(_xlfn.XLOOKUP(AJ11,'Lookup Tables'!$A$2:$A$7,'Lookup Tables'!$B$2:$B$7,0),0)
  + IF(Z11="Yes", IF(IFERROR(_xlfn.XLOOKUP(AJ11,'Lookup Tables'!$A$2:$A$7,'Lookup Tables'!$B$2:$B$7,0),0)&lt;20, 5, 0), 0)
  + _xlfn.IFS(AB11="Yes", IF(ISNUMBER(AC11)*AND(AC11&lt;=2030),15,10), AB11="Long-term Only", 5, AB11="No", 0, TRUE, 0)
  + _xlfn.IFS(AF11="Full",10, AF11="Partial",5, AF11="Scope 2 Only",3, TRUE,0)
  + _xlfn.IFS(AG11="Yes", IF(ISNUMBER(AH11)*AND(AH11&gt;=5),10,6), AG11="Partial",4, TRUE,0)
  + _xlfn.IFS(AI11="Yes",5, AI11="Partial (material categories only)",3, TRUE,0)
  + _xlfn.IFS(AL11="Yes — Detailed",10, AL11="Yes — High Level",5, TRUE,0)
  + _xlfn.IFS(AM11="Yes — Quantified",15, AM11="Yes — Directional Only",7, TRUE,0)
  + _xlfn.IFS(AP11="Formal",5, AP11="Referenced",2, TRUE,0)
  + _xlfn.IFS(AQ11="No Issues Found",5, AQ11="Concern Identified",-5, AQ11="Severe Contradiction",-15, TRUE,0)
  + _xlfn.IFS(BC11="Reasonable Assurance",5, BC11="Limited Assurance",3, TRUE,0)
  - IF(AND(Z11="Yes", AI11="No"), 10, 0)
  - IF(AND(Z11="Yes", AM11="No"), 10, 0)
))</f>
        <v>0</v>
      </c>
      <c r="AS11" s="3"/>
      <c r="AT11" s="3"/>
      <c r="AU11" s="3"/>
      <c r="AV11" s="3"/>
      <c r="AW11" s="3"/>
      <c r="AX11" s="3"/>
      <c r="AY11" s="3"/>
      <c r="AZ11" s="3"/>
      <c r="BA11" s="3"/>
      <c r="BB11" s="3"/>
      <c r="BC11" s="3"/>
      <c r="BD11" s="3"/>
      <c r="BE11" s="40">
        <f t="array" ref="BE11">MIN(100, MAX(0,
  IFERROR(_xlfn.XLOOKUP(AT11,'Lookup Tables'!$D$2:$D$6,'Lookup Tables'!$E$2:$E$6,0),0)
  + IFERROR(_xlfn.XLOOKUP(AV11,'Lookup Tables'!$G$2:$G$5,'Lookup Tables'!$H$2:$H$5,0),0)
  + IFERROR(_xlfn.XLOOKUP(AW11,'Lookup Tables'!$J$2:$J$5,'Lookup Tables'!$K$2:$K$5,0),0)
  + _xlfn.IFS(AX11="No Issues",10, AX11="Complaint Filed",3, AX11="Confirmed Breach",-15, TRUE,0)
  + IFERROR(_xlfn.XLOOKUP(AY11,'Lookup Tables'!$M$2:$M$6,'Lookup Tables'!$N$2:$N$6,0),0)
  + IFERROR(_xlfn.XLOOKUP(AZ11,'Lookup Tables'!$P$2:$P$6,'Lookup Tables'!$Q$2:$Q$6,0),0)
  + _xlfn.IFS(BA11="Formal Board Committee",5, BA11="Board Oversight Mentioned",2, TRUE,0)
  + _xlfn.IFS(BB11="Yes — Quantified Targets",5, BB11="Yes — Discretionary Only",2, TRUE,0)
  + _xlfn.IFS(BC11="Reasonable Assurance",5, BC11="Limited Assurance",3, BC11="Management Review Only",1, TRUE,0)
))</f>
        <v>0</v>
      </c>
      <c r="BF11" s="3"/>
      <c r="BG11" s="3"/>
      <c r="BH11" s="3"/>
      <c r="BI11" s="3"/>
      <c r="BJ11" s="3"/>
      <c r="BK11" s="3"/>
      <c r="BL11" s="3"/>
      <c r="BM11" s="3"/>
      <c r="BN11" s="3"/>
      <c r="BO11" s="3"/>
      <c r="BP11" s="3"/>
      <c r="BQ11" s="3"/>
      <c r="BR11" s="3"/>
      <c r="BS11" s="42">
        <f t="array" ref="BS11">MIN(100, MAX(0,
  IFERROR(_xlfn.XLOOKUP(BG11,'Lookup Tables'!$A$11:$A$16,'Lookup Tables'!$B$11:$B$16,0),0)
  + IFERROR(_xlfn.XLOOKUP(BR11,'Lookup Tables'!$M$11:$M$14,'Lookup Tables'!$N$11:$N$14,0),0)
  + IFERROR(_xlfn.XLOOKUP(BQ11,'Lookup Tables'!$J$11:$J$15,'Lookup Tables'!$K$11:$K$15,0),0)
  + IFERROR(_xlfn.XLOOKUP(BH11,'Lookup Tables'!$D$11:$D$15,'Lookup Tables'!$E$11:$E$15,0),0)
  + IFERROR(_xlfn.XLOOKUP(BJ11,'Lookup Tables'!$G$11:$G$16,'Lookup Tables'!$H$11:$H$16,0),0)
  + IFERROR(_xlfn.XLOOKUP(BN11,'Lookup Tables'!$P$11:$P$15,'Lookup Tables'!$Q$11:$Q$15,0),0)
  + _xlfn.IFS(BM11="No Evidence",10, BM11="Unknown",3, BM11="Likely",0, BM11="Confirmed",-10, TRUE,3)
  + IFERROR(_xlfn.XLOOKUP(BP11,'Lookup Tables'!$J$21:$J$24,'Lookup Tables'!$K$21:$K$24,0),0)
))</f>
        <v>3</v>
      </c>
      <c r="BT11" s="3"/>
      <c r="BU11" s="3"/>
      <c r="BV11" s="3"/>
      <c r="BW11" s="3"/>
      <c r="BX11" s="3"/>
      <c r="BY11" s="3"/>
      <c r="BZ11" s="3"/>
      <c r="CA11" s="3"/>
      <c r="CB11" s="3"/>
      <c r="CC11" s="3"/>
      <c r="CD11" s="3"/>
      <c r="CE11" s="44">
        <f t="array" ref="CE11">MIN(100, MAX(0,
  IF(ISNUMBER(BV11)*AND(BV11&gt;0), 10, 0)
  + _xlfn.IFS(BY11="Independently Verified",25, BY11="Yes",15, TRUE,0)
  + IFERROR(_xlfn.XLOOKUP(BZ11,'Lookup Tables'!$A$21:$A$24,'Lookup Tables'!$B$21:$B$24,0),0)
  + IFERROR(_xlfn.XLOOKUP(CA11,'Lookup Tables'!$D$21:$D$24,'Lookup Tables'!$E$21:$E$24,0),0)
  + _xlfn.IFS(ISNUMBER(CB11)*AND(CB11&gt;=11),15, ISNUMBER(CB11)*AND(CB11&gt;=6),10, ISNUMBER(CB11)*AND(CB11&gt;=1),5, TRUE,0)
  + IFERROR(_xlfn.XLOOKUP(CC11,'Lookup Tables'!$G$21:$G$25,'Lookup Tables'!$H$21:$H$25,0),0)
  - IF(ISNUMBER(BW11)*AND(ISNUMBER(BV11))*AND(BW11&gt;BV11), 20, 0)
  - IF(AND(BY11="Yes", ISNUMBER(BW11), BW11&gt;60), 10, 0)
))</f>
        <v>0</v>
      </c>
      <c r="CF11" s="3"/>
      <c r="CG11" s="3"/>
      <c r="CH11" s="3"/>
      <c r="CI11" s="3"/>
      <c r="CJ11" s="3"/>
      <c r="CK11" s="3"/>
      <c r="CL11" s="3"/>
      <c r="CM11" s="3"/>
      <c r="CN11" s="3"/>
      <c r="CO11" s="3"/>
      <c r="CP11" s="3"/>
      <c r="CQ11" s="3"/>
      <c r="CR11" s="3">
        <f t="shared" si="38"/>
        <v>0</v>
      </c>
      <c r="CS11" s="3">
        <f t="shared" si="39"/>
        <v>0</v>
      </c>
      <c r="CT11" s="3">
        <f t="shared" si="40"/>
        <v>0</v>
      </c>
      <c r="CU11" s="3">
        <f>MIN(100,
  CR11*15
  + CS11*6
  + CT11*3
  + IFERROR(_xlfn.XLOOKUP(CW11,'Lookup Tables'!$M$21:$M$25,'Lookup Tables'!$N$21:$N$25,0),0)
)</f>
        <v>0</v>
      </c>
      <c r="CV11" s="3" t="str">
        <f t="shared" si="41"/>
        <v>No failures</v>
      </c>
      <c r="CW11" s="3"/>
      <c r="CX11" s="3"/>
      <c r="CY11" s="3"/>
      <c r="CZ11" s="3"/>
      <c r="DA11" s="3" t="str">
        <f t="shared" si="42"/>
        <v>Yes</v>
      </c>
      <c r="DB11" s="3" t="str">
        <f t="shared" si="43"/>
        <v>No</v>
      </c>
      <c r="DC11" s="3"/>
      <c r="DD11" s="3"/>
      <c r="DE11" s="3"/>
      <c r="DF11" s="3"/>
      <c r="DG11" s="3"/>
      <c r="DH11" s="3"/>
      <c r="DI11" s="3"/>
      <c r="DJ11" s="3"/>
      <c r="DK11" s="3"/>
      <c r="DL11" s="3" t="str">
        <f t="shared" si="44"/>
        <v>Clear</v>
      </c>
      <c r="DM11" s="3" t="str">
        <f t="shared" si="45"/>
        <v>Yes</v>
      </c>
      <c r="DN11" s="3">
        <f t="array" ref="DN11">MIN(100,
  IF(ISNUMBER(V11), _xlfn.IFS(V11&gt;=3,25, V11=2,15, V11=1,5, TRUE,0), 0)
  + IFERROR(_xlfn.IFS(VALUE(LEFT(DF11,1))=5,25, VALUE(LEFT(DF11,1))=4,20, VALUE(LEFT(DF11,1))=3,15, VALUE(LEFT(DF11,1))=2,8, TRUE,0), 15)
  + IFERROR(_xlfn.IFS(VALUE(LEFT(DG11,1))=5,25, VALUE(LEFT(DG11,1))=4,20, VALUE(LEFT(DG11,1))=3,15, VALUE(LEFT(DG11,1))=2,8, TRUE,0), 15)
  + _xlfn.IFS(DH11="Fully Verified",25, DH11="Partially Verified",12, TRUE,0)
)</f>
        <v>30</v>
      </c>
      <c r="DO11" s="3" t="str">
        <f t="array" ref="DO11">_xlfn.IFS(
  ISBLANK(AR11), "Insufficient Evidence",
  AND(AR11&gt;=65, AJ11="Approved"), "Strong",
  AR11&gt;=65, "Adequate",
  AR11&gt;=40, "Adequate",
  AR11&gt;=20, "Weak",
  TRUE, "Insufficient Evidence"
)</f>
        <v>Insufficient Evidence</v>
      </c>
      <c r="DP11" s="3" t="str">
        <f t="array" ref="DP11">_xlfn.IFS(
  ISBLANK(BS11), "Insufficient Evidence",
  BS11&gt;=65, "Strong",
  BS11&gt;=40, "Adequate",
  BS11&gt;=20, "Weak",
  TRUE, "Insufficient Evidence"
)</f>
        <v>Insufficient Evidence</v>
      </c>
      <c r="DQ11" s="3" t="str">
        <f t="array" ref="DQ11">_xlfn.IFS(
  ISBLANK(BE11), "Insufficient Evidence",
  OR(AW11="Confirmed Violation", AX11="Confirmed Breach"), "Severe — Hard Trigger",
  BE11&gt;=65, "Strong",
  BE11&gt;=40, "Adequate",
  BE11&gt;=20, "Weak",
  TRUE, "Insufficient Evidence"
)</f>
        <v>Insufficient Evidence</v>
      </c>
      <c r="DR11" s="3" t="str">
        <f t="array" ref="DR11">_xlfn.IFS(
  ISBLANK(CU11), "Insufficient Evidence",
  CU11&lt;=20, "Low Risk",
  CU11&lt;=50, "Moderate Risk",
  CU11&lt;=75, "High Risk",
  TRUE, "Very High Risk"
)</f>
        <v>Low Risk</v>
      </c>
      <c r="DS11" s="3" t="str">
        <f t="array" ref="DS11">_xlfn.IFS(
  ISBLANK(CE11), "Insufficient Evidence",
  AND(ISNUMBER(BW11),ISNUMBER(BV11),BW11&gt;BV11), "Overclaiming Risk",
  CE11&gt;=65, "Strong",
  CE11&gt;=40, "Adequate",
  TRUE, "Weak"
)</f>
        <v>Weak</v>
      </c>
      <c r="DT11" s="3">
        <f t="shared" si="46"/>
        <v>11.7</v>
      </c>
      <c r="DU11" s="3" t="str">
        <f t="array" ref="DU11">_xlfn.IFS(
  DV11="Upgraded to Clear", "Clear",
  DV11="Downgraded to Watchlist", "Watchlist",
  DV11="Downgraded to Exclusion", "Exclusion Risk",
  DB11="Yes — Automatic", "Exclusion Risk",
  OR(AW11="Confirmed Violation", AX11="Confirmed Breach"), "Exclusion Risk",
  OR(V11=0, ISBLANK(V11), DN11&lt;20), "Insufficient Evidence",
  AND(DT11&gt;=65, DA11="No", DB11="No"), "Clear",
  OR(DT11&gt;=40, DA11="Yes"), "Watchlist",
  TRUE, "Exclusion Risk"
)</f>
        <v>Insufficient Evidence</v>
      </c>
      <c r="DV11" s="3"/>
      <c r="DW11" s="3" t="str">
        <f t="array" ref="DW11">_xlfn.IFS(
  DU11="Exclusion Risk", "Exclude — Hard Trigger",
  DU11="Insufficient Evidence", "Watchlist — Further Evidence Needed",
  DU11="Watchlist", "Watchlist — Further Evidence Needed",
  AND(DU11="Clear", DT11&gt;=80), "Include — No Conditions",
  DU11="Clear", "Include — Monitor",
  TRUE, "Watchlist — Further Evidence Needed"
)</f>
        <v>Watchlist — Further Evidence Needed</v>
      </c>
      <c r="DX11" s="3"/>
      <c r="DY11" s="3"/>
      <c r="DZ11" s="3"/>
      <c r="EA11" s="3"/>
      <c r="EB11" s="3" t="str">
        <f t="shared" si="47"/>
        <v>MISSING — No sources reviewed</v>
      </c>
      <c r="EC11" s="3" t="str">
        <f t="shared" si="48"/>
        <v/>
      </c>
    </row>
    <row r="12" spans="1:136" ht="18" customHeight="1" x14ac:dyDescent="0.15">
      <c r="A12" s="5" t="s">
        <v>309</v>
      </c>
      <c r="B12" s="5" t="s">
        <v>310</v>
      </c>
      <c r="C12" s="5" t="str">
        <f>IF(ISBLANK('Universe Tracker'!D8),"",'Universe Tracker'!D8)</f>
        <v>BE0003764785</v>
      </c>
      <c r="D12" s="5"/>
      <c r="E12" s="5"/>
      <c r="F12" s="5" t="str">
        <f>IF(ISBLANK('Universe Tracker'!F8),"",'Universe Tracker'!F8)</f>
        <v>Industrials</v>
      </c>
      <c r="G12" s="5" t="str">
        <f>IF(ISBLANK('Universe Tracker'!G8),"",'Universe Tracker'!G8)</f>
        <v>Industrial Services</v>
      </c>
      <c r="H12" s="5"/>
      <c r="I12" s="5"/>
      <c r="J12" s="5" t="str">
        <f t="shared" si="36"/>
        <v>B3K_BE0003764785</v>
      </c>
      <c r="K12" s="5"/>
      <c r="L12" s="5"/>
      <c r="M12" s="5"/>
      <c r="N12" s="5"/>
      <c r="O12" s="5"/>
      <c r="P12" s="5"/>
      <c r="Q12" s="5"/>
      <c r="R12" s="5"/>
      <c r="S12" s="5"/>
      <c r="T12" s="5"/>
      <c r="U12" s="5"/>
      <c r="V12" s="5"/>
      <c r="W12" s="5"/>
      <c r="X12" s="5"/>
      <c r="Y12" s="5" t="str">
        <f t="shared" si="37"/>
        <v>Insufficient</v>
      </c>
      <c r="Z12" s="5"/>
      <c r="AA12" s="5"/>
      <c r="AB12" s="5"/>
      <c r="AC12" s="5"/>
      <c r="AD12" s="5"/>
      <c r="AE12" s="5"/>
      <c r="AF12" s="5"/>
      <c r="AG12" s="5"/>
      <c r="AH12" s="5"/>
      <c r="AI12" s="5"/>
      <c r="AJ12" s="5"/>
      <c r="AK12" s="5"/>
      <c r="AL12" s="5"/>
      <c r="AM12" s="5"/>
      <c r="AN12" s="5"/>
      <c r="AO12" s="5"/>
      <c r="AP12" s="5"/>
      <c r="AQ12" s="5"/>
      <c r="AR12" s="40">
        <f t="array" ref="AR12">MIN(100, MAX(0,
  IFERROR(_xlfn.XLOOKUP(AJ12,'Lookup Tables'!$A$2:$A$7,'Lookup Tables'!$B$2:$B$7,0),0)
  + IF(Z12="Yes", IF(IFERROR(_xlfn.XLOOKUP(AJ12,'Lookup Tables'!$A$2:$A$7,'Lookup Tables'!$B$2:$B$7,0),0)&lt;20, 5, 0), 0)
  + _xlfn.IFS(AB12="Yes", IF(ISNUMBER(AC12)*AND(AC12&lt;=2030),15,10), AB12="Long-term Only", 5, AB12="No", 0, TRUE, 0)
  + _xlfn.IFS(AF12="Full",10, AF12="Partial",5, AF12="Scope 2 Only",3, TRUE,0)
  + _xlfn.IFS(AG12="Yes", IF(ISNUMBER(AH12)*AND(AH12&gt;=5),10,6), AG12="Partial",4, TRUE,0)
  + _xlfn.IFS(AI12="Yes",5, AI12="Partial (material categories only)",3, TRUE,0)
  + _xlfn.IFS(AL12="Yes — Detailed",10, AL12="Yes — High Level",5, TRUE,0)
  + _xlfn.IFS(AM12="Yes — Quantified",15, AM12="Yes — Directional Only",7, TRUE,0)
  + _xlfn.IFS(AP12="Formal",5, AP12="Referenced",2, TRUE,0)
  + _xlfn.IFS(AQ12="No Issues Found",5, AQ12="Concern Identified",-5, AQ12="Severe Contradiction",-15, TRUE,0)
  + _xlfn.IFS(BC12="Reasonable Assurance",5, BC12="Limited Assurance",3, TRUE,0)
  - IF(AND(Z12="Yes", AI12="No"), 10, 0)
  - IF(AND(Z12="Yes", AM12="No"), 10, 0)
))</f>
        <v>0</v>
      </c>
      <c r="AS12" s="5"/>
      <c r="AT12" s="5"/>
      <c r="AU12" s="5"/>
      <c r="AV12" s="5"/>
      <c r="AW12" s="5"/>
      <c r="AX12" s="5"/>
      <c r="AY12" s="5"/>
      <c r="AZ12" s="5"/>
      <c r="BA12" s="5"/>
      <c r="BB12" s="5"/>
      <c r="BC12" s="5"/>
      <c r="BD12" s="5"/>
      <c r="BE12" s="39">
        <f t="array" ref="BE12">MIN(100, MAX(0,
  IFERROR(_xlfn.XLOOKUP(AT12,'Lookup Tables'!$D$2:$D$6,'Lookup Tables'!$E$2:$E$6,0),0)
  + IFERROR(_xlfn.XLOOKUP(AV12,'Lookup Tables'!$G$2:$G$5,'Lookup Tables'!$H$2:$H$5,0),0)
  + IFERROR(_xlfn.XLOOKUP(AW12,'Lookup Tables'!$J$2:$J$5,'Lookup Tables'!$K$2:$K$5,0),0)
  + _xlfn.IFS(AX12="No Issues",10, AX12="Complaint Filed",3, AX12="Confirmed Breach",-15, TRUE,0)
  + IFERROR(_xlfn.XLOOKUP(AY12,'Lookup Tables'!$M$2:$M$6,'Lookup Tables'!$N$2:$N$6,0),0)
  + IFERROR(_xlfn.XLOOKUP(AZ12,'Lookup Tables'!$P$2:$P$6,'Lookup Tables'!$Q$2:$Q$6,0),0)
  + _xlfn.IFS(BA12="Formal Board Committee",5, BA12="Board Oversight Mentioned",2, TRUE,0)
  + _xlfn.IFS(BB12="Yes — Quantified Targets",5, BB12="Yes — Discretionary Only",2, TRUE,0)
  + _xlfn.IFS(BC12="Reasonable Assurance",5, BC12="Limited Assurance",3, BC12="Management Review Only",1, TRUE,0)
))</f>
        <v>0</v>
      </c>
      <c r="BF12" s="5"/>
      <c r="BG12" s="5"/>
      <c r="BH12" s="5"/>
      <c r="BI12" s="5"/>
      <c r="BJ12" s="5"/>
      <c r="BK12" s="5"/>
      <c r="BL12" s="5"/>
      <c r="BM12" s="5"/>
      <c r="BN12" s="5"/>
      <c r="BO12" s="5"/>
      <c r="BP12" s="5"/>
      <c r="BQ12" s="5"/>
      <c r="BR12" s="5"/>
      <c r="BS12" s="41">
        <f t="array" ref="BS12">MIN(100, MAX(0,
  IFERROR(_xlfn.XLOOKUP(BG12,'Lookup Tables'!$A$11:$A$16,'Lookup Tables'!$B$11:$B$16,0),0)
  + IFERROR(_xlfn.XLOOKUP(BR12,'Lookup Tables'!$M$11:$M$14,'Lookup Tables'!$N$11:$N$14,0),0)
  + IFERROR(_xlfn.XLOOKUP(BQ12,'Lookup Tables'!$J$11:$J$15,'Lookup Tables'!$K$11:$K$15,0),0)
  + IFERROR(_xlfn.XLOOKUP(BH12,'Lookup Tables'!$D$11:$D$15,'Lookup Tables'!$E$11:$E$15,0),0)
  + IFERROR(_xlfn.XLOOKUP(BJ12,'Lookup Tables'!$G$11:$G$16,'Lookup Tables'!$H$11:$H$16,0),0)
  + IFERROR(_xlfn.XLOOKUP(BN12,'Lookup Tables'!$P$11:$P$15,'Lookup Tables'!$Q$11:$Q$15,0),0)
  + _xlfn.IFS(BM12="No Evidence",10, BM12="Unknown",3, BM12="Likely",0, BM12="Confirmed",-10, TRUE,3)
  + IFERROR(_xlfn.XLOOKUP(BP12,'Lookup Tables'!$J$21:$J$24,'Lookup Tables'!$K$21:$K$24,0),0)
))</f>
        <v>3</v>
      </c>
      <c r="BT12" s="5"/>
      <c r="BU12" s="5"/>
      <c r="BV12" s="5"/>
      <c r="BW12" s="5"/>
      <c r="BX12" s="5"/>
      <c r="BY12" s="5"/>
      <c r="BZ12" s="5"/>
      <c r="CA12" s="5"/>
      <c r="CB12" s="5"/>
      <c r="CC12" s="5"/>
      <c r="CD12" s="5"/>
      <c r="CE12" s="43">
        <f t="array" ref="CE12">MIN(100, MAX(0,
  IF(ISNUMBER(BV12)*AND(BV12&gt;0), 10, 0)
  + _xlfn.IFS(BY12="Independently Verified",25, BY12="Yes",15, TRUE,0)
  + IFERROR(_xlfn.XLOOKUP(BZ12,'Lookup Tables'!$A$21:$A$24,'Lookup Tables'!$B$21:$B$24,0),0)
  + IFERROR(_xlfn.XLOOKUP(CA12,'Lookup Tables'!$D$21:$D$24,'Lookup Tables'!$E$21:$E$24,0),0)
  + _xlfn.IFS(ISNUMBER(CB12)*AND(CB12&gt;=11),15, ISNUMBER(CB12)*AND(CB12&gt;=6),10, ISNUMBER(CB12)*AND(CB12&gt;=1),5, TRUE,0)
  + IFERROR(_xlfn.XLOOKUP(CC12,'Lookup Tables'!$G$21:$G$25,'Lookup Tables'!$H$21:$H$25,0),0)
  - IF(ISNUMBER(BW12)*AND(ISNUMBER(BV12))*AND(BW12&gt;BV12), 20, 0)
  - IF(AND(BY12="Yes", ISNUMBER(BW12), BW12&gt;60), 10, 0)
))</f>
        <v>0</v>
      </c>
      <c r="CF12" s="5"/>
      <c r="CG12" s="5"/>
      <c r="CH12" s="5"/>
      <c r="CI12" s="5"/>
      <c r="CJ12" s="5"/>
      <c r="CK12" s="5"/>
      <c r="CL12" s="5"/>
      <c r="CM12" s="5"/>
      <c r="CN12" s="5"/>
      <c r="CO12" s="5"/>
      <c r="CP12" s="5"/>
      <c r="CQ12" s="5"/>
      <c r="CR12" s="5">
        <f t="shared" si="38"/>
        <v>0</v>
      </c>
      <c r="CS12" s="5">
        <f t="shared" si="39"/>
        <v>0</v>
      </c>
      <c r="CT12" s="5">
        <f t="shared" si="40"/>
        <v>0</v>
      </c>
      <c r="CU12" s="5">
        <f>MIN(100,
  CR12*15
  + CS12*6
  + CT12*3
  + IFERROR(_xlfn.XLOOKUP(CW12,'Lookup Tables'!$M$21:$M$25,'Lookup Tables'!$N$21:$N$25,0),0)
)</f>
        <v>0</v>
      </c>
      <c r="CV12" s="5" t="str">
        <f t="shared" si="41"/>
        <v>No failures</v>
      </c>
      <c r="CW12" s="5"/>
      <c r="CX12" s="5"/>
      <c r="CY12" s="5"/>
      <c r="CZ12" s="5"/>
      <c r="DA12" s="5" t="str">
        <f t="shared" si="42"/>
        <v>Yes</v>
      </c>
      <c r="DB12" s="5" t="str">
        <f t="shared" si="43"/>
        <v>No</v>
      </c>
      <c r="DC12" s="5"/>
      <c r="DD12" s="5"/>
      <c r="DE12" s="5"/>
      <c r="DF12" s="5"/>
      <c r="DG12" s="5"/>
      <c r="DH12" s="5"/>
      <c r="DI12" s="5"/>
      <c r="DJ12" s="5"/>
      <c r="DK12" s="5"/>
      <c r="DL12" s="5" t="str">
        <f t="shared" si="44"/>
        <v>Clear</v>
      </c>
      <c r="DM12" s="5" t="str">
        <f t="shared" si="45"/>
        <v>Yes</v>
      </c>
      <c r="DN12" s="5">
        <f t="array" ref="DN12">MIN(100,
  IF(ISNUMBER(V12), _xlfn.IFS(V12&gt;=3,25, V12=2,15, V12=1,5, TRUE,0), 0)
  + IFERROR(_xlfn.IFS(VALUE(LEFT(DF12,1))=5,25, VALUE(LEFT(DF12,1))=4,20, VALUE(LEFT(DF12,1))=3,15, VALUE(LEFT(DF12,1))=2,8, TRUE,0), 15)
  + IFERROR(_xlfn.IFS(VALUE(LEFT(DG12,1))=5,25, VALUE(LEFT(DG12,1))=4,20, VALUE(LEFT(DG12,1))=3,15, VALUE(LEFT(DG12,1))=2,8, TRUE,0), 15)
  + _xlfn.IFS(DH12="Fully Verified",25, DH12="Partially Verified",12, TRUE,0)
)</f>
        <v>30</v>
      </c>
      <c r="DO12" s="5" t="str">
        <f t="array" ref="DO12">_xlfn.IFS(
  ISBLANK(AR12), "Insufficient Evidence",
  AND(AR12&gt;=65, AJ12="Approved"), "Strong",
  AR12&gt;=65, "Adequate",
  AR12&gt;=40, "Adequate",
  AR12&gt;=20, "Weak",
  TRUE, "Insufficient Evidence"
)</f>
        <v>Insufficient Evidence</v>
      </c>
      <c r="DP12" s="5" t="str">
        <f t="array" ref="DP12">_xlfn.IFS(
  ISBLANK(BS12), "Insufficient Evidence",
  BS12&gt;=65, "Strong",
  BS12&gt;=40, "Adequate",
  BS12&gt;=20, "Weak",
  TRUE, "Insufficient Evidence"
)</f>
        <v>Insufficient Evidence</v>
      </c>
      <c r="DQ12" s="5" t="str">
        <f t="array" ref="DQ12">_xlfn.IFS(
  ISBLANK(BE12), "Insufficient Evidence",
  OR(AW12="Confirmed Violation", AX12="Confirmed Breach"), "Severe — Hard Trigger",
  BE12&gt;=65, "Strong",
  BE12&gt;=40, "Adequate",
  BE12&gt;=20, "Weak",
  TRUE, "Insufficient Evidence"
)</f>
        <v>Insufficient Evidence</v>
      </c>
      <c r="DR12" s="5" t="str">
        <f t="array" ref="DR12">_xlfn.IFS(
  ISBLANK(CU12), "Insufficient Evidence",
  CU12&lt;=20, "Low Risk",
  CU12&lt;=50, "Moderate Risk",
  CU12&lt;=75, "High Risk",
  TRUE, "Very High Risk"
)</f>
        <v>Low Risk</v>
      </c>
      <c r="DS12" s="5" t="str">
        <f t="array" ref="DS12">_xlfn.IFS(
  ISBLANK(CE12), "Insufficient Evidence",
  AND(ISNUMBER(BW12),ISNUMBER(BV12),BW12&gt;BV12), "Overclaiming Risk",
  CE12&gt;=65, "Strong",
  CE12&gt;=40, "Adequate",
  TRUE, "Weak"
)</f>
        <v>Weak</v>
      </c>
      <c r="DT12" s="5">
        <f t="shared" si="46"/>
        <v>11.7</v>
      </c>
      <c r="DU12" s="5" t="str">
        <f t="array" ref="DU12">_xlfn.IFS(
  DV12="Upgraded to Clear", "Clear",
  DV12="Downgraded to Watchlist", "Watchlist",
  DV12="Downgraded to Exclusion", "Exclusion Risk",
  DB12="Yes — Automatic", "Exclusion Risk",
  OR(AW12="Confirmed Violation", AX12="Confirmed Breach"), "Exclusion Risk",
  OR(V12=0, ISBLANK(V12), DN12&lt;20), "Insufficient Evidence",
  AND(DT12&gt;=65, DA12="No", DB12="No"), "Clear",
  OR(DT12&gt;=40, DA12="Yes"), "Watchlist",
  TRUE, "Exclusion Risk"
)</f>
        <v>Insufficient Evidence</v>
      </c>
      <c r="DV12" s="5"/>
      <c r="DW12" s="5" t="str">
        <f t="array" ref="DW12">_xlfn.IFS(
  DU12="Exclusion Risk", "Exclude — Hard Trigger",
  DU12="Insufficient Evidence", "Watchlist — Further Evidence Needed",
  DU12="Watchlist", "Watchlist — Further Evidence Needed",
  AND(DU12="Clear", DT12&gt;=80), "Include — No Conditions",
  DU12="Clear", "Include — Monitor",
  TRUE, "Watchlist — Further Evidence Needed"
)</f>
        <v>Watchlist — Further Evidence Needed</v>
      </c>
      <c r="DX12" s="5"/>
      <c r="DY12" s="5"/>
      <c r="DZ12" s="5"/>
      <c r="EA12" s="5"/>
      <c r="EB12" s="5" t="str">
        <f t="shared" si="47"/>
        <v>MISSING — No sources reviewed</v>
      </c>
      <c r="EC12" s="5" t="str">
        <f t="shared" si="48"/>
        <v/>
      </c>
    </row>
    <row r="13" spans="1:136" ht="18" customHeight="1" x14ac:dyDescent="0.15">
      <c r="A13" s="3" t="s">
        <v>315</v>
      </c>
      <c r="B13" s="3" t="s">
        <v>316</v>
      </c>
      <c r="C13" s="3" t="str">
        <f>IF(ISBLANK('Universe Tracker'!D9),"",'Universe Tracker'!D9)</f>
        <v>CH0012005267</v>
      </c>
      <c r="D13" s="3"/>
      <c r="E13" s="3"/>
      <c r="F13" s="3" t="str">
        <f>IF(ISBLANK('Universe Tracker'!F9),"",'Universe Tracker'!F9)</f>
        <v>Health Care</v>
      </c>
      <c r="G13" s="3" t="str">
        <f>IF(ISBLANK('Universe Tracker'!G9),"",'Universe Tracker'!G9)</f>
        <v>Health Care</v>
      </c>
      <c r="H13" s="3"/>
      <c r="I13" s="3"/>
      <c r="J13" s="3" t="str">
        <f t="shared" si="36"/>
        <v>NOT_CH0012005267</v>
      </c>
      <c r="K13" s="3"/>
      <c r="L13" s="3"/>
      <c r="M13" s="3"/>
      <c r="N13" s="3"/>
      <c r="O13" s="3"/>
      <c r="P13" s="3"/>
      <c r="Q13" s="3"/>
      <c r="R13" s="3"/>
      <c r="S13" s="3"/>
      <c r="T13" s="3"/>
      <c r="U13" s="3"/>
      <c r="V13" s="3"/>
      <c r="W13" s="3"/>
      <c r="X13" s="3"/>
      <c r="Y13" s="3" t="str">
        <f t="shared" si="37"/>
        <v>Insufficient</v>
      </c>
      <c r="Z13" s="3"/>
      <c r="AA13" s="3"/>
      <c r="AB13" s="3"/>
      <c r="AC13" s="3"/>
      <c r="AD13" s="3"/>
      <c r="AE13" s="3"/>
      <c r="AF13" s="3"/>
      <c r="AG13" s="3"/>
      <c r="AH13" s="3"/>
      <c r="AI13" s="3"/>
      <c r="AJ13" s="3"/>
      <c r="AK13" s="3"/>
      <c r="AL13" s="3"/>
      <c r="AM13" s="3"/>
      <c r="AN13" s="3"/>
      <c r="AO13" s="3"/>
      <c r="AP13" s="3"/>
      <c r="AQ13" s="3"/>
      <c r="AR13" s="40">
        <f t="array" ref="AR13">MIN(100, MAX(0,
  IFERROR(_xlfn.XLOOKUP(AJ13,'Lookup Tables'!$A$2:$A$7,'Lookup Tables'!$B$2:$B$7,0),0)
  + IF(Z13="Yes", IF(IFERROR(_xlfn.XLOOKUP(AJ13,'Lookup Tables'!$A$2:$A$7,'Lookup Tables'!$B$2:$B$7,0),0)&lt;20, 5, 0), 0)
  + _xlfn.IFS(AB13="Yes", IF(ISNUMBER(AC13)*AND(AC13&lt;=2030),15,10), AB13="Long-term Only", 5, AB13="No", 0, TRUE, 0)
  + _xlfn.IFS(AF13="Full",10, AF13="Partial",5, AF13="Scope 2 Only",3, TRUE,0)
  + _xlfn.IFS(AG13="Yes", IF(ISNUMBER(AH13)*AND(AH13&gt;=5),10,6), AG13="Partial",4, TRUE,0)
  + _xlfn.IFS(AI13="Yes",5, AI13="Partial (material categories only)",3, TRUE,0)
  + _xlfn.IFS(AL13="Yes — Detailed",10, AL13="Yes — High Level",5, TRUE,0)
  + _xlfn.IFS(AM13="Yes — Quantified",15, AM13="Yes — Directional Only",7, TRUE,0)
  + _xlfn.IFS(AP13="Formal",5, AP13="Referenced",2, TRUE,0)
  + _xlfn.IFS(AQ13="No Issues Found",5, AQ13="Concern Identified",-5, AQ13="Severe Contradiction",-15, TRUE,0)
  + _xlfn.IFS(BC13="Reasonable Assurance",5, BC13="Limited Assurance",3, TRUE,0)
  - IF(AND(Z13="Yes", AI13="No"), 10, 0)
  - IF(AND(Z13="Yes", AM13="No"), 10, 0)
))</f>
        <v>0</v>
      </c>
      <c r="AS13" s="3"/>
      <c r="AT13" s="3"/>
      <c r="AU13" s="3"/>
      <c r="AV13" s="3"/>
      <c r="AW13" s="3"/>
      <c r="AX13" s="3"/>
      <c r="AY13" s="3"/>
      <c r="AZ13" s="3"/>
      <c r="BA13" s="3"/>
      <c r="BB13" s="3"/>
      <c r="BC13" s="3"/>
      <c r="BD13" s="3"/>
      <c r="BE13" s="40">
        <f t="array" ref="BE13">MIN(100, MAX(0,
  IFERROR(_xlfn.XLOOKUP(AT13,'Lookup Tables'!$D$2:$D$6,'Lookup Tables'!$E$2:$E$6,0),0)
  + IFERROR(_xlfn.XLOOKUP(AV13,'Lookup Tables'!$G$2:$G$5,'Lookup Tables'!$H$2:$H$5,0),0)
  + IFERROR(_xlfn.XLOOKUP(AW13,'Lookup Tables'!$J$2:$J$5,'Lookup Tables'!$K$2:$K$5,0),0)
  + _xlfn.IFS(AX13="No Issues",10, AX13="Complaint Filed",3, AX13="Confirmed Breach",-15, TRUE,0)
  + IFERROR(_xlfn.XLOOKUP(AY13,'Lookup Tables'!$M$2:$M$6,'Lookup Tables'!$N$2:$N$6,0),0)
  + IFERROR(_xlfn.XLOOKUP(AZ13,'Lookup Tables'!$P$2:$P$6,'Lookup Tables'!$Q$2:$Q$6,0),0)
  + _xlfn.IFS(BA13="Formal Board Committee",5, BA13="Board Oversight Mentioned",2, TRUE,0)
  + _xlfn.IFS(BB13="Yes — Quantified Targets",5, BB13="Yes — Discretionary Only",2, TRUE,0)
  + _xlfn.IFS(BC13="Reasonable Assurance",5, BC13="Limited Assurance",3, BC13="Management Review Only",1, TRUE,0)
))</f>
        <v>0</v>
      </c>
      <c r="BF13" s="3"/>
      <c r="BG13" s="3"/>
      <c r="BH13" s="3"/>
      <c r="BI13" s="3"/>
      <c r="BJ13" s="3"/>
      <c r="BK13" s="3"/>
      <c r="BL13" s="3"/>
      <c r="BM13" s="3"/>
      <c r="BN13" s="3"/>
      <c r="BO13" s="3"/>
      <c r="BP13" s="3"/>
      <c r="BQ13" s="3"/>
      <c r="BR13" s="3"/>
      <c r="BS13" s="42">
        <f t="array" ref="BS13">MIN(100, MAX(0,
  IFERROR(_xlfn.XLOOKUP(BG13,'Lookup Tables'!$A$11:$A$16,'Lookup Tables'!$B$11:$B$16,0),0)
  + IFERROR(_xlfn.XLOOKUP(BR13,'Lookup Tables'!$M$11:$M$14,'Lookup Tables'!$N$11:$N$14,0),0)
  + IFERROR(_xlfn.XLOOKUP(BQ13,'Lookup Tables'!$J$11:$J$15,'Lookup Tables'!$K$11:$K$15,0),0)
  + IFERROR(_xlfn.XLOOKUP(BH13,'Lookup Tables'!$D$11:$D$15,'Lookup Tables'!$E$11:$E$15,0),0)
  + IFERROR(_xlfn.XLOOKUP(BJ13,'Lookup Tables'!$G$11:$G$16,'Lookup Tables'!$H$11:$H$16,0),0)
  + IFERROR(_xlfn.XLOOKUP(BN13,'Lookup Tables'!$P$11:$P$15,'Lookup Tables'!$Q$11:$Q$15,0),0)
  + _xlfn.IFS(BM13="No Evidence",10, BM13="Unknown",3, BM13="Likely",0, BM13="Confirmed",-10, TRUE,3)
  + IFERROR(_xlfn.XLOOKUP(BP13,'Lookup Tables'!$J$21:$J$24,'Lookup Tables'!$K$21:$K$24,0),0)
))</f>
        <v>3</v>
      </c>
      <c r="BT13" s="3"/>
      <c r="BU13" s="3"/>
      <c r="BV13" s="3"/>
      <c r="BW13" s="3"/>
      <c r="BX13" s="3"/>
      <c r="BY13" s="3"/>
      <c r="BZ13" s="3"/>
      <c r="CA13" s="3"/>
      <c r="CB13" s="3"/>
      <c r="CC13" s="3"/>
      <c r="CD13" s="3"/>
      <c r="CE13" s="44">
        <f t="array" ref="CE13">MIN(100, MAX(0,
  IF(ISNUMBER(BV13)*AND(BV13&gt;0), 10, 0)
  + _xlfn.IFS(BY13="Independently Verified",25, BY13="Yes",15, TRUE,0)
  + IFERROR(_xlfn.XLOOKUP(BZ13,'Lookup Tables'!$A$21:$A$24,'Lookup Tables'!$B$21:$B$24,0),0)
  + IFERROR(_xlfn.XLOOKUP(CA13,'Lookup Tables'!$D$21:$D$24,'Lookup Tables'!$E$21:$E$24,0),0)
  + _xlfn.IFS(ISNUMBER(CB13)*AND(CB13&gt;=11),15, ISNUMBER(CB13)*AND(CB13&gt;=6),10, ISNUMBER(CB13)*AND(CB13&gt;=1),5, TRUE,0)
  + IFERROR(_xlfn.XLOOKUP(CC13,'Lookup Tables'!$G$21:$G$25,'Lookup Tables'!$H$21:$H$25,0),0)
  - IF(ISNUMBER(BW13)*AND(ISNUMBER(BV13))*AND(BW13&gt;BV13), 20, 0)
  - IF(AND(BY13="Yes", ISNUMBER(BW13), BW13&gt;60), 10, 0)
))</f>
        <v>0</v>
      </c>
      <c r="CF13" s="3"/>
      <c r="CG13" s="3"/>
      <c r="CH13" s="3"/>
      <c r="CI13" s="3"/>
      <c r="CJ13" s="3"/>
      <c r="CK13" s="3"/>
      <c r="CL13" s="3"/>
      <c r="CM13" s="3"/>
      <c r="CN13" s="3"/>
      <c r="CO13" s="3"/>
      <c r="CP13" s="3"/>
      <c r="CQ13" s="3"/>
      <c r="CR13" s="3">
        <f t="shared" si="38"/>
        <v>0</v>
      </c>
      <c r="CS13" s="3">
        <f t="shared" si="39"/>
        <v>0</v>
      </c>
      <c r="CT13" s="3">
        <f t="shared" si="40"/>
        <v>0</v>
      </c>
      <c r="CU13" s="3">
        <f>MIN(100,
  CR13*15
  + CS13*6
  + CT13*3
  + IFERROR(_xlfn.XLOOKUP(CW13,'Lookup Tables'!$M$21:$M$25,'Lookup Tables'!$N$21:$N$25,0),0)
)</f>
        <v>0</v>
      </c>
      <c r="CV13" s="3" t="str">
        <f t="shared" si="41"/>
        <v>No failures</v>
      </c>
      <c r="CW13" s="3"/>
      <c r="CX13" s="3"/>
      <c r="CY13" s="3"/>
      <c r="CZ13" s="3"/>
      <c r="DA13" s="3" t="str">
        <f t="shared" si="42"/>
        <v>Yes</v>
      </c>
      <c r="DB13" s="3" t="str">
        <f t="shared" si="43"/>
        <v>No</v>
      </c>
      <c r="DC13" s="3"/>
      <c r="DD13" s="3"/>
      <c r="DE13" s="3"/>
      <c r="DF13" s="3"/>
      <c r="DG13" s="3"/>
      <c r="DH13" s="3"/>
      <c r="DI13" s="3"/>
      <c r="DJ13" s="3"/>
      <c r="DK13" s="3"/>
      <c r="DL13" s="3" t="str">
        <f t="shared" si="44"/>
        <v>Clear</v>
      </c>
      <c r="DM13" s="3" t="str">
        <f t="shared" si="45"/>
        <v>Yes</v>
      </c>
      <c r="DN13" s="3">
        <f t="array" ref="DN13">MIN(100,
  IF(ISNUMBER(V13), _xlfn.IFS(V13&gt;=3,25, V13=2,15, V13=1,5, TRUE,0), 0)
  + IFERROR(_xlfn.IFS(VALUE(LEFT(DF13,1))=5,25, VALUE(LEFT(DF13,1))=4,20, VALUE(LEFT(DF13,1))=3,15, VALUE(LEFT(DF13,1))=2,8, TRUE,0), 15)
  + IFERROR(_xlfn.IFS(VALUE(LEFT(DG13,1))=5,25, VALUE(LEFT(DG13,1))=4,20, VALUE(LEFT(DG13,1))=3,15, VALUE(LEFT(DG13,1))=2,8, TRUE,0), 15)
  + _xlfn.IFS(DH13="Fully Verified",25, DH13="Partially Verified",12, TRUE,0)
)</f>
        <v>30</v>
      </c>
      <c r="DO13" s="3" t="str">
        <f t="array" ref="DO13">_xlfn.IFS(
  ISBLANK(AR13), "Insufficient Evidence",
  AND(AR13&gt;=65, AJ13="Approved"), "Strong",
  AR13&gt;=65, "Adequate",
  AR13&gt;=40, "Adequate",
  AR13&gt;=20, "Weak",
  TRUE, "Insufficient Evidence"
)</f>
        <v>Insufficient Evidence</v>
      </c>
      <c r="DP13" s="3" t="str">
        <f t="array" ref="DP13">_xlfn.IFS(
  ISBLANK(BS13), "Insufficient Evidence",
  BS13&gt;=65, "Strong",
  BS13&gt;=40, "Adequate",
  BS13&gt;=20, "Weak",
  TRUE, "Insufficient Evidence"
)</f>
        <v>Insufficient Evidence</v>
      </c>
      <c r="DQ13" s="3" t="str">
        <f t="array" ref="DQ13">_xlfn.IFS(
  ISBLANK(BE13), "Insufficient Evidence",
  OR(AW13="Confirmed Violation", AX13="Confirmed Breach"), "Severe — Hard Trigger",
  BE13&gt;=65, "Strong",
  BE13&gt;=40, "Adequate",
  BE13&gt;=20, "Weak",
  TRUE, "Insufficient Evidence"
)</f>
        <v>Insufficient Evidence</v>
      </c>
      <c r="DR13" s="3" t="str">
        <f t="array" ref="DR13">_xlfn.IFS(
  ISBLANK(CU13), "Insufficient Evidence",
  CU13&lt;=20, "Low Risk",
  CU13&lt;=50, "Moderate Risk",
  CU13&lt;=75, "High Risk",
  TRUE, "Very High Risk"
)</f>
        <v>Low Risk</v>
      </c>
      <c r="DS13" s="3" t="str">
        <f t="array" ref="DS13">_xlfn.IFS(
  ISBLANK(CE13), "Insufficient Evidence",
  AND(ISNUMBER(BW13),ISNUMBER(BV13),BW13&gt;BV13), "Overclaiming Risk",
  CE13&gt;=65, "Strong",
  CE13&gt;=40, "Adequate",
  TRUE, "Weak"
)</f>
        <v>Weak</v>
      </c>
      <c r="DT13" s="3">
        <f t="shared" si="46"/>
        <v>11.7</v>
      </c>
      <c r="DU13" s="3" t="str">
        <f t="array" ref="DU13">_xlfn.IFS(
  DV13="Upgraded to Clear", "Clear",
  DV13="Downgraded to Watchlist", "Watchlist",
  DV13="Downgraded to Exclusion", "Exclusion Risk",
  DB13="Yes — Automatic", "Exclusion Risk",
  OR(AW13="Confirmed Violation", AX13="Confirmed Breach"), "Exclusion Risk",
  OR(V13=0, ISBLANK(V13), DN13&lt;20), "Insufficient Evidence",
  AND(DT13&gt;=65, DA13="No", DB13="No"), "Clear",
  OR(DT13&gt;=40, DA13="Yes"), "Watchlist",
  TRUE, "Exclusion Risk"
)</f>
        <v>Insufficient Evidence</v>
      </c>
      <c r="DV13" s="3"/>
      <c r="DW13" s="3" t="str">
        <f t="array" ref="DW13">_xlfn.IFS(
  DU13="Exclusion Risk", "Exclude — Hard Trigger",
  DU13="Insufficient Evidence", "Watchlist — Further Evidence Needed",
  DU13="Watchlist", "Watchlist — Further Evidence Needed",
  AND(DU13="Clear", DT13&gt;=80), "Include — No Conditions",
  DU13="Clear", "Include — Monitor",
  TRUE, "Watchlist — Further Evidence Needed"
)</f>
        <v>Watchlist — Further Evidence Needed</v>
      </c>
      <c r="DX13" s="3"/>
      <c r="DY13" s="3"/>
      <c r="DZ13" s="3"/>
      <c r="EA13" s="3"/>
      <c r="EB13" s="3" t="str">
        <f t="shared" si="47"/>
        <v>MISSING — No sources reviewed</v>
      </c>
      <c r="EC13" s="3" t="str">
        <f t="shared" si="48"/>
        <v/>
      </c>
    </row>
    <row r="14" spans="1:136" ht="18" customHeight="1" x14ac:dyDescent="0.15">
      <c r="A14" s="5" t="s">
        <v>320</v>
      </c>
      <c r="B14" s="5" t="s">
        <v>321</v>
      </c>
      <c r="C14" s="5" t="str">
        <f>IF(ISBLANK('Universe Tracker'!D10),"",'Universe Tracker'!D10)</f>
        <v>IT0003242622</v>
      </c>
      <c r="D14" s="5"/>
      <c r="E14" s="5"/>
      <c r="F14" s="5" t="str">
        <f>IF(ISBLANK('Universe Tracker'!F10),"",'Universe Tracker'!F10)</f>
        <v>Utilities</v>
      </c>
      <c r="G14" s="5" t="str">
        <f>IF(ISBLANK('Universe Tracker'!G10),"",'Universe Tracker'!G10)</f>
        <v>Utilities</v>
      </c>
      <c r="H14" s="5"/>
      <c r="I14" s="5"/>
      <c r="J14" s="5" t="str">
        <f t="shared" si="36"/>
        <v>UEI_IT0003242622</v>
      </c>
      <c r="K14" s="5"/>
      <c r="L14" s="5"/>
      <c r="M14" s="5"/>
      <c r="N14" s="5"/>
      <c r="O14" s="5"/>
      <c r="P14" s="5"/>
      <c r="Q14" s="5"/>
      <c r="R14" s="5"/>
      <c r="S14" s="5"/>
      <c r="T14" s="5"/>
      <c r="U14" s="5"/>
      <c r="V14" s="5"/>
      <c r="W14" s="5"/>
      <c r="X14" s="5"/>
      <c r="Y14" s="5" t="str">
        <f t="shared" si="37"/>
        <v>Insufficient</v>
      </c>
      <c r="Z14" s="5"/>
      <c r="AA14" s="5"/>
      <c r="AB14" s="5"/>
      <c r="AC14" s="5"/>
      <c r="AD14" s="5"/>
      <c r="AE14" s="5"/>
      <c r="AF14" s="5"/>
      <c r="AG14" s="5"/>
      <c r="AH14" s="5"/>
      <c r="AI14" s="5"/>
      <c r="AJ14" s="5"/>
      <c r="AK14" s="5"/>
      <c r="AL14" s="5"/>
      <c r="AM14" s="5"/>
      <c r="AN14" s="5"/>
      <c r="AO14" s="5"/>
      <c r="AP14" s="5"/>
      <c r="AQ14" s="5"/>
      <c r="AR14" s="40">
        <f t="array" ref="AR14">MIN(100, MAX(0,
  IFERROR(_xlfn.XLOOKUP(AJ14,'Lookup Tables'!$A$2:$A$7,'Lookup Tables'!$B$2:$B$7,0),0)
  + IF(Z14="Yes", IF(IFERROR(_xlfn.XLOOKUP(AJ14,'Lookup Tables'!$A$2:$A$7,'Lookup Tables'!$B$2:$B$7,0),0)&lt;20, 5, 0), 0)
  + _xlfn.IFS(AB14="Yes", IF(ISNUMBER(AC14)*AND(AC14&lt;=2030),15,10), AB14="Long-term Only", 5, AB14="No", 0, TRUE, 0)
  + _xlfn.IFS(AF14="Full",10, AF14="Partial",5, AF14="Scope 2 Only",3, TRUE,0)
  + _xlfn.IFS(AG14="Yes", IF(ISNUMBER(AH14)*AND(AH14&gt;=5),10,6), AG14="Partial",4, TRUE,0)
  + _xlfn.IFS(AI14="Yes",5, AI14="Partial (material categories only)",3, TRUE,0)
  + _xlfn.IFS(AL14="Yes — Detailed",10, AL14="Yes — High Level",5, TRUE,0)
  + _xlfn.IFS(AM14="Yes — Quantified",15, AM14="Yes — Directional Only",7, TRUE,0)
  + _xlfn.IFS(AP14="Formal",5, AP14="Referenced",2, TRUE,0)
  + _xlfn.IFS(AQ14="No Issues Found",5, AQ14="Concern Identified",-5, AQ14="Severe Contradiction",-15, TRUE,0)
  + _xlfn.IFS(BC14="Reasonable Assurance",5, BC14="Limited Assurance",3, TRUE,0)
  - IF(AND(Z14="Yes", AI14="No"), 10, 0)
  - IF(AND(Z14="Yes", AM14="No"), 10, 0)
))</f>
        <v>0</v>
      </c>
      <c r="AS14" s="5"/>
      <c r="AT14" s="5"/>
      <c r="AU14" s="5"/>
      <c r="AV14" s="5"/>
      <c r="AW14" s="5"/>
      <c r="AX14" s="5"/>
      <c r="AY14" s="5"/>
      <c r="AZ14" s="5"/>
      <c r="BA14" s="5"/>
      <c r="BB14" s="5"/>
      <c r="BC14" s="5"/>
      <c r="BD14" s="5"/>
      <c r="BE14" s="39">
        <f t="array" ref="BE14">MIN(100, MAX(0,
  IFERROR(_xlfn.XLOOKUP(AT14,'Lookup Tables'!$D$2:$D$6,'Lookup Tables'!$E$2:$E$6,0),0)
  + IFERROR(_xlfn.XLOOKUP(AV14,'Lookup Tables'!$G$2:$G$5,'Lookup Tables'!$H$2:$H$5,0),0)
  + IFERROR(_xlfn.XLOOKUP(AW14,'Lookup Tables'!$J$2:$J$5,'Lookup Tables'!$K$2:$K$5,0),0)
  + _xlfn.IFS(AX14="No Issues",10, AX14="Complaint Filed",3, AX14="Confirmed Breach",-15, TRUE,0)
  + IFERROR(_xlfn.XLOOKUP(AY14,'Lookup Tables'!$M$2:$M$6,'Lookup Tables'!$N$2:$N$6,0),0)
  + IFERROR(_xlfn.XLOOKUP(AZ14,'Lookup Tables'!$P$2:$P$6,'Lookup Tables'!$Q$2:$Q$6,0),0)
  + _xlfn.IFS(BA14="Formal Board Committee",5, BA14="Board Oversight Mentioned",2, TRUE,0)
  + _xlfn.IFS(BB14="Yes — Quantified Targets",5, BB14="Yes — Discretionary Only",2, TRUE,0)
  + _xlfn.IFS(BC14="Reasonable Assurance",5, BC14="Limited Assurance",3, BC14="Management Review Only",1, TRUE,0)
))</f>
        <v>0</v>
      </c>
      <c r="BF14" s="5"/>
      <c r="BG14" s="5"/>
      <c r="BH14" s="5"/>
      <c r="BI14" s="5"/>
      <c r="BJ14" s="5"/>
      <c r="BK14" s="5"/>
      <c r="BL14" s="5"/>
      <c r="BM14" s="5"/>
      <c r="BN14" s="5"/>
      <c r="BO14" s="5"/>
      <c r="BP14" s="5"/>
      <c r="BQ14" s="5"/>
      <c r="BR14" s="5"/>
      <c r="BS14" s="41">
        <f t="array" ref="BS14">MIN(100, MAX(0,
  IFERROR(_xlfn.XLOOKUP(BG14,'Lookup Tables'!$A$11:$A$16,'Lookup Tables'!$B$11:$B$16,0),0)
  + IFERROR(_xlfn.XLOOKUP(BR14,'Lookup Tables'!$M$11:$M$14,'Lookup Tables'!$N$11:$N$14,0),0)
  + IFERROR(_xlfn.XLOOKUP(BQ14,'Lookup Tables'!$J$11:$J$15,'Lookup Tables'!$K$11:$K$15,0),0)
  + IFERROR(_xlfn.XLOOKUP(BH14,'Lookup Tables'!$D$11:$D$15,'Lookup Tables'!$E$11:$E$15,0),0)
  + IFERROR(_xlfn.XLOOKUP(BJ14,'Lookup Tables'!$G$11:$G$16,'Lookup Tables'!$H$11:$H$16,0),0)
  + IFERROR(_xlfn.XLOOKUP(BN14,'Lookup Tables'!$P$11:$P$15,'Lookup Tables'!$Q$11:$Q$15,0),0)
  + _xlfn.IFS(BM14="No Evidence",10, BM14="Unknown",3, BM14="Likely",0, BM14="Confirmed",-10, TRUE,3)
  + IFERROR(_xlfn.XLOOKUP(BP14,'Lookup Tables'!$J$21:$J$24,'Lookup Tables'!$K$21:$K$24,0),0)
))</f>
        <v>3</v>
      </c>
      <c r="BT14" s="5"/>
      <c r="BU14" s="5"/>
      <c r="BV14" s="5"/>
      <c r="BW14" s="5"/>
      <c r="BX14" s="5"/>
      <c r="BY14" s="5"/>
      <c r="BZ14" s="5"/>
      <c r="CA14" s="5"/>
      <c r="CB14" s="5"/>
      <c r="CC14" s="5"/>
      <c r="CD14" s="5"/>
      <c r="CE14" s="43">
        <f t="array" ref="CE14">MIN(100, MAX(0,
  IF(ISNUMBER(BV14)*AND(BV14&gt;0), 10, 0)
  + _xlfn.IFS(BY14="Independently Verified",25, BY14="Yes",15, TRUE,0)
  + IFERROR(_xlfn.XLOOKUP(BZ14,'Lookup Tables'!$A$21:$A$24,'Lookup Tables'!$B$21:$B$24,0),0)
  + IFERROR(_xlfn.XLOOKUP(CA14,'Lookup Tables'!$D$21:$D$24,'Lookup Tables'!$E$21:$E$24,0),0)
  + _xlfn.IFS(ISNUMBER(CB14)*AND(CB14&gt;=11),15, ISNUMBER(CB14)*AND(CB14&gt;=6),10, ISNUMBER(CB14)*AND(CB14&gt;=1),5, TRUE,0)
  + IFERROR(_xlfn.XLOOKUP(CC14,'Lookup Tables'!$G$21:$G$25,'Lookup Tables'!$H$21:$H$25,0),0)
  - IF(ISNUMBER(BW14)*AND(ISNUMBER(BV14))*AND(BW14&gt;BV14), 20, 0)
  - IF(AND(BY14="Yes", ISNUMBER(BW14), BW14&gt;60), 10, 0)
))</f>
        <v>0</v>
      </c>
      <c r="CF14" s="5"/>
      <c r="CG14" s="5"/>
      <c r="CH14" s="5"/>
      <c r="CI14" s="5"/>
      <c r="CJ14" s="5"/>
      <c r="CK14" s="5"/>
      <c r="CL14" s="5"/>
      <c r="CM14" s="5"/>
      <c r="CN14" s="5"/>
      <c r="CO14" s="5"/>
      <c r="CP14" s="5"/>
      <c r="CQ14" s="5"/>
      <c r="CR14" s="5">
        <f t="shared" si="38"/>
        <v>0</v>
      </c>
      <c r="CS14" s="5">
        <f t="shared" si="39"/>
        <v>0</v>
      </c>
      <c r="CT14" s="5">
        <f t="shared" si="40"/>
        <v>0</v>
      </c>
      <c r="CU14" s="5">
        <f>MIN(100,
  CR14*15
  + CS14*6
  + CT14*3
  + IFERROR(_xlfn.XLOOKUP(CW14,'Lookup Tables'!$M$21:$M$25,'Lookup Tables'!$N$21:$N$25,0),0)
)</f>
        <v>0</v>
      </c>
      <c r="CV14" s="5" t="str">
        <f t="shared" si="41"/>
        <v>No failures</v>
      </c>
      <c r="CW14" s="5"/>
      <c r="CX14" s="5"/>
      <c r="CY14" s="5"/>
      <c r="CZ14" s="5"/>
      <c r="DA14" s="5" t="str">
        <f t="shared" si="42"/>
        <v>Yes</v>
      </c>
      <c r="DB14" s="5" t="str">
        <f t="shared" si="43"/>
        <v>No</v>
      </c>
      <c r="DC14" s="5"/>
      <c r="DD14" s="5"/>
      <c r="DE14" s="5"/>
      <c r="DF14" s="5"/>
      <c r="DG14" s="5"/>
      <c r="DH14" s="5"/>
      <c r="DI14" s="5"/>
      <c r="DJ14" s="5"/>
      <c r="DK14" s="5"/>
      <c r="DL14" s="5" t="str">
        <f t="shared" si="44"/>
        <v>Clear</v>
      </c>
      <c r="DM14" s="5" t="str">
        <f t="shared" si="45"/>
        <v>Yes</v>
      </c>
      <c r="DN14" s="5">
        <f t="array" ref="DN14">MIN(100,
  IF(ISNUMBER(V14), _xlfn.IFS(V14&gt;=3,25, V14=2,15, V14=1,5, TRUE,0), 0)
  + IFERROR(_xlfn.IFS(VALUE(LEFT(DF14,1))=5,25, VALUE(LEFT(DF14,1))=4,20, VALUE(LEFT(DF14,1))=3,15, VALUE(LEFT(DF14,1))=2,8, TRUE,0), 15)
  + IFERROR(_xlfn.IFS(VALUE(LEFT(DG14,1))=5,25, VALUE(LEFT(DG14,1))=4,20, VALUE(LEFT(DG14,1))=3,15, VALUE(LEFT(DG14,1))=2,8, TRUE,0), 15)
  + _xlfn.IFS(DH14="Fully Verified",25, DH14="Partially Verified",12, TRUE,0)
)</f>
        <v>30</v>
      </c>
      <c r="DO14" s="5" t="str">
        <f t="array" ref="DO14">_xlfn.IFS(
  ISBLANK(AR14), "Insufficient Evidence",
  AND(AR14&gt;=65, AJ14="Approved"), "Strong",
  AR14&gt;=65, "Adequate",
  AR14&gt;=40, "Adequate",
  AR14&gt;=20, "Weak",
  TRUE, "Insufficient Evidence"
)</f>
        <v>Insufficient Evidence</v>
      </c>
      <c r="DP14" s="5" t="str">
        <f t="array" ref="DP14">_xlfn.IFS(
  ISBLANK(BS14), "Insufficient Evidence",
  BS14&gt;=65, "Strong",
  BS14&gt;=40, "Adequate",
  BS14&gt;=20, "Weak",
  TRUE, "Insufficient Evidence"
)</f>
        <v>Insufficient Evidence</v>
      </c>
      <c r="DQ14" s="5" t="str">
        <f t="array" ref="DQ14">_xlfn.IFS(
  ISBLANK(BE14), "Insufficient Evidence",
  OR(AW14="Confirmed Violation", AX14="Confirmed Breach"), "Severe — Hard Trigger",
  BE14&gt;=65, "Strong",
  BE14&gt;=40, "Adequate",
  BE14&gt;=20, "Weak",
  TRUE, "Insufficient Evidence"
)</f>
        <v>Insufficient Evidence</v>
      </c>
      <c r="DR14" s="5" t="str">
        <f t="array" ref="DR14">_xlfn.IFS(
  ISBLANK(CU14), "Insufficient Evidence",
  CU14&lt;=20, "Low Risk",
  CU14&lt;=50, "Moderate Risk",
  CU14&lt;=75, "High Risk",
  TRUE, "Very High Risk"
)</f>
        <v>Low Risk</v>
      </c>
      <c r="DS14" s="5" t="str">
        <f t="array" ref="DS14">_xlfn.IFS(
  ISBLANK(CE14), "Insufficient Evidence",
  AND(ISNUMBER(BW14),ISNUMBER(BV14),BW14&gt;BV14), "Overclaiming Risk",
  CE14&gt;=65, "Strong",
  CE14&gt;=40, "Adequate",
  TRUE, "Weak"
)</f>
        <v>Weak</v>
      </c>
      <c r="DT14" s="5">
        <f t="shared" si="46"/>
        <v>11.7</v>
      </c>
      <c r="DU14" s="5" t="str">
        <f t="array" ref="DU14">_xlfn.IFS(
  DV14="Upgraded to Clear", "Clear",
  DV14="Downgraded to Watchlist", "Watchlist",
  DV14="Downgraded to Exclusion", "Exclusion Risk",
  DB14="Yes — Automatic", "Exclusion Risk",
  OR(AW14="Confirmed Violation", AX14="Confirmed Breach"), "Exclusion Risk",
  OR(V14=0, ISBLANK(V14), DN14&lt;20), "Insufficient Evidence",
  AND(DT14&gt;=65, DA14="No", DB14="No"), "Clear",
  OR(DT14&gt;=40, DA14="Yes"), "Watchlist",
  TRUE, "Exclusion Risk"
)</f>
        <v>Insufficient Evidence</v>
      </c>
      <c r="DV14" s="5"/>
      <c r="DW14" s="5" t="str">
        <f t="array" ref="DW14">_xlfn.IFS(
  DU14="Exclusion Risk", "Exclude — Hard Trigger",
  DU14="Insufficient Evidence", "Watchlist — Further Evidence Needed",
  DU14="Watchlist", "Watchlist — Further Evidence Needed",
  AND(DU14="Clear", DT14&gt;=80), "Include — No Conditions",
  DU14="Clear", "Include — Monitor",
  TRUE, "Watchlist — Further Evidence Needed"
)</f>
        <v>Watchlist — Further Evidence Needed</v>
      </c>
      <c r="DX14" s="5"/>
      <c r="DY14" s="5"/>
      <c r="DZ14" s="5"/>
      <c r="EA14" s="5"/>
      <c r="EB14" s="5" t="str">
        <f t="shared" si="47"/>
        <v>MISSING — No sources reviewed</v>
      </c>
      <c r="EC14" s="5" t="str">
        <f t="shared" si="48"/>
        <v/>
      </c>
    </row>
    <row r="15" spans="1:136" ht="18" customHeight="1" x14ac:dyDescent="0.15">
      <c r="A15" s="3" t="s">
        <v>324</v>
      </c>
      <c r="B15" s="3" t="s">
        <v>325</v>
      </c>
      <c r="C15" s="3" t="str">
        <f>IF(ISBLANK('Universe Tracker'!D11),"",'Universe Tracker'!D11)</f>
        <v>GB00BM8PJY71</v>
      </c>
      <c r="D15" s="3"/>
      <c r="E15" s="3"/>
      <c r="F15" s="3" t="str">
        <f>IF(ISBLANK('Universe Tracker'!F11),"",'Universe Tracker'!F11)</f>
        <v>Financials</v>
      </c>
      <c r="G15" s="3" t="str">
        <f>IF(ISBLANK('Universe Tracker'!G11),"",'Universe Tracker'!G11)</f>
        <v>Banking</v>
      </c>
      <c r="H15" s="3"/>
      <c r="I15" s="3"/>
      <c r="J15" s="3" t="str">
        <f t="shared" si="36"/>
        <v>RYSD_GB00BM8PJY71</v>
      </c>
      <c r="K15" s="3"/>
      <c r="L15" s="3"/>
      <c r="M15" s="3"/>
      <c r="N15" s="3"/>
      <c r="O15" s="3"/>
      <c r="P15" s="3"/>
      <c r="Q15" s="3"/>
      <c r="R15" s="3"/>
      <c r="S15" s="3"/>
      <c r="T15" s="3"/>
      <c r="U15" s="3"/>
      <c r="V15" s="3"/>
      <c r="W15" s="3"/>
      <c r="X15" s="3"/>
      <c r="Y15" s="3" t="str">
        <f t="shared" si="37"/>
        <v>Insufficient</v>
      </c>
      <c r="Z15" s="3"/>
      <c r="AA15" s="3"/>
      <c r="AB15" s="3"/>
      <c r="AC15" s="3"/>
      <c r="AD15" s="3"/>
      <c r="AE15" s="3"/>
      <c r="AF15" s="3"/>
      <c r="AG15" s="3"/>
      <c r="AH15" s="3"/>
      <c r="AI15" s="3"/>
      <c r="AJ15" s="3"/>
      <c r="AK15" s="3"/>
      <c r="AL15" s="3"/>
      <c r="AM15" s="3"/>
      <c r="AN15" s="3"/>
      <c r="AO15" s="3"/>
      <c r="AP15" s="3"/>
      <c r="AQ15" s="3"/>
      <c r="AR15" s="40">
        <f t="array" ref="AR15">MIN(100, MAX(0,
  IFERROR(_xlfn.XLOOKUP(AJ15,'Lookup Tables'!$A$2:$A$7,'Lookup Tables'!$B$2:$B$7,0),0)
  + IF(Z15="Yes", IF(IFERROR(_xlfn.XLOOKUP(AJ15,'Lookup Tables'!$A$2:$A$7,'Lookup Tables'!$B$2:$B$7,0),0)&lt;20, 5, 0), 0)
  + _xlfn.IFS(AB15="Yes", IF(ISNUMBER(AC15)*AND(AC15&lt;=2030),15,10), AB15="Long-term Only", 5, AB15="No", 0, TRUE, 0)
  + _xlfn.IFS(AF15="Full",10, AF15="Partial",5, AF15="Scope 2 Only",3, TRUE,0)
  + _xlfn.IFS(AG15="Yes", IF(ISNUMBER(AH15)*AND(AH15&gt;=5),10,6), AG15="Partial",4, TRUE,0)
  + _xlfn.IFS(AI15="Yes",5, AI15="Partial (material categories only)",3, TRUE,0)
  + _xlfn.IFS(AL15="Yes — Detailed",10, AL15="Yes — High Level",5, TRUE,0)
  + _xlfn.IFS(AM15="Yes — Quantified",15, AM15="Yes — Directional Only",7, TRUE,0)
  + _xlfn.IFS(AP15="Formal",5, AP15="Referenced",2, TRUE,0)
  + _xlfn.IFS(AQ15="No Issues Found",5, AQ15="Concern Identified",-5, AQ15="Severe Contradiction",-15, TRUE,0)
  + _xlfn.IFS(BC15="Reasonable Assurance",5, BC15="Limited Assurance",3, TRUE,0)
  - IF(AND(Z15="Yes", AI15="No"), 10, 0)
  - IF(AND(Z15="Yes", AM15="No"), 10, 0)
))</f>
        <v>0</v>
      </c>
      <c r="AS15" s="3"/>
      <c r="AT15" s="3"/>
      <c r="AU15" s="3"/>
      <c r="AV15" s="3"/>
      <c r="AW15" s="3"/>
      <c r="AX15" s="3"/>
      <c r="AY15" s="3"/>
      <c r="AZ15" s="3"/>
      <c r="BA15" s="3"/>
      <c r="BB15" s="3"/>
      <c r="BC15" s="3"/>
      <c r="BD15" s="3"/>
      <c r="BE15" s="40">
        <f t="array" ref="BE15">MIN(100, MAX(0,
  IFERROR(_xlfn.XLOOKUP(AT15,'Lookup Tables'!$D$2:$D$6,'Lookup Tables'!$E$2:$E$6,0),0)
  + IFERROR(_xlfn.XLOOKUP(AV15,'Lookup Tables'!$G$2:$G$5,'Lookup Tables'!$H$2:$H$5,0),0)
  + IFERROR(_xlfn.XLOOKUP(AW15,'Lookup Tables'!$J$2:$J$5,'Lookup Tables'!$K$2:$K$5,0),0)
  + _xlfn.IFS(AX15="No Issues",10, AX15="Complaint Filed",3, AX15="Confirmed Breach",-15, TRUE,0)
  + IFERROR(_xlfn.XLOOKUP(AY15,'Lookup Tables'!$M$2:$M$6,'Lookup Tables'!$N$2:$N$6,0),0)
  + IFERROR(_xlfn.XLOOKUP(AZ15,'Lookup Tables'!$P$2:$P$6,'Lookup Tables'!$Q$2:$Q$6,0),0)
  + _xlfn.IFS(BA15="Formal Board Committee",5, BA15="Board Oversight Mentioned",2, TRUE,0)
  + _xlfn.IFS(BB15="Yes — Quantified Targets",5, BB15="Yes — Discretionary Only",2, TRUE,0)
  + _xlfn.IFS(BC15="Reasonable Assurance",5, BC15="Limited Assurance",3, BC15="Management Review Only",1, TRUE,0)
))</f>
        <v>0</v>
      </c>
      <c r="BF15" s="3"/>
      <c r="BG15" s="3"/>
      <c r="BH15" s="3"/>
      <c r="BI15" s="3"/>
      <c r="BJ15" s="3"/>
      <c r="BK15" s="3"/>
      <c r="BL15" s="3"/>
      <c r="BM15" s="3"/>
      <c r="BN15" s="3"/>
      <c r="BO15" s="3"/>
      <c r="BP15" s="3"/>
      <c r="BQ15" s="3"/>
      <c r="BR15" s="3"/>
      <c r="BS15" s="42">
        <f t="array" ref="BS15">MIN(100, MAX(0,
  IFERROR(_xlfn.XLOOKUP(BG15,'Lookup Tables'!$A$11:$A$16,'Lookup Tables'!$B$11:$B$16,0),0)
  + IFERROR(_xlfn.XLOOKUP(BR15,'Lookup Tables'!$M$11:$M$14,'Lookup Tables'!$N$11:$N$14,0),0)
  + IFERROR(_xlfn.XLOOKUP(BQ15,'Lookup Tables'!$J$11:$J$15,'Lookup Tables'!$K$11:$K$15,0),0)
  + IFERROR(_xlfn.XLOOKUP(BH15,'Lookup Tables'!$D$11:$D$15,'Lookup Tables'!$E$11:$E$15,0),0)
  + IFERROR(_xlfn.XLOOKUP(BJ15,'Lookup Tables'!$G$11:$G$16,'Lookup Tables'!$H$11:$H$16,0),0)
  + IFERROR(_xlfn.XLOOKUP(BN15,'Lookup Tables'!$P$11:$P$15,'Lookup Tables'!$Q$11:$Q$15,0),0)
  + _xlfn.IFS(BM15="No Evidence",10, BM15="Unknown",3, BM15="Likely",0, BM15="Confirmed",-10, TRUE,3)
  + IFERROR(_xlfn.XLOOKUP(BP15,'Lookup Tables'!$J$21:$J$24,'Lookup Tables'!$K$21:$K$24,0),0)
))</f>
        <v>3</v>
      </c>
      <c r="BT15" s="3"/>
      <c r="BU15" s="3"/>
      <c r="BV15" s="3"/>
      <c r="BW15" s="3"/>
      <c r="BX15" s="3"/>
      <c r="BY15" s="3"/>
      <c r="BZ15" s="3"/>
      <c r="CA15" s="3"/>
      <c r="CB15" s="3"/>
      <c r="CC15" s="3"/>
      <c r="CD15" s="3"/>
      <c r="CE15" s="44">
        <f t="array" ref="CE15">MIN(100, MAX(0,
  IF(ISNUMBER(BV15)*AND(BV15&gt;0), 10, 0)
  + _xlfn.IFS(BY15="Independently Verified",25, BY15="Yes",15, TRUE,0)
  + IFERROR(_xlfn.XLOOKUP(BZ15,'Lookup Tables'!$A$21:$A$24,'Lookup Tables'!$B$21:$B$24,0),0)
  + IFERROR(_xlfn.XLOOKUP(CA15,'Lookup Tables'!$D$21:$D$24,'Lookup Tables'!$E$21:$E$24,0),0)
  + _xlfn.IFS(ISNUMBER(CB15)*AND(CB15&gt;=11),15, ISNUMBER(CB15)*AND(CB15&gt;=6),10, ISNUMBER(CB15)*AND(CB15&gt;=1),5, TRUE,0)
  + IFERROR(_xlfn.XLOOKUP(CC15,'Lookup Tables'!$G$21:$G$25,'Lookup Tables'!$H$21:$H$25,0),0)
  - IF(ISNUMBER(BW15)*AND(ISNUMBER(BV15))*AND(BW15&gt;BV15), 20, 0)
  - IF(AND(BY15="Yes", ISNUMBER(BW15), BW15&gt;60), 10, 0)
))</f>
        <v>0</v>
      </c>
      <c r="CF15" s="3"/>
      <c r="CG15" s="3"/>
      <c r="CH15" s="3"/>
      <c r="CI15" s="3"/>
      <c r="CJ15" s="3"/>
      <c r="CK15" s="3"/>
      <c r="CL15" s="3"/>
      <c r="CM15" s="3"/>
      <c r="CN15" s="3"/>
      <c r="CO15" s="3"/>
      <c r="CP15" s="3"/>
      <c r="CQ15" s="3"/>
      <c r="CR15" s="3">
        <f t="shared" si="38"/>
        <v>0</v>
      </c>
      <c r="CS15" s="3">
        <f t="shared" si="39"/>
        <v>0</v>
      </c>
      <c r="CT15" s="3">
        <f t="shared" si="40"/>
        <v>0</v>
      </c>
      <c r="CU15" s="3">
        <f>MIN(100,
  CR15*15
  + CS15*6
  + CT15*3
  + IFERROR(_xlfn.XLOOKUP(CW15,'Lookup Tables'!$M$21:$M$25,'Lookup Tables'!$N$21:$N$25,0),0)
)</f>
        <v>0</v>
      </c>
      <c r="CV15" s="3" t="str">
        <f t="shared" si="41"/>
        <v>No failures</v>
      </c>
      <c r="CW15" s="3"/>
      <c r="CX15" s="3"/>
      <c r="CY15" s="3"/>
      <c r="CZ15" s="3"/>
      <c r="DA15" s="3" t="str">
        <f t="shared" si="42"/>
        <v>Yes</v>
      </c>
      <c r="DB15" s="3" t="str">
        <f t="shared" si="43"/>
        <v>No</v>
      </c>
      <c r="DC15" s="3"/>
      <c r="DD15" s="3"/>
      <c r="DE15" s="3"/>
      <c r="DF15" s="3"/>
      <c r="DG15" s="3"/>
      <c r="DH15" s="3"/>
      <c r="DI15" s="3"/>
      <c r="DJ15" s="3"/>
      <c r="DK15" s="3"/>
      <c r="DL15" s="3" t="str">
        <f t="shared" si="44"/>
        <v>Clear</v>
      </c>
      <c r="DM15" s="3" t="str">
        <f t="shared" si="45"/>
        <v>Yes</v>
      </c>
      <c r="DN15" s="3">
        <f t="array" ref="DN15">MIN(100,
  IF(ISNUMBER(V15), _xlfn.IFS(V15&gt;=3,25, V15=2,15, V15=1,5, TRUE,0), 0)
  + IFERROR(_xlfn.IFS(VALUE(LEFT(DF15,1))=5,25, VALUE(LEFT(DF15,1))=4,20, VALUE(LEFT(DF15,1))=3,15, VALUE(LEFT(DF15,1))=2,8, TRUE,0), 15)
  + IFERROR(_xlfn.IFS(VALUE(LEFT(DG15,1))=5,25, VALUE(LEFT(DG15,1))=4,20, VALUE(LEFT(DG15,1))=3,15, VALUE(LEFT(DG15,1))=2,8, TRUE,0), 15)
  + _xlfn.IFS(DH15="Fully Verified",25, DH15="Partially Verified",12, TRUE,0)
)</f>
        <v>30</v>
      </c>
      <c r="DO15" s="3" t="str">
        <f t="array" ref="DO15">_xlfn.IFS(
  ISBLANK(AR15), "Insufficient Evidence",
  AND(AR15&gt;=65, AJ15="Approved"), "Strong",
  AR15&gt;=65, "Adequate",
  AR15&gt;=40, "Adequate",
  AR15&gt;=20, "Weak",
  TRUE, "Insufficient Evidence"
)</f>
        <v>Insufficient Evidence</v>
      </c>
      <c r="DP15" s="3" t="str">
        <f t="array" ref="DP15">_xlfn.IFS(
  ISBLANK(BS15), "Insufficient Evidence",
  BS15&gt;=65, "Strong",
  BS15&gt;=40, "Adequate",
  BS15&gt;=20, "Weak",
  TRUE, "Insufficient Evidence"
)</f>
        <v>Insufficient Evidence</v>
      </c>
      <c r="DQ15" s="3" t="str">
        <f t="array" ref="DQ15">_xlfn.IFS(
  ISBLANK(BE15), "Insufficient Evidence",
  OR(AW15="Confirmed Violation", AX15="Confirmed Breach"), "Severe — Hard Trigger",
  BE15&gt;=65, "Strong",
  BE15&gt;=40, "Adequate",
  BE15&gt;=20, "Weak",
  TRUE, "Insufficient Evidence"
)</f>
        <v>Insufficient Evidence</v>
      </c>
      <c r="DR15" s="3" t="str">
        <f t="array" ref="DR15">_xlfn.IFS(
  ISBLANK(CU15), "Insufficient Evidence",
  CU15&lt;=20, "Low Risk",
  CU15&lt;=50, "Moderate Risk",
  CU15&lt;=75, "High Risk",
  TRUE, "Very High Risk"
)</f>
        <v>Low Risk</v>
      </c>
      <c r="DS15" s="3" t="str">
        <f t="array" ref="DS15">_xlfn.IFS(
  ISBLANK(CE15), "Insufficient Evidence",
  AND(ISNUMBER(BW15),ISNUMBER(BV15),BW15&gt;BV15), "Overclaiming Risk",
  CE15&gt;=65, "Strong",
  CE15&gt;=40, "Adequate",
  TRUE, "Weak"
)</f>
        <v>Weak</v>
      </c>
      <c r="DT15" s="3">
        <f t="shared" si="46"/>
        <v>11.7</v>
      </c>
      <c r="DU15" s="3" t="str">
        <f t="array" ref="DU15">_xlfn.IFS(
  DV15="Upgraded to Clear", "Clear",
  DV15="Downgraded to Watchlist", "Watchlist",
  DV15="Downgraded to Exclusion", "Exclusion Risk",
  DB15="Yes — Automatic", "Exclusion Risk",
  OR(AW15="Confirmed Violation", AX15="Confirmed Breach"), "Exclusion Risk",
  OR(V15=0, ISBLANK(V15), DN15&lt;20), "Insufficient Evidence",
  AND(DT15&gt;=65, DA15="No", DB15="No"), "Clear",
  OR(DT15&gt;=40, DA15="Yes"), "Watchlist",
  TRUE, "Exclusion Risk"
)</f>
        <v>Insufficient Evidence</v>
      </c>
      <c r="DV15" s="3"/>
      <c r="DW15" s="3" t="str">
        <f t="array" ref="DW15">_xlfn.IFS(
  DU15="Exclusion Risk", "Exclude — Hard Trigger",
  DU15="Insufficient Evidence", "Watchlist — Further Evidence Needed",
  DU15="Watchlist", "Watchlist — Further Evidence Needed",
  AND(DU15="Clear", DT15&gt;=80), "Include — No Conditions",
  DU15="Clear", "Include — Monitor",
  TRUE, "Watchlist — Further Evidence Needed"
)</f>
        <v>Watchlist — Further Evidence Needed</v>
      </c>
      <c r="DX15" s="3"/>
      <c r="DY15" s="3"/>
      <c r="DZ15" s="3"/>
      <c r="EA15" s="3"/>
      <c r="EB15" s="3" t="str">
        <f t="shared" si="47"/>
        <v>MISSING — No sources reviewed</v>
      </c>
      <c r="EC15" s="3" t="str">
        <f t="shared" si="48"/>
        <v/>
      </c>
    </row>
    <row r="16" spans="1:136" ht="18" customHeight="1" x14ac:dyDescent="0.15">
      <c r="A16" s="5" t="s">
        <v>330</v>
      </c>
      <c r="B16" s="5" t="s">
        <v>331</v>
      </c>
      <c r="C16" s="5" t="str">
        <f>IF(ISBLANK('Universe Tracker'!D12),"",'Universe Tracker'!D12)</f>
        <v>FI0009003727</v>
      </c>
      <c r="D16" s="5"/>
      <c r="E16" s="5"/>
      <c r="F16" s="5" t="str">
        <f>IF(ISBLANK('Universe Tracker'!F12),"",'Universe Tracker'!F12)</f>
        <v>Industrials</v>
      </c>
      <c r="G16" s="5" t="str">
        <f>IF(ISBLANK('Universe Tracker'!G12),"",'Universe Tracker'!G12)</f>
        <v>Industrial Products</v>
      </c>
      <c r="H16" s="5"/>
      <c r="I16" s="5"/>
      <c r="J16" s="5" t="str">
        <f t="shared" si="36"/>
        <v>MTA_FI0009003727</v>
      </c>
      <c r="K16" s="5"/>
      <c r="L16" s="5"/>
      <c r="M16" s="5"/>
      <c r="N16" s="5"/>
      <c r="O16" s="5"/>
      <c r="P16" s="5"/>
      <c r="Q16" s="5"/>
      <c r="R16" s="5"/>
      <c r="S16" s="5"/>
      <c r="T16" s="5"/>
      <c r="U16" s="5"/>
      <c r="V16" s="5"/>
      <c r="W16" s="5"/>
      <c r="X16" s="5"/>
      <c r="Y16" s="5" t="str">
        <f t="shared" si="37"/>
        <v>Insufficient</v>
      </c>
      <c r="Z16" s="5"/>
      <c r="AA16" s="5"/>
      <c r="AB16" s="5"/>
      <c r="AC16" s="5"/>
      <c r="AD16" s="5"/>
      <c r="AE16" s="5"/>
      <c r="AF16" s="5"/>
      <c r="AG16" s="5"/>
      <c r="AH16" s="5"/>
      <c r="AI16" s="5"/>
      <c r="AJ16" s="5"/>
      <c r="AK16" s="5"/>
      <c r="AL16" s="5"/>
      <c r="AM16" s="5"/>
      <c r="AN16" s="5"/>
      <c r="AO16" s="5"/>
      <c r="AP16" s="5"/>
      <c r="AQ16" s="5"/>
      <c r="AR16" s="40">
        <f t="array" ref="AR16">MIN(100, MAX(0,
  IFERROR(_xlfn.XLOOKUP(AJ16,'Lookup Tables'!$A$2:$A$7,'Lookup Tables'!$B$2:$B$7,0),0)
  + IF(Z16="Yes", IF(IFERROR(_xlfn.XLOOKUP(AJ16,'Lookup Tables'!$A$2:$A$7,'Lookup Tables'!$B$2:$B$7,0),0)&lt;20, 5, 0), 0)
  + _xlfn.IFS(AB16="Yes", IF(ISNUMBER(AC16)*AND(AC16&lt;=2030),15,10), AB16="Long-term Only", 5, AB16="No", 0, TRUE, 0)
  + _xlfn.IFS(AF16="Full",10, AF16="Partial",5, AF16="Scope 2 Only",3, TRUE,0)
  + _xlfn.IFS(AG16="Yes", IF(ISNUMBER(AH16)*AND(AH16&gt;=5),10,6), AG16="Partial",4, TRUE,0)
  + _xlfn.IFS(AI16="Yes",5, AI16="Partial (material categories only)",3, TRUE,0)
  + _xlfn.IFS(AL16="Yes — Detailed",10, AL16="Yes — High Level",5, TRUE,0)
  + _xlfn.IFS(AM16="Yes — Quantified",15, AM16="Yes — Directional Only",7, TRUE,0)
  + _xlfn.IFS(AP16="Formal",5, AP16="Referenced",2, TRUE,0)
  + _xlfn.IFS(AQ16="No Issues Found",5, AQ16="Concern Identified",-5, AQ16="Severe Contradiction",-15, TRUE,0)
  + _xlfn.IFS(BC16="Reasonable Assurance",5, BC16="Limited Assurance",3, TRUE,0)
  - IF(AND(Z16="Yes", AI16="No"), 10, 0)
  - IF(AND(Z16="Yes", AM16="No"), 10, 0)
))</f>
        <v>0</v>
      </c>
      <c r="AS16" s="5"/>
      <c r="AT16" s="5"/>
      <c r="AU16" s="5"/>
      <c r="AV16" s="5"/>
      <c r="AW16" s="5"/>
      <c r="AX16" s="5"/>
      <c r="AY16" s="5"/>
      <c r="AZ16" s="5"/>
      <c r="BA16" s="5"/>
      <c r="BB16" s="5"/>
      <c r="BC16" s="5"/>
      <c r="BD16" s="5"/>
      <c r="BE16" s="39">
        <f t="array" ref="BE16">MIN(100, MAX(0,
  IFERROR(_xlfn.XLOOKUP(AT16,'Lookup Tables'!$D$2:$D$6,'Lookup Tables'!$E$2:$E$6,0),0)
  + IFERROR(_xlfn.XLOOKUP(AV16,'Lookup Tables'!$G$2:$G$5,'Lookup Tables'!$H$2:$H$5,0),0)
  + IFERROR(_xlfn.XLOOKUP(AW16,'Lookup Tables'!$J$2:$J$5,'Lookup Tables'!$K$2:$K$5,0),0)
  + _xlfn.IFS(AX16="No Issues",10, AX16="Complaint Filed",3, AX16="Confirmed Breach",-15, TRUE,0)
  + IFERROR(_xlfn.XLOOKUP(AY16,'Lookup Tables'!$M$2:$M$6,'Lookup Tables'!$N$2:$N$6,0),0)
  + IFERROR(_xlfn.XLOOKUP(AZ16,'Lookup Tables'!$P$2:$P$6,'Lookup Tables'!$Q$2:$Q$6,0),0)
  + _xlfn.IFS(BA16="Formal Board Committee",5, BA16="Board Oversight Mentioned",2, TRUE,0)
  + _xlfn.IFS(BB16="Yes — Quantified Targets",5, BB16="Yes — Discretionary Only",2, TRUE,0)
  + _xlfn.IFS(BC16="Reasonable Assurance",5, BC16="Limited Assurance",3, BC16="Management Review Only",1, TRUE,0)
))</f>
        <v>0</v>
      </c>
      <c r="BF16" s="5"/>
      <c r="BG16" s="5"/>
      <c r="BH16" s="5"/>
      <c r="BI16" s="5"/>
      <c r="BJ16" s="5"/>
      <c r="BK16" s="5"/>
      <c r="BL16" s="5"/>
      <c r="BM16" s="5"/>
      <c r="BN16" s="5"/>
      <c r="BO16" s="5"/>
      <c r="BP16" s="5"/>
      <c r="BQ16" s="5"/>
      <c r="BR16" s="5"/>
      <c r="BS16" s="41">
        <f t="array" ref="BS16">MIN(100, MAX(0,
  IFERROR(_xlfn.XLOOKUP(BG16,'Lookup Tables'!$A$11:$A$16,'Lookup Tables'!$B$11:$B$16,0),0)
  + IFERROR(_xlfn.XLOOKUP(BR16,'Lookup Tables'!$M$11:$M$14,'Lookup Tables'!$N$11:$N$14,0),0)
  + IFERROR(_xlfn.XLOOKUP(BQ16,'Lookup Tables'!$J$11:$J$15,'Lookup Tables'!$K$11:$K$15,0),0)
  + IFERROR(_xlfn.XLOOKUP(BH16,'Lookup Tables'!$D$11:$D$15,'Lookup Tables'!$E$11:$E$15,0),0)
  + IFERROR(_xlfn.XLOOKUP(BJ16,'Lookup Tables'!$G$11:$G$16,'Lookup Tables'!$H$11:$H$16,0),0)
  + IFERROR(_xlfn.XLOOKUP(BN16,'Lookup Tables'!$P$11:$P$15,'Lookup Tables'!$Q$11:$Q$15,0),0)
  + _xlfn.IFS(BM16="No Evidence",10, BM16="Unknown",3, BM16="Likely",0, BM16="Confirmed",-10, TRUE,3)
  + IFERROR(_xlfn.XLOOKUP(BP16,'Lookup Tables'!$J$21:$J$24,'Lookup Tables'!$K$21:$K$24,0),0)
))</f>
        <v>3</v>
      </c>
      <c r="BT16" s="5"/>
      <c r="BU16" s="5"/>
      <c r="BV16" s="5"/>
      <c r="BW16" s="5"/>
      <c r="BX16" s="5"/>
      <c r="BY16" s="5"/>
      <c r="BZ16" s="5"/>
      <c r="CA16" s="5"/>
      <c r="CB16" s="5"/>
      <c r="CC16" s="5"/>
      <c r="CD16" s="5"/>
      <c r="CE16" s="43">
        <f t="array" ref="CE16">MIN(100, MAX(0,
  IF(ISNUMBER(BV16)*AND(BV16&gt;0), 10, 0)
  + _xlfn.IFS(BY16="Independently Verified",25, BY16="Yes",15, TRUE,0)
  + IFERROR(_xlfn.XLOOKUP(BZ16,'Lookup Tables'!$A$21:$A$24,'Lookup Tables'!$B$21:$B$24,0),0)
  + IFERROR(_xlfn.XLOOKUP(CA16,'Lookup Tables'!$D$21:$D$24,'Lookup Tables'!$E$21:$E$24,0),0)
  + _xlfn.IFS(ISNUMBER(CB16)*AND(CB16&gt;=11),15, ISNUMBER(CB16)*AND(CB16&gt;=6),10, ISNUMBER(CB16)*AND(CB16&gt;=1),5, TRUE,0)
  + IFERROR(_xlfn.XLOOKUP(CC16,'Lookup Tables'!$G$21:$G$25,'Lookup Tables'!$H$21:$H$25,0),0)
  - IF(ISNUMBER(BW16)*AND(ISNUMBER(BV16))*AND(BW16&gt;BV16), 20, 0)
  - IF(AND(BY16="Yes", ISNUMBER(BW16), BW16&gt;60), 10, 0)
))</f>
        <v>0</v>
      </c>
      <c r="CF16" s="5"/>
      <c r="CG16" s="5"/>
      <c r="CH16" s="5"/>
      <c r="CI16" s="5"/>
      <c r="CJ16" s="5"/>
      <c r="CK16" s="5"/>
      <c r="CL16" s="5"/>
      <c r="CM16" s="5"/>
      <c r="CN16" s="5"/>
      <c r="CO16" s="5"/>
      <c r="CP16" s="5"/>
      <c r="CQ16" s="5"/>
      <c r="CR16" s="5">
        <f t="shared" si="38"/>
        <v>0</v>
      </c>
      <c r="CS16" s="5">
        <f t="shared" si="39"/>
        <v>0</v>
      </c>
      <c r="CT16" s="5">
        <f t="shared" si="40"/>
        <v>0</v>
      </c>
      <c r="CU16" s="5">
        <f>MIN(100,
  CR16*15
  + CS16*6
  + CT16*3
  + IFERROR(_xlfn.XLOOKUP(CW16,'Lookup Tables'!$M$21:$M$25,'Lookup Tables'!$N$21:$N$25,0),0)
)</f>
        <v>0</v>
      </c>
      <c r="CV16" s="5" t="str">
        <f t="shared" si="41"/>
        <v>No failures</v>
      </c>
      <c r="CW16" s="5"/>
      <c r="CX16" s="5"/>
      <c r="CY16" s="5"/>
      <c r="CZ16" s="5"/>
      <c r="DA16" s="5" t="str">
        <f t="shared" si="42"/>
        <v>Yes</v>
      </c>
      <c r="DB16" s="5" t="str">
        <f t="shared" si="43"/>
        <v>No</v>
      </c>
      <c r="DC16" s="5"/>
      <c r="DD16" s="5"/>
      <c r="DE16" s="5"/>
      <c r="DF16" s="5"/>
      <c r="DG16" s="5"/>
      <c r="DH16" s="5"/>
      <c r="DI16" s="5"/>
      <c r="DJ16" s="5"/>
      <c r="DK16" s="5"/>
      <c r="DL16" s="5" t="str">
        <f t="shared" si="44"/>
        <v>Clear</v>
      </c>
      <c r="DM16" s="5" t="str">
        <f t="shared" si="45"/>
        <v>Yes</v>
      </c>
      <c r="DN16" s="5">
        <f t="array" ref="DN16">MIN(100,
  IF(ISNUMBER(V16), _xlfn.IFS(V16&gt;=3,25, V16=2,15, V16=1,5, TRUE,0), 0)
  + IFERROR(_xlfn.IFS(VALUE(LEFT(DF16,1))=5,25, VALUE(LEFT(DF16,1))=4,20, VALUE(LEFT(DF16,1))=3,15, VALUE(LEFT(DF16,1))=2,8, TRUE,0), 15)
  + IFERROR(_xlfn.IFS(VALUE(LEFT(DG16,1))=5,25, VALUE(LEFT(DG16,1))=4,20, VALUE(LEFT(DG16,1))=3,15, VALUE(LEFT(DG16,1))=2,8, TRUE,0), 15)
  + _xlfn.IFS(DH16="Fully Verified",25, DH16="Partially Verified",12, TRUE,0)
)</f>
        <v>30</v>
      </c>
      <c r="DO16" s="5" t="str">
        <f t="array" ref="DO16">_xlfn.IFS(
  ISBLANK(AR16), "Insufficient Evidence",
  AND(AR16&gt;=65, AJ16="Approved"), "Strong",
  AR16&gt;=65, "Adequate",
  AR16&gt;=40, "Adequate",
  AR16&gt;=20, "Weak",
  TRUE, "Insufficient Evidence"
)</f>
        <v>Insufficient Evidence</v>
      </c>
      <c r="DP16" s="5" t="str">
        <f t="array" ref="DP16">_xlfn.IFS(
  ISBLANK(BS16), "Insufficient Evidence",
  BS16&gt;=65, "Strong",
  BS16&gt;=40, "Adequate",
  BS16&gt;=20, "Weak",
  TRUE, "Insufficient Evidence"
)</f>
        <v>Insufficient Evidence</v>
      </c>
      <c r="DQ16" s="5" t="str">
        <f t="array" ref="DQ16">_xlfn.IFS(
  ISBLANK(BE16), "Insufficient Evidence",
  OR(AW16="Confirmed Violation", AX16="Confirmed Breach"), "Severe — Hard Trigger",
  BE16&gt;=65, "Strong",
  BE16&gt;=40, "Adequate",
  BE16&gt;=20, "Weak",
  TRUE, "Insufficient Evidence"
)</f>
        <v>Insufficient Evidence</v>
      </c>
      <c r="DR16" s="5" t="str">
        <f t="array" ref="DR16">_xlfn.IFS(
  ISBLANK(CU16), "Insufficient Evidence",
  CU16&lt;=20, "Low Risk",
  CU16&lt;=50, "Moderate Risk",
  CU16&lt;=75, "High Risk",
  TRUE, "Very High Risk"
)</f>
        <v>Low Risk</v>
      </c>
      <c r="DS16" s="5" t="str">
        <f t="array" ref="DS16">_xlfn.IFS(
  ISBLANK(CE16), "Insufficient Evidence",
  AND(ISNUMBER(BW16),ISNUMBER(BV16),BW16&gt;BV16), "Overclaiming Risk",
  CE16&gt;=65, "Strong",
  CE16&gt;=40, "Adequate",
  TRUE, "Weak"
)</f>
        <v>Weak</v>
      </c>
      <c r="DT16" s="5">
        <f t="shared" si="46"/>
        <v>11.7</v>
      </c>
      <c r="DU16" s="5" t="str">
        <f t="array" ref="DU16">_xlfn.IFS(
  DV16="Upgraded to Clear", "Clear",
  DV16="Downgraded to Watchlist", "Watchlist",
  DV16="Downgraded to Exclusion", "Exclusion Risk",
  DB16="Yes — Automatic", "Exclusion Risk",
  OR(AW16="Confirmed Violation", AX16="Confirmed Breach"), "Exclusion Risk",
  OR(V16=0, ISBLANK(V16), DN16&lt;20), "Insufficient Evidence",
  AND(DT16&gt;=65, DA16="No", DB16="No"), "Clear",
  OR(DT16&gt;=40, DA16="Yes"), "Watchlist",
  TRUE, "Exclusion Risk"
)</f>
        <v>Insufficient Evidence</v>
      </c>
      <c r="DV16" s="5"/>
      <c r="DW16" s="5" t="str">
        <f t="array" ref="DW16">_xlfn.IFS(
  DU16="Exclusion Risk", "Exclude — Hard Trigger",
  DU16="Insufficient Evidence", "Watchlist — Further Evidence Needed",
  DU16="Watchlist", "Watchlist — Further Evidence Needed",
  AND(DU16="Clear", DT16&gt;=80), "Include — No Conditions",
  DU16="Clear", "Include — Monitor",
  TRUE, "Watchlist — Further Evidence Needed"
)</f>
        <v>Watchlist — Further Evidence Needed</v>
      </c>
      <c r="DX16" s="5"/>
      <c r="DY16" s="5"/>
      <c r="DZ16" s="5"/>
      <c r="EA16" s="5"/>
      <c r="EB16" s="5" t="str">
        <f t="shared" si="47"/>
        <v>MISSING — No sources reviewed</v>
      </c>
      <c r="EC16" s="5" t="str">
        <f t="shared" si="48"/>
        <v/>
      </c>
    </row>
    <row r="17" spans="1:133" ht="18" customHeight="1" x14ac:dyDescent="0.15">
      <c r="A17" s="3" t="s">
        <v>335</v>
      </c>
      <c r="B17" s="3" t="s">
        <v>336</v>
      </c>
      <c r="C17" s="3" t="str">
        <f>IF(ISBLANK('Universe Tracker'!D13),"",'Universe Tracker'!D13)</f>
        <v>IT0005239360</v>
      </c>
      <c r="D17" s="3"/>
      <c r="E17" s="3"/>
      <c r="F17" s="3" t="str">
        <f>IF(ISBLANK('Universe Tracker'!F13),"",'Universe Tracker'!F13)</f>
        <v>Financials</v>
      </c>
      <c r="G17" s="3" t="str">
        <f>IF(ISBLANK('Universe Tracker'!G13),"",'Universe Tracker'!G13)</f>
        <v>Banking</v>
      </c>
      <c r="H17" s="3"/>
      <c r="I17" s="3"/>
      <c r="J17" s="3" t="str">
        <f t="shared" si="36"/>
        <v>CRIN_IT0005239360</v>
      </c>
      <c r="K17" s="3"/>
      <c r="L17" s="3"/>
      <c r="M17" s="3"/>
      <c r="N17" s="3"/>
      <c r="O17" s="3"/>
      <c r="P17" s="3"/>
      <c r="Q17" s="3"/>
      <c r="R17" s="3"/>
      <c r="S17" s="3"/>
      <c r="T17" s="3"/>
      <c r="U17" s="3"/>
      <c r="V17" s="3"/>
      <c r="W17" s="3"/>
      <c r="X17" s="3"/>
      <c r="Y17" s="3" t="str">
        <f t="shared" si="37"/>
        <v>Insufficient</v>
      </c>
      <c r="Z17" s="3"/>
      <c r="AA17" s="3"/>
      <c r="AB17" s="3"/>
      <c r="AC17" s="3"/>
      <c r="AD17" s="3"/>
      <c r="AE17" s="3"/>
      <c r="AF17" s="3"/>
      <c r="AG17" s="3"/>
      <c r="AH17" s="3"/>
      <c r="AI17" s="3"/>
      <c r="AJ17" s="3"/>
      <c r="AK17" s="3"/>
      <c r="AL17" s="3"/>
      <c r="AM17" s="3"/>
      <c r="AN17" s="3"/>
      <c r="AO17" s="3"/>
      <c r="AP17" s="3"/>
      <c r="AQ17" s="3"/>
      <c r="AR17" s="40">
        <f t="array" ref="AR17">MIN(100, MAX(0,
  IFERROR(_xlfn.XLOOKUP(AJ17,'Lookup Tables'!$A$2:$A$7,'Lookup Tables'!$B$2:$B$7,0),0)
  + IF(Z17="Yes", IF(IFERROR(_xlfn.XLOOKUP(AJ17,'Lookup Tables'!$A$2:$A$7,'Lookup Tables'!$B$2:$B$7,0),0)&lt;20, 5, 0), 0)
  + _xlfn.IFS(AB17="Yes", IF(ISNUMBER(AC17)*AND(AC17&lt;=2030),15,10), AB17="Long-term Only", 5, AB17="No", 0, TRUE, 0)
  + _xlfn.IFS(AF17="Full",10, AF17="Partial",5, AF17="Scope 2 Only",3, TRUE,0)
  + _xlfn.IFS(AG17="Yes", IF(ISNUMBER(AH17)*AND(AH17&gt;=5),10,6), AG17="Partial",4, TRUE,0)
  + _xlfn.IFS(AI17="Yes",5, AI17="Partial (material categories only)",3, TRUE,0)
  + _xlfn.IFS(AL17="Yes — Detailed",10, AL17="Yes — High Level",5, TRUE,0)
  + _xlfn.IFS(AM17="Yes — Quantified",15, AM17="Yes — Directional Only",7, TRUE,0)
  + _xlfn.IFS(AP17="Formal",5, AP17="Referenced",2, TRUE,0)
  + _xlfn.IFS(AQ17="No Issues Found",5, AQ17="Concern Identified",-5, AQ17="Severe Contradiction",-15, TRUE,0)
  + _xlfn.IFS(BC17="Reasonable Assurance",5, BC17="Limited Assurance",3, TRUE,0)
  - IF(AND(Z17="Yes", AI17="No"), 10, 0)
  - IF(AND(Z17="Yes", AM17="No"), 10, 0)
))</f>
        <v>0</v>
      </c>
      <c r="AS17" s="3"/>
      <c r="AT17" s="3"/>
      <c r="AU17" s="3"/>
      <c r="AV17" s="3"/>
      <c r="AW17" s="3"/>
      <c r="AX17" s="3"/>
      <c r="AY17" s="3"/>
      <c r="AZ17" s="3"/>
      <c r="BA17" s="3"/>
      <c r="BB17" s="3"/>
      <c r="BC17" s="3"/>
      <c r="BD17" s="3"/>
      <c r="BE17" s="40">
        <f t="array" ref="BE17">MIN(100, MAX(0,
  IFERROR(_xlfn.XLOOKUP(AT17,'Lookup Tables'!$D$2:$D$6,'Lookup Tables'!$E$2:$E$6,0),0)
  + IFERROR(_xlfn.XLOOKUP(AV17,'Lookup Tables'!$G$2:$G$5,'Lookup Tables'!$H$2:$H$5,0),0)
  + IFERROR(_xlfn.XLOOKUP(AW17,'Lookup Tables'!$J$2:$J$5,'Lookup Tables'!$K$2:$K$5,0),0)
  + _xlfn.IFS(AX17="No Issues",10, AX17="Complaint Filed",3, AX17="Confirmed Breach",-15, TRUE,0)
  + IFERROR(_xlfn.XLOOKUP(AY17,'Lookup Tables'!$M$2:$M$6,'Lookup Tables'!$N$2:$N$6,0),0)
  + IFERROR(_xlfn.XLOOKUP(AZ17,'Lookup Tables'!$P$2:$P$6,'Lookup Tables'!$Q$2:$Q$6,0),0)
  + _xlfn.IFS(BA17="Formal Board Committee",5, BA17="Board Oversight Mentioned",2, TRUE,0)
  + _xlfn.IFS(BB17="Yes — Quantified Targets",5, BB17="Yes — Discretionary Only",2, TRUE,0)
  + _xlfn.IFS(BC17="Reasonable Assurance",5, BC17="Limited Assurance",3, BC17="Management Review Only",1, TRUE,0)
))</f>
        <v>0</v>
      </c>
      <c r="BF17" s="3"/>
      <c r="BG17" s="3"/>
      <c r="BH17" s="3"/>
      <c r="BI17" s="3"/>
      <c r="BJ17" s="3"/>
      <c r="BK17" s="3"/>
      <c r="BL17" s="3"/>
      <c r="BM17" s="3"/>
      <c r="BN17" s="3"/>
      <c r="BO17" s="3"/>
      <c r="BP17" s="3"/>
      <c r="BQ17" s="3"/>
      <c r="BR17" s="3"/>
      <c r="BS17" s="42">
        <f t="array" ref="BS17">MIN(100, MAX(0,
  IFERROR(_xlfn.XLOOKUP(BG17,'Lookup Tables'!$A$11:$A$16,'Lookup Tables'!$B$11:$B$16,0),0)
  + IFERROR(_xlfn.XLOOKUP(BR17,'Lookup Tables'!$M$11:$M$14,'Lookup Tables'!$N$11:$N$14,0),0)
  + IFERROR(_xlfn.XLOOKUP(BQ17,'Lookup Tables'!$J$11:$J$15,'Lookup Tables'!$K$11:$K$15,0),0)
  + IFERROR(_xlfn.XLOOKUP(BH17,'Lookup Tables'!$D$11:$D$15,'Lookup Tables'!$E$11:$E$15,0),0)
  + IFERROR(_xlfn.XLOOKUP(BJ17,'Lookup Tables'!$G$11:$G$16,'Lookup Tables'!$H$11:$H$16,0),0)
  + IFERROR(_xlfn.XLOOKUP(BN17,'Lookup Tables'!$P$11:$P$15,'Lookup Tables'!$Q$11:$Q$15,0),0)
  + _xlfn.IFS(BM17="No Evidence",10, BM17="Unknown",3, BM17="Likely",0, BM17="Confirmed",-10, TRUE,3)
  + IFERROR(_xlfn.XLOOKUP(BP17,'Lookup Tables'!$J$21:$J$24,'Lookup Tables'!$K$21:$K$24,0),0)
))</f>
        <v>3</v>
      </c>
      <c r="BT17" s="3"/>
      <c r="BU17" s="3"/>
      <c r="BV17" s="3"/>
      <c r="BW17" s="3"/>
      <c r="BX17" s="3"/>
      <c r="BY17" s="3"/>
      <c r="BZ17" s="3"/>
      <c r="CA17" s="3"/>
      <c r="CB17" s="3"/>
      <c r="CC17" s="3"/>
      <c r="CD17" s="3"/>
      <c r="CE17" s="44">
        <f t="array" ref="CE17">MIN(100, MAX(0,
  IF(ISNUMBER(BV17)*AND(BV17&gt;0), 10, 0)
  + _xlfn.IFS(BY17="Independently Verified",25, BY17="Yes",15, TRUE,0)
  + IFERROR(_xlfn.XLOOKUP(BZ17,'Lookup Tables'!$A$21:$A$24,'Lookup Tables'!$B$21:$B$24,0),0)
  + IFERROR(_xlfn.XLOOKUP(CA17,'Lookup Tables'!$D$21:$D$24,'Lookup Tables'!$E$21:$E$24,0),0)
  + _xlfn.IFS(ISNUMBER(CB17)*AND(CB17&gt;=11),15, ISNUMBER(CB17)*AND(CB17&gt;=6),10, ISNUMBER(CB17)*AND(CB17&gt;=1),5, TRUE,0)
  + IFERROR(_xlfn.XLOOKUP(CC17,'Lookup Tables'!$G$21:$G$25,'Lookup Tables'!$H$21:$H$25,0),0)
  - IF(ISNUMBER(BW17)*AND(ISNUMBER(BV17))*AND(BW17&gt;BV17), 20, 0)
  - IF(AND(BY17="Yes", ISNUMBER(BW17), BW17&gt;60), 10, 0)
))</f>
        <v>0</v>
      </c>
      <c r="CF17" s="3"/>
      <c r="CG17" s="3"/>
      <c r="CH17" s="3"/>
      <c r="CI17" s="3"/>
      <c r="CJ17" s="3"/>
      <c r="CK17" s="3"/>
      <c r="CL17" s="3"/>
      <c r="CM17" s="3"/>
      <c r="CN17" s="3"/>
      <c r="CO17" s="3"/>
      <c r="CP17" s="3"/>
      <c r="CQ17" s="3"/>
      <c r="CR17" s="3">
        <f t="shared" si="38"/>
        <v>0</v>
      </c>
      <c r="CS17" s="3">
        <f t="shared" si="39"/>
        <v>0</v>
      </c>
      <c r="CT17" s="3">
        <f t="shared" si="40"/>
        <v>0</v>
      </c>
      <c r="CU17" s="3">
        <f>MIN(100,
  CR17*15
  + CS17*6
  + CT17*3
  + IFERROR(_xlfn.XLOOKUP(CW17,'Lookup Tables'!$M$21:$M$25,'Lookup Tables'!$N$21:$N$25,0),0)
)</f>
        <v>0</v>
      </c>
      <c r="CV17" s="3" t="str">
        <f t="shared" si="41"/>
        <v>No failures</v>
      </c>
      <c r="CW17" s="3"/>
      <c r="CX17" s="3"/>
      <c r="CY17" s="3"/>
      <c r="CZ17" s="3"/>
      <c r="DA17" s="3" t="str">
        <f t="shared" si="42"/>
        <v>Yes</v>
      </c>
      <c r="DB17" s="3" t="str">
        <f t="shared" si="43"/>
        <v>No</v>
      </c>
      <c r="DC17" s="3"/>
      <c r="DD17" s="3"/>
      <c r="DE17" s="3"/>
      <c r="DF17" s="3"/>
      <c r="DG17" s="3"/>
      <c r="DH17" s="3"/>
      <c r="DI17" s="3"/>
      <c r="DJ17" s="3"/>
      <c r="DK17" s="3"/>
      <c r="DL17" s="3" t="str">
        <f t="shared" si="44"/>
        <v>Clear</v>
      </c>
      <c r="DM17" s="3" t="str">
        <f t="shared" si="45"/>
        <v>Yes</v>
      </c>
      <c r="DN17" s="3">
        <f t="array" ref="DN17">MIN(100,
  IF(ISNUMBER(V17), _xlfn.IFS(V17&gt;=3,25, V17=2,15, V17=1,5, TRUE,0), 0)
  + IFERROR(_xlfn.IFS(VALUE(LEFT(DF17,1))=5,25, VALUE(LEFT(DF17,1))=4,20, VALUE(LEFT(DF17,1))=3,15, VALUE(LEFT(DF17,1))=2,8, TRUE,0), 15)
  + IFERROR(_xlfn.IFS(VALUE(LEFT(DG17,1))=5,25, VALUE(LEFT(DG17,1))=4,20, VALUE(LEFT(DG17,1))=3,15, VALUE(LEFT(DG17,1))=2,8, TRUE,0), 15)
  + _xlfn.IFS(DH17="Fully Verified",25, DH17="Partially Verified",12, TRUE,0)
)</f>
        <v>30</v>
      </c>
      <c r="DO17" s="3" t="str">
        <f t="array" ref="DO17">_xlfn.IFS(
  ISBLANK(AR17), "Insufficient Evidence",
  AND(AR17&gt;=65, AJ17="Approved"), "Strong",
  AR17&gt;=65, "Adequate",
  AR17&gt;=40, "Adequate",
  AR17&gt;=20, "Weak",
  TRUE, "Insufficient Evidence"
)</f>
        <v>Insufficient Evidence</v>
      </c>
      <c r="DP17" s="3" t="str">
        <f t="array" ref="DP17">_xlfn.IFS(
  ISBLANK(BS17), "Insufficient Evidence",
  BS17&gt;=65, "Strong",
  BS17&gt;=40, "Adequate",
  BS17&gt;=20, "Weak",
  TRUE, "Insufficient Evidence"
)</f>
        <v>Insufficient Evidence</v>
      </c>
      <c r="DQ17" s="3" t="str">
        <f t="array" ref="DQ17">_xlfn.IFS(
  ISBLANK(BE17), "Insufficient Evidence",
  OR(AW17="Confirmed Violation", AX17="Confirmed Breach"), "Severe — Hard Trigger",
  BE17&gt;=65, "Strong",
  BE17&gt;=40, "Adequate",
  BE17&gt;=20, "Weak",
  TRUE, "Insufficient Evidence"
)</f>
        <v>Insufficient Evidence</v>
      </c>
      <c r="DR17" s="3" t="str">
        <f t="array" ref="DR17">_xlfn.IFS(
  ISBLANK(CU17), "Insufficient Evidence",
  CU17&lt;=20, "Low Risk",
  CU17&lt;=50, "Moderate Risk",
  CU17&lt;=75, "High Risk",
  TRUE, "Very High Risk"
)</f>
        <v>Low Risk</v>
      </c>
      <c r="DS17" s="3" t="str">
        <f t="array" ref="DS17">_xlfn.IFS(
  ISBLANK(CE17), "Insufficient Evidence",
  AND(ISNUMBER(BW17),ISNUMBER(BV17),BW17&gt;BV17), "Overclaiming Risk",
  CE17&gt;=65, "Strong",
  CE17&gt;=40, "Adequate",
  TRUE, "Weak"
)</f>
        <v>Weak</v>
      </c>
      <c r="DT17" s="3">
        <f t="shared" si="46"/>
        <v>11.7</v>
      </c>
      <c r="DU17" s="3" t="str">
        <f t="array" ref="DU17">_xlfn.IFS(
  DV17="Upgraded to Clear", "Clear",
  DV17="Downgraded to Watchlist", "Watchlist",
  DV17="Downgraded to Exclusion", "Exclusion Risk",
  DB17="Yes — Automatic", "Exclusion Risk",
  OR(AW17="Confirmed Violation", AX17="Confirmed Breach"), "Exclusion Risk",
  OR(V17=0, ISBLANK(V17), DN17&lt;20), "Insufficient Evidence",
  AND(DT17&gt;=65, DA17="No", DB17="No"), "Clear",
  OR(DT17&gt;=40, DA17="Yes"), "Watchlist",
  TRUE, "Exclusion Risk"
)</f>
        <v>Insufficient Evidence</v>
      </c>
      <c r="DV17" s="3"/>
      <c r="DW17" s="3" t="str">
        <f t="array" ref="DW17">_xlfn.IFS(
  DU17="Exclusion Risk", "Exclude — Hard Trigger",
  DU17="Insufficient Evidence", "Watchlist — Further Evidence Needed",
  DU17="Watchlist", "Watchlist — Further Evidence Needed",
  AND(DU17="Clear", DT17&gt;=80), "Include — No Conditions",
  DU17="Clear", "Include — Monitor",
  TRUE, "Watchlist — Further Evidence Needed"
)</f>
        <v>Watchlist — Further Evidence Needed</v>
      </c>
      <c r="DX17" s="3"/>
      <c r="DY17" s="3"/>
      <c r="DZ17" s="3"/>
      <c r="EA17" s="3"/>
      <c r="EB17" s="3" t="str">
        <f t="shared" si="47"/>
        <v>MISSING — No sources reviewed</v>
      </c>
      <c r="EC17" s="3" t="str">
        <f t="shared" si="48"/>
        <v/>
      </c>
    </row>
    <row r="18" spans="1:133" ht="18" customHeight="1" x14ac:dyDescent="0.15">
      <c r="A18" s="5" t="s">
        <v>339</v>
      </c>
      <c r="B18" s="5" t="s">
        <v>340</v>
      </c>
      <c r="C18" s="5" t="str">
        <f>IF(ISBLANK('Universe Tracker'!D14),"",'Universe Tracker'!D14)</f>
        <v>GB0003718474</v>
      </c>
      <c r="D18" s="5"/>
      <c r="E18" s="5"/>
      <c r="F18" s="5" t="str">
        <f>IF(ISBLANK('Universe Tracker'!F14),"",'Universe Tracker'!F14)</f>
        <v>Consumer Discretionary</v>
      </c>
      <c r="G18" s="5" t="str">
        <f>IF(ISBLANK('Universe Tracker'!G14),"",'Universe Tracker'!G14)</f>
        <v>Consumer Discretionary Products</v>
      </c>
      <c r="H18" s="5"/>
      <c r="I18" s="5"/>
      <c r="J18" s="5" t="str">
        <f t="shared" si="36"/>
        <v>G7W_GB0003718474</v>
      </c>
      <c r="K18" s="5"/>
      <c r="L18" s="5"/>
      <c r="M18" s="5"/>
      <c r="N18" s="5"/>
      <c r="O18" s="5"/>
      <c r="P18" s="5"/>
      <c r="Q18" s="5"/>
      <c r="R18" s="5"/>
      <c r="S18" s="5"/>
      <c r="T18" s="5"/>
      <c r="U18" s="5"/>
      <c r="V18" s="5"/>
      <c r="W18" s="5"/>
      <c r="X18" s="5"/>
      <c r="Y18" s="5" t="str">
        <f t="shared" si="37"/>
        <v>Insufficient</v>
      </c>
      <c r="Z18" s="5"/>
      <c r="AA18" s="5"/>
      <c r="AB18" s="5"/>
      <c r="AC18" s="5"/>
      <c r="AD18" s="5"/>
      <c r="AE18" s="5"/>
      <c r="AF18" s="5"/>
      <c r="AG18" s="5"/>
      <c r="AH18" s="5"/>
      <c r="AI18" s="5"/>
      <c r="AJ18" s="5"/>
      <c r="AK18" s="5"/>
      <c r="AL18" s="5"/>
      <c r="AM18" s="5"/>
      <c r="AN18" s="5"/>
      <c r="AO18" s="5"/>
      <c r="AP18" s="5"/>
      <c r="AQ18" s="5"/>
      <c r="AR18" s="40">
        <f t="array" ref="AR18">MIN(100, MAX(0,
  IFERROR(_xlfn.XLOOKUP(AJ18,'Lookup Tables'!$A$2:$A$7,'Lookup Tables'!$B$2:$B$7,0),0)
  + IF(Z18="Yes", IF(IFERROR(_xlfn.XLOOKUP(AJ18,'Lookup Tables'!$A$2:$A$7,'Lookup Tables'!$B$2:$B$7,0),0)&lt;20, 5, 0), 0)
  + _xlfn.IFS(AB18="Yes", IF(ISNUMBER(AC18)*AND(AC18&lt;=2030),15,10), AB18="Long-term Only", 5, AB18="No", 0, TRUE, 0)
  + _xlfn.IFS(AF18="Full",10, AF18="Partial",5, AF18="Scope 2 Only",3, TRUE,0)
  + _xlfn.IFS(AG18="Yes", IF(ISNUMBER(AH18)*AND(AH18&gt;=5),10,6), AG18="Partial",4, TRUE,0)
  + _xlfn.IFS(AI18="Yes",5, AI18="Partial (material categories only)",3, TRUE,0)
  + _xlfn.IFS(AL18="Yes — Detailed",10, AL18="Yes — High Level",5, TRUE,0)
  + _xlfn.IFS(AM18="Yes — Quantified",15, AM18="Yes — Directional Only",7, TRUE,0)
  + _xlfn.IFS(AP18="Formal",5, AP18="Referenced",2, TRUE,0)
  + _xlfn.IFS(AQ18="No Issues Found",5, AQ18="Concern Identified",-5, AQ18="Severe Contradiction",-15, TRUE,0)
  + _xlfn.IFS(BC18="Reasonable Assurance",5, BC18="Limited Assurance",3, TRUE,0)
  - IF(AND(Z18="Yes", AI18="No"), 10, 0)
  - IF(AND(Z18="Yes", AM18="No"), 10, 0)
))</f>
        <v>0</v>
      </c>
      <c r="AS18" s="5"/>
      <c r="AT18" s="5"/>
      <c r="AU18" s="5"/>
      <c r="AV18" s="5"/>
      <c r="AW18" s="5"/>
      <c r="AX18" s="5"/>
      <c r="AY18" s="5"/>
      <c r="AZ18" s="5"/>
      <c r="BA18" s="5"/>
      <c r="BB18" s="5"/>
      <c r="BC18" s="5"/>
      <c r="BD18" s="5"/>
      <c r="BE18" s="39">
        <f t="array" ref="BE18">MIN(100, MAX(0,
  IFERROR(_xlfn.XLOOKUP(AT18,'Lookup Tables'!$D$2:$D$6,'Lookup Tables'!$E$2:$E$6,0),0)
  + IFERROR(_xlfn.XLOOKUP(AV18,'Lookup Tables'!$G$2:$G$5,'Lookup Tables'!$H$2:$H$5,0),0)
  + IFERROR(_xlfn.XLOOKUP(AW18,'Lookup Tables'!$J$2:$J$5,'Lookup Tables'!$K$2:$K$5,0),0)
  + _xlfn.IFS(AX18="No Issues",10, AX18="Complaint Filed",3, AX18="Confirmed Breach",-15, TRUE,0)
  + IFERROR(_xlfn.XLOOKUP(AY18,'Lookup Tables'!$M$2:$M$6,'Lookup Tables'!$N$2:$N$6,0),0)
  + IFERROR(_xlfn.XLOOKUP(AZ18,'Lookup Tables'!$P$2:$P$6,'Lookup Tables'!$Q$2:$Q$6,0),0)
  + _xlfn.IFS(BA18="Formal Board Committee",5, BA18="Board Oversight Mentioned",2, TRUE,0)
  + _xlfn.IFS(BB18="Yes — Quantified Targets",5, BB18="Yes — Discretionary Only",2, TRUE,0)
  + _xlfn.IFS(BC18="Reasonable Assurance",5, BC18="Limited Assurance",3, BC18="Management Review Only",1, TRUE,0)
))</f>
        <v>0</v>
      </c>
      <c r="BF18" s="5"/>
      <c r="BG18" s="5"/>
      <c r="BH18" s="5"/>
      <c r="BI18" s="5"/>
      <c r="BJ18" s="5"/>
      <c r="BK18" s="5"/>
      <c r="BL18" s="5"/>
      <c r="BM18" s="5"/>
      <c r="BN18" s="5"/>
      <c r="BO18" s="5"/>
      <c r="BP18" s="5"/>
      <c r="BQ18" s="5"/>
      <c r="BR18" s="5"/>
      <c r="BS18" s="41">
        <f t="array" ref="BS18">MIN(100, MAX(0,
  IFERROR(_xlfn.XLOOKUP(BG18,'Lookup Tables'!$A$11:$A$16,'Lookup Tables'!$B$11:$B$16,0),0)
  + IFERROR(_xlfn.XLOOKUP(BR18,'Lookup Tables'!$M$11:$M$14,'Lookup Tables'!$N$11:$N$14,0),0)
  + IFERROR(_xlfn.XLOOKUP(BQ18,'Lookup Tables'!$J$11:$J$15,'Lookup Tables'!$K$11:$K$15,0),0)
  + IFERROR(_xlfn.XLOOKUP(BH18,'Lookup Tables'!$D$11:$D$15,'Lookup Tables'!$E$11:$E$15,0),0)
  + IFERROR(_xlfn.XLOOKUP(BJ18,'Lookup Tables'!$G$11:$G$16,'Lookup Tables'!$H$11:$H$16,0),0)
  + IFERROR(_xlfn.XLOOKUP(BN18,'Lookup Tables'!$P$11:$P$15,'Lookup Tables'!$Q$11:$Q$15,0),0)
  + _xlfn.IFS(BM18="No Evidence",10, BM18="Unknown",3, BM18="Likely",0, BM18="Confirmed",-10, TRUE,3)
  + IFERROR(_xlfn.XLOOKUP(BP18,'Lookup Tables'!$J$21:$J$24,'Lookup Tables'!$K$21:$K$24,0),0)
))</f>
        <v>3</v>
      </c>
      <c r="BT18" s="5"/>
      <c r="BU18" s="5"/>
      <c r="BV18" s="5"/>
      <c r="BW18" s="5"/>
      <c r="BX18" s="5"/>
      <c r="BY18" s="5"/>
      <c r="BZ18" s="5"/>
      <c r="CA18" s="5"/>
      <c r="CB18" s="5"/>
      <c r="CC18" s="5"/>
      <c r="CD18" s="5"/>
      <c r="CE18" s="43">
        <f t="array" ref="CE18">MIN(100, MAX(0,
  IF(ISNUMBER(BV18)*AND(BV18&gt;0), 10, 0)
  + _xlfn.IFS(BY18="Independently Verified",25, BY18="Yes",15, TRUE,0)
  + IFERROR(_xlfn.XLOOKUP(BZ18,'Lookup Tables'!$A$21:$A$24,'Lookup Tables'!$B$21:$B$24,0),0)
  + IFERROR(_xlfn.XLOOKUP(CA18,'Lookup Tables'!$D$21:$D$24,'Lookup Tables'!$E$21:$E$24,0),0)
  + _xlfn.IFS(ISNUMBER(CB18)*AND(CB18&gt;=11),15, ISNUMBER(CB18)*AND(CB18&gt;=6),10, ISNUMBER(CB18)*AND(CB18&gt;=1),5, TRUE,0)
  + IFERROR(_xlfn.XLOOKUP(CC18,'Lookup Tables'!$G$21:$G$25,'Lookup Tables'!$H$21:$H$25,0),0)
  - IF(ISNUMBER(BW18)*AND(ISNUMBER(BV18))*AND(BW18&gt;BV18), 20, 0)
  - IF(AND(BY18="Yes", ISNUMBER(BW18), BW18&gt;60), 10, 0)
))</f>
        <v>0</v>
      </c>
      <c r="CF18" s="5"/>
      <c r="CG18" s="5"/>
      <c r="CH18" s="5"/>
      <c r="CI18" s="5"/>
      <c r="CJ18" s="5"/>
      <c r="CK18" s="5"/>
      <c r="CL18" s="5"/>
      <c r="CM18" s="5"/>
      <c r="CN18" s="5"/>
      <c r="CO18" s="5"/>
      <c r="CP18" s="5"/>
      <c r="CQ18" s="5"/>
      <c r="CR18" s="5">
        <f t="shared" si="38"/>
        <v>0</v>
      </c>
      <c r="CS18" s="5">
        <f t="shared" si="39"/>
        <v>0</v>
      </c>
      <c r="CT18" s="5">
        <f t="shared" si="40"/>
        <v>0</v>
      </c>
      <c r="CU18" s="5">
        <f>MIN(100,
  CR18*15
  + CS18*6
  + CT18*3
  + IFERROR(_xlfn.XLOOKUP(CW18,'Lookup Tables'!$M$21:$M$25,'Lookup Tables'!$N$21:$N$25,0),0)
)</f>
        <v>0</v>
      </c>
      <c r="CV18" s="5" t="str">
        <f t="shared" si="41"/>
        <v>No failures</v>
      </c>
      <c r="CW18" s="5"/>
      <c r="CX18" s="5"/>
      <c r="CY18" s="5"/>
      <c r="CZ18" s="5"/>
      <c r="DA18" s="5" t="str">
        <f t="shared" si="42"/>
        <v>Yes</v>
      </c>
      <c r="DB18" s="5" t="str">
        <f t="shared" si="43"/>
        <v>No</v>
      </c>
      <c r="DC18" s="5"/>
      <c r="DD18" s="5"/>
      <c r="DE18" s="5"/>
      <c r="DF18" s="5"/>
      <c r="DG18" s="5"/>
      <c r="DH18" s="5"/>
      <c r="DI18" s="5"/>
      <c r="DJ18" s="5"/>
      <c r="DK18" s="5"/>
      <c r="DL18" s="5" t="str">
        <f t="shared" si="44"/>
        <v>Clear</v>
      </c>
      <c r="DM18" s="5" t="str">
        <f t="shared" si="45"/>
        <v>Yes</v>
      </c>
      <c r="DN18" s="5">
        <f t="array" ref="DN18">MIN(100,
  IF(ISNUMBER(V18), _xlfn.IFS(V18&gt;=3,25, V18=2,15, V18=1,5, TRUE,0), 0)
  + IFERROR(_xlfn.IFS(VALUE(LEFT(DF18,1))=5,25, VALUE(LEFT(DF18,1))=4,20, VALUE(LEFT(DF18,1))=3,15, VALUE(LEFT(DF18,1))=2,8, TRUE,0), 15)
  + IFERROR(_xlfn.IFS(VALUE(LEFT(DG18,1))=5,25, VALUE(LEFT(DG18,1))=4,20, VALUE(LEFT(DG18,1))=3,15, VALUE(LEFT(DG18,1))=2,8, TRUE,0), 15)
  + _xlfn.IFS(DH18="Fully Verified",25, DH18="Partially Verified",12, TRUE,0)
)</f>
        <v>30</v>
      </c>
      <c r="DO18" s="5" t="str">
        <f t="array" ref="DO18">_xlfn.IFS(
  ISBLANK(AR18), "Insufficient Evidence",
  AND(AR18&gt;=65, AJ18="Approved"), "Strong",
  AR18&gt;=65, "Adequate",
  AR18&gt;=40, "Adequate",
  AR18&gt;=20, "Weak",
  TRUE, "Insufficient Evidence"
)</f>
        <v>Insufficient Evidence</v>
      </c>
      <c r="DP18" s="5" t="str">
        <f t="array" ref="DP18">_xlfn.IFS(
  ISBLANK(BS18), "Insufficient Evidence",
  BS18&gt;=65, "Strong",
  BS18&gt;=40, "Adequate",
  BS18&gt;=20, "Weak",
  TRUE, "Insufficient Evidence"
)</f>
        <v>Insufficient Evidence</v>
      </c>
      <c r="DQ18" s="5" t="str">
        <f t="array" ref="DQ18">_xlfn.IFS(
  ISBLANK(BE18), "Insufficient Evidence",
  OR(AW18="Confirmed Violation", AX18="Confirmed Breach"), "Severe — Hard Trigger",
  BE18&gt;=65, "Strong",
  BE18&gt;=40, "Adequate",
  BE18&gt;=20, "Weak",
  TRUE, "Insufficient Evidence"
)</f>
        <v>Insufficient Evidence</v>
      </c>
      <c r="DR18" s="5" t="str">
        <f t="array" ref="DR18">_xlfn.IFS(
  ISBLANK(CU18), "Insufficient Evidence",
  CU18&lt;=20, "Low Risk",
  CU18&lt;=50, "Moderate Risk",
  CU18&lt;=75, "High Risk",
  TRUE, "Very High Risk"
)</f>
        <v>Low Risk</v>
      </c>
      <c r="DS18" s="5" t="str">
        <f t="array" ref="DS18">_xlfn.IFS(
  ISBLANK(CE18), "Insufficient Evidence",
  AND(ISNUMBER(BW18),ISNUMBER(BV18),BW18&gt;BV18), "Overclaiming Risk",
  CE18&gt;=65, "Strong",
  CE18&gt;=40, "Adequate",
  TRUE, "Weak"
)</f>
        <v>Weak</v>
      </c>
      <c r="DT18" s="5">
        <f t="shared" si="46"/>
        <v>11.7</v>
      </c>
      <c r="DU18" s="5" t="str">
        <f t="array" ref="DU18">_xlfn.IFS(
  DV18="Upgraded to Clear", "Clear",
  DV18="Downgraded to Watchlist", "Watchlist",
  DV18="Downgraded to Exclusion", "Exclusion Risk",
  DB18="Yes — Automatic", "Exclusion Risk",
  OR(AW18="Confirmed Violation", AX18="Confirmed Breach"), "Exclusion Risk",
  OR(V18=0, ISBLANK(V18), DN18&lt;20), "Insufficient Evidence",
  AND(DT18&gt;=65, DA18="No", DB18="No"), "Clear",
  OR(DT18&gt;=40, DA18="Yes"), "Watchlist",
  TRUE, "Exclusion Risk"
)</f>
        <v>Insufficient Evidence</v>
      </c>
      <c r="DV18" s="5"/>
      <c r="DW18" s="5" t="str">
        <f t="array" ref="DW18">_xlfn.IFS(
  DU18="Exclusion Risk", "Exclude — Hard Trigger",
  DU18="Insufficient Evidence", "Watchlist — Further Evidence Needed",
  DU18="Watchlist", "Watchlist — Further Evidence Needed",
  AND(DU18="Clear", DT18&gt;=80), "Include — No Conditions",
  DU18="Clear", "Include — Monitor",
  TRUE, "Watchlist — Further Evidence Needed"
)</f>
        <v>Watchlist — Further Evidence Needed</v>
      </c>
      <c r="DX18" s="5"/>
      <c r="DY18" s="5"/>
      <c r="DZ18" s="5"/>
      <c r="EA18" s="5"/>
      <c r="EB18" s="5" t="str">
        <f t="shared" si="47"/>
        <v>MISSING — No sources reviewed</v>
      </c>
      <c r="EC18" s="5" t="str">
        <f t="shared" si="48"/>
        <v/>
      </c>
    </row>
    <row r="19" spans="1:133" ht="18" customHeight="1" x14ac:dyDescent="0.15">
      <c r="A19" s="3" t="s">
        <v>344</v>
      </c>
      <c r="B19" s="3" t="s">
        <v>345</v>
      </c>
      <c r="C19" s="3" t="str">
        <f>IF(ISBLANK('Universe Tracker'!D15),"",'Universe Tracker'!D15)</f>
        <v>GB00B1YW4409</v>
      </c>
      <c r="D19" s="3"/>
      <c r="E19" s="3"/>
      <c r="F19" s="3" t="str">
        <f>IF(ISBLANK('Universe Tracker'!F15),"",'Universe Tracker'!F15)</f>
        <v>Financials</v>
      </c>
      <c r="G19" s="3" t="str">
        <f>IF(ISBLANK('Universe Tracker'!G15),"",'Universe Tracker'!G15)</f>
        <v>Financial Services</v>
      </c>
      <c r="H19" s="3"/>
      <c r="I19" s="3"/>
      <c r="J19" s="3" t="str">
        <f t="shared" si="36"/>
        <v>IGQ5_GB00B1YW4409</v>
      </c>
      <c r="K19" s="3"/>
      <c r="L19" s="3"/>
      <c r="M19" s="3"/>
      <c r="N19" s="3"/>
      <c r="O19" s="3"/>
      <c r="P19" s="3"/>
      <c r="Q19" s="3"/>
      <c r="R19" s="3"/>
      <c r="S19" s="3"/>
      <c r="T19" s="3"/>
      <c r="U19" s="3"/>
      <c r="V19" s="3"/>
      <c r="W19" s="3"/>
      <c r="X19" s="3"/>
      <c r="Y19" s="3" t="str">
        <f t="shared" si="37"/>
        <v>Insufficient</v>
      </c>
      <c r="Z19" s="3"/>
      <c r="AA19" s="3"/>
      <c r="AB19" s="3"/>
      <c r="AC19" s="3"/>
      <c r="AD19" s="3"/>
      <c r="AE19" s="3"/>
      <c r="AF19" s="3"/>
      <c r="AG19" s="3"/>
      <c r="AH19" s="3"/>
      <c r="AI19" s="3"/>
      <c r="AJ19" s="3"/>
      <c r="AK19" s="3"/>
      <c r="AL19" s="3"/>
      <c r="AM19" s="3"/>
      <c r="AN19" s="3"/>
      <c r="AO19" s="3"/>
      <c r="AP19" s="3"/>
      <c r="AQ19" s="3"/>
      <c r="AR19" s="40">
        <f t="array" ref="AR19">MIN(100, MAX(0,
  IFERROR(_xlfn.XLOOKUP(AJ19,'Lookup Tables'!$A$2:$A$7,'Lookup Tables'!$B$2:$B$7,0),0)
  + IF(Z19="Yes", IF(IFERROR(_xlfn.XLOOKUP(AJ19,'Lookup Tables'!$A$2:$A$7,'Lookup Tables'!$B$2:$B$7,0),0)&lt;20, 5, 0), 0)
  + _xlfn.IFS(AB19="Yes", IF(ISNUMBER(AC19)*AND(AC19&lt;=2030),15,10), AB19="Long-term Only", 5, AB19="No", 0, TRUE, 0)
  + _xlfn.IFS(AF19="Full",10, AF19="Partial",5, AF19="Scope 2 Only",3, TRUE,0)
  + _xlfn.IFS(AG19="Yes", IF(ISNUMBER(AH19)*AND(AH19&gt;=5),10,6), AG19="Partial",4, TRUE,0)
  + _xlfn.IFS(AI19="Yes",5, AI19="Partial (material categories only)",3, TRUE,0)
  + _xlfn.IFS(AL19="Yes — Detailed",10, AL19="Yes — High Level",5, TRUE,0)
  + _xlfn.IFS(AM19="Yes — Quantified",15, AM19="Yes — Directional Only",7, TRUE,0)
  + _xlfn.IFS(AP19="Formal",5, AP19="Referenced",2, TRUE,0)
  + _xlfn.IFS(AQ19="No Issues Found",5, AQ19="Concern Identified",-5, AQ19="Severe Contradiction",-15, TRUE,0)
  + _xlfn.IFS(BC19="Reasonable Assurance",5, BC19="Limited Assurance",3, TRUE,0)
  - IF(AND(Z19="Yes", AI19="No"), 10, 0)
  - IF(AND(Z19="Yes", AM19="No"), 10, 0)
))</f>
        <v>0</v>
      </c>
      <c r="AS19" s="3"/>
      <c r="AT19" s="3"/>
      <c r="AU19" s="3"/>
      <c r="AV19" s="3"/>
      <c r="AW19" s="3"/>
      <c r="AX19" s="3"/>
      <c r="AY19" s="3"/>
      <c r="AZ19" s="3"/>
      <c r="BA19" s="3"/>
      <c r="BB19" s="3"/>
      <c r="BC19" s="3"/>
      <c r="BD19" s="3"/>
      <c r="BE19" s="40">
        <f t="array" ref="BE19">MIN(100, MAX(0,
  IFERROR(_xlfn.XLOOKUP(AT19,'Lookup Tables'!$D$2:$D$6,'Lookup Tables'!$E$2:$E$6,0),0)
  + IFERROR(_xlfn.XLOOKUP(AV19,'Lookup Tables'!$G$2:$G$5,'Lookup Tables'!$H$2:$H$5,0),0)
  + IFERROR(_xlfn.XLOOKUP(AW19,'Lookup Tables'!$J$2:$J$5,'Lookup Tables'!$K$2:$K$5,0),0)
  + _xlfn.IFS(AX19="No Issues",10, AX19="Complaint Filed",3, AX19="Confirmed Breach",-15, TRUE,0)
  + IFERROR(_xlfn.XLOOKUP(AY19,'Lookup Tables'!$M$2:$M$6,'Lookup Tables'!$N$2:$N$6,0),0)
  + IFERROR(_xlfn.XLOOKUP(AZ19,'Lookup Tables'!$P$2:$P$6,'Lookup Tables'!$Q$2:$Q$6,0),0)
  + _xlfn.IFS(BA19="Formal Board Committee",5, BA19="Board Oversight Mentioned",2, TRUE,0)
  + _xlfn.IFS(BB19="Yes — Quantified Targets",5, BB19="Yes — Discretionary Only",2, TRUE,0)
  + _xlfn.IFS(BC19="Reasonable Assurance",5, BC19="Limited Assurance",3, BC19="Management Review Only",1, TRUE,0)
))</f>
        <v>0</v>
      </c>
      <c r="BF19" s="3"/>
      <c r="BG19" s="3"/>
      <c r="BH19" s="3"/>
      <c r="BI19" s="3"/>
      <c r="BJ19" s="3"/>
      <c r="BK19" s="3"/>
      <c r="BL19" s="3"/>
      <c r="BM19" s="3"/>
      <c r="BN19" s="3"/>
      <c r="BO19" s="3"/>
      <c r="BP19" s="3"/>
      <c r="BQ19" s="3"/>
      <c r="BR19" s="3"/>
      <c r="BS19" s="42">
        <f t="array" ref="BS19">MIN(100, MAX(0,
  IFERROR(_xlfn.XLOOKUP(BG19,'Lookup Tables'!$A$11:$A$16,'Lookup Tables'!$B$11:$B$16,0),0)
  + IFERROR(_xlfn.XLOOKUP(BR19,'Lookup Tables'!$M$11:$M$14,'Lookup Tables'!$N$11:$N$14,0),0)
  + IFERROR(_xlfn.XLOOKUP(BQ19,'Lookup Tables'!$J$11:$J$15,'Lookup Tables'!$K$11:$K$15,0),0)
  + IFERROR(_xlfn.XLOOKUP(BH19,'Lookup Tables'!$D$11:$D$15,'Lookup Tables'!$E$11:$E$15,0),0)
  + IFERROR(_xlfn.XLOOKUP(BJ19,'Lookup Tables'!$G$11:$G$16,'Lookup Tables'!$H$11:$H$16,0),0)
  + IFERROR(_xlfn.XLOOKUP(BN19,'Lookup Tables'!$P$11:$P$15,'Lookup Tables'!$Q$11:$Q$15,0),0)
  + _xlfn.IFS(BM19="No Evidence",10, BM19="Unknown",3, BM19="Likely",0, BM19="Confirmed",-10, TRUE,3)
  + IFERROR(_xlfn.XLOOKUP(BP19,'Lookup Tables'!$J$21:$J$24,'Lookup Tables'!$K$21:$K$24,0),0)
))</f>
        <v>3</v>
      </c>
      <c r="BT19" s="3"/>
      <c r="BU19" s="3"/>
      <c r="BV19" s="3"/>
      <c r="BW19" s="3"/>
      <c r="BX19" s="3"/>
      <c r="BY19" s="3"/>
      <c r="BZ19" s="3"/>
      <c r="CA19" s="3"/>
      <c r="CB19" s="3"/>
      <c r="CC19" s="3"/>
      <c r="CD19" s="3"/>
      <c r="CE19" s="44">
        <f t="array" ref="CE19">MIN(100, MAX(0,
  IF(ISNUMBER(BV19)*AND(BV19&gt;0), 10, 0)
  + _xlfn.IFS(BY19="Independently Verified",25, BY19="Yes",15, TRUE,0)
  + IFERROR(_xlfn.XLOOKUP(BZ19,'Lookup Tables'!$A$21:$A$24,'Lookup Tables'!$B$21:$B$24,0),0)
  + IFERROR(_xlfn.XLOOKUP(CA19,'Lookup Tables'!$D$21:$D$24,'Lookup Tables'!$E$21:$E$24,0),0)
  + _xlfn.IFS(ISNUMBER(CB19)*AND(CB19&gt;=11),15, ISNUMBER(CB19)*AND(CB19&gt;=6),10, ISNUMBER(CB19)*AND(CB19&gt;=1),5, TRUE,0)
  + IFERROR(_xlfn.XLOOKUP(CC19,'Lookup Tables'!$G$21:$G$25,'Lookup Tables'!$H$21:$H$25,0),0)
  - IF(ISNUMBER(BW19)*AND(ISNUMBER(BV19))*AND(BW19&gt;BV19), 20, 0)
  - IF(AND(BY19="Yes", ISNUMBER(BW19), BW19&gt;60), 10, 0)
))</f>
        <v>0</v>
      </c>
      <c r="CF19" s="3"/>
      <c r="CG19" s="3"/>
      <c r="CH19" s="3"/>
      <c r="CI19" s="3"/>
      <c r="CJ19" s="3"/>
      <c r="CK19" s="3"/>
      <c r="CL19" s="3"/>
      <c r="CM19" s="3"/>
      <c r="CN19" s="3"/>
      <c r="CO19" s="3"/>
      <c r="CP19" s="3"/>
      <c r="CQ19" s="3"/>
      <c r="CR19" s="3">
        <f t="shared" si="38"/>
        <v>0</v>
      </c>
      <c r="CS19" s="3">
        <f t="shared" si="39"/>
        <v>0</v>
      </c>
      <c r="CT19" s="3">
        <f t="shared" si="40"/>
        <v>0</v>
      </c>
      <c r="CU19" s="3">
        <f>MIN(100,
  CR19*15
  + CS19*6
  + CT19*3
  + IFERROR(_xlfn.XLOOKUP(CW19,'Lookup Tables'!$M$21:$M$25,'Lookup Tables'!$N$21:$N$25,0),0)
)</f>
        <v>0</v>
      </c>
      <c r="CV19" s="3" t="str">
        <f t="shared" si="41"/>
        <v>No failures</v>
      </c>
      <c r="CW19" s="3"/>
      <c r="CX19" s="3"/>
      <c r="CY19" s="3"/>
      <c r="CZ19" s="3"/>
      <c r="DA19" s="3" t="str">
        <f t="shared" si="42"/>
        <v>Yes</v>
      </c>
      <c r="DB19" s="3" t="str">
        <f t="shared" si="43"/>
        <v>No</v>
      </c>
      <c r="DC19" s="3"/>
      <c r="DD19" s="3"/>
      <c r="DE19" s="3"/>
      <c r="DF19" s="3"/>
      <c r="DG19" s="3"/>
      <c r="DH19" s="3"/>
      <c r="DI19" s="3"/>
      <c r="DJ19" s="3"/>
      <c r="DK19" s="3"/>
      <c r="DL19" s="3" t="str">
        <f t="shared" si="44"/>
        <v>Clear</v>
      </c>
      <c r="DM19" s="3" t="str">
        <f t="shared" si="45"/>
        <v>Yes</v>
      </c>
      <c r="DN19" s="3">
        <f t="array" ref="DN19">MIN(100,
  IF(ISNUMBER(V19), _xlfn.IFS(V19&gt;=3,25, V19=2,15, V19=1,5, TRUE,0), 0)
  + IFERROR(_xlfn.IFS(VALUE(LEFT(DF19,1))=5,25, VALUE(LEFT(DF19,1))=4,20, VALUE(LEFT(DF19,1))=3,15, VALUE(LEFT(DF19,1))=2,8, TRUE,0), 15)
  + IFERROR(_xlfn.IFS(VALUE(LEFT(DG19,1))=5,25, VALUE(LEFT(DG19,1))=4,20, VALUE(LEFT(DG19,1))=3,15, VALUE(LEFT(DG19,1))=2,8, TRUE,0), 15)
  + _xlfn.IFS(DH19="Fully Verified",25, DH19="Partially Verified",12, TRUE,0)
)</f>
        <v>30</v>
      </c>
      <c r="DO19" s="3" t="str">
        <f t="array" ref="DO19">_xlfn.IFS(
  ISBLANK(AR19), "Insufficient Evidence",
  AND(AR19&gt;=65, AJ19="Approved"), "Strong",
  AR19&gt;=65, "Adequate",
  AR19&gt;=40, "Adequate",
  AR19&gt;=20, "Weak",
  TRUE, "Insufficient Evidence"
)</f>
        <v>Insufficient Evidence</v>
      </c>
      <c r="DP19" s="3" t="str">
        <f t="array" ref="DP19">_xlfn.IFS(
  ISBLANK(BS19), "Insufficient Evidence",
  BS19&gt;=65, "Strong",
  BS19&gt;=40, "Adequate",
  BS19&gt;=20, "Weak",
  TRUE, "Insufficient Evidence"
)</f>
        <v>Insufficient Evidence</v>
      </c>
      <c r="DQ19" s="3" t="str">
        <f t="array" ref="DQ19">_xlfn.IFS(
  ISBLANK(BE19), "Insufficient Evidence",
  OR(AW19="Confirmed Violation", AX19="Confirmed Breach"), "Severe — Hard Trigger",
  BE19&gt;=65, "Strong",
  BE19&gt;=40, "Adequate",
  BE19&gt;=20, "Weak",
  TRUE, "Insufficient Evidence"
)</f>
        <v>Insufficient Evidence</v>
      </c>
      <c r="DR19" s="3" t="str">
        <f t="array" ref="DR19">_xlfn.IFS(
  ISBLANK(CU19), "Insufficient Evidence",
  CU19&lt;=20, "Low Risk",
  CU19&lt;=50, "Moderate Risk",
  CU19&lt;=75, "High Risk",
  TRUE, "Very High Risk"
)</f>
        <v>Low Risk</v>
      </c>
      <c r="DS19" s="3" t="str">
        <f t="array" ref="DS19">_xlfn.IFS(
  ISBLANK(CE19), "Insufficient Evidence",
  AND(ISNUMBER(BW19),ISNUMBER(BV19),BW19&gt;BV19), "Overclaiming Risk",
  CE19&gt;=65, "Strong",
  CE19&gt;=40, "Adequate",
  TRUE, "Weak"
)</f>
        <v>Weak</v>
      </c>
      <c r="DT19" s="3">
        <f t="shared" si="46"/>
        <v>11.7</v>
      </c>
      <c r="DU19" s="3" t="str">
        <f t="array" ref="DU19">_xlfn.IFS(
  DV19="Upgraded to Clear", "Clear",
  DV19="Downgraded to Watchlist", "Watchlist",
  DV19="Downgraded to Exclusion", "Exclusion Risk",
  DB19="Yes — Automatic", "Exclusion Risk",
  OR(AW19="Confirmed Violation", AX19="Confirmed Breach"), "Exclusion Risk",
  OR(V19=0, ISBLANK(V19), DN19&lt;20), "Insufficient Evidence",
  AND(DT19&gt;=65, DA19="No", DB19="No"), "Clear",
  OR(DT19&gt;=40, DA19="Yes"), "Watchlist",
  TRUE, "Exclusion Risk"
)</f>
        <v>Insufficient Evidence</v>
      </c>
      <c r="DV19" s="3"/>
      <c r="DW19" s="3" t="str">
        <f t="array" ref="DW19">_xlfn.IFS(
  DU19="Exclusion Risk", "Exclude — Hard Trigger",
  DU19="Insufficient Evidence", "Watchlist — Further Evidence Needed",
  DU19="Watchlist", "Watchlist — Further Evidence Needed",
  AND(DU19="Clear", DT19&gt;=80), "Include — No Conditions",
  DU19="Clear", "Include — Monitor",
  TRUE, "Watchlist — Further Evidence Needed"
)</f>
        <v>Watchlist — Further Evidence Needed</v>
      </c>
      <c r="DX19" s="3"/>
      <c r="DY19" s="3"/>
      <c r="DZ19" s="3"/>
      <c r="EA19" s="3"/>
      <c r="EB19" s="3" t="str">
        <f t="shared" si="47"/>
        <v>MISSING — No sources reviewed</v>
      </c>
      <c r="EC19" s="3" t="str">
        <f t="shared" si="48"/>
        <v/>
      </c>
    </row>
    <row r="20" spans="1:133" ht="18" customHeight="1" x14ac:dyDescent="0.15">
      <c r="A20" s="5" t="s">
        <v>349</v>
      </c>
      <c r="B20" s="5" t="s">
        <v>350</v>
      </c>
      <c r="C20" s="5" t="str">
        <f>IF(ISBLANK('Universe Tracker'!D16),"",'Universe Tracker'!D16)</f>
        <v>PLPKO0000016</v>
      </c>
      <c r="D20" s="5"/>
      <c r="E20" s="5"/>
      <c r="F20" s="5" t="str">
        <f>IF(ISBLANK('Universe Tracker'!F16),"",'Universe Tracker'!F16)</f>
        <v>Financials</v>
      </c>
      <c r="G20" s="5" t="str">
        <f>IF(ISBLANK('Universe Tracker'!G16),"",'Universe Tracker'!G16)</f>
        <v>Banking</v>
      </c>
      <c r="H20" s="5"/>
      <c r="I20" s="5"/>
      <c r="J20" s="5" t="str">
        <f t="shared" si="36"/>
        <v>P9O_PLPKO0000016</v>
      </c>
      <c r="K20" s="5"/>
      <c r="L20" s="5"/>
      <c r="M20" s="5"/>
      <c r="N20" s="5"/>
      <c r="O20" s="5"/>
      <c r="P20" s="5"/>
      <c r="Q20" s="5"/>
      <c r="R20" s="5"/>
      <c r="S20" s="5"/>
      <c r="T20" s="5"/>
      <c r="U20" s="5"/>
      <c r="V20" s="5"/>
      <c r="W20" s="5"/>
      <c r="X20" s="5"/>
      <c r="Y20" s="5" t="str">
        <f t="shared" si="37"/>
        <v>Insufficient</v>
      </c>
      <c r="Z20" s="5"/>
      <c r="AA20" s="5"/>
      <c r="AB20" s="5"/>
      <c r="AC20" s="5"/>
      <c r="AD20" s="5"/>
      <c r="AE20" s="5"/>
      <c r="AF20" s="5"/>
      <c r="AG20" s="5"/>
      <c r="AH20" s="5"/>
      <c r="AI20" s="5"/>
      <c r="AJ20" s="5"/>
      <c r="AK20" s="5"/>
      <c r="AL20" s="5"/>
      <c r="AM20" s="5"/>
      <c r="AN20" s="5"/>
      <c r="AO20" s="5"/>
      <c r="AP20" s="5"/>
      <c r="AQ20" s="5"/>
      <c r="AR20" s="40">
        <f t="array" ref="AR20">MIN(100, MAX(0,
  IFERROR(_xlfn.XLOOKUP(AJ20,'Lookup Tables'!$A$2:$A$7,'Lookup Tables'!$B$2:$B$7,0),0)
  + IF(Z20="Yes", IF(IFERROR(_xlfn.XLOOKUP(AJ20,'Lookup Tables'!$A$2:$A$7,'Lookup Tables'!$B$2:$B$7,0),0)&lt;20, 5, 0), 0)
  + _xlfn.IFS(AB20="Yes", IF(ISNUMBER(AC20)*AND(AC20&lt;=2030),15,10), AB20="Long-term Only", 5, AB20="No", 0, TRUE, 0)
  + _xlfn.IFS(AF20="Full",10, AF20="Partial",5, AF20="Scope 2 Only",3, TRUE,0)
  + _xlfn.IFS(AG20="Yes", IF(ISNUMBER(AH20)*AND(AH20&gt;=5),10,6), AG20="Partial",4, TRUE,0)
  + _xlfn.IFS(AI20="Yes",5, AI20="Partial (material categories only)",3, TRUE,0)
  + _xlfn.IFS(AL20="Yes — Detailed",10, AL20="Yes — High Level",5, TRUE,0)
  + _xlfn.IFS(AM20="Yes — Quantified",15, AM20="Yes — Directional Only",7, TRUE,0)
  + _xlfn.IFS(AP20="Formal",5, AP20="Referenced",2, TRUE,0)
  + _xlfn.IFS(AQ20="No Issues Found",5, AQ20="Concern Identified",-5, AQ20="Severe Contradiction",-15, TRUE,0)
  + _xlfn.IFS(BC20="Reasonable Assurance",5, BC20="Limited Assurance",3, TRUE,0)
  - IF(AND(Z20="Yes", AI20="No"), 10, 0)
  - IF(AND(Z20="Yes", AM20="No"), 10, 0)
))</f>
        <v>0</v>
      </c>
      <c r="AS20" s="5"/>
      <c r="AT20" s="5"/>
      <c r="AU20" s="5"/>
      <c r="AV20" s="5"/>
      <c r="AW20" s="5"/>
      <c r="AX20" s="5"/>
      <c r="AY20" s="5"/>
      <c r="AZ20" s="5"/>
      <c r="BA20" s="5"/>
      <c r="BB20" s="5"/>
      <c r="BC20" s="5"/>
      <c r="BD20" s="5"/>
      <c r="BE20" s="39">
        <f t="array" ref="BE20">MIN(100, MAX(0,
  IFERROR(_xlfn.XLOOKUP(AT20,'Lookup Tables'!$D$2:$D$6,'Lookup Tables'!$E$2:$E$6,0),0)
  + IFERROR(_xlfn.XLOOKUP(AV20,'Lookup Tables'!$G$2:$G$5,'Lookup Tables'!$H$2:$H$5,0),0)
  + IFERROR(_xlfn.XLOOKUP(AW20,'Lookup Tables'!$J$2:$J$5,'Lookup Tables'!$K$2:$K$5,0),0)
  + _xlfn.IFS(AX20="No Issues",10, AX20="Complaint Filed",3, AX20="Confirmed Breach",-15, TRUE,0)
  + IFERROR(_xlfn.XLOOKUP(AY20,'Lookup Tables'!$M$2:$M$6,'Lookup Tables'!$N$2:$N$6,0),0)
  + IFERROR(_xlfn.XLOOKUP(AZ20,'Lookup Tables'!$P$2:$P$6,'Lookup Tables'!$Q$2:$Q$6,0),0)
  + _xlfn.IFS(BA20="Formal Board Committee",5, BA20="Board Oversight Mentioned",2, TRUE,0)
  + _xlfn.IFS(BB20="Yes — Quantified Targets",5, BB20="Yes — Discretionary Only",2, TRUE,0)
  + _xlfn.IFS(BC20="Reasonable Assurance",5, BC20="Limited Assurance",3, BC20="Management Review Only",1, TRUE,0)
))</f>
        <v>0</v>
      </c>
      <c r="BF20" s="5"/>
      <c r="BG20" s="5"/>
      <c r="BH20" s="5"/>
      <c r="BI20" s="5"/>
      <c r="BJ20" s="5"/>
      <c r="BK20" s="5"/>
      <c r="BL20" s="5"/>
      <c r="BM20" s="5"/>
      <c r="BN20" s="5"/>
      <c r="BO20" s="5"/>
      <c r="BP20" s="5"/>
      <c r="BQ20" s="5"/>
      <c r="BR20" s="5"/>
      <c r="BS20" s="41">
        <f t="array" ref="BS20">MIN(100, MAX(0,
  IFERROR(_xlfn.XLOOKUP(BG20,'Lookup Tables'!$A$11:$A$16,'Lookup Tables'!$B$11:$B$16,0),0)
  + IFERROR(_xlfn.XLOOKUP(BR20,'Lookup Tables'!$M$11:$M$14,'Lookup Tables'!$N$11:$N$14,0),0)
  + IFERROR(_xlfn.XLOOKUP(BQ20,'Lookup Tables'!$J$11:$J$15,'Lookup Tables'!$K$11:$K$15,0),0)
  + IFERROR(_xlfn.XLOOKUP(BH20,'Lookup Tables'!$D$11:$D$15,'Lookup Tables'!$E$11:$E$15,0),0)
  + IFERROR(_xlfn.XLOOKUP(BJ20,'Lookup Tables'!$G$11:$G$16,'Lookup Tables'!$H$11:$H$16,0),0)
  + IFERROR(_xlfn.XLOOKUP(BN20,'Lookup Tables'!$P$11:$P$15,'Lookup Tables'!$Q$11:$Q$15,0),0)
  + _xlfn.IFS(BM20="No Evidence",10, BM20="Unknown",3, BM20="Likely",0, BM20="Confirmed",-10, TRUE,3)
  + IFERROR(_xlfn.XLOOKUP(BP20,'Lookup Tables'!$J$21:$J$24,'Lookup Tables'!$K$21:$K$24,0),0)
))</f>
        <v>3</v>
      </c>
      <c r="BT20" s="5"/>
      <c r="BU20" s="5"/>
      <c r="BV20" s="5"/>
      <c r="BW20" s="5"/>
      <c r="BX20" s="5"/>
      <c r="BY20" s="5"/>
      <c r="BZ20" s="5"/>
      <c r="CA20" s="5"/>
      <c r="CB20" s="5"/>
      <c r="CC20" s="5"/>
      <c r="CD20" s="5"/>
      <c r="CE20" s="43">
        <f t="array" ref="CE20">MIN(100, MAX(0,
  IF(ISNUMBER(BV20)*AND(BV20&gt;0), 10, 0)
  + _xlfn.IFS(BY20="Independently Verified",25, BY20="Yes",15, TRUE,0)
  + IFERROR(_xlfn.XLOOKUP(BZ20,'Lookup Tables'!$A$21:$A$24,'Lookup Tables'!$B$21:$B$24,0),0)
  + IFERROR(_xlfn.XLOOKUP(CA20,'Lookup Tables'!$D$21:$D$24,'Lookup Tables'!$E$21:$E$24,0),0)
  + _xlfn.IFS(ISNUMBER(CB20)*AND(CB20&gt;=11),15, ISNUMBER(CB20)*AND(CB20&gt;=6),10, ISNUMBER(CB20)*AND(CB20&gt;=1),5, TRUE,0)
  + IFERROR(_xlfn.XLOOKUP(CC20,'Lookup Tables'!$G$21:$G$25,'Lookup Tables'!$H$21:$H$25,0),0)
  - IF(ISNUMBER(BW20)*AND(ISNUMBER(BV20))*AND(BW20&gt;BV20), 20, 0)
  - IF(AND(BY20="Yes", ISNUMBER(BW20), BW20&gt;60), 10, 0)
))</f>
        <v>0</v>
      </c>
      <c r="CF20" s="5"/>
      <c r="CG20" s="5"/>
      <c r="CH20" s="5"/>
      <c r="CI20" s="5"/>
      <c r="CJ20" s="5"/>
      <c r="CK20" s="5"/>
      <c r="CL20" s="5"/>
      <c r="CM20" s="5"/>
      <c r="CN20" s="5"/>
      <c r="CO20" s="5"/>
      <c r="CP20" s="5"/>
      <c r="CQ20" s="5"/>
      <c r="CR20" s="5">
        <f t="shared" si="38"/>
        <v>0</v>
      </c>
      <c r="CS20" s="5">
        <f t="shared" si="39"/>
        <v>0</v>
      </c>
      <c r="CT20" s="5">
        <f t="shared" si="40"/>
        <v>0</v>
      </c>
      <c r="CU20" s="5">
        <f>MIN(100,
  CR20*15
  + CS20*6
  + CT20*3
  + IFERROR(_xlfn.XLOOKUP(CW20,'Lookup Tables'!$M$21:$M$25,'Lookup Tables'!$N$21:$N$25,0),0)
)</f>
        <v>0</v>
      </c>
      <c r="CV20" s="5" t="str">
        <f t="shared" si="41"/>
        <v>No failures</v>
      </c>
      <c r="CW20" s="5"/>
      <c r="CX20" s="5"/>
      <c r="CY20" s="5"/>
      <c r="CZ20" s="5"/>
      <c r="DA20" s="5" t="str">
        <f t="shared" si="42"/>
        <v>Yes</v>
      </c>
      <c r="DB20" s="5" t="str">
        <f t="shared" si="43"/>
        <v>No</v>
      </c>
      <c r="DC20" s="5"/>
      <c r="DD20" s="5"/>
      <c r="DE20" s="5"/>
      <c r="DF20" s="5"/>
      <c r="DG20" s="5"/>
      <c r="DH20" s="5"/>
      <c r="DI20" s="5"/>
      <c r="DJ20" s="5"/>
      <c r="DK20" s="5"/>
      <c r="DL20" s="5" t="str">
        <f t="shared" si="44"/>
        <v>Clear</v>
      </c>
      <c r="DM20" s="5" t="str">
        <f t="shared" si="45"/>
        <v>Yes</v>
      </c>
      <c r="DN20" s="5">
        <f t="array" ref="DN20">MIN(100,
  IF(ISNUMBER(V20), _xlfn.IFS(V20&gt;=3,25, V20=2,15, V20=1,5, TRUE,0), 0)
  + IFERROR(_xlfn.IFS(VALUE(LEFT(DF20,1))=5,25, VALUE(LEFT(DF20,1))=4,20, VALUE(LEFT(DF20,1))=3,15, VALUE(LEFT(DF20,1))=2,8, TRUE,0), 15)
  + IFERROR(_xlfn.IFS(VALUE(LEFT(DG20,1))=5,25, VALUE(LEFT(DG20,1))=4,20, VALUE(LEFT(DG20,1))=3,15, VALUE(LEFT(DG20,1))=2,8, TRUE,0), 15)
  + _xlfn.IFS(DH20="Fully Verified",25, DH20="Partially Verified",12, TRUE,0)
)</f>
        <v>30</v>
      </c>
      <c r="DO20" s="5" t="str">
        <f t="array" ref="DO20">_xlfn.IFS(
  ISBLANK(AR20), "Insufficient Evidence",
  AND(AR20&gt;=65, AJ20="Approved"), "Strong",
  AR20&gt;=65, "Adequate",
  AR20&gt;=40, "Adequate",
  AR20&gt;=20, "Weak",
  TRUE, "Insufficient Evidence"
)</f>
        <v>Insufficient Evidence</v>
      </c>
      <c r="DP20" s="5" t="str">
        <f t="array" ref="DP20">_xlfn.IFS(
  ISBLANK(BS20), "Insufficient Evidence",
  BS20&gt;=65, "Strong",
  BS20&gt;=40, "Adequate",
  BS20&gt;=20, "Weak",
  TRUE, "Insufficient Evidence"
)</f>
        <v>Insufficient Evidence</v>
      </c>
      <c r="DQ20" s="5" t="str">
        <f t="array" ref="DQ20">_xlfn.IFS(
  ISBLANK(BE20), "Insufficient Evidence",
  OR(AW20="Confirmed Violation", AX20="Confirmed Breach"), "Severe — Hard Trigger",
  BE20&gt;=65, "Strong",
  BE20&gt;=40, "Adequate",
  BE20&gt;=20, "Weak",
  TRUE, "Insufficient Evidence"
)</f>
        <v>Insufficient Evidence</v>
      </c>
      <c r="DR20" s="5" t="str">
        <f t="array" ref="DR20">_xlfn.IFS(
  ISBLANK(CU20), "Insufficient Evidence",
  CU20&lt;=20, "Low Risk",
  CU20&lt;=50, "Moderate Risk",
  CU20&lt;=75, "High Risk",
  TRUE, "Very High Risk"
)</f>
        <v>Low Risk</v>
      </c>
      <c r="DS20" s="5" t="str">
        <f t="array" ref="DS20">_xlfn.IFS(
  ISBLANK(CE20), "Insufficient Evidence",
  AND(ISNUMBER(BW20),ISNUMBER(BV20),BW20&gt;BV20), "Overclaiming Risk",
  CE20&gt;=65, "Strong",
  CE20&gt;=40, "Adequate",
  TRUE, "Weak"
)</f>
        <v>Weak</v>
      </c>
      <c r="DT20" s="5">
        <f t="shared" si="46"/>
        <v>11.7</v>
      </c>
      <c r="DU20" s="5" t="str">
        <f t="array" ref="DU20">_xlfn.IFS(
  DV20="Upgraded to Clear", "Clear",
  DV20="Downgraded to Watchlist", "Watchlist",
  DV20="Downgraded to Exclusion", "Exclusion Risk",
  DB20="Yes — Automatic", "Exclusion Risk",
  OR(AW20="Confirmed Violation", AX20="Confirmed Breach"), "Exclusion Risk",
  OR(V20=0, ISBLANK(V20), DN20&lt;20), "Insufficient Evidence",
  AND(DT20&gt;=65, DA20="No", DB20="No"), "Clear",
  OR(DT20&gt;=40, DA20="Yes"), "Watchlist",
  TRUE, "Exclusion Risk"
)</f>
        <v>Insufficient Evidence</v>
      </c>
      <c r="DV20" s="5"/>
      <c r="DW20" s="5" t="str">
        <f t="array" ref="DW20">_xlfn.IFS(
  DU20="Exclusion Risk", "Exclude — Hard Trigger",
  DU20="Insufficient Evidence", "Watchlist — Further Evidence Needed",
  DU20="Watchlist", "Watchlist — Further Evidence Needed",
  AND(DU20="Clear", DT20&gt;=80), "Include — No Conditions",
  DU20="Clear", "Include — Monitor",
  TRUE, "Watchlist — Further Evidence Needed"
)</f>
        <v>Watchlist — Further Evidence Needed</v>
      </c>
      <c r="DX20" s="5"/>
      <c r="DY20" s="5"/>
      <c r="DZ20" s="5"/>
      <c r="EA20" s="5"/>
      <c r="EB20" s="5" t="str">
        <f t="shared" si="47"/>
        <v>MISSING — No sources reviewed</v>
      </c>
      <c r="EC20" s="5" t="str">
        <f t="shared" si="48"/>
        <v/>
      </c>
    </row>
    <row r="21" spans="1:133" ht="18" customHeight="1" x14ac:dyDescent="0.15">
      <c r="A21" s="3" t="s">
        <v>353</v>
      </c>
      <c r="B21" s="3" t="s">
        <v>354</v>
      </c>
      <c r="C21" s="3" t="str">
        <f>IF(ISBLANK('Universe Tracker'!D17),"",'Universe Tracker'!D17)</f>
        <v>FR0010307819</v>
      </c>
      <c r="D21" s="3"/>
      <c r="E21" s="3"/>
      <c r="F21" s="3" t="str">
        <f>IF(ISBLANK('Universe Tracker'!F17),"",'Universe Tracker'!F17)</f>
        <v>Industrials</v>
      </c>
      <c r="G21" s="3" t="str">
        <f>IF(ISBLANK('Universe Tracker'!G17),"",'Universe Tracker'!G17)</f>
        <v>Industrial Products</v>
      </c>
      <c r="H21" s="3"/>
      <c r="I21" s="3"/>
      <c r="J21" s="3" t="str">
        <f t="shared" si="36"/>
        <v>LRC_FR0010307819</v>
      </c>
      <c r="K21" s="3"/>
      <c r="L21" s="3"/>
      <c r="M21" s="3"/>
      <c r="N21" s="3"/>
      <c r="O21" s="3"/>
      <c r="P21" s="3"/>
      <c r="Q21" s="3"/>
      <c r="R21" s="3"/>
      <c r="S21" s="3"/>
      <c r="T21" s="3"/>
      <c r="U21" s="3"/>
      <c r="V21" s="3"/>
      <c r="W21" s="3"/>
      <c r="X21" s="3"/>
      <c r="Y21" s="3" t="str">
        <f t="shared" si="37"/>
        <v>Insufficient</v>
      </c>
      <c r="Z21" s="3"/>
      <c r="AA21" s="3"/>
      <c r="AB21" s="3"/>
      <c r="AC21" s="3"/>
      <c r="AD21" s="3"/>
      <c r="AE21" s="3"/>
      <c r="AF21" s="3"/>
      <c r="AG21" s="3"/>
      <c r="AH21" s="3"/>
      <c r="AI21" s="3"/>
      <c r="AJ21" s="3"/>
      <c r="AK21" s="3"/>
      <c r="AL21" s="3"/>
      <c r="AM21" s="3"/>
      <c r="AN21" s="3"/>
      <c r="AO21" s="3"/>
      <c r="AP21" s="3"/>
      <c r="AQ21" s="3"/>
      <c r="AR21" s="40">
        <f t="array" ref="AR21">MIN(100, MAX(0,
  IFERROR(_xlfn.XLOOKUP(AJ21,'Lookup Tables'!$A$2:$A$7,'Lookup Tables'!$B$2:$B$7,0),0)
  + IF(Z21="Yes", IF(IFERROR(_xlfn.XLOOKUP(AJ21,'Lookup Tables'!$A$2:$A$7,'Lookup Tables'!$B$2:$B$7,0),0)&lt;20, 5, 0), 0)
  + _xlfn.IFS(AB21="Yes", IF(ISNUMBER(AC21)*AND(AC21&lt;=2030),15,10), AB21="Long-term Only", 5, AB21="No", 0, TRUE, 0)
  + _xlfn.IFS(AF21="Full",10, AF21="Partial",5, AF21="Scope 2 Only",3, TRUE,0)
  + _xlfn.IFS(AG21="Yes", IF(ISNUMBER(AH21)*AND(AH21&gt;=5),10,6), AG21="Partial",4, TRUE,0)
  + _xlfn.IFS(AI21="Yes",5, AI21="Partial (material categories only)",3, TRUE,0)
  + _xlfn.IFS(AL21="Yes — Detailed",10, AL21="Yes — High Level",5, TRUE,0)
  + _xlfn.IFS(AM21="Yes — Quantified",15, AM21="Yes — Directional Only",7, TRUE,0)
  + _xlfn.IFS(AP21="Formal",5, AP21="Referenced",2, TRUE,0)
  + _xlfn.IFS(AQ21="No Issues Found",5, AQ21="Concern Identified",-5, AQ21="Severe Contradiction",-15, TRUE,0)
  + _xlfn.IFS(BC21="Reasonable Assurance",5, BC21="Limited Assurance",3, TRUE,0)
  - IF(AND(Z21="Yes", AI21="No"), 10, 0)
  - IF(AND(Z21="Yes", AM21="No"), 10, 0)
))</f>
        <v>0</v>
      </c>
      <c r="AS21" s="3"/>
      <c r="AT21" s="3"/>
      <c r="AU21" s="3"/>
      <c r="AV21" s="3"/>
      <c r="AW21" s="3"/>
      <c r="AX21" s="3"/>
      <c r="AY21" s="3"/>
      <c r="AZ21" s="3"/>
      <c r="BA21" s="3"/>
      <c r="BB21" s="3"/>
      <c r="BC21" s="3"/>
      <c r="BD21" s="3"/>
      <c r="BE21" s="40">
        <f t="array" ref="BE21">MIN(100, MAX(0,
  IFERROR(_xlfn.XLOOKUP(AT21,'Lookup Tables'!$D$2:$D$6,'Lookup Tables'!$E$2:$E$6,0),0)
  + IFERROR(_xlfn.XLOOKUP(AV21,'Lookup Tables'!$G$2:$G$5,'Lookup Tables'!$H$2:$H$5,0),0)
  + IFERROR(_xlfn.XLOOKUP(AW21,'Lookup Tables'!$J$2:$J$5,'Lookup Tables'!$K$2:$K$5,0),0)
  + _xlfn.IFS(AX21="No Issues",10, AX21="Complaint Filed",3, AX21="Confirmed Breach",-15, TRUE,0)
  + IFERROR(_xlfn.XLOOKUP(AY21,'Lookup Tables'!$M$2:$M$6,'Lookup Tables'!$N$2:$N$6,0),0)
  + IFERROR(_xlfn.XLOOKUP(AZ21,'Lookup Tables'!$P$2:$P$6,'Lookup Tables'!$Q$2:$Q$6,0),0)
  + _xlfn.IFS(BA21="Formal Board Committee",5, BA21="Board Oversight Mentioned",2, TRUE,0)
  + _xlfn.IFS(BB21="Yes — Quantified Targets",5, BB21="Yes — Discretionary Only",2, TRUE,0)
  + _xlfn.IFS(BC21="Reasonable Assurance",5, BC21="Limited Assurance",3, BC21="Management Review Only",1, TRUE,0)
))</f>
        <v>0</v>
      </c>
      <c r="BF21" s="3"/>
      <c r="BG21" s="3"/>
      <c r="BH21" s="3"/>
      <c r="BI21" s="3"/>
      <c r="BJ21" s="3"/>
      <c r="BK21" s="3"/>
      <c r="BL21" s="3"/>
      <c r="BM21" s="3"/>
      <c r="BN21" s="3"/>
      <c r="BO21" s="3"/>
      <c r="BP21" s="3"/>
      <c r="BQ21" s="3"/>
      <c r="BR21" s="3"/>
      <c r="BS21" s="42">
        <f t="array" ref="BS21">MIN(100, MAX(0,
  IFERROR(_xlfn.XLOOKUP(BG21,'Lookup Tables'!$A$11:$A$16,'Lookup Tables'!$B$11:$B$16,0),0)
  + IFERROR(_xlfn.XLOOKUP(BR21,'Lookup Tables'!$M$11:$M$14,'Lookup Tables'!$N$11:$N$14,0),0)
  + IFERROR(_xlfn.XLOOKUP(BQ21,'Lookup Tables'!$J$11:$J$15,'Lookup Tables'!$K$11:$K$15,0),0)
  + IFERROR(_xlfn.XLOOKUP(BH21,'Lookup Tables'!$D$11:$D$15,'Lookup Tables'!$E$11:$E$15,0),0)
  + IFERROR(_xlfn.XLOOKUP(BJ21,'Lookup Tables'!$G$11:$G$16,'Lookup Tables'!$H$11:$H$16,0),0)
  + IFERROR(_xlfn.XLOOKUP(BN21,'Lookup Tables'!$P$11:$P$15,'Lookup Tables'!$Q$11:$Q$15,0),0)
  + _xlfn.IFS(BM21="No Evidence",10, BM21="Unknown",3, BM21="Likely",0, BM21="Confirmed",-10, TRUE,3)
  + IFERROR(_xlfn.XLOOKUP(BP21,'Lookup Tables'!$J$21:$J$24,'Lookup Tables'!$K$21:$K$24,0),0)
))</f>
        <v>3</v>
      </c>
      <c r="BT21" s="3"/>
      <c r="BU21" s="3"/>
      <c r="BV21" s="3"/>
      <c r="BW21" s="3"/>
      <c r="BX21" s="3"/>
      <c r="BY21" s="3"/>
      <c r="BZ21" s="3"/>
      <c r="CA21" s="3"/>
      <c r="CB21" s="3"/>
      <c r="CC21" s="3"/>
      <c r="CD21" s="3"/>
      <c r="CE21" s="44">
        <f t="array" ref="CE21">MIN(100, MAX(0,
  IF(ISNUMBER(BV21)*AND(BV21&gt;0), 10, 0)
  + _xlfn.IFS(BY21="Independently Verified",25, BY21="Yes",15, TRUE,0)
  + IFERROR(_xlfn.XLOOKUP(BZ21,'Lookup Tables'!$A$21:$A$24,'Lookup Tables'!$B$21:$B$24,0),0)
  + IFERROR(_xlfn.XLOOKUP(CA21,'Lookup Tables'!$D$21:$D$24,'Lookup Tables'!$E$21:$E$24,0),0)
  + _xlfn.IFS(ISNUMBER(CB21)*AND(CB21&gt;=11),15, ISNUMBER(CB21)*AND(CB21&gt;=6),10, ISNUMBER(CB21)*AND(CB21&gt;=1),5, TRUE,0)
  + IFERROR(_xlfn.XLOOKUP(CC21,'Lookup Tables'!$G$21:$G$25,'Lookup Tables'!$H$21:$H$25,0),0)
  - IF(ISNUMBER(BW21)*AND(ISNUMBER(BV21))*AND(BW21&gt;BV21), 20, 0)
  - IF(AND(BY21="Yes", ISNUMBER(BW21), BW21&gt;60), 10, 0)
))</f>
        <v>0</v>
      </c>
      <c r="CF21" s="3"/>
      <c r="CG21" s="3"/>
      <c r="CH21" s="3"/>
      <c r="CI21" s="3"/>
      <c r="CJ21" s="3"/>
      <c r="CK21" s="3"/>
      <c r="CL21" s="3"/>
      <c r="CM21" s="3"/>
      <c r="CN21" s="3"/>
      <c r="CO21" s="3"/>
      <c r="CP21" s="3"/>
      <c r="CQ21" s="3"/>
      <c r="CR21" s="3">
        <f t="shared" si="38"/>
        <v>0</v>
      </c>
      <c r="CS21" s="3">
        <f t="shared" si="39"/>
        <v>0</v>
      </c>
      <c r="CT21" s="3">
        <f t="shared" si="40"/>
        <v>0</v>
      </c>
      <c r="CU21" s="3">
        <f>MIN(100,
  CR21*15
  + CS21*6
  + CT21*3
  + IFERROR(_xlfn.XLOOKUP(CW21,'Lookup Tables'!$M$21:$M$25,'Lookup Tables'!$N$21:$N$25,0),0)
)</f>
        <v>0</v>
      </c>
      <c r="CV21" s="3" t="str">
        <f t="shared" si="41"/>
        <v>No failures</v>
      </c>
      <c r="CW21" s="3"/>
      <c r="CX21" s="3"/>
      <c r="CY21" s="3"/>
      <c r="CZ21" s="3"/>
      <c r="DA21" s="3" t="str">
        <f t="shared" si="42"/>
        <v>Yes</v>
      </c>
      <c r="DB21" s="3" t="str">
        <f t="shared" si="43"/>
        <v>No</v>
      </c>
      <c r="DC21" s="3"/>
      <c r="DD21" s="3"/>
      <c r="DE21" s="3"/>
      <c r="DF21" s="3"/>
      <c r="DG21" s="3"/>
      <c r="DH21" s="3"/>
      <c r="DI21" s="3"/>
      <c r="DJ21" s="3"/>
      <c r="DK21" s="3"/>
      <c r="DL21" s="3" t="str">
        <f t="shared" si="44"/>
        <v>Clear</v>
      </c>
      <c r="DM21" s="3" t="str">
        <f t="shared" si="45"/>
        <v>Yes</v>
      </c>
      <c r="DN21" s="3">
        <f t="array" ref="DN21">MIN(100,
  IF(ISNUMBER(V21), _xlfn.IFS(V21&gt;=3,25, V21=2,15, V21=1,5, TRUE,0), 0)
  + IFERROR(_xlfn.IFS(VALUE(LEFT(DF21,1))=5,25, VALUE(LEFT(DF21,1))=4,20, VALUE(LEFT(DF21,1))=3,15, VALUE(LEFT(DF21,1))=2,8, TRUE,0), 15)
  + IFERROR(_xlfn.IFS(VALUE(LEFT(DG21,1))=5,25, VALUE(LEFT(DG21,1))=4,20, VALUE(LEFT(DG21,1))=3,15, VALUE(LEFT(DG21,1))=2,8, TRUE,0), 15)
  + _xlfn.IFS(DH21="Fully Verified",25, DH21="Partially Verified",12, TRUE,0)
)</f>
        <v>30</v>
      </c>
      <c r="DO21" s="3" t="str">
        <f t="array" ref="DO21">_xlfn.IFS(
  ISBLANK(AR21), "Insufficient Evidence",
  AND(AR21&gt;=65, AJ21="Approved"), "Strong",
  AR21&gt;=65, "Adequate",
  AR21&gt;=40, "Adequate",
  AR21&gt;=20, "Weak",
  TRUE, "Insufficient Evidence"
)</f>
        <v>Insufficient Evidence</v>
      </c>
      <c r="DP21" s="3" t="str">
        <f t="array" ref="DP21">_xlfn.IFS(
  ISBLANK(BS21), "Insufficient Evidence",
  BS21&gt;=65, "Strong",
  BS21&gt;=40, "Adequate",
  BS21&gt;=20, "Weak",
  TRUE, "Insufficient Evidence"
)</f>
        <v>Insufficient Evidence</v>
      </c>
      <c r="DQ21" s="3" t="str">
        <f t="array" ref="DQ21">_xlfn.IFS(
  ISBLANK(BE21), "Insufficient Evidence",
  OR(AW21="Confirmed Violation", AX21="Confirmed Breach"), "Severe — Hard Trigger",
  BE21&gt;=65, "Strong",
  BE21&gt;=40, "Adequate",
  BE21&gt;=20, "Weak",
  TRUE, "Insufficient Evidence"
)</f>
        <v>Insufficient Evidence</v>
      </c>
      <c r="DR21" s="3" t="str">
        <f t="array" ref="DR21">_xlfn.IFS(
  ISBLANK(CU21), "Insufficient Evidence",
  CU21&lt;=20, "Low Risk",
  CU21&lt;=50, "Moderate Risk",
  CU21&lt;=75, "High Risk",
  TRUE, "Very High Risk"
)</f>
        <v>Low Risk</v>
      </c>
      <c r="DS21" s="3" t="str">
        <f t="array" ref="DS21">_xlfn.IFS(
  ISBLANK(CE21), "Insufficient Evidence",
  AND(ISNUMBER(BW21),ISNUMBER(BV21),BW21&gt;BV21), "Overclaiming Risk",
  CE21&gt;=65, "Strong",
  CE21&gt;=40, "Adequate",
  TRUE, "Weak"
)</f>
        <v>Weak</v>
      </c>
      <c r="DT21" s="3">
        <f t="shared" si="46"/>
        <v>11.7</v>
      </c>
      <c r="DU21" s="3" t="str">
        <f t="array" ref="DU21">_xlfn.IFS(
  DV21="Upgraded to Clear", "Clear",
  DV21="Downgraded to Watchlist", "Watchlist",
  DV21="Downgraded to Exclusion", "Exclusion Risk",
  DB21="Yes — Automatic", "Exclusion Risk",
  OR(AW21="Confirmed Violation", AX21="Confirmed Breach"), "Exclusion Risk",
  OR(V21=0, ISBLANK(V21), DN21&lt;20), "Insufficient Evidence",
  AND(DT21&gt;=65, DA21="No", DB21="No"), "Clear",
  OR(DT21&gt;=40, DA21="Yes"), "Watchlist",
  TRUE, "Exclusion Risk"
)</f>
        <v>Insufficient Evidence</v>
      </c>
      <c r="DV21" s="3"/>
      <c r="DW21" s="3" t="str">
        <f t="array" ref="DW21">_xlfn.IFS(
  DU21="Exclusion Risk", "Exclude — Hard Trigger",
  DU21="Insufficient Evidence", "Watchlist — Further Evidence Needed",
  DU21="Watchlist", "Watchlist — Further Evidence Needed",
  AND(DU21="Clear", DT21&gt;=80), "Include — No Conditions",
  DU21="Clear", "Include — Monitor",
  TRUE, "Watchlist — Further Evidence Needed"
)</f>
        <v>Watchlist — Further Evidence Needed</v>
      </c>
      <c r="DX21" s="3"/>
      <c r="DY21" s="3"/>
      <c r="DZ21" s="3"/>
      <c r="EA21" s="3"/>
      <c r="EB21" s="3" t="str">
        <f t="shared" si="47"/>
        <v>MISSING — No sources reviewed</v>
      </c>
      <c r="EC21" s="3" t="str">
        <f t="shared" si="48"/>
        <v/>
      </c>
    </row>
    <row r="22" spans="1:133" ht="18" customHeight="1" x14ac:dyDescent="0.15">
      <c r="A22" s="5" t="s">
        <v>357</v>
      </c>
      <c r="B22" s="5" t="s">
        <v>358</v>
      </c>
      <c r="C22" s="5" t="str">
        <f>IF(ISBLANK('Universe Tracker'!D18),"",'Universe Tracker'!D18)</f>
        <v>CH0010675863</v>
      </c>
      <c r="D22" s="5"/>
      <c r="E22" s="5"/>
      <c r="F22" s="5" t="str">
        <f>IF(ISBLANK('Universe Tracker'!F18),"",'Universe Tracker'!F18)</f>
        <v>Financials</v>
      </c>
      <c r="G22" s="5" t="str">
        <f>IF(ISBLANK('Universe Tracker'!G18),"",'Universe Tracker'!G18)</f>
        <v>Financial Services</v>
      </c>
      <c r="H22" s="5"/>
      <c r="I22" s="5"/>
      <c r="J22" s="5" t="str">
        <f t="shared" si="36"/>
        <v>1SQ_CH0010675863</v>
      </c>
      <c r="K22" s="5"/>
      <c r="L22" s="5"/>
      <c r="M22" s="5"/>
      <c r="N22" s="5"/>
      <c r="O22" s="5"/>
      <c r="P22" s="5"/>
      <c r="Q22" s="5"/>
      <c r="R22" s="5"/>
      <c r="S22" s="5"/>
      <c r="T22" s="5"/>
      <c r="U22" s="5"/>
      <c r="V22" s="5"/>
      <c r="W22" s="5"/>
      <c r="X22" s="5"/>
      <c r="Y22" s="5" t="str">
        <f t="shared" si="37"/>
        <v>Insufficient</v>
      </c>
      <c r="Z22" s="5"/>
      <c r="AA22" s="5"/>
      <c r="AB22" s="5"/>
      <c r="AC22" s="5"/>
      <c r="AD22" s="5"/>
      <c r="AE22" s="5"/>
      <c r="AF22" s="5"/>
      <c r="AG22" s="5"/>
      <c r="AH22" s="5"/>
      <c r="AI22" s="5"/>
      <c r="AJ22" s="5"/>
      <c r="AK22" s="5"/>
      <c r="AL22" s="5"/>
      <c r="AM22" s="5"/>
      <c r="AN22" s="5"/>
      <c r="AO22" s="5"/>
      <c r="AP22" s="5"/>
      <c r="AQ22" s="5"/>
      <c r="AR22" s="40">
        <f t="array" ref="AR22">MIN(100, MAX(0,
  IFERROR(_xlfn.XLOOKUP(AJ22,'Lookup Tables'!$A$2:$A$7,'Lookup Tables'!$B$2:$B$7,0),0)
  + IF(Z22="Yes", IF(IFERROR(_xlfn.XLOOKUP(AJ22,'Lookup Tables'!$A$2:$A$7,'Lookup Tables'!$B$2:$B$7,0),0)&lt;20, 5, 0), 0)
  + _xlfn.IFS(AB22="Yes", IF(ISNUMBER(AC22)*AND(AC22&lt;=2030),15,10), AB22="Long-term Only", 5, AB22="No", 0, TRUE, 0)
  + _xlfn.IFS(AF22="Full",10, AF22="Partial",5, AF22="Scope 2 Only",3, TRUE,0)
  + _xlfn.IFS(AG22="Yes", IF(ISNUMBER(AH22)*AND(AH22&gt;=5),10,6), AG22="Partial",4, TRUE,0)
  + _xlfn.IFS(AI22="Yes",5, AI22="Partial (material categories only)",3, TRUE,0)
  + _xlfn.IFS(AL22="Yes — Detailed",10, AL22="Yes — High Level",5, TRUE,0)
  + _xlfn.IFS(AM22="Yes — Quantified",15, AM22="Yes — Directional Only",7, TRUE,0)
  + _xlfn.IFS(AP22="Formal",5, AP22="Referenced",2, TRUE,0)
  + _xlfn.IFS(AQ22="No Issues Found",5, AQ22="Concern Identified",-5, AQ22="Severe Contradiction",-15, TRUE,0)
  + _xlfn.IFS(BC22="Reasonable Assurance",5, BC22="Limited Assurance",3, TRUE,0)
  - IF(AND(Z22="Yes", AI22="No"), 10, 0)
  - IF(AND(Z22="Yes", AM22="No"), 10, 0)
))</f>
        <v>0</v>
      </c>
      <c r="AS22" s="5"/>
      <c r="AT22" s="5"/>
      <c r="AU22" s="5"/>
      <c r="AV22" s="5"/>
      <c r="AW22" s="5"/>
      <c r="AX22" s="5"/>
      <c r="AY22" s="5"/>
      <c r="AZ22" s="5"/>
      <c r="BA22" s="5"/>
      <c r="BB22" s="5"/>
      <c r="BC22" s="5"/>
      <c r="BD22" s="5"/>
      <c r="BE22" s="39">
        <f t="array" ref="BE22">MIN(100, MAX(0,
  IFERROR(_xlfn.XLOOKUP(AT22,'Lookup Tables'!$D$2:$D$6,'Lookup Tables'!$E$2:$E$6,0),0)
  + IFERROR(_xlfn.XLOOKUP(AV22,'Lookup Tables'!$G$2:$G$5,'Lookup Tables'!$H$2:$H$5,0),0)
  + IFERROR(_xlfn.XLOOKUP(AW22,'Lookup Tables'!$J$2:$J$5,'Lookup Tables'!$K$2:$K$5,0),0)
  + _xlfn.IFS(AX22="No Issues",10, AX22="Complaint Filed",3, AX22="Confirmed Breach",-15, TRUE,0)
  + IFERROR(_xlfn.XLOOKUP(AY22,'Lookup Tables'!$M$2:$M$6,'Lookup Tables'!$N$2:$N$6,0),0)
  + IFERROR(_xlfn.XLOOKUP(AZ22,'Lookup Tables'!$P$2:$P$6,'Lookup Tables'!$Q$2:$Q$6,0),0)
  + _xlfn.IFS(BA22="Formal Board Committee",5, BA22="Board Oversight Mentioned",2, TRUE,0)
  + _xlfn.IFS(BB22="Yes — Quantified Targets",5, BB22="Yes — Discretionary Only",2, TRUE,0)
  + _xlfn.IFS(BC22="Reasonable Assurance",5, BC22="Limited Assurance",3, BC22="Management Review Only",1, TRUE,0)
))</f>
        <v>0</v>
      </c>
      <c r="BF22" s="5"/>
      <c r="BG22" s="5"/>
      <c r="BH22" s="5"/>
      <c r="BI22" s="5"/>
      <c r="BJ22" s="5"/>
      <c r="BK22" s="5"/>
      <c r="BL22" s="5"/>
      <c r="BM22" s="5"/>
      <c r="BN22" s="5"/>
      <c r="BO22" s="5"/>
      <c r="BP22" s="5"/>
      <c r="BQ22" s="5"/>
      <c r="BR22" s="5"/>
      <c r="BS22" s="41">
        <f t="array" ref="BS22">MIN(100, MAX(0,
  IFERROR(_xlfn.XLOOKUP(BG22,'Lookup Tables'!$A$11:$A$16,'Lookup Tables'!$B$11:$B$16,0),0)
  + IFERROR(_xlfn.XLOOKUP(BR22,'Lookup Tables'!$M$11:$M$14,'Lookup Tables'!$N$11:$N$14,0),0)
  + IFERROR(_xlfn.XLOOKUP(BQ22,'Lookup Tables'!$J$11:$J$15,'Lookup Tables'!$K$11:$K$15,0),0)
  + IFERROR(_xlfn.XLOOKUP(BH22,'Lookup Tables'!$D$11:$D$15,'Lookup Tables'!$E$11:$E$15,0),0)
  + IFERROR(_xlfn.XLOOKUP(BJ22,'Lookup Tables'!$G$11:$G$16,'Lookup Tables'!$H$11:$H$16,0),0)
  + IFERROR(_xlfn.XLOOKUP(BN22,'Lookup Tables'!$P$11:$P$15,'Lookup Tables'!$Q$11:$Q$15,0),0)
  + _xlfn.IFS(BM22="No Evidence",10, BM22="Unknown",3, BM22="Likely",0, BM22="Confirmed",-10, TRUE,3)
  + IFERROR(_xlfn.XLOOKUP(BP22,'Lookup Tables'!$J$21:$J$24,'Lookup Tables'!$K$21:$K$24,0),0)
))</f>
        <v>3</v>
      </c>
      <c r="BT22" s="5"/>
      <c r="BU22" s="5"/>
      <c r="BV22" s="5"/>
      <c r="BW22" s="5"/>
      <c r="BX22" s="5"/>
      <c r="BY22" s="5"/>
      <c r="BZ22" s="5"/>
      <c r="CA22" s="5"/>
      <c r="CB22" s="5"/>
      <c r="CC22" s="5"/>
      <c r="CD22" s="5"/>
      <c r="CE22" s="43">
        <f t="array" ref="CE22">MIN(100, MAX(0,
  IF(ISNUMBER(BV22)*AND(BV22&gt;0), 10, 0)
  + _xlfn.IFS(BY22="Independently Verified",25, BY22="Yes",15, TRUE,0)
  + IFERROR(_xlfn.XLOOKUP(BZ22,'Lookup Tables'!$A$21:$A$24,'Lookup Tables'!$B$21:$B$24,0),0)
  + IFERROR(_xlfn.XLOOKUP(CA22,'Lookup Tables'!$D$21:$D$24,'Lookup Tables'!$E$21:$E$24,0),0)
  + _xlfn.IFS(ISNUMBER(CB22)*AND(CB22&gt;=11),15, ISNUMBER(CB22)*AND(CB22&gt;=6),10, ISNUMBER(CB22)*AND(CB22&gt;=1),5, TRUE,0)
  + IFERROR(_xlfn.XLOOKUP(CC22,'Lookup Tables'!$G$21:$G$25,'Lookup Tables'!$H$21:$H$25,0),0)
  - IF(ISNUMBER(BW22)*AND(ISNUMBER(BV22))*AND(BW22&gt;BV22), 20, 0)
  - IF(AND(BY22="Yes", ISNUMBER(BW22), BW22&gt;60), 10, 0)
))</f>
        <v>0</v>
      </c>
      <c r="CF22" s="5"/>
      <c r="CG22" s="5"/>
      <c r="CH22" s="5"/>
      <c r="CI22" s="5"/>
      <c r="CJ22" s="5"/>
      <c r="CK22" s="5"/>
      <c r="CL22" s="5"/>
      <c r="CM22" s="5"/>
      <c r="CN22" s="5"/>
      <c r="CO22" s="5"/>
      <c r="CP22" s="5"/>
      <c r="CQ22" s="5"/>
      <c r="CR22" s="5">
        <f t="shared" si="38"/>
        <v>0</v>
      </c>
      <c r="CS22" s="5">
        <f t="shared" si="39"/>
        <v>0</v>
      </c>
      <c r="CT22" s="5">
        <f t="shared" si="40"/>
        <v>0</v>
      </c>
      <c r="CU22" s="5">
        <f>MIN(100,
  CR22*15
  + CS22*6
  + CT22*3
  + IFERROR(_xlfn.XLOOKUP(CW22,'Lookup Tables'!$M$21:$M$25,'Lookup Tables'!$N$21:$N$25,0),0)
)</f>
        <v>0</v>
      </c>
      <c r="CV22" s="5" t="str">
        <f t="shared" si="41"/>
        <v>No failures</v>
      </c>
      <c r="CW22" s="5"/>
      <c r="CX22" s="5"/>
      <c r="CY22" s="5"/>
      <c r="CZ22" s="5"/>
      <c r="DA22" s="5" t="str">
        <f t="shared" si="42"/>
        <v>Yes</v>
      </c>
      <c r="DB22" s="5" t="str">
        <f t="shared" si="43"/>
        <v>No</v>
      </c>
      <c r="DC22" s="5"/>
      <c r="DD22" s="5"/>
      <c r="DE22" s="5"/>
      <c r="DF22" s="5"/>
      <c r="DG22" s="5"/>
      <c r="DH22" s="5"/>
      <c r="DI22" s="5"/>
      <c r="DJ22" s="5"/>
      <c r="DK22" s="5"/>
      <c r="DL22" s="5" t="str">
        <f t="shared" si="44"/>
        <v>Clear</v>
      </c>
      <c r="DM22" s="5" t="str">
        <f t="shared" si="45"/>
        <v>Yes</v>
      </c>
      <c r="DN22" s="5">
        <f t="array" ref="DN22">MIN(100,
  IF(ISNUMBER(V22), _xlfn.IFS(V22&gt;=3,25, V22=2,15, V22=1,5, TRUE,0), 0)
  + IFERROR(_xlfn.IFS(VALUE(LEFT(DF22,1))=5,25, VALUE(LEFT(DF22,1))=4,20, VALUE(LEFT(DF22,1))=3,15, VALUE(LEFT(DF22,1))=2,8, TRUE,0), 15)
  + IFERROR(_xlfn.IFS(VALUE(LEFT(DG22,1))=5,25, VALUE(LEFT(DG22,1))=4,20, VALUE(LEFT(DG22,1))=3,15, VALUE(LEFT(DG22,1))=2,8, TRUE,0), 15)
  + _xlfn.IFS(DH22="Fully Verified",25, DH22="Partially Verified",12, TRUE,0)
)</f>
        <v>30</v>
      </c>
      <c r="DO22" s="5" t="str">
        <f t="array" ref="DO22">_xlfn.IFS(
  ISBLANK(AR22), "Insufficient Evidence",
  AND(AR22&gt;=65, AJ22="Approved"), "Strong",
  AR22&gt;=65, "Adequate",
  AR22&gt;=40, "Adequate",
  AR22&gt;=20, "Weak",
  TRUE, "Insufficient Evidence"
)</f>
        <v>Insufficient Evidence</v>
      </c>
      <c r="DP22" s="5" t="str">
        <f t="array" ref="DP22">_xlfn.IFS(
  ISBLANK(BS22), "Insufficient Evidence",
  BS22&gt;=65, "Strong",
  BS22&gt;=40, "Adequate",
  BS22&gt;=20, "Weak",
  TRUE, "Insufficient Evidence"
)</f>
        <v>Insufficient Evidence</v>
      </c>
      <c r="DQ22" s="5" t="str">
        <f t="array" ref="DQ22">_xlfn.IFS(
  ISBLANK(BE22), "Insufficient Evidence",
  OR(AW22="Confirmed Violation", AX22="Confirmed Breach"), "Severe — Hard Trigger",
  BE22&gt;=65, "Strong",
  BE22&gt;=40, "Adequate",
  BE22&gt;=20, "Weak",
  TRUE, "Insufficient Evidence"
)</f>
        <v>Insufficient Evidence</v>
      </c>
      <c r="DR22" s="5" t="str">
        <f t="array" ref="DR22">_xlfn.IFS(
  ISBLANK(CU22), "Insufficient Evidence",
  CU22&lt;=20, "Low Risk",
  CU22&lt;=50, "Moderate Risk",
  CU22&lt;=75, "High Risk",
  TRUE, "Very High Risk"
)</f>
        <v>Low Risk</v>
      </c>
      <c r="DS22" s="5" t="str">
        <f t="array" ref="DS22">_xlfn.IFS(
  ISBLANK(CE22), "Insufficient Evidence",
  AND(ISNUMBER(BW22),ISNUMBER(BV22),BW22&gt;BV22), "Overclaiming Risk",
  CE22&gt;=65, "Strong",
  CE22&gt;=40, "Adequate",
  TRUE, "Weak"
)</f>
        <v>Weak</v>
      </c>
      <c r="DT22" s="5">
        <f t="shared" si="46"/>
        <v>11.7</v>
      </c>
      <c r="DU22" s="5" t="str">
        <f t="array" ref="DU22">_xlfn.IFS(
  DV22="Upgraded to Clear", "Clear",
  DV22="Downgraded to Watchlist", "Watchlist",
  DV22="Downgraded to Exclusion", "Exclusion Risk",
  DB22="Yes — Automatic", "Exclusion Risk",
  OR(AW22="Confirmed Violation", AX22="Confirmed Breach"), "Exclusion Risk",
  OR(V22=0, ISBLANK(V22), DN22&lt;20), "Insufficient Evidence",
  AND(DT22&gt;=65, DA22="No", DB22="No"), "Clear",
  OR(DT22&gt;=40, DA22="Yes"), "Watchlist",
  TRUE, "Exclusion Risk"
)</f>
        <v>Insufficient Evidence</v>
      </c>
      <c r="DV22" s="5"/>
      <c r="DW22" s="5" t="str">
        <f t="array" ref="DW22">_xlfn.IFS(
  DU22="Exclusion Risk", "Exclude — Hard Trigger",
  DU22="Insufficient Evidence", "Watchlist — Further Evidence Needed",
  DU22="Watchlist", "Watchlist — Further Evidence Needed",
  AND(DU22="Clear", DT22&gt;=80), "Include — No Conditions",
  DU22="Clear", "Include — Monitor",
  TRUE, "Watchlist — Further Evidence Needed"
)</f>
        <v>Watchlist — Further Evidence Needed</v>
      </c>
      <c r="DX22" s="5"/>
      <c r="DY22" s="5"/>
      <c r="DZ22" s="5"/>
      <c r="EA22" s="5"/>
      <c r="EB22" s="5" t="str">
        <f t="shared" si="47"/>
        <v>MISSING — No sources reviewed</v>
      </c>
      <c r="EC22" s="5" t="str">
        <f t="shared" si="48"/>
        <v/>
      </c>
    </row>
    <row r="23" spans="1:133" ht="18" customHeight="1" x14ac:dyDescent="0.15">
      <c r="A23" s="3" t="s">
        <v>362</v>
      </c>
      <c r="B23" s="3" t="s">
        <v>363</v>
      </c>
      <c r="C23" s="3" t="str">
        <f>IF(ISBLANK('Universe Tracker'!D19),"",'Universe Tracker'!D19)</f>
        <v>FR0000120628</v>
      </c>
      <c r="D23" s="3"/>
      <c r="E23" s="3"/>
      <c r="F23" s="3" t="str">
        <f>IF(ISBLANK('Universe Tracker'!F19),"",'Universe Tracker'!F19)</f>
        <v>Financials</v>
      </c>
      <c r="G23" s="3" t="str">
        <f>IF(ISBLANK('Universe Tracker'!G19),"",'Universe Tracker'!G19)</f>
        <v>Insurance</v>
      </c>
      <c r="H23" s="3"/>
      <c r="I23" s="3"/>
      <c r="J23" s="3" t="str">
        <f t="shared" si="36"/>
        <v>AXA_FR0000120628</v>
      </c>
      <c r="K23" s="3"/>
      <c r="L23" s="3"/>
      <c r="M23" s="3"/>
      <c r="N23" s="3"/>
      <c r="O23" s="3"/>
      <c r="P23" s="3"/>
      <c r="Q23" s="3"/>
      <c r="R23" s="3"/>
      <c r="S23" s="3"/>
      <c r="T23" s="3"/>
      <c r="U23" s="3"/>
      <c r="V23" s="3"/>
      <c r="W23" s="3"/>
      <c r="X23" s="3"/>
      <c r="Y23" s="3" t="str">
        <f t="shared" si="37"/>
        <v>Insufficient</v>
      </c>
      <c r="Z23" s="3"/>
      <c r="AA23" s="3"/>
      <c r="AB23" s="3"/>
      <c r="AC23" s="3"/>
      <c r="AD23" s="3"/>
      <c r="AE23" s="3"/>
      <c r="AF23" s="3"/>
      <c r="AG23" s="3"/>
      <c r="AH23" s="3"/>
      <c r="AI23" s="3"/>
      <c r="AJ23" s="3"/>
      <c r="AK23" s="3"/>
      <c r="AL23" s="3"/>
      <c r="AM23" s="3"/>
      <c r="AN23" s="3"/>
      <c r="AO23" s="3"/>
      <c r="AP23" s="3"/>
      <c r="AQ23" s="3"/>
      <c r="AR23" s="40">
        <f t="array" ref="AR23">MIN(100, MAX(0,
  IFERROR(_xlfn.XLOOKUP(AJ23,'Lookup Tables'!$A$2:$A$7,'Lookup Tables'!$B$2:$B$7,0),0)
  + IF(Z23="Yes", IF(IFERROR(_xlfn.XLOOKUP(AJ23,'Lookup Tables'!$A$2:$A$7,'Lookup Tables'!$B$2:$B$7,0),0)&lt;20, 5, 0), 0)
  + _xlfn.IFS(AB23="Yes", IF(ISNUMBER(AC23)*AND(AC23&lt;=2030),15,10), AB23="Long-term Only", 5, AB23="No", 0, TRUE, 0)
  + _xlfn.IFS(AF23="Full",10, AF23="Partial",5, AF23="Scope 2 Only",3, TRUE,0)
  + _xlfn.IFS(AG23="Yes", IF(ISNUMBER(AH23)*AND(AH23&gt;=5),10,6), AG23="Partial",4, TRUE,0)
  + _xlfn.IFS(AI23="Yes",5, AI23="Partial (material categories only)",3, TRUE,0)
  + _xlfn.IFS(AL23="Yes — Detailed",10, AL23="Yes — High Level",5, TRUE,0)
  + _xlfn.IFS(AM23="Yes — Quantified",15, AM23="Yes — Directional Only",7, TRUE,0)
  + _xlfn.IFS(AP23="Formal",5, AP23="Referenced",2, TRUE,0)
  + _xlfn.IFS(AQ23="No Issues Found",5, AQ23="Concern Identified",-5, AQ23="Severe Contradiction",-15, TRUE,0)
  + _xlfn.IFS(BC23="Reasonable Assurance",5, BC23="Limited Assurance",3, TRUE,0)
  - IF(AND(Z23="Yes", AI23="No"), 10, 0)
  - IF(AND(Z23="Yes", AM23="No"), 10, 0)
))</f>
        <v>0</v>
      </c>
      <c r="AS23" s="3"/>
      <c r="AT23" s="3"/>
      <c r="AU23" s="3"/>
      <c r="AV23" s="3"/>
      <c r="AW23" s="3"/>
      <c r="AX23" s="3"/>
      <c r="AY23" s="3"/>
      <c r="AZ23" s="3"/>
      <c r="BA23" s="3"/>
      <c r="BB23" s="3"/>
      <c r="BC23" s="3"/>
      <c r="BD23" s="3"/>
      <c r="BE23" s="40">
        <f t="array" ref="BE23">MIN(100, MAX(0,
  IFERROR(_xlfn.XLOOKUP(AT23,'Lookup Tables'!$D$2:$D$6,'Lookup Tables'!$E$2:$E$6,0),0)
  + IFERROR(_xlfn.XLOOKUP(AV23,'Lookup Tables'!$G$2:$G$5,'Lookup Tables'!$H$2:$H$5,0),0)
  + IFERROR(_xlfn.XLOOKUP(AW23,'Lookup Tables'!$J$2:$J$5,'Lookup Tables'!$K$2:$K$5,0),0)
  + _xlfn.IFS(AX23="No Issues",10, AX23="Complaint Filed",3, AX23="Confirmed Breach",-15, TRUE,0)
  + IFERROR(_xlfn.XLOOKUP(AY23,'Lookup Tables'!$M$2:$M$6,'Lookup Tables'!$N$2:$N$6,0),0)
  + IFERROR(_xlfn.XLOOKUP(AZ23,'Lookup Tables'!$P$2:$P$6,'Lookup Tables'!$Q$2:$Q$6,0),0)
  + _xlfn.IFS(BA23="Formal Board Committee",5, BA23="Board Oversight Mentioned",2, TRUE,0)
  + _xlfn.IFS(BB23="Yes — Quantified Targets",5, BB23="Yes — Discretionary Only",2, TRUE,0)
  + _xlfn.IFS(BC23="Reasonable Assurance",5, BC23="Limited Assurance",3, BC23="Management Review Only",1, TRUE,0)
))</f>
        <v>0</v>
      </c>
      <c r="BF23" s="3"/>
      <c r="BG23" s="3"/>
      <c r="BH23" s="3"/>
      <c r="BI23" s="3"/>
      <c r="BJ23" s="3"/>
      <c r="BK23" s="3"/>
      <c r="BL23" s="3"/>
      <c r="BM23" s="3"/>
      <c r="BN23" s="3"/>
      <c r="BO23" s="3"/>
      <c r="BP23" s="3"/>
      <c r="BQ23" s="3"/>
      <c r="BR23" s="3"/>
      <c r="BS23" s="42">
        <f t="array" ref="BS23">MIN(100, MAX(0,
  IFERROR(_xlfn.XLOOKUP(BG23,'Lookup Tables'!$A$11:$A$16,'Lookup Tables'!$B$11:$B$16,0),0)
  + IFERROR(_xlfn.XLOOKUP(BR23,'Lookup Tables'!$M$11:$M$14,'Lookup Tables'!$N$11:$N$14,0),0)
  + IFERROR(_xlfn.XLOOKUP(BQ23,'Lookup Tables'!$J$11:$J$15,'Lookup Tables'!$K$11:$K$15,0),0)
  + IFERROR(_xlfn.XLOOKUP(BH23,'Lookup Tables'!$D$11:$D$15,'Lookup Tables'!$E$11:$E$15,0),0)
  + IFERROR(_xlfn.XLOOKUP(BJ23,'Lookup Tables'!$G$11:$G$16,'Lookup Tables'!$H$11:$H$16,0),0)
  + IFERROR(_xlfn.XLOOKUP(BN23,'Lookup Tables'!$P$11:$P$15,'Lookup Tables'!$Q$11:$Q$15,0),0)
  + _xlfn.IFS(BM23="No Evidence",10, BM23="Unknown",3, BM23="Likely",0, BM23="Confirmed",-10, TRUE,3)
  + IFERROR(_xlfn.XLOOKUP(BP23,'Lookup Tables'!$J$21:$J$24,'Lookup Tables'!$K$21:$K$24,0),0)
))</f>
        <v>3</v>
      </c>
      <c r="BT23" s="3"/>
      <c r="BU23" s="3"/>
      <c r="BV23" s="3"/>
      <c r="BW23" s="3"/>
      <c r="BX23" s="3"/>
      <c r="BY23" s="3"/>
      <c r="BZ23" s="3"/>
      <c r="CA23" s="3"/>
      <c r="CB23" s="3"/>
      <c r="CC23" s="3"/>
      <c r="CD23" s="3"/>
      <c r="CE23" s="44">
        <f t="array" ref="CE23">MIN(100, MAX(0,
  IF(ISNUMBER(BV23)*AND(BV23&gt;0), 10, 0)
  + _xlfn.IFS(BY23="Independently Verified",25, BY23="Yes",15, TRUE,0)
  + IFERROR(_xlfn.XLOOKUP(BZ23,'Lookup Tables'!$A$21:$A$24,'Lookup Tables'!$B$21:$B$24,0),0)
  + IFERROR(_xlfn.XLOOKUP(CA23,'Lookup Tables'!$D$21:$D$24,'Lookup Tables'!$E$21:$E$24,0),0)
  + _xlfn.IFS(ISNUMBER(CB23)*AND(CB23&gt;=11),15, ISNUMBER(CB23)*AND(CB23&gt;=6),10, ISNUMBER(CB23)*AND(CB23&gt;=1),5, TRUE,0)
  + IFERROR(_xlfn.XLOOKUP(CC23,'Lookup Tables'!$G$21:$G$25,'Lookup Tables'!$H$21:$H$25,0),0)
  - IF(ISNUMBER(BW23)*AND(ISNUMBER(BV23))*AND(BW23&gt;BV23), 20, 0)
  - IF(AND(BY23="Yes", ISNUMBER(BW23), BW23&gt;60), 10, 0)
))</f>
        <v>0</v>
      </c>
      <c r="CF23" s="3"/>
      <c r="CG23" s="3"/>
      <c r="CH23" s="3"/>
      <c r="CI23" s="3"/>
      <c r="CJ23" s="3"/>
      <c r="CK23" s="3"/>
      <c r="CL23" s="3"/>
      <c r="CM23" s="3"/>
      <c r="CN23" s="3"/>
      <c r="CO23" s="3"/>
      <c r="CP23" s="3"/>
      <c r="CQ23" s="3"/>
      <c r="CR23" s="3">
        <f t="shared" si="38"/>
        <v>0</v>
      </c>
      <c r="CS23" s="3">
        <f t="shared" si="39"/>
        <v>0</v>
      </c>
      <c r="CT23" s="3">
        <f t="shared" si="40"/>
        <v>0</v>
      </c>
      <c r="CU23" s="3">
        <f>MIN(100,
  CR23*15
  + CS23*6
  + CT23*3
  + IFERROR(_xlfn.XLOOKUP(CW23,'Lookup Tables'!$M$21:$M$25,'Lookup Tables'!$N$21:$N$25,0),0)
)</f>
        <v>0</v>
      </c>
      <c r="CV23" s="3" t="str">
        <f t="shared" si="41"/>
        <v>No failures</v>
      </c>
      <c r="CW23" s="3"/>
      <c r="CX23" s="3"/>
      <c r="CY23" s="3"/>
      <c r="CZ23" s="3"/>
      <c r="DA23" s="3" t="str">
        <f t="shared" si="42"/>
        <v>Yes</v>
      </c>
      <c r="DB23" s="3" t="str">
        <f t="shared" si="43"/>
        <v>No</v>
      </c>
      <c r="DC23" s="3"/>
      <c r="DD23" s="3"/>
      <c r="DE23" s="3"/>
      <c r="DF23" s="3"/>
      <c r="DG23" s="3"/>
      <c r="DH23" s="3"/>
      <c r="DI23" s="3"/>
      <c r="DJ23" s="3"/>
      <c r="DK23" s="3"/>
      <c r="DL23" s="3" t="str">
        <f t="shared" si="44"/>
        <v>Clear</v>
      </c>
      <c r="DM23" s="3" t="str">
        <f t="shared" si="45"/>
        <v>Yes</v>
      </c>
      <c r="DN23" s="3">
        <f t="array" ref="DN23">MIN(100,
  IF(ISNUMBER(V23), _xlfn.IFS(V23&gt;=3,25, V23=2,15, V23=1,5, TRUE,0), 0)
  + IFERROR(_xlfn.IFS(VALUE(LEFT(DF23,1))=5,25, VALUE(LEFT(DF23,1))=4,20, VALUE(LEFT(DF23,1))=3,15, VALUE(LEFT(DF23,1))=2,8, TRUE,0), 15)
  + IFERROR(_xlfn.IFS(VALUE(LEFT(DG23,1))=5,25, VALUE(LEFT(DG23,1))=4,20, VALUE(LEFT(DG23,1))=3,15, VALUE(LEFT(DG23,1))=2,8, TRUE,0), 15)
  + _xlfn.IFS(DH23="Fully Verified",25, DH23="Partially Verified",12, TRUE,0)
)</f>
        <v>30</v>
      </c>
      <c r="DO23" s="3" t="str">
        <f t="array" ref="DO23">_xlfn.IFS(
  ISBLANK(AR23), "Insufficient Evidence",
  AND(AR23&gt;=65, AJ23="Approved"), "Strong",
  AR23&gt;=65, "Adequate",
  AR23&gt;=40, "Adequate",
  AR23&gt;=20, "Weak",
  TRUE, "Insufficient Evidence"
)</f>
        <v>Insufficient Evidence</v>
      </c>
      <c r="DP23" s="3" t="str">
        <f t="array" ref="DP23">_xlfn.IFS(
  ISBLANK(BS23), "Insufficient Evidence",
  BS23&gt;=65, "Strong",
  BS23&gt;=40, "Adequate",
  BS23&gt;=20, "Weak",
  TRUE, "Insufficient Evidence"
)</f>
        <v>Insufficient Evidence</v>
      </c>
      <c r="DQ23" s="3" t="str">
        <f t="array" ref="DQ23">_xlfn.IFS(
  ISBLANK(BE23), "Insufficient Evidence",
  OR(AW23="Confirmed Violation", AX23="Confirmed Breach"), "Severe — Hard Trigger",
  BE23&gt;=65, "Strong",
  BE23&gt;=40, "Adequate",
  BE23&gt;=20, "Weak",
  TRUE, "Insufficient Evidence"
)</f>
        <v>Insufficient Evidence</v>
      </c>
      <c r="DR23" s="3" t="str">
        <f t="array" ref="DR23">_xlfn.IFS(
  ISBLANK(CU23), "Insufficient Evidence",
  CU23&lt;=20, "Low Risk",
  CU23&lt;=50, "Moderate Risk",
  CU23&lt;=75, "High Risk",
  TRUE, "Very High Risk"
)</f>
        <v>Low Risk</v>
      </c>
      <c r="DS23" s="3" t="str">
        <f t="array" ref="DS23">_xlfn.IFS(
  ISBLANK(CE23), "Insufficient Evidence",
  AND(ISNUMBER(BW23),ISNUMBER(BV23),BW23&gt;BV23), "Overclaiming Risk",
  CE23&gt;=65, "Strong",
  CE23&gt;=40, "Adequate",
  TRUE, "Weak"
)</f>
        <v>Weak</v>
      </c>
      <c r="DT23" s="3">
        <f t="shared" si="46"/>
        <v>11.7</v>
      </c>
      <c r="DU23" s="3" t="str">
        <f t="array" ref="DU23">_xlfn.IFS(
  DV23="Upgraded to Clear", "Clear",
  DV23="Downgraded to Watchlist", "Watchlist",
  DV23="Downgraded to Exclusion", "Exclusion Risk",
  DB23="Yes — Automatic", "Exclusion Risk",
  OR(AW23="Confirmed Violation", AX23="Confirmed Breach"), "Exclusion Risk",
  OR(V23=0, ISBLANK(V23), DN23&lt;20), "Insufficient Evidence",
  AND(DT23&gt;=65, DA23="No", DB23="No"), "Clear",
  OR(DT23&gt;=40, DA23="Yes"), "Watchlist",
  TRUE, "Exclusion Risk"
)</f>
        <v>Insufficient Evidence</v>
      </c>
      <c r="DV23" s="3"/>
      <c r="DW23" s="3" t="str">
        <f t="array" ref="DW23">_xlfn.IFS(
  DU23="Exclusion Risk", "Exclude — Hard Trigger",
  DU23="Insufficient Evidence", "Watchlist — Further Evidence Needed",
  DU23="Watchlist", "Watchlist — Further Evidence Needed",
  AND(DU23="Clear", DT23&gt;=80), "Include — No Conditions",
  DU23="Clear", "Include — Monitor",
  TRUE, "Watchlist — Further Evidence Needed"
)</f>
        <v>Watchlist — Further Evidence Needed</v>
      </c>
      <c r="DX23" s="3"/>
      <c r="DY23" s="3"/>
      <c r="DZ23" s="3"/>
      <c r="EA23" s="3"/>
      <c r="EB23" s="3" t="str">
        <f t="shared" si="47"/>
        <v>MISSING — No sources reviewed</v>
      </c>
      <c r="EC23" s="3" t="str">
        <f t="shared" si="48"/>
        <v/>
      </c>
    </row>
    <row r="24" spans="1:133" ht="18" customHeight="1" x14ac:dyDescent="0.15">
      <c r="A24" s="5" t="s">
        <v>367</v>
      </c>
      <c r="B24" s="5" t="s">
        <v>368</v>
      </c>
      <c r="C24" s="5" t="str">
        <f>IF(ISBLANK('Universe Tracker'!D20),"",'Universe Tracker'!D20)</f>
        <v>DE000ENAG999</v>
      </c>
      <c r="D24" s="5"/>
      <c r="E24" s="5"/>
      <c r="F24" s="5" t="str">
        <f>IF(ISBLANK('Universe Tracker'!F20),"",'Universe Tracker'!F20)</f>
        <v>Utilities</v>
      </c>
      <c r="G24" s="5" t="str">
        <f>IF(ISBLANK('Universe Tracker'!G20),"",'Universe Tracker'!G20)</f>
        <v>Utilities</v>
      </c>
      <c r="H24" s="5"/>
      <c r="I24" s="5"/>
      <c r="J24" s="5" t="str">
        <f t="shared" si="36"/>
        <v>EOAN_DE000ENAG999</v>
      </c>
      <c r="K24" s="5"/>
      <c r="L24" s="5"/>
      <c r="M24" s="5"/>
      <c r="N24" s="5"/>
      <c r="O24" s="5"/>
      <c r="P24" s="5"/>
      <c r="Q24" s="5"/>
      <c r="R24" s="5"/>
      <c r="S24" s="5"/>
      <c r="T24" s="5"/>
      <c r="U24" s="5"/>
      <c r="V24" s="5"/>
      <c r="W24" s="5"/>
      <c r="X24" s="5"/>
      <c r="Y24" s="5" t="str">
        <f t="shared" si="37"/>
        <v>Insufficient</v>
      </c>
      <c r="Z24" s="5"/>
      <c r="AA24" s="5"/>
      <c r="AB24" s="5"/>
      <c r="AC24" s="5"/>
      <c r="AD24" s="5"/>
      <c r="AE24" s="5"/>
      <c r="AF24" s="5"/>
      <c r="AG24" s="5"/>
      <c r="AH24" s="5"/>
      <c r="AI24" s="5"/>
      <c r="AJ24" s="5"/>
      <c r="AK24" s="5"/>
      <c r="AL24" s="5"/>
      <c r="AM24" s="5"/>
      <c r="AN24" s="5"/>
      <c r="AO24" s="5"/>
      <c r="AP24" s="5"/>
      <c r="AQ24" s="5"/>
      <c r="AR24" s="40">
        <f t="array" ref="AR24">MIN(100, MAX(0,
  IFERROR(_xlfn.XLOOKUP(AJ24,'Lookup Tables'!$A$2:$A$7,'Lookup Tables'!$B$2:$B$7,0),0)
  + IF(Z24="Yes", IF(IFERROR(_xlfn.XLOOKUP(AJ24,'Lookup Tables'!$A$2:$A$7,'Lookup Tables'!$B$2:$B$7,0),0)&lt;20, 5, 0), 0)
  + _xlfn.IFS(AB24="Yes", IF(ISNUMBER(AC24)*AND(AC24&lt;=2030),15,10), AB24="Long-term Only", 5, AB24="No", 0, TRUE, 0)
  + _xlfn.IFS(AF24="Full",10, AF24="Partial",5, AF24="Scope 2 Only",3, TRUE,0)
  + _xlfn.IFS(AG24="Yes", IF(ISNUMBER(AH24)*AND(AH24&gt;=5),10,6), AG24="Partial",4, TRUE,0)
  + _xlfn.IFS(AI24="Yes",5, AI24="Partial (material categories only)",3, TRUE,0)
  + _xlfn.IFS(AL24="Yes — Detailed",10, AL24="Yes — High Level",5, TRUE,0)
  + _xlfn.IFS(AM24="Yes — Quantified",15, AM24="Yes — Directional Only",7, TRUE,0)
  + _xlfn.IFS(AP24="Formal",5, AP24="Referenced",2, TRUE,0)
  + _xlfn.IFS(AQ24="No Issues Found",5, AQ24="Concern Identified",-5, AQ24="Severe Contradiction",-15, TRUE,0)
  + _xlfn.IFS(BC24="Reasonable Assurance",5, BC24="Limited Assurance",3, TRUE,0)
  - IF(AND(Z24="Yes", AI24="No"), 10, 0)
  - IF(AND(Z24="Yes", AM24="No"), 10, 0)
))</f>
        <v>0</v>
      </c>
      <c r="AS24" s="5"/>
      <c r="AT24" s="5"/>
      <c r="AU24" s="5"/>
      <c r="AV24" s="5"/>
      <c r="AW24" s="5"/>
      <c r="AX24" s="5"/>
      <c r="AY24" s="5"/>
      <c r="AZ24" s="5"/>
      <c r="BA24" s="5"/>
      <c r="BB24" s="5"/>
      <c r="BC24" s="5"/>
      <c r="BD24" s="5"/>
      <c r="BE24" s="39">
        <f t="array" ref="BE24">MIN(100, MAX(0,
  IFERROR(_xlfn.XLOOKUP(AT24,'Lookup Tables'!$D$2:$D$6,'Lookup Tables'!$E$2:$E$6,0),0)
  + IFERROR(_xlfn.XLOOKUP(AV24,'Lookup Tables'!$G$2:$G$5,'Lookup Tables'!$H$2:$H$5,0),0)
  + IFERROR(_xlfn.XLOOKUP(AW24,'Lookup Tables'!$J$2:$J$5,'Lookup Tables'!$K$2:$K$5,0),0)
  + _xlfn.IFS(AX24="No Issues",10, AX24="Complaint Filed",3, AX24="Confirmed Breach",-15, TRUE,0)
  + IFERROR(_xlfn.XLOOKUP(AY24,'Lookup Tables'!$M$2:$M$6,'Lookup Tables'!$N$2:$N$6,0),0)
  + IFERROR(_xlfn.XLOOKUP(AZ24,'Lookup Tables'!$P$2:$P$6,'Lookup Tables'!$Q$2:$Q$6,0),0)
  + _xlfn.IFS(BA24="Formal Board Committee",5, BA24="Board Oversight Mentioned",2, TRUE,0)
  + _xlfn.IFS(BB24="Yes — Quantified Targets",5, BB24="Yes — Discretionary Only",2, TRUE,0)
  + _xlfn.IFS(BC24="Reasonable Assurance",5, BC24="Limited Assurance",3, BC24="Management Review Only",1, TRUE,0)
))</f>
        <v>0</v>
      </c>
      <c r="BF24" s="5"/>
      <c r="BG24" s="5"/>
      <c r="BH24" s="5"/>
      <c r="BI24" s="5"/>
      <c r="BJ24" s="5"/>
      <c r="BK24" s="5"/>
      <c r="BL24" s="5"/>
      <c r="BM24" s="5"/>
      <c r="BN24" s="5"/>
      <c r="BO24" s="5"/>
      <c r="BP24" s="5"/>
      <c r="BQ24" s="5"/>
      <c r="BR24" s="5"/>
      <c r="BS24" s="41">
        <f t="array" ref="BS24">MIN(100, MAX(0,
  IFERROR(_xlfn.XLOOKUP(BG24,'Lookup Tables'!$A$11:$A$16,'Lookup Tables'!$B$11:$B$16,0),0)
  + IFERROR(_xlfn.XLOOKUP(BR24,'Lookup Tables'!$M$11:$M$14,'Lookup Tables'!$N$11:$N$14,0),0)
  + IFERROR(_xlfn.XLOOKUP(BQ24,'Lookup Tables'!$J$11:$J$15,'Lookup Tables'!$K$11:$K$15,0),0)
  + IFERROR(_xlfn.XLOOKUP(BH24,'Lookup Tables'!$D$11:$D$15,'Lookup Tables'!$E$11:$E$15,0),0)
  + IFERROR(_xlfn.XLOOKUP(BJ24,'Lookup Tables'!$G$11:$G$16,'Lookup Tables'!$H$11:$H$16,0),0)
  + IFERROR(_xlfn.XLOOKUP(BN24,'Lookup Tables'!$P$11:$P$15,'Lookup Tables'!$Q$11:$Q$15,0),0)
  + _xlfn.IFS(BM24="No Evidence",10, BM24="Unknown",3, BM24="Likely",0, BM24="Confirmed",-10, TRUE,3)
  + IFERROR(_xlfn.XLOOKUP(BP24,'Lookup Tables'!$J$21:$J$24,'Lookup Tables'!$K$21:$K$24,0),0)
))</f>
        <v>3</v>
      </c>
      <c r="BT24" s="5"/>
      <c r="BU24" s="5"/>
      <c r="BV24" s="5"/>
      <c r="BW24" s="5"/>
      <c r="BX24" s="5"/>
      <c r="BY24" s="5"/>
      <c r="BZ24" s="5"/>
      <c r="CA24" s="5"/>
      <c r="CB24" s="5"/>
      <c r="CC24" s="5"/>
      <c r="CD24" s="5"/>
      <c r="CE24" s="43">
        <f t="array" ref="CE24">MIN(100, MAX(0,
  IF(ISNUMBER(BV24)*AND(BV24&gt;0), 10, 0)
  + _xlfn.IFS(BY24="Independently Verified",25, BY24="Yes",15, TRUE,0)
  + IFERROR(_xlfn.XLOOKUP(BZ24,'Lookup Tables'!$A$21:$A$24,'Lookup Tables'!$B$21:$B$24,0),0)
  + IFERROR(_xlfn.XLOOKUP(CA24,'Lookup Tables'!$D$21:$D$24,'Lookup Tables'!$E$21:$E$24,0),0)
  + _xlfn.IFS(ISNUMBER(CB24)*AND(CB24&gt;=11),15, ISNUMBER(CB24)*AND(CB24&gt;=6),10, ISNUMBER(CB24)*AND(CB24&gt;=1),5, TRUE,0)
  + IFERROR(_xlfn.XLOOKUP(CC24,'Lookup Tables'!$G$21:$G$25,'Lookup Tables'!$H$21:$H$25,0),0)
  - IF(ISNUMBER(BW24)*AND(ISNUMBER(BV24))*AND(BW24&gt;BV24), 20, 0)
  - IF(AND(BY24="Yes", ISNUMBER(BW24), BW24&gt;60), 10, 0)
))</f>
        <v>0</v>
      </c>
      <c r="CF24" s="5"/>
      <c r="CG24" s="5"/>
      <c r="CH24" s="5"/>
      <c r="CI24" s="5"/>
      <c r="CJ24" s="5"/>
      <c r="CK24" s="5"/>
      <c r="CL24" s="5"/>
      <c r="CM24" s="5"/>
      <c r="CN24" s="5"/>
      <c r="CO24" s="5"/>
      <c r="CP24" s="5"/>
      <c r="CQ24" s="5"/>
      <c r="CR24" s="5">
        <f t="shared" si="38"/>
        <v>0</v>
      </c>
      <c r="CS24" s="5">
        <f t="shared" si="39"/>
        <v>0</v>
      </c>
      <c r="CT24" s="5">
        <f t="shared" si="40"/>
        <v>0</v>
      </c>
      <c r="CU24" s="5">
        <f>MIN(100,
  CR24*15
  + CS24*6
  + CT24*3
  + IFERROR(_xlfn.XLOOKUP(CW24,'Lookup Tables'!$M$21:$M$25,'Lookup Tables'!$N$21:$N$25,0),0)
)</f>
        <v>0</v>
      </c>
      <c r="CV24" s="5" t="str">
        <f t="shared" si="41"/>
        <v>No failures</v>
      </c>
      <c r="CW24" s="5"/>
      <c r="CX24" s="5"/>
      <c r="CY24" s="5"/>
      <c r="CZ24" s="5"/>
      <c r="DA24" s="5" t="str">
        <f t="shared" si="42"/>
        <v>Yes</v>
      </c>
      <c r="DB24" s="5" t="str">
        <f t="shared" si="43"/>
        <v>No</v>
      </c>
      <c r="DC24" s="5"/>
      <c r="DD24" s="5"/>
      <c r="DE24" s="5"/>
      <c r="DF24" s="5"/>
      <c r="DG24" s="5"/>
      <c r="DH24" s="5"/>
      <c r="DI24" s="5"/>
      <c r="DJ24" s="5"/>
      <c r="DK24" s="5"/>
      <c r="DL24" s="5" t="str">
        <f t="shared" si="44"/>
        <v>Clear</v>
      </c>
      <c r="DM24" s="5" t="str">
        <f t="shared" si="45"/>
        <v>Yes</v>
      </c>
      <c r="DN24" s="5">
        <f t="array" ref="DN24">MIN(100,
  IF(ISNUMBER(V24), _xlfn.IFS(V24&gt;=3,25, V24=2,15, V24=1,5, TRUE,0), 0)
  + IFERROR(_xlfn.IFS(VALUE(LEFT(DF24,1))=5,25, VALUE(LEFT(DF24,1))=4,20, VALUE(LEFT(DF24,1))=3,15, VALUE(LEFT(DF24,1))=2,8, TRUE,0), 15)
  + IFERROR(_xlfn.IFS(VALUE(LEFT(DG24,1))=5,25, VALUE(LEFT(DG24,1))=4,20, VALUE(LEFT(DG24,1))=3,15, VALUE(LEFT(DG24,1))=2,8, TRUE,0), 15)
  + _xlfn.IFS(DH24="Fully Verified",25, DH24="Partially Verified",12, TRUE,0)
)</f>
        <v>30</v>
      </c>
      <c r="DO24" s="5" t="str">
        <f t="array" ref="DO24">_xlfn.IFS(
  ISBLANK(AR24), "Insufficient Evidence",
  AND(AR24&gt;=65, AJ24="Approved"), "Strong",
  AR24&gt;=65, "Adequate",
  AR24&gt;=40, "Adequate",
  AR24&gt;=20, "Weak",
  TRUE, "Insufficient Evidence"
)</f>
        <v>Insufficient Evidence</v>
      </c>
      <c r="DP24" s="5" t="str">
        <f t="array" ref="DP24">_xlfn.IFS(
  ISBLANK(BS24), "Insufficient Evidence",
  BS24&gt;=65, "Strong",
  BS24&gt;=40, "Adequate",
  BS24&gt;=20, "Weak",
  TRUE, "Insufficient Evidence"
)</f>
        <v>Insufficient Evidence</v>
      </c>
      <c r="DQ24" s="5" t="str">
        <f t="array" ref="DQ24">_xlfn.IFS(
  ISBLANK(BE24), "Insufficient Evidence",
  OR(AW24="Confirmed Violation", AX24="Confirmed Breach"), "Severe — Hard Trigger",
  BE24&gt;=65, "Strong",
  BE24&gt;=40, "Adequate",
  BE24&gt;=20, "Weak",
  TRUE, "Insufficient Evidence"
)</f>
        <v>Insufficient Evidence</v>
      </c>
      <c r="DR24" s="5" t="str">
        <f t="array" ref="DR24">_xlfn.IFS(
  ISBLANK(CU24), "Insufficient Evidence",
  CU24&lt;=20, "Low Risk",
  CU24&lt;=50, "Moderate Risk",
  CU24&lt;=75, "High Risk",
  TRUE, "Very High Risk"
)</f>
        <v>Low Risk</v>
      </c>
      <c r="DS24" s="5" t="str">
        <f t="array" ref="DS24">_xlfn.IFS(
  ISBLANK(CE24), "Insufficient Evidence",
  AND(ISNUMBER(BW24),ISNUMBER(BV24),BW24&gt;BV24), "Overclaiming Risk",
  CE24&gt;=65, "Strong",
  CE24&gt;=40, "Adequate",
  TRUE, "Weak"
)</f>
        <v>Weak</v>
      </c>
      <c r="DT24" s="5">
        <f t="shared" si="46"/>
        <v>11.7</v>
      </c>
      <c r="DU24" s="5" t="str">
        <f t="array" ref="DU24">_xlfn.IFS(
  DV24="Upgraded to Clear", "Clear",
  DV24="Downgraded to Watchlist", "Watchlist",
  DV24="Downgraded to Exclusion", "Exclusion Risk",
  DB24="Yes — Automatic", "Exclusion Risk",
  OR(AW24="Confirmed Violation", AX24="Confirmed Breach"), "Exclusion Risk",
  OR(V24=0, ISBLANK(V24), DN24&lt;20), "Insufficient Evidence",
  AND(DT24&gt;=65, DA24="No", DB24="No"), "Clear",
  OR(DT24&gt;=40, DA24="Yes"), "Watchlist",
  TRUE, "Exclusion Risk"
)</f>
        <v>Insufficient Evidence</v>
      </c>
      <c r="DV24" s="5"/>
      <c r="DW24" s="5" t="str">
        <f t="array" ref="DW24">_xlfn.IFS(
  DU24="Exclusion Risk", "Exclude — Hard Trigger",
  DU24="Insufficient Evidence", "Watchlist — Further Evidence Needed",
  DU24="Watchlist", "Watchlist — Further Evidence Needed",
  AND(DU24="Clear", DT24&gt;=80), "Include — No Conditions",
  DU24="Clear", "Include — Monitor",
  TRUE, "Watchlist — Further Evidence Needed"
)</f>
        <v>Watchlist — Further Evidence Needed</v>
      </c>
      <c r="DX24" s="5"/>
      <c r="DY24" s="5"/>
      <c r="DZ24" s="5"/>
      <c r="EA24" s="5"/>
      <c r="EB24" s="5" t="str">
        <f t="shared" si="47"/>
        <v>MISSING — No sources reviewed</v>
      </c>
      <c r="EC24" s="5" t="str">
        <f t="shared" si="48"/>
        <v/>
      </c>
    </row>
    <row r="25" spans="1:133" ht="18" customHeight="1" x14ac:dyDescent="0.15">
      <c r="A25" s="3" t="s">
        <v>371</v>
      </c>
      <c r="B25" s="3" t="s">
        <v>372</v>
      </c>
      <c r="C25" s="3" t="str">
        <f>IF(ISBLANK('Universe Tracker'!D21),"",'Universe Tracker'!D21)</f>
        <v>NL0010773842</v>
      </c>
      <c r="D25" s="3"/>
      <c r="E25" s="3"/>
      <c r="F25" s="3" t="str">
        <f>IF(ISBLANK('Universe Tracker'!F21),"",'Universe Tracker'!F21)</f>
        <v>Financials</v>
      </c>
      <c r="G25" s="3" t="str">
        <f>IF(ISBLANK('Universe Tracker'!G21),"",'Universe Tracker'!G21)</f>
        <v>Insurance</v>
      </c>
      <c r="H25" s="3"/>
      <c r="I25" s="3"/>
      <c r="J25" s="3" t="str">
        <f t="shared" si="36"/>
        <v>2NN_NL0010773842</v>
      </c>
      <c r="K25" s="3"/>
      <c r="L25" s="3"/>
      <c r="M25" s="3"/>
      <c r="N25" s="3"/>
      <c r="O25" s="3"/>
      <c r="P25" s="3"/>
      <c r="Q25" s="3"/>
      <c r="R25" s="3"/>
      <c r="S25" s="3"/>
      <c r="T25" s="3"/>
      <c r="U25" s="3"/>
      <c r="V25" s="3"/>
      <c r="W25" s="3"/>
      <c r="X25" s="3"/>
      <c r="Y25" s="3" t="str">
        <f t="shared" si="37"/>
        <v>Insufficient</v>
      </c>
      <c r="Z25" s="3"/>
      <c r="AA25" s="3"/>
      <c r="AB25" s="3"/>
      <c r="AC25" s="3"/>
      <c r="AD25" s="3"/>
      <c r="AE25" s="3"/>
      <c r="AF25" s="3"/>
      <c r="AG25" s="3"/>
      <c r="AH25" s="3"/>
      <c r="AI25" s="3"/>
      <c r="AJ25" s="3"/>
      <c r="AK25" s="3"/>
      <c r="AL25" s="3"/>
      <c r="AM25" s="3"/>
      <c r="AN25" s="3"/>
      <c r="AO25" s="3"/>
      <c r="AP25" s="3"/>
      <c r="AQ25" s="3"/>
      <c r="AR25" s="40">
        <f t="array" ref="AR25">MIN(100, MAX(0,
  IFERROR(_xlfn.XLOOKUP(AJ25,'Lookup Tables'!$A$2:$A$7,'Lookup Tables'!$B$2:$B$7,0),0)
  + IF(Z25="Yes", IF(IFERROR(_xlfn.XLOOKUP(AJ25,'Lookup Tables'!$A$2:$A$7,'Lookup Tables'!$B$2:$B$7,0),0)&lt;20, 5, 0), 0)
  + _xlfn.IFS(AB25="Yes", IF(ISNUMBER(AC25)*AND(AC25&lt;=2030),15,10), AB25="Long-term Only", 5, AB25="No", 0, TRUE, 0)
  + _xlfn.IFS(AF25="Full",10, AF25="Partial",5, AF25="Scope 2 Only",3, TRUE,0)
  + _xlfn.IFS(AG25="Yes", IF(ISNUMBER(AH25)*AND(AH25&gt;=5),10,6), AG25="Partial",4, TRUE,0)
  + _xlfn.IFS(AI25="Yes",5, AI25="Partial (material categories only)",3, TRUE,0)
  + _xlfn.IFS(AL25="Yes — Detailed",10, AL25="Yes — High Level",5, TRUE,0)
  + _xlfn.IFS(AM25="Yes — Quantified",15, AM25="Yes — Directional Only",7, TRUE,0)
  + _xlfn.IFS(AP25="Formal",5, AP25="Referenced",2, TRUE,0)
  + _xlfn.IFS(AQ25="No Issues Found",5, AQ25="Concern Identified",-5, AQ25="Severe Contradiction",-15, TRUE,0)
  + _xlfn.IFS(BC25="Reasonable Assurance",5, BC25="Limited Assurance",3, TRUE,0)
  - IF(AND(Z25="Yes", AI25="No"), 10, 0)
  - IF(AND(Z25="Yes", AM25="No"), 10, 0)
))</f>
        <v>0</v>
      </c>
      <c r="AS25" s="3"/>
      <c r="AT25" s="3"/>
      <c r="AU25" s="3"/>
      <c r="AV25" s="3"/>
      <c r="AW25" s="3"/>
      <c r="AX25" s="3"/>
      <c r="AY25" s="3"/>
      <c r="AZ25" s="3"/>
      <c r="BA25" s="3"/>
      <c r="BB25" s="3"/>
      <c r="BC25" s="3"/>
      <c r="BD25" s="3"/>
      <c r="BE25" s="40">
        <f t="array" ref="BE25">MIN(100, MAX(0,
  IFERROR(_xlfn.XLOOKUP(AT25,'Lookup Tables'!$D$2:$D$6,'Lookup Tables'!$E$2:$E$6,0),0)
  + IFERROR(_xlfn.XLOOKUP(AV25,'Lookup Tables'!$G$2:$G$5,'Lookup Tables'!$H$2:$H$5,0),0)
  + IFERROR(_xlfn.XLOOKUP(AW25,'Lookup Tables'!$J$2:$J$5,'Lookup Tables'!$K$2:$K$5,0),0)
  + _xlfn.IFS(AX25="No Issues",10, AX25="Complaint Filed",3, AX25="Confirmed Breach",-15, TRUE,0)
  + IFERROR(_xlfn.XLOOKUP(AY25,'Lookup Tables'!$M$2:$M$6,'Lookup Tables'!$N$2:$N$6,0),0)
  + IFERROR(_xlfn.XLOOKUP(AZ25,'Lookup Tables'!$P$2:$P$6,'Lookup Tables'!$Q$2:$Q$6,0),0)
  + _xlfn.IFS(BA25="Formal Board Committee",5, BA25="Board Oversight Mentioned",2, TRUE,0)
  + _xlfn.IFS(BB25="Yes — Quantified Targets",5, BB25="Yes — Discretionary Only",2, TRUE,0)
  + _xlfn.IFS(BC25="Reasonable Assurance",5, BC25="Limited Assurance",3, BC25="Management Review Only",1, TRUE,0)
))</f>
        <v>0</v>
      </c>
      <c r="BF25" s="3"/>
      <c r="BG25" s="3"/>
      <c r="BH25" s="3"/>
      <c r="BI25" s="3"/>
      <c r="BJ25" s="3"/>
      <c r="BK25" s="3"/>
      <c r="BL25" s="3"/>
      <c r="BM25" s="3"/>
      <c r="BN25" s="3"/>
      <c r="BO25" s="3"/>
      <c r="BP25" s="3"/>
      <c r="BQ25" s="3"/>
      <c r="BR25" s="3"/>
      <c r="BS25" s="42">
        <f t="array" ref="BS25">MIN(100, MAX(0,
  IFERROR(_xlfn.XLOOKUP(BG25,'Lookup Tables'!$A$11:$A$16,'Lookup Tables'!$B$11:$B$16,0),0)
  + IFERROR(_xlfn.XLOOKUP(BR25,'Lookup Tables'!$M$11:$M$14,'Lookup Tables'!$N$11:$N$14,0),0)
  + IFERROR(_xlfn.XLOOKUP(BQ25,'Lookup Tables'!$J$11:$J$15,'Lookup Tables'!$K$11:$K$15,0),0)
  + IFERROR(_xlfn.XLOOKUP(BH25,'Lookup Tables'!$D$11:$D$15,'Lookup Tables'!$E$11:$E$15,0),0)
  + IFERROR(_xlfn.XLOOKUP(BJ25,'Lookup Tables'!$G$11:$G$16,'Lookup Tables'!$H$11:$H$16,0),0)
  + IFERROR(_xlfn.XLOOKUP(BN25,'Lookup Tables'!$P$11:$P$15,'Lookup Tables'!$Q$11:$Q$15,0),0)
  + _xlfn.IFS(BM25="No Evidence",10, BM25="Unknown",3, BM25="Likely",0, BM25="Confirmed",-10, TRUE,3)
  + IFERROR(_xlfn.XLOOKUP(BP25,'Lookup Tables'!$J$21:$J$24,'Lookup Tables'!$K$21:$K$24,0),0)
))</f>
        <v>3</v>
      </c>
      <c r="BT25" s="3"/>
      <c r="BU25" s="3"/>
      <c r="BV25" s="3"/>
      <c r="BW25" s="3"/>
      <c r="BX25" s="3"/>
      <c r="BY25" s="3"/>
      <c r="BZ25" s="3"/>
      <c r="CA25" s="3"/>
      <c r="CB25" s="3"/>
      <c r="CC25" s="3"/>
      <c r="CD25" s="3"/>
      <c r="CE25" s="44">
        <f t="array" ref="CE25">MIN(100, MAX(0,
  IF(ISNUMBER(BV25)*AND(BV25&gt;0), 10, 0)
  + _xlfn.IFS(BY25="Independently Verified",25, BY25="Yes",15, TRUE,0)
  + IFERROR(_xlfn.XLOOKUP(BZ25,'Lookup Tables'!$A$21:$A$24,'Lookup Tables'!$B$21:$B$24,0),0)
  + IFERROR(_xlfn.XLOOKUP(CA25,'Lookup Tables'!$D$21:$D$24,'Lookup Tables'!$E$21:$E$24,0),0)
  + _xlfn.IFS(ISNUMBER(CB25)*AND(CB25&gt;=11),15, ISNUMBER(CB25)*AND(CB25&gt;=6),10, ISNUMBER(CB25)*AND(CB25&gt;=1),5, TRUE,0)
  + IFERROR(_xlfn.XLOOKUP(CC25,'Lookup Tables'!$G$21:$G$25,'Lookup Tables'!$H$21:$H$25,0),0)
  - IF(ISNUMBER(BW25)*AND(ISNUMBER(BV25))*AND(BW25&gt;BV25), 20, 0)
  - IF(AND(BY25="Yes", ISNUMBER(BW25), BW25&gt;60), 10, 0)
))</f>
        <v>0</v>
      </c>
      <c r="CF25" s="3"/>
      <c r="CG25" s="3"/>
      <c r="CH25" s="3"/>
      <c r="CI25" s="3"/>
      <c r="CJ25" s="3"/>
      <c r="CK25" s="3"/>
      <c r="CL25" s="3"/>
      <c r="CM25" s="3"/>
      <c r="CN25" s="3"/>
      <c r="CO25" s="3"/>
      <c r="CP25" s="3"/>
      <c r="CQ25" s="3"/>
      <c r="CR25" s="3">
        <f t="shared" si="38"/>
        <v>0</v>
      </c>
      <c r="CS25" s="3">
        <f t="shared" si="39"/>
        <v>0</v>
      </c>
      <c r="CT25" s="3">
        <f t="shared" si="40"/>
        <v>0</v>
      </c>
      <c r="CU25" s="3">
        <f>MIN(100,
  CR25*15
  + CS25*6
  + CT25*3
  + IFERROR(_xlfn.XLOOKUP(CW25,'Lookup Tables'!$M$21:$M$25,'Lookup Tables'!$N$21:$N$25,0),0)
)</f>
        <v>0</v>
      </c>
      <c r="CV25" s="3" t="str">
        <f t="shared" si="41"/>
        <v>No failures</v>
      </c>
      <c r="CW25" s="3"/>
      <c r="CX25" s="3"/>
      <c r="CY25" s="3"/>
      <c r="CZ25" s="3"/>
      <c r="DA25" s="3" t="str">
        <f t="shared" si="42"/>
        <v>Yes</v>
      </c>
      <c r="DB25" s="3" t="str">
        <f t="shared" si="43"/>
        <v>No</v>
      </c>
      <c r="DC25" s="3"/>
      <c r="DD25" s="3"/>
      <c r="DE25" s="3"/>
      <c r="DF25" s="3"/>
      <c r="DG25" s="3"/>
      <c r="DH25" s="3"/>
      <c r="DI25" s="3"/>
      <c r="DJ25" s="3"/>
      <c r="DK25" s="3"/>
      <c r="DL25" s="3" t="str">
        <f t="shared" si="44"/>
        <v>Clear</v>
      </c>
      <c r="DM25" s="3" t="str">
        <f t="shared" si="45"/>
        <v>Yes</v>
      </c>
      <c r="DN25" s="3">
        <f t="array" ref="DN25">MIN(100,
  IF(ISNUMBER(V25), _xlfn.IFS(V25&gt;=3,25, V25=2,15, V25=1,5, TRUE,0), 0)
  + IFERROR(_xlfn.IFS(VALUE(LEFT(DF25,1))=5,25, VALUE(LEFT(DF25,1))=4,20, VALUE(LEFT(DF25,1))=3,15, VALUE(LEFT(DF25,1))=2,8, TRUE,0), 15)
  + IFERROR(_xlfn.IFS(VALUE(LEFT(DG25,1))=5,25, VALUE(LEFT(DG25,1))=4,20, VALUE(LEFT(DG25,1))=3,15, VALUE(LEFT(DG25,1))=2,8, TRUE,0), 15)
  + _xlfn.IFS(DH25="Fully Verified",25, DH25="Partially Verified",12, TRUE,0)
)</f>
        <v>30</v>
      </c>
      <c r="DO25" s="3" t="str">
        <f t="array" ref="DO25">_xlfn.IFS(
  ISBLANK(AR25), "Insufficient Evidence",
  AND(AR25&gt;=65, AJ25="Approved"), "Strong",
  AR25&gt;=65, "Adequate",
  AR25&gt;=40, "Adequate",
  AR25&gt;=20, "Weak",
  TRUE, "Insufficient Evidence"
)</f>
        <v>Insufficient Evidence</v>
      </c>
      <c r="DP25" s="3" t="str">
        <f t="array" ref="DP25">_xlfn.IFS(
  ISBLANK(BS25), "Insufficient Evidence",
  BS25&gt;=65, "Strong",
  BS25&gt;=40, "Adequate",
  BS25&gt;=20, "Weak",
  TRUE, "Insufficient Evidence"
)</f>
        <v>Insufficient Evidence</v>
      </c>
      <c r="DQ25" s="3" t="str">
        <f t="array" ref="DQ25">_xlfn.IFS(
  ISBLANK(BE25), "Insufficient Evidence",
  OR(AW25="Confirmed Violation", AX25="Confirmed Breach"), "Severe — Hard Trigger",
  BE25&gt;=65, "Strong",
  BE25&gt;=40, "Adequate",
  BE25&gt;=20, "Weak",
  TRUE, "Insufficient Evidence"
)</f>
        <v>Insufficient Evidence</v>
      </c>
      <c r="DR25" s="3" t="str">
        <f t="array" ref="DR25">_xlfn.IFS(
  ISBLANK(CU25), "Insufficient Evidence",
  CU25&lt;=20, "Low Risk",
  CU25&lt;=50, "Moderate Risk",
  CU25&lt;=75, "High Risk",
  TRUE, "Very High Risk"
)</f>
        <v>Low Risk</v>
      </c>
      <c r="DS25" s="3" t="str">
        <f t="array" ref="DS25">_xlfn.IFS(
  ISBLANK(CE25), "Insufficient Evidence",
  AND(ISNUMBER(BW25),ISNUMBER(BV25),BW25&gt;BV25), "Overclaiming Risk",
  CE25&gt;=65, "Strong",
  CE25&gt;=40, "Adequate",
  TRUE, "Weak"
)</f>
        <v>Weak</v>
      </c>
      <c r="DT25" s="3">
        <f t="shared" si="46"/>
        <v>11.7</v>
      </c>
      <c r="DU25" s="3" t="str">
        <f t="array" ref="DU25">_xlfn.IFS(
  DV25="Upgraded to Clear", "Clear",
  DV25="Downgraded to Watchlist", "Watchlist",
  DV25="Downgraded to Exclusion", "Exclusion Risk",
  DB25="Yes — Automatic", "Exclusion Risk",
  OR(AW25="Confirmed Violation", AX25="Confirmed Breach"), "Exclusion Risk",
  OR(V25=0, ISBLANK(V25), DN25&lt;20), "Insufficient Evidence",
  AND(DT25&gt;=65, DA25="No", DB25="No"), "Clear",
  OR(DT25&gt;=40, DA25="Yes"), "Watchlist",
  TRUE, "Exclusion Risk"
)</f>
        <v>Insufficient Evidence</v>
      </c>
      <c r="DV25" s="3"/>
      <c r="DW25" s="3" t="str">
        <f t="array" ref="DW25">_xlfn.IFS(
  DU25="Exclusion Risk", "Exclude — Hard Trigger",
  DU25="Insufficient Evidence", "Watchlist — Further Evidence Needed",
  DU25="Watchlist", "Watchlist — Further Evidence Needed",
  AND(DU25="Clear", DT25&gt;=80), "Include — No Conditions",
  DU25="Clear", "Include — Monitor",
  TRUE, "Watchlist — Further Evidence Needed"
)</f>
        <v>Watchlist — Further Evidence Needed</v>
      </c>
      <c r="DX25" s="3"/>
      <c r="DY25" s="3"/>
      <c r="DZ25" s="3"/>
      <c r="EA25" s="3"/>
      <c r="EB25" s="3" t="str">
        <f t="shared" si="47"/>
        <v>MISSING — No sources reviewed</v>
      </c>
      <c r="EC25" s="3" t="str">
        <f t="shared" si="48"/>
        <v/>
      </c>
    </row>
    <row r="26" spans="1:133" ht="18" customHeight="1" x14ac:dyDescent="0.15">
      <c r="A26" s="5" t="s">
        <v>375</v>
      </c>
      <c r="B26" s="5" t="s">
        <v>376</v>
      </c>
      <c r="C26" s="5" t="str">
        <f>IF(ISBLANK('Universe Tracker'!D22),"",'Universe Tracker'!D22)</f>
        <v>FI0009014377</v>
      </c>
      <c r="D26" s="5"/>
      <c r="E26" s="5"/>
      <c r="F26" s="5" t="str">
        <f>IF(ISBLANK('Universe Tracker'!F22),"",'Universe Tracker'!F22)</f>
        <v>Health Care</v>
      </c>
      <c r="G26" s="5" t="str">
        <f>IF(ISBLANK('Universe Tracker'!G22),"",'Universe Tracker'!G22)</f>
        <v>Health Care</v>
      </c>
      <c r="H26" s="5"/>
      <c r="I26" s="5"/>
      <c r="J26" s="5" t="str">
        <f t="shared" si="36"/>
        <v>OFK_FI0009014377</v>
      </c>
      <c r="K26" s="5"/>
      <c r="L26" s="5"/>
      <c r="M26" s="5"/>
      <c r="N26" s="5"/>
      <c r="O26" s="5"/>
      <c r="P26" s="5"/>
      <c r="Q26" s="5"/>
      <c r="R26" s="5"/>
      <c r="S26" s="5"/>
      <c r="T26" s="5"/>
      <c r="U26" s="5"/>
      <c r="V26" s="5"/>
      <c r="W26" s="5"/>
      <c r="X26" s="5"/>
      <c r="Y26" s="5" t="str">
        <f t="shared" si="37"/>
        <v>Insufficient</v>
      </c>
      <c r="Z26" s="5"/>
      <c r="AA26" s="5"/>
      <c r="AB26" s="5"/>
      <c r="AC26" s="5"/>
      <c r="AD26" s="5"/>
      <c r="AE26" s="5"/>
      <c r="AF26" s="5"/>
      <c r="AG26" s="5"/>
      <c r="AH26" s="5"/>
      <c r="AI26" s="5"/>
      <c r="AJ26" s="5"/>
      <c r="AK26" s="5"/>
      <c r="AL26" s="5"/>
      <c r="AM26" s="5"/>
      <c r="AN26" s="5"/>
      <c r="AO26" s="5"/>
      <c r="AP26" s="5"/>
      <c r="AQ26" s="5"/>
      <c r="AR26" s="40">
        <f t="array" ref="AR26">MIN(100, MAX(0,
  IFERROR(_xlfn.XLOOKUP(AJ26,'Lookup Tables'!$A$2:$A$7,'Lookup Tables'!$B$2:$B$7,0),0)
  + IF(Z26="Yes", IF(IFERROR(_xlfn.XLOOKUP(AJ26,'Lookup Tables'!$A$2:$A$7,'Lookup Tables'!$B$2:$B$7,0),0)&lt;20, 5, 0), 0)
  + _xlfn.IFS(AB26="Yes", IF(ISNUMBER(AC26)*AND(AC26&lt;=2030),15,10), AB26="Long-term Only", 5, AB26="No", 0, TRUE, 0)
  + _xlfn.IFS(AF26="Full",10, AF26="Partial",5, AF26="Scope 2 Only",3, TRUE,0)
  + _xlfn.IFS(AG26="Yes", IF(ISNUMBER(AH26)*AND(AH26&gt;=5),10,6), AG26="Partial",4, TRUE,0)
  + _xlfn.IFS(AI26="Yes",5, AI26="Partial (material categories only)",3, TRUE,0)
  + _xlfn.IFS(AL26="Yes — Detailed",10, AL26="Yes — High Level",5, TRUE,0)
  + _xlfn.IFS(AM26="Yes — Quantified",15, AM26="Yes — Directional Only",7, TRUE,0)
  + _xlfn.IFS(AP26="Formal",5, AP26="Referenced",2, TRUE,0)
  + _xlfn.IFS(AQ26="No Issues Found",5, AQ26="Concern Identified",-5, AQ26="Severe Contradiction",-15, TRUE,0)
  + _xlfn.IFS(BC26="Reasonable Assurance",5, BC26="Limited Assurance",3, TRUE,0)
  - IF(AND(Z26="Yes", AI26="No"), 10, 0)
  - IF(AND(Z26="Yes", AM26="No"), 10, 0)
))</f>
        <v>0</v>
      </c>
      <c r="AS26" s="5"/>
      <c r="AT26" s="5"/>
      <c r="AU26" s="5"/>
      <c r="AV26" s="5"/>
      <c r="AW26" s="5"/>
      <c r="AX26" s="5"/>
      <c r="AY26" s="5"/>
      <c r="AZ26" s="5"/>
      <c r="BA26" s="5"/>
      <c r="BB26" s="5"/>
      <c r="BC26" s="5"/>
      <c r="BD26" s="5"/>
      <c r="BE26" s="39">
        <f t="array" ref="BE26">MIN(100, MAX(0,
  IFERROR(_xlfn.XLOOKUP(AT26,'Lookup Tables'!$D$2:$D$6,'Lookup Tables'!$E$2:$E$6,0),0)
  + IFERROR(_xlfn.XLOOKUP(AV26,'Lookup Tables'!$G$2:$G$5,'Lookup Tables'!$H$2:$H$5,0),0)
  + IFERROR(_xlfn.XLOOKUP(AW26,'Lookup Tables'!$J$2:$J$5,'Lookup Tables'!$K$2:$K$5,0),0)
  + _xlfn.IFS(AX26="No Issues",10, AX26="Complaint Filed",3, AX26="Confirmed Breach",-15, TRUE,0)
  + IFERROR(_xlfn.XLOOKUP(AY26,'Lookup Tables'!$M$2:$M$6,'Lookup Tables'!$N$2:$N$6,0),0)
  + IFERROR(_xlfn.XLOOKUP(AZ26,'Lookup Tables'!$P$2:$P$6,'Lookup Tables'!$Q$2:$Q$6,0),0)
  + _xlfn.IFS(BA26="Formal Board Committee",5, BA26="Board Oversight Mentioned",2, TRUE,0)
  + _xlfn.IFS(BB26="Yes — Quantified Targets",5, BB26="Yes — Discretionary Only",2, TRUE,0)
  + _xlfn.IFS(BC26="Reasonable Assurance",5, BC26="Limited Assurance",3, BC26="Management Review Only",1, TRUE,0)
))</f>
        <v>0</v>
      </c>
      <c r="BF26" s="5"/>
      <c r="BG26" s="5"/>
      <c r="BH26" s="5"/>
      <c r="BI26" s="5"/>
      <c r="BJ26" s="5"/>
      <c r="BK26" s="5"/>
      <c r="BL26" s="5"/>
      <c r="BM26" s="5"/>
      <c r="BN26" s="5"/>
      <c r="BO26" s="5"/>
      <c r="BP26" s="5"/>
      <c r="BQ26" s="5"/>
      <c r="BR26" s="5"/>
      <c r="BS26" s="41">
        <f t="array" ref="BS26">MIN(100, MAX(0,
  IFERROR(_xlfn.XLOOKUP(BG26,'Lookup Tables'!$A$11:$A$16,'Lookup Tables'!$B$11:$B$16,0),0)
  + IFERROR(_xlfn.XLOOKUP(BR26,'Lookup Tables'!$M$11:$M$14,'Lookup Tables'!$N$11:$N$14,0),0)
  + IFERROR(_xlfn.XLOOKUP(BQ26,'Lookup Tables'!$J$11:$J$15,'Lookup Tables'!$K$11:$K$15,0),0)
  + IFERROR(_xlfn.XLOOKUP(BH26,'Lookup Tables'!$D$11:$D$15,'Lookup Tables'!$E$11:$E$15,0),0)
  + IFERROR(_xlfn.XLOOKUP(BJ26,'Lookup Tables'!$G$11:$G$16,'Lookup Tables'!$H$11:$H$16,0),0)
  + IFERROR(_xlfn.XLOOKUP(BN26,'Lookup Tables'!$P$11:$P$15,'Lookup Tables'!$Q$11:$Q$15,0),0)
  + _xlfn.IFS(BM26="No Evidence",10, BM26="Unknown",3, BM26="Likely",0, BM26="Confirmed",-10, TRUE,3)
  + IFERROR(_xlfn.XLOOKUP(BP26,'Lookup Tables'!$J$21:$J$24,'Lookup Tables'!$K$21:$K$24,0),0)
))</f>
        <v>3</v>
      </c>
      <c r="BT26" s="5"/>
      <c r="BU26" s="5"/>
      <c r="BV26" s="5"/>
      <c r="BW26" s="5"/>
      <c r="BX26" s="5"/>
      <c r="BY26" s="5"/>
      <c r="BZ26" s="5"/>
      <c r="CA26" s="5"/>
      <c r="CB26" s="5"/>
      <c r="CC26" s="5"/>
      <c r="CD26" s="5"/>
      <c r="CE26" s="43">
        <f t="array" ref="CE26">MIN(100, MAX(0,
  IF(ISNUMBER(BV26)*AND(BV26&gt;0), 10, 0)
  + _xlfn.IFS(BY26="Independently Verified",25, BY26="Yes",15, TRUE,0)
  + IFERROR(_xlfn.XLOOKUP(BZ26,'Lookup Tables'!$A$21:$A$24,'Lookup Tables'!$B$21:$B$24,0),0)
  + IFERROR(_xlfn.XLOOKUP(CA26,'Lookup Tables'!$D$21:$D$24,'Lookup Tables'!$E$21:$E$24,0),0)
  + _xlfn.IFS(ISNUMBER(CB26)*AND(CB26&gt;=11),15, ISNUMBER(CB26)*AND(CB26&gt;=6),10, ISNUMBER(CB26)*AND(CB26&gt;=1),5, TRUE,0)
  + IFERROR(_xlfn.XLOOKUP(CC26,'Lookup Tables'!$G$21:$G$25,'Lookup Tables'!$H$21:$H$25,0),0)
  - IF(ISNUMBER(BW26)*AND(ISNUMBER(BV26))*AND(BW26&gt;BV26), 20, 0)
  - IF(AND(BY26="Yes", ISNUMBER(BW26), BW26&gt;60), 10, 0)
))</f>
        <v>0</v>
      </c>
      <c r="CF26" s="5"/>
      <c r="CG26" s="5"/>
      <c r="CH26" s="5"/>
      <c r="CI26" s="5"/>
      <c r="CJ26" s="5"/>
      <c r="CK26" s="5"/>
      <c r="CL26" s="5"/>
      <c r="CM26" s="5"/>
      <c r="CN26" s="5"/>
      <c r="CO26" s="5"/>
      <c r="CP26" s="5"/>
      <c r="CQ26" s="5"/>
      <c r="CR26" s="5">
        <f t="shared" si="38"/>
        <v>0</v>
      </c>
      <c r="CS26" s="5">
        <f t="shared" si="39"/>
        <v>0</v>
      </c>
      <c r="CT26" s="5">
        <f t="shared" si="40"/>
        <v>0</v>
      </c>
      <c r="CU26" s="5">
        <f>MIN(100,
  CR26*15
  + CS26*6
  + CT26*3
  + IFERROR(_xlfn.XLOOKUP(CW26,'Lookup Tables'!$M$21:$M$25,'Lookup Tables'!$N$21:$N$25,0),0)
)</f>
        <v>0</v>
      </c>
      <c r="CV26" s="5" t="str">
        <f t="shared" si="41"/>
        <v>No failures</v>
      </c>
      <c r="CW26" s="5"/>
      <c r="CX26" s="5"/>
      <c r="CY26" s="5"/>
      <c r="CZ26" s="5"/>
      <c r="DA26" s="5" t="str">
        <f t="shared" si="42"/>
        <v>Yes</v>
      </c>
      <c r="DB26" s="5" t="str">
        <f t="shared" si="43"/>
        <v>No</v>
      </c>
      <c r="DC26" s="5"/>
      <c r="DD26" s="5"/>
      <c r="DE26" s="5"/>
      <c r="DF26" s="5"/>
      <c r="DG26" s="5"/>
      <c r="DH26" s="5"/>
      <c r="DI26" s="5"/>
      <c r="DJ26" s="5"/>
      <c r="DK26" s="5"/>
      <c r="DL26" s="5" t="str">
        <f t="shared" si="44"/>
        <v>Clear</v>
      </c>
      <c r="DM26" s="5" t="str">
        <f t="shared" si="45"/>
        <v>Yes</v>
      </c>
      <c r="DN26" s="5">
        <f t="array" ref="DN26">MIN(100,
  IF(ISNUMBER(V26), _xlfn.IFS(V26&gt;=3,25, V26=2,15, V26=1,5, TRUE,0), 0)
  + IFERROR(_xlfn.IFS(VALUE(LEFT(DF26,1))=5,25, VALUE(LEFT(DF26,1))=4,20, VALUE(LEFT(DF26,1))=3,15, VALUE(LEFT(DF26,1))=2,8, TRUE,0), 15)
  + IFERROR(_xlfn.IFS(VALUE(LEFT(DG26,1))=5,25, VALUE(LEFT(DG26,1))=4,20, VALUE(LEFT(DG26,1))=3,15, VALUE(LEFT(DG26,1))=2,8, TRUE,0), 15)
  + _xlfn.IFS(DH26="Fully Verified",25, DH26="Partially Verified",12, TRUE,0)
)</f>
        <v>30</v>
      </c>
      <c r="DO26" s="5" t="str">
        <f t="array" ref="DO26">_xlfn.IFS(
  ISBLANK(AR26), "Insufficient Evidence",
  AND(AR26&gt;=65, AJ26="Approved"), "Strong",
  AR26&gt;=65, "Adequate",
  AR26&gt;=40, "Adequate",
  AR26&gt;=20, "Weak",
  TRUE, "Insufficient Evidence"
)</f>
        <v>Insufficient Evidence</v>
      </c>
      <c r="DP26" s="5" t="str">
        <f t="array" ref="DP26">_xlfn.IFS(
  ISBLANK(BS26), "Insufficient Evidence",
  BS26&gt;=65, "Strong",
  BS26&gt;=40, "Adequate",
  BS26&gt;=20, "Weak",
  TRUE, "Insufficient Evidence"
)</f>
        <v>Insufficient Evidence</v>
      </c>
      <c r="DQ26" s="5" t="str">
        <f t="array" ref="DQ26">_xlfn.IFS(
  ISBLANK(BE26), "Insufficient Evidence",
  OR(AW26="Confirmed Violation", AX26="Confirmed Breach"), "Severe — Hard Trigger",
  BE26&gt;=65, "Strong",
  BE26&gt;=40, "Adequate",
  BE26&gt;=20, "Weak",
  TRUE, "Insufficient Evidence"
)</f>
        <v>Insufficient Evidence</v>
      </c>
      <c r="DR26" s="5" t="str">
        <f t="array" ref="DR26">_xlfn.IFS(
  ISBLANK(CU26), "Insufficient Evidence",
  CU26&lt;=20, "Low Risk",
  CU26&lt;=50, "Moderate Risk",
  CU26&lt;=75, "High Risk",
  TRUE, "Very High Risk"
)</f>
        <v>Low Risk</v>
      </c>
      <c r="DS26" s="5" t="str">
        <f t="array" ref="DS26">_xlfn.IFS(
  ISBLANK(CE26), "Insufficient Evidence",
  AND(ISNUMBER(BW26),ISNUMBER(BV26),BW26&gt;BV26), "Overclaiming Risk",
  CE26&gt;=65, "Strong",
  CE26&gt;=40, "Adequate",
  TRUE, "Weak"
)</f>
        <v>Weak</v>
      </c>
      <c r="DT26" s="5">
        <f t="shared" si="46"/>
        <v>11.7</v>
      </c>
      <c r="DU26" s="5" t="str">
        <f t="array" ref="DU26">_xlfn.IFS(
  DV26="Upgraded to Clear", "Clear",
  DV26="Downgraded to Watchlist", "Watchlist",
  DV26="Downgraded to Exclusion", "Exclusion Risk",
  DB26="Yes — Automatic", "Exclusion Risk",
  OR(AW26="Confirmed Violation", AX26="Confirmed Breach"), "Exclusion Risk",
  OR(V26=0, ISBLANK(V26), DN26&lt;20), "Insufficient Evidence",
  AND(DT26&gt;=65, DA26="No", DB26="No"), "Clear",
  OR(DT26&gt;=40, DA26="Yes"), "Watchlist",
  TRUE, "Exclusion Risk"
)</f>
        <v>Insufficient Evidence</v>
      </c>
      <c r="DV26" s="5"/>
      <c r="DW26" s="5" t="str">
        <f t="array" ref="DW26">_xlfn.IFS(
  DU26="Exclusion Risk", "Exclude — Hard Trigger",
  DU26="Insufficient Evidence", "Watchlist — Further Evidence Needed",
  DU26="Watchlist", "Watchlist — Further Evidence Needed",
  AND(DU26="Clear", DT26&gt;=80), "Include — No Conditions",
  DU26="Clear", "Include — Monitor",
  TRUE, "Watchlist — Further Evidence Needed"
)</f>
        <v>Watchlist — Further Evidence Needed</v>
      </c>
      <c r="DX26" s="5"/>
      <c r="DY26" s="5"/>
      <c r="DZ26" s="5"/>
      <c r="EA26" s="5"/>
      <c r="EB26" s="5" t="str">
        <f t="shared" si="47"/>
        <v>MISSING — No sources reviewed</v>
      </c>
      <c r="EC26" s="5" t="str">
        <f t="shared" si="48"/>
        <v/>
      </c>
    </row>
    <row r="27" spans="1:133" ht="18" customHeight="1" x14ac:dyDescent="0.15">
      <c r="A27" s="3" t="s">
        <v>379</v>
      </c>
      <c r="B27" s="3" t="s">
        <v>380</v>
      </c>
      <c r="C27" s="3" t="str">
        <f>IF(ISBLANK('Universe Tracker'!D23),"",'Universe Tracker'!D23)</f>
        <v>GB0000961622</v>
      </c>
      <c r="D27" s="3"/>
      <c r="E27" s="3"/>
      <c r="F27" s="3" t="str">
        <f>IF(ISBLANK('Universe Tracker'!F23),"",'Universe Tracker'!F23)</f>
        <v>Industrials</v>
      </c>
      <c r="G27" s="3" t="str">
        <f>IF(ISBLANK('Universe Tracker'!G23),"",'Universe Tracker'!G23)</f>
        <v>Industrial Services</v>
      </c>
      <c r="H27" s="3"/>
      <c r="I27" s="3"/>
      <c r="J27" s="3" t="str">
        <f t="shared" si="36"/>
        <v>BIH_GB0000961622</v>
      </c>
      <c r="K27" s="3"/>
      <c r="L27" s="3"/>
      <c r="M27" s="3"/>
      <c r="N27" s="3"/>
      <c r="O27" s="3"/>
      <c r="P27" s="3"/>
      <c r="Q27" s="3"/>
      <c r="R27" s="3"/>
      <c r="S27" s="3"/>
      <c r="T27" s="3"/>
      <c r="U27" s="3"/>
      <c r="V27" s="3"/>
      <c r="W27" s="3"/>
      <c r="X27" s="3"/>
      <c r="Y27" s="3" t="str">
        <f t="shared" si="37"/>
        <v>Insufficient</v>
      </c>
      <c r="Z27" s="3"/>
      <c r="AA27" s="3"/>
      <c r="AB27" s="3"/>
      <c r="AC27" s="3"/>
      <c r="AD27" s="3"/>
      <c r="AE27" s="3"/>
      <c r="AF27" s="3"/>
      <c r="AG27" s="3"/>
      <c r="AH27" s="3"/>
      <c r="AI27" s="3"/>
      <c r="AJ27" s="3"/>
      <c r="AK27" s="3"/>
      <c r="AL27" s="3"/>
      <c r="AM27" s="3"/>
      <c r="AN27" s="3"/>
      <c r="AO27" s="3"/>
      <c r="AP27" s="3"/>
      <c r="AQ27" s="3"/>
      <c r="AR27" s="40">
        <f t="array" ref="AR27">MIN(100, MAX(0,
  IFERROR(_xlfn.XLOOKUP(AJ27,'Lookup Tables'!$A$2:$A$7,'Lookup Tables'!$B$2:$B$7,0),0)
  + IF(Z27="Yes", IF(IFERROR(_xlfn.XLOOKUP(AJ27,'Lookup Tables'!$A$2:$A$7,'Lookup Tables'!$B$2:$B$7,0),0)&lt;20, 5, 0), 0)
  + _xlfn.IFS(AB27="Yes", IF(ISNUMBER(AC27)*AND(AC27&lt;=2030),15,10), AB27="Long-term Only", 5, AB27="No", 0, TRUE, 0)
  + _xlfn.IFS(AF27="Full",10, AF27="Partial",5, AF27="Scope 2 Only",3, TRUE,0)
  + _xlfn.IFS(AG27="Yes", IF(ISNUMBER(AH27)*AND(AH27&gt;=5),10,6), AG27="Partial",4, TRUE,0)
  + _xlfn.IFS(AI27="Yes",5, AI27="Partial (material categories only)",3, TRUE,0)
  + _xlfn.IFS(AL27="Yes — Detailed",10, AL27="Yes — High Level",5, TRUE,0)
  + _xlfn.IFS(AM27="Yes — Quantified",15, AM27="Yes — Directional Only",7, TRUE,0)
  + _xlfn.IFS(AP27="Formal",5, AP27="Referenced",2, TRUE,0)
  + _xlfn.IFS(AQ27="No Issues Found",5, AQ27="Concern Identified",-5, AQ27="Severe Contradiction",-15, TRUE,0)
  + _xlfn.IFS(BC27="Reasonable Assurance",5, BC27="Limited Assurance",3, TRUE,0)
  - IF(AND(Z27="Yes", AI27="No"), 10, 0)
  - IF(AND(Z27="Yes", AM27="No"), 10, 0)
))</f>
        <v>0</v>
      </c>
      <c r="AS27" s="3"/>
      <c r="AT27" s="3"/>
      <c r="AU27" s="3"/>
      <c r="AV27" s="3"/>
      <c r="AW27" s="3"/>
      <c r="AX27" s="3"/>
      <c r="AY27" s="3"/>
      <c r="AZ27" s="3"/>
      <c r="BA27" s="3"/>
      <c r="BB27" s="3"/>
      <c r="BC27" s="3"/>
      <c r="BD27" s="3"/>
      <c r="BE27" s="40">
        <f t="array" ref="BE27">MIN(100, MAX(0,
  IFERROR(_xlfn.XLOOKUP(AT27,'Lookup Tables'!$D$2:$D$6,'Lookup Tables'!$E$2:$E$6,0),0)
  + IFERROR(_xlfn.XLOOKUP(AV27,'Lookup Tables'!$G$2:$G$5,'Lookup Tables'!$H$2:$H$5,0),0)
  + IFERROR(_xlfn.XLOOKUP(AW27,'Lookup Tables'!$J$2:$J$5,'Lookup Tables'!$K$2:$K$5,0),0)
  + _xlfn.IFS(AX27="No Issues",10, AX27="Complaint Filed",3, AX27="Confirmed Breach",-15, TRUE,0)
  + IFERROR(_xlfn.XLOOKUP(AY27,'Lookup Tables'!$M$2:$M$6,'Lookup Tables'!$N$2:$N$6,0),0)
  + IFERROR(_xlfn.XLOOKUP(AZ27,'Lookup Tables'!$P$2:$P$6,'Lookup Tables'!$Q$2:$Q$6,0),0)
  + _xlfn.IFS(BA27="Formal Board Committee",5, BA27="Board Oversight Mentioned",2, TRUE,0)
  + _xlfn.IFS(BB27="Yes — Quantified Targets",5, BB27="Yes — Discretionary Only",2, TRUE,0)
  + _xlfn.IFS(BC27="Reasonable Assurance",5, BC27="Limited Assurance",3, BC27="Management Review Only",1, TRUE,0)
))</f>
        <v>0</v>
      </c>
      <c r="BF27" s="3"/>
      <c r="BG27" s="3"/>
      <c r="BH27" s="3"/>
      <c r="BI27" s="3"/>
      <c r="BJ27" s="3"/>
      <c r="BK27" s="3"/>
      <c r="BL27" s="3"/>
      <c r="BM27" s="3"/>
      <c r="BN27" s="3"/>
      <c r="BO27" s="3"/>
      <c r="BP27" s="3"/>
      <c r="BQ27" s="3"/>
      <c r="BR27" s="3"/>
      <c r="BS27" s="42">
        <f t="array" ref="BS27">MIN(100, MAX(0,
  IFERROR(_xlfn.XLOOKUP(BG27,'Lookup Tables'!$A$11:$A$16,'Lookup Tables'!$B$11:$B$16,0),0)
  + IFERROR(_xlfn.XLOOKUP(BR27,'Lookup Tables'!$M$11:$M$14,'Lookup Tables'!$N$11:$N$14,0),0)
  + IFERROR(_xlfn.XLOOKUP(BQ27,'Lookup Tables'!$J$11:$J$15,'Lookup Tables'!$K$11:$K$15,0),0)
  + IFERROR(_xlfn.XLOOKUP(BH27,'Lookup Tables'!$D$11:$D$15,'Lookup Tables'!$E$11:$E$15,0),0)
  + IFERROR(_xlfn.XLOOKUP(BJ27,'Lookup Tables'!$G$11:$G$16,'Lookup Tables'!$H$11:$H$16,0),0)
  + IFERROR(_xlfn.XLOOKUP(BN27,'Lookup Tables'!$P$11:$P$15,'Lookup Tables'!$Q$11:$Q$15,0),0)
  + _xlfn.IFS(BM27="No Evidence",10, BM27="Unknown",3, BM27="Likely",0, BM27="Confirmed",-10, TRUE,3)
  + IFERROR(_xlfn.XLOOKUP(BP27,'Lookup Tables'!$J$21:$J$24,'Lookup Tables'!$K$21:$K$24,0),0)
))</f>
        <v>3</v>
      </c>
      <c r="BT27" s="3"/>
      <c r="BU27" s="3"/>
      <c r="BV27" s="3"/>
      <c r="BW27" s="3"/>
      <c r="BX27" s="3"/>
      <c r="BY27" s="3"/>
      <c r="BZ27" s="3"/>
      <c r="CA27" s="3"/>
      <c r="CB27" s="3"/>
      <c r="CC27" s="3"/>
      <c r="CD27" s="3"/>
      <c r="CE27" s="44">
        <f t="array" ref="CE27">MIN(100, MAX(0,
  IF(ISNUMBER(BV27)*AND(BV27&gt;0), 10, 0)
  + _xlfn.IFS(BY27="Independently Verified",25, BY27="Yes",15, TRUE,0)
  + IFERROR(_xlfn.XLOOKUP(BZ27,'Lookup Tables'!$A$21:$A$24,'Lookup Tables'!$B$21:$B$24,0),0)
  + IFERROR(_xlfn.XLOOKUP(CA27,'Lookup Tables'!$D$21:$D$24,'Lookup Tables'!$E$21:$E$24,0),0)
  + _xlfn.IFS(ISNUMBER(CB27)*AND(CB27&gt;=11),15, ISNUMBER(CB27)*AND(CB27&gt;=6),10, ISNUMBER(CB27)*AND(CB27&gt;=1),5, TRUE,0)
  + IFERROR(_xlfn.XLOOKUP(CC27,'Lookup Tables'!$G$21:$G$25,'Lookup Tables'!$H$21:$H$25,0),0)
  - IF(ISNUMBER(BW27)*AND(ISNUMBER(BV27))*AND(BW27&gt;BV27), 20, 0)
  - IF(AND(BY27="Yes", ISNUMBER(BW27), BW27&gt;60), 10, 0)
))</f>
        <v>0</v>
      </c>
      <c r="CF27" s="3"/>
      <c r="CG27" s="3"/>
      <c r="CH27" s="3"/>
      <c r="CI27" s="3"/>
      <c r="CJ27" s="3"/>
      <c r="CK27" s="3"/>
      <c r="CL27" s="3"/>
      <c r="CM27" s="3"/>
      <c r="CN27" s="3"/>
      <c r="CO27" s="3"/>
      <c r="CP27" s="3"/>
      <c r="CQ27" s="3"/>
      <c r="CR27" s="3">
        <f t="shared" si="38"/>
        <v>0</v>
      </c>
      <c r="CS27" s="3">
        <f t="shared" si="39"/>
        <v>0</v>
      </c>
      <c r="CT27" s="3">
        <f t="shared" si="40"/>
        <v>0</v>
      </c>
      <c r="CU27" s="3">
        <f>MIN(100,
  CR27*15
  + CS27*6
  + CT27*3
  + IFERROR(_xlfn.XLOOKUP(CW27,'Lookup Tables'!$M$21:$M$25,'Lookup Tables'!$N$21:$N$25,0),0)
)</f>
        <v>0</v>
      </c>
      <c r="CV27" s="3" t="str">
        <f t="shared" si="41"/>
        <v>No failures</v>
      </c>
      <c r="CW27" s="3"/>
      <c r="CX27" s="3"/>
      <c r="CY27" s="3"/>
      <c r="CZ27" s="3"/>
      <c r="DA27" s="3" t="str">
        <f t="shared" si="42"/>
        <v>Yes</v>
      </c>
      <c r="DB27" s="3" t="str">
        <f t="shared" si="43"/>
        <v>No</v>
      </c>
      <c r="DC27" s="3"/>
      <c r="DD27" s="3"/>
      <c r="DE27" s="3"/>
      <c r="DF27" s="3"/>
      <c r="DG27" s="3"/>
      <c r="DH27" s="3"/>
      <c r="DI27" s="3"/>
      <c r="DJ27" s="3"/>
      <c r="DK27" s="3"/>
      <c r="DL27" s="3" t="str">
        <f t="shared" si="44"/>
        <v>Clear</v>
      </c>
      <c r="DM27" s="3" t="str">
        <f t="shared" si="45"/>
        <v>Yes</v>
      </c>
      <c r="DN27" s="3">
        <f t="array" ref="DN27">MIN(100,
  IF(ISNUMBER(V27), _xlfn.IFS(V27&gt;=3,25, V27=2,15, V27=1,5, TRUE,0), 0)
  + IFERROR(_xlfn.IFS(VALUE(LEFT(DF27,1))=5,25, VALUE(LEFT(DF27,1))=4,20, VALUE(LEFT(DF27,1))=3,15, VALUE(LEFT(DF27,1))=2,8, TRUE,0), 15)
  + IFERROR(_xlfn.IFS(VALUE(LEFT(DG27,1))=5,25, VALUE(LEFT(DG27,1))=4,20, VALUE(LEFT(DG27,1))=3,15, VALUE(LEFT(DG27,1))=2,8, TRUE,0), 15)
  + _xlfn.IFS(DH27="Fully Verified",25, DH27="Partially Verified",12, TRUE,0)
)</f>
        <v>30</v>
      </c>
      <c r="DO27" s="3" t="str">
        <f t="array" ref="DO27">_xlfn.IFS(
  ISBLANK(AR27), "Insufficient Evidence",
  AND(AR27&gt;=65, AJ27="Approved"), "Strong",
  AR27&gt;=65, "Adequate",
  AR27&gt;=40, "Adequate",
  AR27&gt;=20, "Weak",
  TRUE, "Insufficient Evidence"
)</f>
        <v>Insufficient Evidence</v>
      </c>
      <c r="DP27" s="3" t="str">
        <f t="array" ref="DP27">_xlfn.IFS(
  ISBLANK(BS27), "Insufficient Evidence",
  BS27&gt;=65, "Strong",
  BS27&gt;=40, "Adequate",
  BS27&gt;=20, "Weak",
  TRUE, "Insufficient Evidence"
)</f>
        <v>Insufficient Evidence</v>
      </c>
      <c r="DQ27" s="3" t="str">
        <f t="array" ref="DQ27">_xlfn.IFS(
  ISBLANK(BE27), "Insufficient Evidence",
  OR(AW27="Confirmed Violation", AX27="Confirmed Breach"), "Severe — Hard Trigger",
  BE27&gt;=65, "Strong",
  BE27&gt;=40, "Adequate",
  BE27&gt;=20, "Weak",
  TRUE, "Insufficient Evidence"
)</f>
        <v>Insufficient Evidence</v>
      </c>
      <c r="DR27" s="3" t="str">
        <f t="array" ref="DR27">_xlfn.IFS(
  ISBLANK(CU27), "Insufficient Evidence",
  CU27&lt;=20, "Low Risk",
  CU27&lt;=50, "Moderate Risk",
  CU27&lt;=75, "High Risk",
  TRUE, "Very High Risk"
)</f>
        <v>Low Risk</v>
      </c>
      <c r="DS27" s="3" t="str">
        <f t="array" ref="DS27">_xlfn.IFS(
  ISBLANK(CE27), "Insufficient Evidence",
  AND(ISNUMBER(BW27),ISNUMBER(BV27),BW27&gt;BV27), "Overclaiming Risk",
  CE27&gt;=65, "Strong",
  CE27&gt;=40, "Adequate",
  TRUE, "Weak"
)</f>
        <v>Weak</v>
      </c>
      <c r="DT27" s="3">
        <f t="shared" si="46"/>
        <v>11.7</v>
      </c>
      <c r="DU27" s="3" t="str">
        <f t="array" ref="DU27">_xlfn.IFS(
  DV27="Upgraded to Clear", "Clear",
  DV27="Downgraded to Watchlist", "Watchlist",
  DV27="Downgraded to Exclusion", "Exclusion Risk",
  DB27="Yes — Automatic", "Exclusion Risk",
  OR(AW27="Confirmed Violation", AX27="Confirmed Breach"), "Exclusion Risk",
  OR(V27=0, ISBLANK(V27), DN27&lt;20), "Insufficient Evidence",
  AND(DT27&gt;=65, DA27="No", DB27="No"), "Clear",
  OR(DT27&gt;=40, DA27="Yes"), "Watchlist",
  TRUE, "Exclusion Risk"
)</f>
        <v>Insufficient Evidence</v>
      </c>
      <c r="DV27" s="3"/>
      <c r="DW27" s="3" t="str">
        <f t="array" ref="DW27">_xlfn.IFS(
  DU27="Exclusion Risk", "Exclude — Hard Trigger",
  DU27="Insufficient Evidence", "Watchlist — Further Evidence Needed",
  DU27="Watchlist", "Watchlist — Further Evidence Needed",
  AND(DU27="Clear", DT27&gt;=80), "Include — No Conditions",
  DU27="Clear", "Include — Monitor",
  TRUE, "Watchlist — Further Evidence Needed"
)</f>
        <v>Watchlist — Further Evidence Needed</v>
      </c>
      <c r="DX27" s="3"/>
      <c r="DY27" s="3"/>
      <c r="DZ27" s="3"/>
      <c r="EA27" s="3"/>
      <c r="EB27" s="3" t="str">
        <f t="shared" si="47"/>
        <v>MISSING — No sources reviewed</v>
      </c>
      <c r="EC27" s="3" t="str">
        <f t="shared" si="48"/>
        <v/>
      </c>
    </row>
    <row r="28" spans="1:133" ht="18" customHeight="1" x14ac:dyDescent="0.15">
      <c r="A28" s="5" t="s">
        <v>383</v>
      </c>
      <c r="B28" s="5" t="s">
        <v>384</v>
      </c>
      <c r="C28" s="5" t="str">
        <f>IF(ISBLANK('Universe Tracker'!D24),"",'Universe Tracker'!D24)</f>
        <v>BE0003739530</v>
      </c>
      <c r="D28" s="5"/>
      <c r="E28" s="5"/>
      <c r="F28" s="5" t="str">
        <f>IF(ISBLANK('Universe Tracker'!F24),"",'Universe Tracker'!F24)</f>
        <v>Health Care</v>
      </c>
      <c r="G28" s="5" t="str">
        <f>IF(ISBLANK('Universe Tracker'!G24),"",'Universe Tracker'!G24)</f>
        <v>Health Care</v>
      </c>
      <c r="H28" s="5"/>
      <c r="I28" s="5"/>
      <c r="J28" s="5" t="str">
        <f t="shared" si="36"/>
        <v>UNC_BE0003739530</v>
      </c>
      <c r="K28" s="5"/>
      <c r="L28" s="5"/>
      <c r="M28" s="5"/>
      <c r="N28" s="5"/>
      <c r="O28" s="5"/>
      <c r="P28" s="5"/>
      <c r="Q28" s="5"/>
      <c r="R28" s="5"/>
      <c r="S28" s="5"/>
      <c r="T28" s="5"/>
      <c r="U28" s="5"/>
      <c r="V28" s="5"/>
      <c r="W28" s="5"/>
      <c r="X28" s="5"/>
      <c r="Y28" s="5" t="str">
        <f t="shared" si="37"/>
        <v>Insufficient</v>
      </c>
      <c r="Z28" s="5"/>
      <c r="AA28" s="5"/>
      <c r="AB28" s="5"/>
      <c r="AC28" s="5"/>
      <c r="AD28" s="5"/>
      <c r="AE28" s="5"/>
      <c r="AF28" s="5"/>
      <c r="AG28" s="5"/>
      <c r="AH28" s="5"/>
      <c r="AI28" s="5"/>
      <c r="AJ28" s="5"/>
      <c r="AK28" s="5"/>
      <c r="AL28" s="5"/>
      <c r="AM28" s="5"/>
      <c r="AN28" s="5"/>
      <c r="AO28" s="5"/>
      <c r="AP28" s="5"/>
      <c r="AQ28" s="5"/>
      <c r="AR28" s="40">
        <f t="array" ref="AR28">MIN(100, MAX(0,
  IFERROR(_xlfn.XLOOKUP(AJ28,'Lookup Tables'!$A$2:$A$7,'Lookup Tables'!$B$2:$B$7,0),0)
  + IF(Z28="Yes", IF(IFERROR(_xlfn.XLOOKUP(AJ28,'Lookup Tables'!$A$2:$A$7,'Lookup Tables'!$B$2:$B$7,0),0)&lt;20, 5, 0), 0)
  + _xlfn.IFS(AB28="Yes", IF(ISNUMBER(AC28)*AND(AC28&lt;=2030),15,10), AB28="Long-term Only", 5, AB28="No", 0, TRUE, 0)
  + _xlfn.IFS(AF28="Full",10, AF28="Partial",5, AF28="Scope 2 Only",3, TRUE,0)
  + _xlfn.IFS(AG28="Yes", IF(ISNUMBER(AH28)*AND(AH28&gt;=5),10,6), AG28="Partial",4, TRUE,0)
  + _xlfn.IFS(AI28="Yes",5, AI28="Partial (material categories only)",3, TRUE,0)
  + _xlfn.IFS(AL28="Yes — Detailed",10, AL28="Yes — High Level",5, TRUE,0)
  + _xlfn.IFS(AM28="Yes — Quantified",15, AM28="Yes — Directional Only",7, TRUE,0)
  + _xlfn.IFS(AP28="Formal",5, AP28="Referenced",2, TRUE,0)
  + _xlfn.IFS(AQ28="No Issues Found",5, AQ28="Concern Identified",-5, AQ28="Severe Contradiction",-15, TRUE,0)
  + _xlfn.IFS(BC28="Reasonable Assurance",5, BC28="Limited Assurance",3, TRUE,0)
  - IF(AND(Z28="Yes", AI28="No"), 10, 0)
  - IF(AND(Z28="Yes", AM28="No"), 10, 0)
))</f>
        <v>0</v>
      </c>
      <c r="AS28" s="5"/>
      <c r="AT28" s="5"/>
      <c r="AU28" s="5"/>
      <c r="AV28" s="5"/>
      <c r="AW28" s="5"/>
      <c r="AX28" s="5"/>
      <c r="AY28" s="5"/>
      <c r="AZ28" s="5"/>
      <c r="BA28" s="5"/>
      <c r="BB28" s="5"/>
      <c r="BC28" s="5"/>
      <c r="BD28" s="5"/>
      <c r="BE28" s="39">
        <f t="array" ref="BE28">MIN(100, MAX(0,
  IFERROR(_xlfn.XLOOKUP(AT28,'Lookup Tables'!$D$2:$D$6,'Lookup Tables'!$E$2:$E$6,0),0)
  + IFERROR(_xlfn.XLOOKUP(AV28,'Lookup Tables'!$G$2:$G$5,'Lookup Tables'!$H$2:$H$5,0),0)
  + IFERROR(_xlfn.XLOOKUP(AW28,'Lookup Tables'!$J$2:$J$5,'Lookup Tables'!$K$2:$K$5,0),0)
  + _xlfn.IFS(AX28="No Issues",10, AX28="Complaint Filed",3, AX28="Confirmed Breach",-15, TRUE,0)
  + IFERROR(_xlfn.XLOOKUP(AY28,'Lookup Tables'!$M$2:$M$6,'Lookup Tables'!$N$2:$N$6,0),0)
  + IFERROR(_xlfn.XLOOKUP(AZ28,'Lookup Tables'!$P$2:$P$6,'Lookup Tables'!$Q$2:$Q$6,0),0)
  + _xlfn.IFS(BA28="Formal Board Committee",5, BA28="Board Oversight Mentioned",2, TRUE,0)
  + _xlfn.IFS(BB28="Yes — Quantified Targets",5, BB28="Yes — Discretionary Only",2, TRUE,0)
  + _xlfn.IFS(BC28="Reasonable Assurance",5, BC28="Limited Assurance",3, BC28="Management Review Only",1, TRUE,0)
))</f>
        <v>0</v>
      </c>
      <c r="BF28" s="5"/>
      <c r="BG28" s="5"/>
      <c r="BH28" s="5"/>
      <c r="BI28" s="5"/>
      <c r="BJ28" s="5"/>
      <c r="BK28" s="5"/>
      <c r="BL28" s="5"/>
      <c r="BM28" s="5"/>
      <c r="BN28" s="5"/>
      <c r="BO28" s="5"/>
      <c r="BP28" s="5"/>
      <c r="BQ28" s="5"/>
      <c r="BR28" s="5"/>
      <c r="BS28" s="41">
        <f t="array" ref="BS28">MIN(100, MAX(0,
  IFERROR(_xlfn.XLOOKUP(BG28,'Lookup Tables'!$A$11:$A$16,'Lookup Tables'!$B$11:$B$16,0),0)
  + IFERROR(_xlfn.XLOOKUP(BR28,'Lookup Tables'!$M$11:$M$14,'Lookup Tables'!$N$11:$N$14,0),0)
  + IFERROR(_xlfn.XLOOKUP(BQ28,'Lookup Tables'!$J$11:$J$15,'Lookup Tables'!$K$11:$K$15,0),0)
  + IFERROR(_xlfn.XLOOKUP(BH28,'Lookup Tables'!$D$11:$D$15,'Lookup Tables'!$E$11:$E$15,0),0)
  + IFERROR(_xlfn.XLOOKUP(BJ28,'Lookup Tables'!$G$11:$G$16,'Lookup Tables'!$H$11:$H$16,0),0)
  + IFERROR(_xlfn.XLOOKUP(BN28,'Lookup Tables'!$P$11:$P$15,'Lookup Tables'!$Q$11:$Q$15,0),0)
  + _xlfn.IFS(BM28="No Evidence",10, BM28="Unknown",3, BM28="Likely",0, BM28="Confirmed",-10, TRUE,3)
  + IFERROR(_xlfn.XLOOKUP(BP28,'Lookup Tables'!$J$21:$J$24,'Lookup Tables'!$K$21:$K$24,0),0)
))</f>
        <v>3</v>
      </c>
      <c r="BT28" s="5"/>
      <c r="BU28" s="5"/>
      <c r="BV28" s="5"/>
      <c r="BW28" s="5"/>
      <c r="BX28" s="5"/>
      <c r="BY28" s="5"/>
      <c r="BZ28" s="5"/>
      <c r="CA28" s="5"/>
      <c r="CB28" s="5"/>
      <c r="CC28" s="5"/>
      <c r="CD28" s="5"/>
      <c r="CE28" s="43">
        <f t="array" ref="CE28">MIN(100, MAX(0,
  IF(ISNUMBER(BV28)*AND(BV28&gt;0), 10, 0)
  + _xlfn.IFS(BY28="Independently Verified",25, BY28="Yes",15, TRUE,0)
  + IFERROR(_xlfn.XLOOKUP(BZ28,'Lookup Tables'!$A$21:$A$24,'Lookup Tables'!$B$21:$B$24,0),0)
  + IFERROR(_xlfn.XLOOKUP(CA28,'Lookup Tables'!$D$21:$D$24,'Lookup Tables'!$E$21:$E$24,0),0)
  + _xlfn.IFS(ISNUMBER(CB28)*AND(CB28&gt;=11),15, ISNUMBER(CB28)*AND(CB28&gt;=6),10, ISNUMBER(CB28)*AND(CB28&gt;=1),5, TRUE,0)
  + IFERROR(_xlfn.XLOOKUP(CC28,'Lookup Tables'!$G$21:$G$25,'Lookup Tables'!$H$21:$H$25,0),0)
  - IF(ISNUMBER(BW28)*AND(ISNUMBER(BV28))*AND(BW28&gt;BV28), 20, 0)
  - IF(AND(BY28="Yes", ISNUMBER(BW28), BW28&gt;60), 10, 0)
))</f>
        <v>0</v>
      </c>
      <c r="CF28" s="5"/>
      <c r="CG28" s="5"/>
      <c r="CH28" s="5"/>
      <c r="CI28" s="5"/>
      <c r="CJ28" s="5"/>
      <c r="CK28" s="5"/>
      <c r="CL28" s="5"/>
      <c r="CM28" s="5"/>
      <c r="CN28" s="5"/>
      <c r="CO28" s="5"/>
      <c r="CP28" s="5"/>
      <c r="CQ28" s="5"/>
      <c r="CR28" s="5">
        <f t="shared" si="38"/>
        <v>0</v>
      </c>
      <c r="CS28" s="5">
        <f t="shared" si="39"/>
        <v>0</v>
      </c>
      <c r="CT28" s="5">
        <f t="shared" si="40"/>
        <v>0</v>
      </c>
      <c r="CU28" s="5">
        <f>MIN(100,
  CR28*15
  + CS28*6
  + CT28*3
  + IFERROR(_xlfn.XLOOKUP(CW28,'Lookup Tables'!$M$21:$M$25,'Lookup Tables'!$N$21:$N$25,0),0)
)</f>
        <v>0</v>
      </c>
      <c r="CV28" s="5" t="str">
        <f t="shared" si="41"/>
        <v>No failures</v>
      </c>
      <c r="CW28" s="5"/>
      <c r="CX28" s="5"/>
      <c r="CY28" s="5"/>
      <c r="CZ28" s="5"/>
      <c r="DA28" s="5" t="str">
        <f t="shared" si="42"/>
        <v>Yes</v>
      </c>
      <c r="DB28" s="5" t="str">
        <f t="shared" si="43"/>
        <v>No</v>
      </c>
      <c r="DC28" s="5"/>
      <c r="DD28" s="5"/>
      <c r="DE28" s="5"/>
      <c r="DF28" s="5"/>
      <c r="DG28" s="5"/>
      <c r="DH28" s="5"/>
      <c r="DI28" s="5"/>
      <c r="DJ28" s="5"/>
      <c r="DK28" s="5"/>
      <c r="DL28" s="5" t="str">
        <f t="shared" si="44"/>
        <v>Clear</v>
      </c>
      <c r="DM28" s="5" t="str">
        <f t="shared" si="45"/>
        <v>Yes</v>
      </c>
      <c r="DN28" s="5">
        <f t="array" ref="DN28">MIN(100,
  IF(ISNUMBER(V28), _xlfn.IFS(V28&gt;=3,25, V28=2,15, V28=1,5, TRUE,0), 0)
  + IFERROR(_xlfn.IFS(VALUE(LEFT(DF28,1))=5,25, VALUE(LEFT(DF28,1))=4,20, VALUE(LEFT(DF28,1))=3,15, VALUE(LEFT(DF28,1))=2,8, TRUE,0), 15)
  + IFERROR(_xlfn.IFS(VALUE(LEFT(DG28,1))=5,25, VALUE(LEFT(DG28,1))=4,20, VALUE(LEFT(DG28,1))=3,15, VALUE(LEFT(DG28,1))=2,8, TRUE,0), 15)
  + _xlfn.IFS(DH28="Fully Verified",25, DH28="Partially Verified",12, TRUE,0)
)</f>
        <v>30</v>
      </c>
      <c r="DO28" s="5" t="str">
        <f t="array" ref="DO28">_xlfn.IFS(
  ISBLANK(AR28), "Insufficient Evidence",
  AND(AR28&gt;=65, AJ28="Approved"), "Strong",
  AR28&gt;=65, "Adequate",
  AR28&gt;=40, "Adequate",
  AR28&gt;=20, "Weak",
  TRUE, "Insufficient Evidence"
)</f>
        <v>Insufficient Evidence</v>
      </c>
      <c r="DP28" s="5" t="str">
        <f t="array" ref="DP28">_xlfn.IFS(
  ISBLANK(BS28), "Insufficient Evidence",
  BS28&gt;=65, "Strong",
  BS28&gt;=40, "Adequate",
  BS28&gt;=20, "Weak",
  TRUE, "Insufficient Evidence"
)</f>
        <v>Insufficient Evidence</v>
      </c>
      <c r="DQ28" s="5" t="str">
        <f t="array" ref="DQ28">_xlfn.IFS(
  ISBLANK(BE28), "Insufficient Evidence",
  OR(AW28="Confirmed Violation", AX28="Confirmed Breach"), "Severe — Hard Trigger",
  BE28&gt;=65, "Strong",
  BE28&gt;=40, "Adequate",
  BE28&gt;=20, "Weak",
  TRUE, "Insufficient Evidence"
)</f>
        <v>Insufficient Evidence</v>
      </c>
      <c r="DR28" s="5" t="str">
        <f t="array" ref="DR28">_xlfn.IFS(
  ISBLANK(CU28), "Insufficient Evidence",
  CU28&lt;=20, "Low Risk",
  CU28&lt;=50, "Moderate Risk",
  CU28&lt;=75, "High Risk",
  TRUE, "Very High Risk"
)</f>
        <v>Low Risk</v>
      </c>
      <c r="DS28" s="5" t="str">
        <f t="array" ref="DS28">_xlfn.IFS(
  ISBLANK(CE28), "Insufficient Evidence",
  AND(ISNUMBER(BW28),ISNUMBER(BV28),BW28&gt;BV28), "Overclaiming Risk",
  CE28&gt;=65, "Strong",
  CE28&gt;=40, "Adequate",
  TRUE, "Weak"
)</f>
        <v>Weak</v>
      </c>
      <c r="DT28" s="5">
        <f t="shared" si="46"/>
        <v>11.7</v>
      </c>
      <c r="DU28" s="5" t="str">
        <f t="array" ref="DU28">_xlfn.IFS(
  DV28="Upgraded to Clear", "Clear",
  DV28="Downgraded to Watchlist", "Watchlist",
  DV28="Downgraded to Exclusion", "Exclusion Risk",
  DB28="Yes — Automatic", "Exclusion Risk",
  OR(AW28="Confirmed Violation", AX28="Confirmed Breach"), "Exclusion Risk",
  OR(V28=0, ISBLANK(V28), DN28&lt;20), "Insufficient Evidence",
  AND(DT28&gt;=65, DA28="No", DB28="No"), "Clear",
  OR(DT28&gt;=40, DA28="Yes"), "Watchlist",
  TRUE, "Exclusion Risk"
)</f>
        <v>Insufficient Evidence</v>
      </c>
      <c r="DV28" s="5"/>
      <c r="DW28" s="5" t="str">
        <f t="array" ref="DW28">_xlfn.IFS(
  DU28="Exclusion Risk", "Exclude — Hard Trigger",
  DU28="Insufficient Evidence", "Watchlist — Further Evidence Needed",
  DU28="Watchlist", "Watchlist — Further Evidence Needed",
  AND(DU28="Clear", DT28&gt;=80), "Include — No Conditions",
  DU28="Clear", "Include — Monitor",
  TRUE, "Watchlist — Further Evidence Needed"
)</f>
        <v>Watchlist — Further Evidence Needed</v>
      </c>
      <c r="DX28" s="5"/>
      <c r="DY28" s="5"/>
      <c r="DZ28" s="5"/>
      <c r="EA28" s="5"/>
      <c r="EB28" s="5" t="str">
        <f t="shared" si="47"/>
        <v>MISSING — No sources reviewed</v>
      </c>
      <c r="EC28" s="5" t="str">
        <f t="shared" si="48"/>
        <v/>
      </c>
    </row>
    <row r="29" spans="1:133" ht="18" customHeight="1" x14ac:dyDescent="0.15">
      <c r="A29" s="3" t="s">
        <v>387</v>
      </c>
      <c r="B29" s="3" t="s">
        <v>388</v>
      </c>
      <c r="C29" s="3" t="str">
        <f>IF(ISBLANK('Universe Tracker'!D25),"",'Universe Tracker'!D25)</f>
        <v>GB0009895292</v>
      </c>
      <c r="D29" s="3"/>
      <c r="E29" s="3"/>
      <c r="F29" s="3" t="str">
        <f>IF(ISBLANK('Universe Tracker'!F25),"",'Universe Tracker'!F25)</f>
        <v>Health Care</v>
      </c>
      <c r="G29" s="3" t="str">
        <f>IF(ISBLANK('Universe Tracker'!G25),"",'Universe Tracker'!G25)</f>
        <v>Health Care</v>
      </c>
      <c r="H29" s="3"/>
      <c r="I29" s="3"/>
      <c r="J29" s="3" t="str">
        <f t="shared" si="36"/>
        <v>ZEG_GB0009895292</v>
      </c>
      <c r="K29" s="3"/>
      <c r="L29" s="3"/>
      <c r="M29" s="3"/>
      <c r="N29" s="3"/>
      <c r="O29" s="3"/>
      <c r="P29" s="3"/>
      <c r="Q29" s="3"/>
      <c r="R29" s="3"/>
      <c r="S29" s="3"/>
      <c r="T29" s="3"/>
      <c r="U29" s="3"/>
      <c r="V29" s="3"/>
      <c r="W29" s="3"/>
      <c r="X29" s="3"/>
      <c r="Y29" s="3" t="str">
        <f t="shared" si="37"/>
        <v>Insufficient</v>
      </c>
      <c r="Z29" s="3"/>
      <c r="AA29" s="3"/>
      <c r="AB29" s="3"/>
      <c r="AC29" s="3"/>
      <c r="AD29" s="3"/>
      <c r="AE29" s="3"/>
      <c r="AF29" s="3"/>
      <c r="AG29" s="3"/>
      <c r="AH29" s="3"/>
      <c r="AI29" s="3"/>
      <c r="AJ29" s="3"/>
      <c r="AK29" s="3"/>
      <c r="AL29" s="3"/>
      <c r="AM29" s="3"/>
      <c r="AN29" s="3"/>
      <c r="AO29" s="3"/>
      <c r="AP29" s="3"/>
      <c r="AQ29" s="3"/>
      <c r="AR29" s="40">
        <f t="array" ref="AR29">MIN(100, MAX(0,
  IFERROR(_xlfn.XLOOKUP(AJ29,'Lookup Tables'!$A$2:$A$7,'Lookup Tables'!$B$2:$B$7,0),0)
  + IF(Z29="Yes", IF(IFERROR(_xlfn.XLOOKUP(AJ29,'Lookup Tables'!$A$2:$A$7,'Lookup Tables'!$B$2:$B$7,0),0)&lt;20, 5, 0), 0)
  + _xlfn.IFS(AB29="Yes", IF(ISNUMBER(AC29)*AND(AC29&lt;=2030),15,10), AB29="Long-term Only", 5, AB29="No", 0, TRUE, 0)
  + _xlfn.IFS(AF29="Full",10, AF29="Partial",5, AF29="Scope 2 Only",3, TRUE,0)
  + _xlfn.IFS(AG29="Yes", IF(ISNUMBER(AH29)*AND(AH29&gt;=5),10,6), AG29="Partial",4, TRUE,0)
  + _xlfn.IFS(AI29="Yes",5, AI29="Partial (material categories only)",3, TRUE,0)
  + _xlfn.IFS(AL29="Yes — Detailed",10, AL29="Yes — High Level",5, TRUE,0)
  + _xlfn.IFS(AM29="Yes — Quantified",15, AM29="Yes — Directional Only",7, TRUE,0)
  + _xlfn.IFS(AP29="Formal",5, AP29="Referenced",2, TRUE,0)
  + _xlfn.IFS(AQ29="No Issues Found",5, AQ29="Concern Identified",-5, AQ29="Severe Contradiction",-15, TRUE,0)
  + _xlfn.IFS(BC29="Reasonable Assurance",5, BC29="Limited Assurance",3, TRUE,0)
  - IF(AND(Z29="Yes", AI29="No"), 10, 0)
  - IF(AND(Z29="Yes", AM29="No"), 10, 0)
))</f>
        <v>0</v>
      </c>
      <c r="AS29" s="3"/>
      <c r="AT29" s="3"/>
      <c r="AU29" s="3"/>
      <c r="AV29" s="3"/>
      <c r="AW29" s="3"/>
      <c r="AX29" s="3"/>
      <c r="AY29" s="3"/>
      <c r="AZ29" s="3"/>
      <c r="BA29" s="3"/>
      <c r="BB29" s="3"/>
      <c r="BC29" s="3"/>
      <c r="BD29" s="3"/>
      <c r="BE29" s="40">
        <f t="array" ref="BE29">MIN(100, MAX(0,
  IFERROR(_xlfn.XLOOKUP(AT29,'Lookup Tables'!$D$2:$D$6,'Lookup Tables'!$E$2:$E$6,0),0)
  + IFERROR(_xlfn.XLOOKUP(AV29,'Lookup Tables'!$G$2:$G$5,'Lookup Tables'!$H$2:$H$5,0),0)
  + IFERROR(_xlfn.XLOOKUP(AW29,'Lookup Tables'!$J$2:$J$5,'Lookup Tables'!$K$2:$K$5,0),0)
  + _xlfn.IFS(AX29="No Issues",10, AX29="Complaint Filed",3, AX29="Confirmed Breach",-15, TRUE,0)
  + IFERROR(_xlfn.XLOOKUP(AY29,'Lookup Tables'!$M$2:$M$6,'Lookup Tables'!$N$2:$N$6,0),0)
  + IFERROR(_xlfn.XLOOKUP(AZ29,'Lookup Tables'!$P$2:$P$6,'Lookup Tables'!$Q$2:$Q$6,0),0)
  + _xlfn.IFS(BA29="Formal Board Committee",5, BA29="Board Oversight Mentioned",2, TRUE,0)
  + _xlfn.IFS(BB29="Yes — Quantified Targets",5, BB29="Yes — Discretionary Only",2, TRUE,0)
  + _xlfn.IFS(BC29="Reasonable Assurance",5, BC29="Limited Assurance",3, BC29="Management Review Only",1, TRUE,0)
))</f>
        <v>0</v>
      </c>
      <c r="BF29" s="3"/>
      <c r="BG29" s="3"/>
      <c r="BH29" s="3"/>
      <c r="BI29" s="3"/>
      <c r="BJ29" s="3"/>
      <c r="BK29" s="3"/>
      <c r="BL29" s="3"/>
      <c r="BM29" s="3"/>
      <c r="BN29" s="3"/>
      <c r="BO29" s="3"/>
      <c r="BP29" s="3"/>
      <c r="BQ29" s="3"/>
      <c r="BR29" s="3"/>
      <c r="BS29" s="42">
        <f t="array" ref="BS29">MIN(100, MAX(0,
  IFERROR(_xlfn.XLOOKUP(BG29,'Lookup Tables'!$A$11:$A$16,'Lookup Tables'!$B$11:$B$16,0),0)
  + IFERROR(_xlfn.XLOOKUP(BR29,'Lookup Tables'!$M$11:$M$14,'Lookup Tables'!$N$11:$N$14,0),0)
  + IFERROR(_xlfn.XLOOKUP(BQ29,'Lookup Tables'!$J$11:$J$15,'Lookup Tables'!$K$11:$K$15,0),0)
  + IFERROR(_xlfn.XLOOKUP(BH29,'Lookup Tables'!$D$11:$D$15,'Lookup Tables'!$E$11:$E$15,0),0)
  + IFERROR(_xlfn.XLOOKUP(BJ29,'Lookup Tables'!$G$11:$G$16,'Lookup Tables'!$H$11:$H$16,0),0)
  + IFERROR(_xlfn.XLOOKUP(BN29,'Lookup Tables'!$P$11:$P$15,'Lookup Tables'!$Q$11:$Q$15,0),0)
  + _xlfn.IFS(BM29="No Evidence",10, BM29="Unknown",3, BM29="Likely",0, BM29="Confirmed",-10, TRUE,3)
  + IFERROR(_xlfn.XLOOKUP(BP29,'Lookup Tables'!$J$21:$J$24,'Lookup Tables'!$K$21:$K$24,0),0)
))</f>
        <v>3</v>
      </c>
      <c r="BT29" s="3"/>
      <c r="BU29" s="3"/>
      <c r="BV29" s="3"/>
      <c r="BW29" s="3"/>
      <c r="BX29" s="3"/>
      <c r="BY29" s="3"/>
      <c r="BZ29" s="3"/>
      <c r="CA29" s="3"/>
      <c r="CB29" s="3"/>
      <c r="CC29" s="3"/>
      <c r="CD29" s="3"/>
      <c r="CE29" s="44">
        <f t="array" ref="CE29">MIN(100, MAX(0,
  IF(ISNUMBER(BV29)*AND(BV29&gt;0), 10, 0)
  + _xlfn.IFS(BY29="Independently Verified",25, BY29="Yes",15, TRUE,0)
  + IFERROR(_xlfn.XLOOKUP(BZ29,'Lookup Tables'!$A$21:$A$24,'Lookup Tables'!$B$21:$B$24,0),0)
  + IFERROR(_xlfn.XLOOKUP(CA29,'Lookup Tables'!$D$21:$D$24,'Lookup Tables'!$E$21:$E$24,0),0)
  + _xlfn.IFS(ISNUMBER(CB29)*AND(CB29&gt;=11),15, ISNUMBER(CB29)*AND(CB29&gt;=6),10, ISNUMBER(CB29)*AND(CB29&gt;=1),5, TRUE,0)
  + IFERROR(_xlfn.XLOOKUP(CC29,'Lookup Tables'!$G$21:$G$25,'Lookup Tables'!$H$21:$H$25,0),0)
  - IF(ISNUMBER(BW29)*AND(ISNUMBER(BV29))*AND(BW29&gt;BV29), 20, 0)
  - IF(AND(BY29="Yes", ISNUMBER(BW29), BW29&gt;60), 10, 0)
))</f>
        <v>0</v>
      </c>
      <c r="CF29" s="3"/>
      <c r="CG29" s="3"/>
      <c r="CH29" s="3"/>
      <c r="CI29" s="3"/>
      <c r="CJ29" s="3"/>
      <c r="CK29" s="3"/>
      <c r="CL29" s="3"/>
      <c r="CM29" s="3"/>
      <c r="CN29" s="3"/>
      <c r="CO29" s="3"/>
      <c r="CP29" s="3"/>
      <c r="CQ29" s="3"/>
      <c r="CR29" s="3">
        <f t="shared" si="38"/>
        <v>0</v>
      </c>
      <c r="CS29" s="3">
        <f t="shared" si="39"/>
        <v>0</v>
      </c>
      <c r="CT29" s="3">
        <f t="shared" si="40"/>
        <v>0</v>
      </c>
      <c r="CU29" s="3">
        <f>MIN(100,
  CR29*15
  + CS29*6
  + CT29*3
  + IFERROR(_xlfn.XLOOKUP(CW29,'Lookup Tables'!$M$21:$M$25,'Lookup Tables'!$N$21:$N$25,0),0)
)</f>
        <v>0</v>
      </c>
      <c r="CV29" s="3" t="str">
        <f t="shared" si="41"/>
        <v>No failures</v>
      </c>
      <c r="CW29" s="3"/>
      <c r="CX29" s="3"/>
      <c r="CY29" s="3"/>
      <c r="CZ29" s="3"/>
      <c r="DA29" s="3" t="str">
        <f t="shared" si="42"/>
        <v>Yes</v>
      </c>
      <c r="DB29" s="3" t="str">
        <f t="shared" si="43"/>
        <v>No</v>
      </c>
      <c r="DC29" s="3"/>
      <c r="DD29" s="3"/>
      <c r="DE29" s="3"/>
      <c r="DF29" s="3"/>
      <c r="DG29" s="3"/>
      <c r="DH29" s="3"/>
      <c r="DI29" s="3"/>
      <c r="DJ29" s="3"/>
      <c r="DK29" s="3"/>
      <c r="DL29" s="3" t="str">
        <f t="shared" si="44"/>
        <v>Clear</v>
      </c>
      <c r="DM29" s="3" t="str">
        <f t="shared" si="45"/>
        <v>Yes</v>
      </c>
      <c r="DN29" s="3">
        <f t="array" ref="DN29">MIN(100,
  IF(ISNUMBER(V29), _xlfn.IFS(V29&gt;=3,25, V29=2,15, V29=1,5, TRUE,0), 0)
  + IFERROR(_xlfn.IFS(VALUE(LEFT(DF29,1))=5,25, VALUE(LEFT(DF29,1))=4,20, VALUE(LEFT(DF29,1))=3,15, VALUE(LEFT(DF29,1))=2,8, TRUE,0), 15)
  + IFERROR(_xlfn.IFS(VALUE(LEFT(DG29,1))=5,25, VALUE(LEFT(DG29,1))=4,20, VALUE(LEFT(DG29,1))=3,15, VALUE(LEFT(DG29,1))=2,8, TRUE,0), 15)
  + _xlfn.IFS(DH29="Fully Verified",25, DH29="Partially Verified",12, TRUE,0)
)</f>
        <v>30</v>
      </c>
      <c r="DO29" s="3" t="str">
        <f t="array" ref="DO29">_xlfn.IFS(
  ISBLANK(AR29), "Insufficient Evidence",
  AND(AR29&gt;=65, AJ29="Approved"), "Strong",
  AR29&gt;=65, "Adequate",
  AR29&gt;=40, "Adequate",
  AR29&gt;=20, "Weak",
  TRUE, "Insufficient Evidence"
)</f>
        <v>Insufficient Evidence</v>
      </c>
      <c r="DP29" s="3" t="str">
        <f t="array" ref="DP29">_xlfn.IFS(
  ISBLANK(BS29), "Insufficient Evidence",
  BS29&gt;=65, "Strong",
  BS29&gt;=40, "Adequate",
  BS29&gt;=20, "Weak",
  TRUE, "Insufficient Evidence"
)</f>
        <v>Insufficient Evidence</v>
      </c>
      <c r="DQ29" s="3" t="str">
        <f t="array" ref="DQ29">_xlfn.IFS(
  ISBLANK(BE29), "Insufficient Evidence",
  OR(AW29="Confirmed Violation", AX29="Confirmed Breach"), "Severe — Hard Trigger",
  BE29&gt;=65, "Strong",
  BE29&gt;=40, "Adequate",
  BE29&gt;=20, "Weak",
  TRUE, "Insufficient Evidence"
)</f>
        <v>Insufficient Evidence</v>
      </c>
      <c r="DR29" s="3" t="str">
        <f t="array" ref="DR29">_xlfn.IFS(
  ISBLANK(CU29), "Insufficient Evidence",
  CU29&lt;=20, "Low Risk",
  CU29&lt;=50, "Moderate Risk",
  CU29&lt;=75, "High Risk",
  TRUE, "Very High Risk"
)</f>
        <v>Low Risk</v>
      </c>
      <c r="DS29" s="3" t="str">
        <f t="array" ref="DS29">_xlfn.IFS(
  ISBLANK(CE29), "Insufficient Evidence",
  AND(ISNUMBER(BW29),ISNUMBER(BV29),BW29&gt;BV29), "Overclaiming Risk",
  CE29&gt;=65, "Strong",
  CE29&gt;=40, "Adequate",
  TRUE, "Weak"
)</f>
        <v>Weak</v>
      </c>
      <c r="DT29" s="3">
        <f t="shared" si="46"/>
        <v>11.7</v>
      </c>
      <c r="DU29" s="3" t="str">
        <f t="array" ref="DU29">_xlfn.IFS(
  DV29="Upgraded to Clear", "Clear",
  DV29="Downgraded to Watchlist", "Watchlist",
  DV29="Downgraded to Exclusion", "Exclusion Risk",
  DB29="Yes — Automatic", "Exclusion Risk",
  OR(AW29="Confirmed Violation", AX29="Confirmed Breach"), "Exclusion Risk",
  OR(V29=0, ISBLANK(V29), DN29&lt;20), "Insufficient Evidence",
  AND(DT29&gt;=65, DA29="No", DB29="No"), "Clear",
  OR(DT29&gt;=40, DA29="Yes"), "Watchlist",
  TRUE, "Exclusion Risk"
)</f>
        <v>Insufficient Evidence</v>
      </c>
      <c r="DV29" s="3"/>
      <c r="DW29" s="3" t="str">
        <f t="array" ref="DW29">_xlfn.IFS(
  DU29="Exclusion Risk", "Exclude — Hard Trigger",
  DU29="Insufficient Evidence", "Watchlist — Further Evidence Needed",
  DU29="Watchlist", "Watchlist — Further Evidence Needed",
  AND(DU29="Clear", DT29&gt;=80), "Include — No Conditions",
  DU29="Clear", "Include — Monitor",
  TRUE, "Watchlist — Further Evidence Needed"
)</f>
        <v>Watchlist — Further Evidence Needed</v>
      </c>
      <c r="DX29" s="3"/>
      <c r="DY29" s="3"/>
      <c r="DZ29" s="3"/>
      <c r="EA29" s="3"/>
      <c r="EB29" s="3" t="str">
        <f t="shared" si="47"/>
        <v>MISSING — No sources reviewed</v>
      </c>
      <c r="EC29" s="3" t="str">
        <f t="shared" si="48"/>
        <v/>
      </c>
    </row>
    <row r="30" spans="1:133" ht="18" customHeight="1" x14ac:dyDescent="0.15">
      <c r="A30" s="5" t="s">
        <v>391</v>
      </c>
      <c r="B30" s="5" t="s">
        <v>392</v>
      </c>
      <c r="C30" s="5" t="str">
        <f>IF(ISBLANK('Universe Tracker'!D26),"",'Universe Tracker'!D26)</f>
        <v>FR0011726835</v>
      </c>
      <c r="D30" s="5"/>
      <c r="E30" s="5"/>
      <c r="F30" s="5" t="str">
        <f>IF(ISBLANK('Universe Tracker'!F26),"",'Universe Tracker'!F26)</f>
        <v>Energy</v>
      </c>
      <c r="G30" s="5" t="str">
        <f>IF(ISBLANK('Universe Tracker'!G26),"",'Universe Tracker'!G26)</f>
        <v>Oil &amp; Gas</v>
      </c>
      <c r="H30" s="5"/>
      <c r="I30" s="5"/>
      <c r="J30" s="5" t="str">
        <f t="shared" si="36"/>
        <v>9TG_FR0011726835</v>
      </c>
      <c r="K30" s="5"/>
      <c r="L30" s="5"/>
      <c r="M30" s="5"/>
      <c r="N30" s="5"/>
      <c r="O30" s="5"/>
      <c r="P30" s="5"/>
      <c r="Q30" s="5"/>
      <c r="R30" s="5"/>
      <c r="S30" s="5"/>
      <c r="T30" s="5"/>
      <c r="U30" s="5"/>
      <c r="V30" s="5"/>
      <c r="W30" s="5"/>
      <c r="X30" s="5"/>
      <c r="Y30" s="5" t="str">
        <f t="shared" si="37"/>
        <v>Insufficient</v>
      </c>
      <c r="Z30" s="5"/>
      <c r="AA30" s="5"/>
      <c r="AB30" s="5"/>
      <c r="AC30" s="5"/>
      <c r="AD30" s="5"/>
      <c r="AE30" s="5"/>
      <c r="AF30" s="5"/>
      <c r="AG30" s="5"/>
      <c r="AH30" s="5"/>
      <c r="AI30" s="5"/>
      <c r="AJ30" s="5"/>
      <c r="AK30" s="5"/>
      <c r="AL30" s="5"/>
      <c r="AM30" s="5"/>
      <c r="AN30" s="5"/>
      <c r="AO30" s="5"/>
      <c r="AP30" s="5"/>
      <c r="AQ30" s="5"/>
      <c r="AR30" s="40">
        <f t="array" ref="AR30">MIN(100, MAX(0,
  IFERROR(_xlfn.XLOOKUP(AJ30,'Lookup Tables'!$A$2:$A$7,'Lookup Tables'!$B$2:$B$7,0),0)
  + IF(Z30="Yes", IF(IFERROR(_xlfn.XLOOKUP(AJ30,'Lookup Tables'!$A$2:$A$7,'Lookup Tables'!$B$2:$B$7,0),0)&lt;20, 5, 0), 0)
  + _xlfn.IFS(AB30="Yes", IF(ISNUMBER(AC30)*AND(AC30&lt;=2030),15,10), AB30="Long-term Only", 5, AB30="No", 0, TRUE, 0)
  + _xlfn.IFS(AF30="Full",10, AF30="Partial",5, AF30="Scope 2 Only",3, TRUE,0)
  + _xlfn.IFS(AG30="Yes", IF(ISNUMBER(AH30)*AND(AH30&gt;=5),10,6), AG30="Partial",4, TRUE,0)
  + _xlfn.IFS(AI30="Yes",5, AI30="Partial (material categories only)",3, TRUE,0)
  + _xlfn.IFS(AL30="Yes — Detailed",10, AL30="Yes — High Level",5, TRUE,0)
  + _xlfn.IFS(AM30="Yes — Quantified",15, AM30="Yes — Directional Only",7, TRUE,0)
  + _xlfn.IFS(AP30="Formal",5, AP30="Referenced",2, TRUE,0)
  + _xlfn.IFS(AQ30="No Issues Found",5, AQ30="Concern Identified",-5, AQ30="Severe Contradiction",-15, TRUE,0)
  + _xlfn.IFS(BC30="Reasonable Assurance",5, BC30="Limited Assurance",3, TRUE,0)
  - IF(AND(Z30="Yes", AI30="No"), 10, 0)
  - IF(AND(Z30="Yes", AM30="No"), 10, 0)
))</f>
        <v>0</v>
      </c>
      <c r="AS30" s="5"/>
      <c r="AT30" s="5"/>
      <c r="AU30" s="5"/>
      <c r="AV30" s="5"/>
      <c r="AW30" s="5"/>
      <c r="AX30" s="5"/>
      <c r="AY30" s="5"/>
      <c r="AZ30" s="5"/>
      <c r="BA30" s="5"/>
      <c r="BB30" s="5"/>
      <c r="BC30" s="5"/>
      <c r="BD30" s="5"/>
      <c r="BE30" s="39">
        <f t="array" ref="BE30">MIN(100, MAX(0,
  IFERROR(_xlfn.XLOOKUP(AT30,'Lookup Tables'!$D$2:$D$6,'Lookup Tables'!$E$2:$E$6,0),0)
  + IFERROR(_xlfn.XLOOKUP(AV30,'Lookup Tables'!$G$2:$G$5,'Lookup Tables'!$H$2:$H$5,0),0)
  + IFERROR(_xlfn.XLOOKUP(AW30,'Lookup Tables'!$J$2:$J$5,'Lookup Tables'!$K$2:$K$5,0),0)
  + _xlfn.IFS(AX30="No Issues",10, AX30="Complaint Filed",3, AX30="Confirmed Breach",-15, TRUE,0)
  + IFERROR(_xlfn.XLOOKUP(AY30,'Lookup Tables'!$M$2:$M$6,'Lookup Tables'!$N$2:$N$6,0),0)
  + IFERROR(_xlfn.XLOOKUP(AZ30,'Lookup Tables'!$P$2:$P$6,'Lookup Tables'!$Q$2:$Q$6,0),0)
  + _xlfn.IFS(BA30="Formal Board Committee",5, BA30="Board Oversight Mentioned",2, TRUE,0)
  + _xlfn.IFS(BB30="Yes — Quantified Targets",5, BB30="Yes — Discretionary Only",2, TRUE,0)
  + _xlfn.IFS(BC30="Reasonable Assurance",5, BC30="Limited Assurance",3, BC30="Management Review Only",1, TRUE,0)
))</f>
        <v>0</v>
      </c>
      <c r="BF30" s="5"/>
      <c r="BG30" s="5"/>
      <c r="BH30" s="5"/>
      <c r="BI30" s="5"/>
      <c r="BJ30" s="5"/>
      <c r="BK30" s="5"/>
      <c r="BL30" s="5"/>
      <c r="BM30" s="5"/>
      <c r="BN30" s="5"/>
      <c r="BO30" s="5"/>
      <c r="BP30" s="5"/>
      <c r="BQ30" s="5"/>
      <c r="BR30" s="5"/>
      <c r="BS30" s="41">
        <f t="array" ref="BS30">MIN(100, MAX(0,
  IFERROR(_xlfn.XLOOKUP(BG30,'Lookup Tables'!$A$11:$A$16,'Lookup Tables'!$B$11:$B$16,0),0)
  + IFERROR(_xlfn.XLOOKUP(BR30,'Lookup Tables'!$M$11:$M$14,'Lookup Tables'!$N$11:$N$14,0),0)
  + IFERROR(_xlfn.XLOOKUP(BQ30,'Lookup Tables'!$J$11:$J$15,'Lookup Tables'!$K$11:$K$15,0),0)
  + IFERROR(_xlfn.XLOOKUP(BH30,'Lookup Tables'!$D$11:$D$15,'Lookup Tables'!$E$11:$E$15,0),0)
  + IFERROR(_xlfn.XLOOKUP(BJ30,'Lookup Tables'!$G$11:$G$16,'Lookup Tables'!$H$11:$H$16,0),0)
  + IFERROR(_xlfn.XLOOKUP(BN30,'Lookup Tables'!$P$11:$P$15,'Lookup Tables'!$Q$11:$Q$15,0),0)
  + _xlfn.IFS(BM30="No Evidence",10, BM30="Unknown",3, BM30="Likely",0, BM30="Confirmed",-10, TRUE,3)
  + IFERROR(_xlfn.XLOOKUP(BP30,'Lookup Tables'!$J$21:$J$24,'Lookup Tables'!$K$21:$K$24,0),0)
))</f>
        <v>3</v>
      </c>
      <c r="BT30" s="5"/>
      <c r="BU30" s="5"/>
      <c r="BV30" s="5"/>
      <c r="BW30" s="5"/>
      <c r="BX30" s="5"/>
      <c r="BY30" s="5"/>
      <c r="BZ30" s="5"/>
      <c r="CA30" s="5"/>
      <c r="CB30" s="5"/>
      <c r="CC30" s="5"/>
      <c r="CD30" s="5"/>
      <c r="CE30" s="43">
        <f t="array" ref="CE30">MIN(100, MAX(0,
  IF(ISNUMBER(BV30)*AND(BV30&gt;0), 10, 0)
  + _xlfn.IFS(BY30="Independently Verified",25, BY30="Yes",15, TRUE,0)
  + IFERROR(_xlfn.XLOOKUP(BZ30,'Lookup Tables'!$A$21:$A$24,'Lookup Tables'!$B$21:$B$24,0),0)
  + IFERROR(_xlfn.XLOOKUP(CA30,'Lookup Tables'!$D$21:$D$24,'Lookup Tables'!$E$21:$E$24,0),0)
  + _xlfn.IFS(ISNUMBER(CB30)*AND(CB30&gt;=11),15, ISNUMBER(CB30)*AND(CB30&gt;=6),10, ISNUMBER(CB30)*AND(CB30&gt;=1),5, TRUE,0)
  + IFERROR(_xlfn.XLOOKUP(CC30,'Lookup Tables'!$G$21:$G$25,'Lookup Tables'!$H$21:$H$25,0),0)
  - IF(ISNUMBER(BW30)*AND(ISNUMBER(BV30))*AND(BW30&gt;BV30), 20, 0)
  - IF(AND(BY30="Yes", ISNUMBER(BW30), BW30&gt;60), 10, 0)
))</f>
        <v>0</v>
      </c>
      <c r="CF30" s="5"/>
      <c r="CG30" s="5"/>
      <c r="CH30" s="5"/>
      <c r="CI30" s="5"/>
      <c r="CJ30" s="5"/>
      <c r="CK30" s="5"/>
      <c r="CL30" s="5"/>
      <c r="CM30" s="5"/>
      <c r="CN30" s="5"/>
      <c r="CO30" s="5"/>
      <c r="CP30" s="5"/>
      <c r="CQ30" s="5"/>
      <c r="CR30" s="5">
        <f t="shared" si="38"/>
        <v>0</v>
      </c>
      <c r="CS30" s="5">
        <f t="shared" si="39"/>
        <v>0</v>
      </c>
      <c r="CT30" s="5">
        <f t="shared" si="40"/>
        <v>0</v>
      </c>
      <c r="CU30" s="5">
        <f>MIN(100,
  CR30*15
  + CS30*6
  + CT30*3
  + IFERROR(_xlfn.XLOOKUP(CW30,'Lookup Tables'!$M$21:$M$25,'Lookup Tables'!$N$21:$N$25,0),0)
)</f>
        <v>0</v>
      </c>
      <c r="CV30" s="5" t="str">
        <f t="shared" si="41"/>
        <v>No failures</v>
      </c>
      <c r="CW30" s="5"/>
      <c r="CX30" s="5"/>
      <c r="CY30" s="5"/>
      <c r="CZ30" s="5"/>
      <c r="DA30" s="5" t="str">
        <f t="shared" si="42"/>
        <v>Yes</v>
      </c>
      <c r="DB30" s="5" t="str">
        <f t="shared" si="43"/>
        <v>No</v>
      </c>
      <c r="DC30" s="5"/>
      <c r="DD30" s="5"/>
      <c r="DE30" s="5"/>
      <c r="DF30" s="5"/>
      <c r="DG30" s="5"/>
      <c r="DH30" s="5"/>
      <c r="DI30" s="5"/>
      <c r="DJ30" s="5"/>
      <c r="DK30" s="5"/>
      <c r="DL30" s="5" t="str">
        <f t="shared" si="44"/>
        <v>Clear</v>
      </c>
      <c r="DM30" s="5" t="str">
        <f t="shared" si="45"/>
        <v>Yes</v>
      </c>
      <c r="DN30" s="5">
        <f t="array" ref="DN30">MIN(100,
  IF(ISNUMBER(V30), _xlfn.IFS(V30&gt;=3,25, V30=2,15, V30=1,5, TRUE,0), 0)
  + IFERROR(_xlfn.IFS(VALUE(LEFT(DF30,1))=5,25, VALUE(LEFT(DF30,1))=4,20, VALUE(LEFT(DF30,1))=3,15, VALUE(LEFT(DF30,1))=2,8, TRUE,0), 15)
  + IFERROR(_xlfn.IFS(VALUE(LEFT(DG30,1))=5,25, VALUE(LEFT(DG30,1))=4,20, VALUE(LEFT(DG30,1))=3,15, VALUE(LEFT(DG30,1))=2,8, TRUE,0), 15)
  + _xlfn.IFS(DH30="Fully Verified",25, DH30="Partially Verified",12, TRUE,0)
)</f>
        <v>30</v>
      </c>
      <c r="DO30" s="5" t="str">
        <f t="array" ref="DO30">_xlfn.IFS(
  ISBLANK(AR30), "Insufficient Evidence",
  AND(AR30&gt;=65, AJ30="Approved"), "Strong",
  AR30&gt;=65, "Adequate",
  AR30&gt;=40, "Adequate",
  AR30&gt;=20, "Weak",
  TRUE, "Insufficient Evidence"
)</f>
        <v>Insufficient Evidence</v>
      </c>
      <c r="DP30" s="5" t="str">
        <f t="array" ref="DP30">_xlfn.IFS(
  ISBLANK(BS30), "Insufficient Evidence",
  BS30&gt;=65, "Strong",
  BS30&gt;=40, "Adequate",
  BS30&gt;=20, "Weak",
  TRUE, "Insufficient Evidence"
)</f>
        <v>Insufficient Evidence</v>
      </c>
      <c r="DQ30" s="5" t="str">
        <f t="array" ref="DQ30">_xlfn.IFS(
  ISBLANK(BE30), "Insufficient Evidence",
  OR(AW30="Confirmed Violation", AX30="Confirmed Breach"), "Severe — Hard Trigger",
  BE30&gt;=65, "Strong",
  BE30&gt;=40, "Adequate",
  BE30&gt;=20, "Weak",
  TRUE, "Insufficient Evidence"
)</f>
        <v>Insufficient Evidence</v>
      </c>
      <c r="DR30" s="5" t="str">
        <f t="array" ref="DR30">_xlfn.IFS(
  ISBLANK(CU30), "Insufficient Evidence",
  CU30&lt;=20, "Low Risk",
  CU30&lt;=50, "Moderate Risk",
  CU30&lt;=75, "High Risk",
  TRUE, "Very High Risk"
)</f>
        <v>Low Risk</v>
      </c>
      <c r="DS30" s="5" t="str">
        <f t="array" ref="DS30">_xlfn.IFS(
  ISBLANK(CE30), "Insufficient Evidence",
  AND(ISNUMBER(BW30),ISNUMBER(BV30),BW30&gt;BV30), "Overclaiming Risk",
  CE30&gt;=65, "Strong",
  CE30&gt;=40, "Adequate",
  TRUE, "Weak"
)</f>
        <v>Weak</v>
      </c>
      <c r="DT30" s="5">
        <f t="shared" si="46"/>
        <v>11.7</v>
      </c>
      <c r="DU30" s="5" t="str">
        <f t="array" ref="DU30">_xlfn.IFS(
  DV30="Upgraded to Clear", "Clear",
  DV30="Downgraded to Watchlist", "Watchlist",
  DV30="Downgraded to Exclusion", "Exclusion Risk",
  DB30="Yes — Automatic", "Exclusion Risk",
  OR(AW30="Confirmed Violation", AX30="Confirmed Breach"), "Exclusion Risk",
  OR(V30=0, ISBLANK(V30), DN30&lt;20), "Insufficient Evidence",
  AND(DT30&gt;=65, DA30="No", DB30="No"), "Clear",
  OR(DT30&gt;=40, DA30="Yes"), "Watchlist",
  TRUE, "Exclusion Risk"
)</f>
        <v>Insufficient Evidence</v>
      </c>
      <c r="DV30" s="5"/>
      <c r="DW30" s="5" t="str">
        <f t="array" ref="DW30">_xlfn.IFS(
  DU30="Exclusion Risk", "Exclude — Hard Trigger",
  DU30="Insufficient Evidence", "Watchlist — Further Evidence Needed",
  DU30="Watchlist", "Watchlist — Further Evidence Needed",
  AND(DU30="Clear", DT30&gt;=80), "Include — No Conditions",
  DU30="Clear", "Include — Monitor",
  TRUE, "Watchlist — Further Evidence Needed"
)</f>
        <v>Watchlist — Further Evidence Needed</v>
      </c>
      <c r="DX30" s="5"/>
      <c r="DY30" s="5"/>
      <c r="DZ30" s="5"/>
      <c r="EA30" s="5"/>
      <c r="EB30" s="5" t="str">
        <f t="shared" si="47"/>
        <v>MISSING — No sources reviewed</v>
      </c>
      <c r="EC30" s="5" t="str">
        <f t="shared" si="48"/>
        <v/>
      </c>
    </row>
    <row r="31" spans="1:133" ht="18" customHeight="1" x14ac:dyDescent="0.15">
      <c r="A31" s="3" t="s">
        <v>395</v>
      </c>
      <c r="B31" s="3" t="s">
        <v>396</v>
      </c>
      <c r="C31" s="3" t="str">
        <f>IF(ISBLANK('Universe Tracker'!D27),"",'Universe Tracker'!D27)</f>
        <v>NO0005052605</v>
      </c>
      <c r="D31" s="3"/>
      <c r="E31" s="3"/>
      <c r="F31" s="3" t="str">
        <f>IF(ISBLANK('Universe Tracker'!F27),"",'Universe Tracker'!F27)</f>
        <v>Materials</v>
      </c>
      <c r="G31" s="3" t="str">
        <f>IF(ISBLANK('Universe Tracker'!G27),"",'Universe Tracker'!G27)</f>
        <v>Materials</v>
      </c>
      <c r="H31" s="3"/>
      <c r="I31" s="3"/>
      <c r="J31" s="3" t="str">
        <f t="shared" si="36"/>
        <v>NOH1_NO0005052605</v>
      </c>
      <c r="K31" s="3"/>
      <c r="L31" s="3"/>
      <c r="M31" s="3"/>
      <c r="N31" s="3"/>
      <c r="O31" s="3"/>
      <c r="P31" s="3"/>
      <c r="Q31" s="3"/>
      <c r="R31" s="3"/>
      <c r="S31" s="3"/>
      <c r="T31" s="3"/>
      <c r="U31" s="3"/>
      <c r="V31" s="3"/>
      <c r="W31" s="3"/>
      <c r="X31" s="3"/>
      <c r="Y31" s="3" t="str">
        <f t="shared" si="37"/>
        <v>Insufficient</v>
      </c>
      <c r="Z31" s="3"/>
      <c r="AA31" s="3"/>
      <c r="AB31" s="3"/>
      <c r="AC31" s="3"/>
      <c r="AD31" s="3"/>
      <c r="AE31" s="3"/>
      <c r="AF31" s="3"/>
      <c r="AG31" s="3"/>
      <c r="AH31" s="3"/>
      <c r="AI31" s="3"/>
      <c r="AJ31" s="3"/>
      <c r="AK31" s="3"/>
      <c r="AL31" s="3"/>
      <c r="AM31" s="3"/>
      <c r="AN31" s="3"/>
      <c r="AO31" s="3"/>
      <c r="AP31" s="3"/>
      <c r="AQ31" s="3"/>
      <c r="AR31" s="40">
        <f t="array" ref="AR31">MIN(100, MAX(0,
  IFERROR(_xlfn.XLOOKUP(AJ31,'Lookup Tables'!$A$2:$A$7,'Lookup Tables'!$B$2:$B$7,0),0)
  + IF(Z31="Yes", IF(IFERROR(_xlfn.XLOOKUP(AJ31,'Lookup Tables'!$A$2:$A$7,'Lookup Tables'!$B$2:$B$7,0),0)&lt;20, 5, 0), 0)
  + _xlfn.IFS(AB31="Yes", IF(ISNUMBER(AC31)*AND(AC31&lt;=2030),15,10), AB31="Long-term Only", 5, AB31="No", 0, TRUE, 0)
  + _xlfn.IFS(AF31="Full",10, AF31="Partial",5, AF31="Scope 2 Only",3, TRUE,0)
  + _xlfn.IFS(AG31="Yes", IF(ISNUMBER(AH31)*AND(AH31&gt;=5),10,6), AG31="Partial",4, TRUE,0)
  + _xlfn.IFS(AI31="Yes",5, AI31="Partial (material categories only)",3, TRUE,0)
  + _xlfn.IFS(AL31="Yes — Detailed",10, AL31="Yes — High Level",5, TRUE,0)
  + _xlfn.IFS(AM31="Yes — Quantified",15, AM31="Yes — Directional Only",7, TRUE,0)
  + _xlfn.IFS(AP31="Formal",5, AP31="Referenced",2, TRUE,0)
  + _xlfn.IFS(AQ31="No Issues Found",5, AQ31="Concern Identified",-5, AQ31="Severe Contradiction",-15, TRUE,0)
  + _xlfn.IFS(BC31="Reasonable Assurance",5, BC31="Limited Assurance",3, TRUE,0)
  - IF(AND(Z31="Yes", AI31="No"), 10, 0)
  - IF(AND(Z31="Yes", AM31="No"), 10, 0)
))</f>
        <v>0</v>
      </c>
      <c r="AS31" s="3"/>
      <c r="AT31" s="3"/>
      <c r="AU31" s="3"/>
      <c r="AV31" s="3"/>
      <c r="AW31" s="3"/>
      <c r="AX31" s="3"/>
      <c r="AY31" s="3"/>
      <c r="AZ31" s="3"/>
      <c r="BA31" s="3"/>
      <c r="BB31" s="3"/>
      <c r="BC31" s="3"/>
      <c r="BD31" s="3"/>
      <c r="BE31" s="40">
        <f t="array" ref="BE31">MIN(100, MAX(0,
  IFERROR(_xlfn.XLOOKUP(AT31,'Lookup Tables'!$D$2:$D$6,'Lookup Tables'!$E$2:$E$6,0),0)
  + IFERROR(_xlfn.XLOOKUP(AV31,'Lookup Tables'!$G$2:$G$5,'Lookup Tables'!$H$2:$H$5,0),0)
  + IFERROR(_xlfn.XLOOKUP(AW31,'Lookup Tables'!$J$2:$J$5,'Lookup Tables'!$K$2:$K$5,0),0)
  + _xlfn.IFS(AX31="No Issues",10, AX31="Complaint Filed",3, AX31="Confirmed Breach",-15, TRUE,0)
  + IFERROR(_xlfn.XLOOKUP(AY31,'Lookup Tables'!$M$2:$M$6,'Lookup Tables'!$N$2:$N$6,0),0)
  + IFERROR(_xlfn.XLOOKUP(AZ31,'Lookup Tables'!$P$2:$P$6,'Lookup Tables'!$Q$2:$Q$6,0),0)
  + _xlfn.IFS(BA31="Formal Board Committee",5, BA31="Board Oversight Mentioned",2, TRUE,0)
  + _xlfn.IFS(BB31="Yes — Quantified Targets",5, BB31="Yes — Discretionary Only",2, TRUE,0)
  + _xlfn.IFS(BC31="Reasonable Assurance",5, BC31="Limited Assurance",3, BC31="Management Review Only",1, TRUE,0)
))</f>
        <v>0</v>
      </c>
      <c r="BF31" s="3"/>
      <c r="BG31" s="3"/>
      <c r="BH31" s="3"/>
      <c r="BI31" s="3"/>
      <c r="BJ31" s="3"/>
      <c r="BK31" s="3"/>
      <c r="BL31" s="3"/>
      <c r="BM31" s="3"/>
      <c r="BN31" s="3"/>
      <c r="BO31" s="3"/>
      <c r="BP31" s="3"/>
      <c r="BQ31" s="3"/>
      <c r="BR31" s="3"/>
      <c r="BS31" s="42">
        <f t="array" ref="BS31">MIN(100, MAX(0,
  IFERROR(_xlfn.XLOOKUP(BG31,'Lookup Tables'!$A$11:$A$16,'Lookup Tables'!$B$11:$B$16,0),0)
  + IFERROR(_xlfn.XLOOKUP(BR31,'Lookup Tables'!$M$11:$M$14,'Lookup Tables'!$N$11:$N$14,0),0)
  + IFERROR(_xlfn.XLOOKUP(BQ31,'Lookup Tables'!$J$11:$J$15,'Lookup Tables'!$K$11:$K$15,0),0)
  + IFERROR(_xlfn.XLOOKUP(BH31,'Lookup Tables'!$D$11:$D$15,'Lookup Tables'!$E$11:$E$15,0),0)
  + IFERROR(_xlfn.XLOOKUP(BJ31,'Lookup Tables'!$G$11:$G$16,'Lookup Tables'!$H$11:$H$16,0),0)
  + IFERROR(_xlfn.XLOOKUP(BN31,'Lookup Tables'!$P$11:$P$15,'Lookup Tables'!$Q$11:$Q$15,0),0)
  + _xlfn.IFS(BM31="No Evidence",10, BM31="Unknown",3, BM31="Likely",0, BM31="Confirmed",-10, TRUE,3)
  + IFERROR(_xlfn.XLOOKUP(BP31,'Lookup Tables'!$J$21:$J$24,'Lookup Tables'!$K$21:$K$24,0),0)
))</f>
        <v>3</v>
      </c>
      <c r="BT31" s="3"/>
      <c r="BU31" s="3"/>
      <c r="BV31" s="3"/>
      <c r="BW31" s="3"/>
      <c r="BX31" s="3"/>
      <c r="BY31" s="3"/>
      <c r="BZ31" s="3"/>
      <c r="CA31" s="3"/>
      <c r="CB31" s="3"/>
      <c r="CC31" s="3"/>
      <c r="CD31" s="3"/>
      <c r="CE31" s="44">
        <f t="array" ref="CE31">MIN(100, MAX(0,
  IF(ISNUMBER(BV31)*AND(BV31&gt;0), 10, 0)
  + _xlfn.IFS(BY31="Independently Verified",25, BY31="Yes",15, TRUE,0)
  + IFERROR(_xlfn.XLOOKUP(BZ31,'Lookup Tables'!$A$21:$A$24,'Lookup Tables'!$B$21:$B$24,0),0)
  + IFERROR(_xlfn.XLOOKUP(CA31,'Lookup Tables'!$D$21:$D$24,'Lookup Tables'!$E$21:$E$24,0),0)
  + _xlfn.IFS(ISNUMBER(CB31)*AND(CB31&gt;=11),15, ISNUMBER(CB31)*AND(CB31&gt;=6),10, ISNUMBER(CB31)*AND(CB31&gt;=1),5, TRUE,0)
  + IFERROR(_xlfn.XLOOKUP(CC31,'Lookup Tables'!$G$21:$G$25,'Lookup Tables'!$H$21:$H$25,0),0)
  - IF(ISNUMBER(BW31)*AND(ISNUMBER(BV31))*AND(BW31&gt;BV31), 20, 0)
  - IF(AND(BY31="Yes", ISNUMBER(BW31), BW31&gt;60), 10, 0)
))</f>
        <v>0</v>
      </c>
      <c r="CF31" s="3"/>
      <c r="CG31" s="3"/>
      <c r="CH31" s="3"/>
      <c r="CI31" s="3"/>
      <c r="CJ31" s="3"/>
      <c r="CK31" s="3"/>
      <c r="CL31" s="3"/>
      <c r="CM31" s="3"/>
      <c r="CN31" s="3"/>
      <c r="CO31" s="3"/>
      <c r="CP31" s="3"/>
      <c r="CQ31" s="3"/>
      <c r="CR31" s="3">
        <f t="shared" si="38"/>
        <v>0</v>
      </c>
      <c r="CS31" s="3">
        <f t="shared" si="39"/>
        <v>0</v>
      </c>
      <c r="CT31" s="3">
        <f t="shared" si="40"/>
        <v>0</v>
      </c>
      <c r="CU31" s="3">
        <f>MIN(100,
  CR31*15
  + CS31*6
  + CT31*3
  + IFERROR(_xlfn.XLOOKUP(CW31,'Lookup Tables'!$M$21:$M$25,'Lookup Tables'!$N$21:$N$25,0),0)
)</f>
        <v>0</v>
      </c>
      <c r="CV31" s="3" t="str">
        <f t="shared" si="41"/>
        <v>No failures</v>
      </c>
      <c r="CW31" s="3"/>
      <c r="CX31" s="3"/>
      <c r="CY31" s="3"/>
      <c r="CZ31" s="3"/>
      <c r="DA31" s="3" t="str">
        <f t="shared" si="42"/>
        <v>Yes</v>
      </c>
      <c r="DB31" s="3" t="str">
        <f t="shared" si="43"/>
        <v>No</v>
      </c>
      <c r="DC31" s="3"/>
      <c r="DD31" s="3"/>
      <c r="DE31" s="3"/>
      <c r="DF31" s="3"/>
      <c r="DG31" s="3"/>
      <c r="DH31" s="3"/>
      <c r="DI31" s="3"/>
      <c r="DJ31" s="3"/>
      <c r="DK31" s="3"/>
      <c r="DL31" s="3" t="str">
        <f t="shared" si="44"/>
        <v>Clear</v>
      </c>
      <c r="DM31" s="3" t="str">
        <f t="shared" si="45"/>
        <v>Yes</v>
      </c>
      <c r="DN31" s="3">
        <f t="array" ref="DN31">MIN(100,
  IF(ISNUMBER(V31), _xlfn.IFS(V31&gt;=3,25, V31=2,15, V31=1,5, TRUE,0), 0)
  + IFERROR(_xlfn.IFS(VALUE(LEFT(DF31,1))=5,25, VALUE(LEFT(DF31,1))=4,20, VALUE(LEFT(DF31,1))=3,15, VALUE(LEFT(DF31,1))=2,8, TRUE,0), 15)
  + IFERROR(_xlfn.IFS(VALUE(LEFT(DG31,1))=5,25, VALUE(LEFT(DG31,1))=4,20, VALUE(LEFT(DG31,1))=3,15, VALUE(LEFT(DG31,1))=2,8, TRUE,0), 15)
  + _xlfn.IFS(DH31="Fully Verified",25, DH31="Partially Verified",12, TRUE,0)
)</f>
        <v>30</v>
      </c>
      <c r="DO31" s="3" t="str">
        <f t="array" ref="DO31">_xlfn.IFS(
  ISBLANK(AR31), "Insufficient Evidence",
  AND(AR31&gt;=65, AJ31="Approved"), "Strong",
  AR31&gt;=65, "Adequate",
  AR31&gt;=40, "Adequate",
  AR31&gt;=20, "Weak",
  TRUE, "Insufficient Evidence"
)</f>
        <v>Insufficient Evidence</v>
      </c>
      <c r="DP31" s="3" t="str">
        <f t="array" ref="DP31">_xlfn.IFS(
  ISBLANK(BS31), "Insufficient Evidence",
  BS31&gt;=65, "Strong",
  BS31&gt;=40, "Adequate",
  BS31&gt;=20, "Weak",
  TRUE, "Insufficient Evidence"
)</f>
        <v>Insufficient Evidence</v>
      </c>
      <c r="DQ31" s="3" t="str">
        <f t="array" ref="DQ31">_xlfn.IFS(
  ISBLANK(BE31), "Insufficient Evidence",
  OR(AW31="Confirmed Violation", AX31="Confirmed Breach"), "Severe — Hard Trigger",
  BE31&gt;=65, "Strong",
  BE31&gt;=40, "Adequate",
  BE31&gt;=20, "Weak",
  TRUE, "Insufficient Evidence"
)</f>
        <v>Insufficient Evidence</v>
      </c>
      <c r="DR31" s="3" t="str">
        <f t="array" ref="DR31">_xlfn.IFS(
  ISBLANK(CU31), "Insufficient Evidence",
  CU31&lt;=20, "Low Risk",
  CU31&lt;=50, "Moderate Risk",
  CU31&lt;=75, "High Risk",
  TRUE, "Very High Risk"
)</f>
        <v>Low Risk</v>
      </c>
      <c r="DS31" s="3" t="str">
        <f t="array" ref="DS31">_xlfn.IFS(
  ISBLANK(CE31), "Insufficient Evidence",
  AND(ISNUMBER(BW31),ISNUMBER(BV31),BW31&gt;BV31), "Overclaiming Risk",
  CE31&gt;=65, "Strong",
  CE31&gt;=40, "Adequate",
  TRUE, "Weak"
)</f>
        <v>Weak</v>
      </c>
      <c r="DT31" s="3">
        <f t="shared" si="46"/>
        <v>11.7</v>
      </c>
      <c r="DU31" s="3" t="str">
        <f t="array" ref="DU31">_xlfn.IFS(
  DV31="Upgraded to Clear", "Clear",
  DV31="Downgraded to Watchlist", "Watchlist",
  DV31="Downgraded to Exclusion", "Exclusion Risk",
  DB31="Yes — Automatic", "Exclusion Risk",
  OR(AW31="Confirmed Violation", AX31="Confirmed Breach"), "Exclusion Risk",
  OR(V31=0, ISBLANK(V31), DN31&lt;20), "Insufficient Evidence",
  AND(DT31&gt;=65, DA31="No", DB31="No"), "Clear",
  OR(DT31&gt;=40, DA31="Yes"), "Watchlist",
  TRUE, "Exclusion Risk"
)</f>
        <v>Insufficient Evidence</v>
      </c>
      <c r="DV31" s="3"/>
      <c r="DW31" s="3" t="str">
        <f t="array" ref="DW31">_xlfn.IFS(
  DU31="Exclusion Risk", "Exclude — Hard Trigger",
  DU31="Insufficient Evidence", "Watchlist — Further Evidence Needed",
  DU31="Watchlist", "Watchlist — Further Evidence Needed",
  AND(DU31="Clear", DT31&gt;=80), "Include — No Conditions",
  DU31="Clear", "Include — Monitor",
  TRUE, "Watchlist — Further Evidence Needed"
)</f>
        <v>Watchlist — Further Evidence Needed</v>
      </c>
      <c r="DX31" s="3"/>
      <c r="DY31" s="3"/>
      <c r="DZ31" s="3"/>
      <c r="EA31" s="3"/>
      <c r="EB31" s="3" t="str">
        <f t="shared" si="47"/>
        <v>MISSING — No sources reviewed</v>
      </c>
      <c r="EC31" s="3" t="str">
        <f t="shared" si="48"/>
        <v/>
      </c>
    </row>
    <row r="32" spans="1:133" ht="18" customHeight="1" x14ac:dyDescent="0.15">
      <c r="A32" s="5" t="s">
        <v>399</v>
      </c>
      <c r="B32" s="5" t="s">
        <v>400</v>
      </c>
      <c r="C32" s="5" t="str">
        <f>IF(ISBLANK('Universe Tracker'!D28),"",'Universe Tracker'!D28)</f>
        <v>PLPKN0000018</v>
      </c>
      <c r="D32" s="5"/>
      <c r="E32" s="5"/>
      <c r="F32" s="5" t="str">
        <f>IF(ISBLANK('Universe Tracker'!F28),"",'Universe Tracker'!F28)</f>
        <v>Energy</v>
      </c>
      <c r="G32" s="5" t="str">
        <f>IF(ISBLANK('Universe Tracker'!G28),"",'Universe Tracker'!G28)</f>
        <v>Oil &amp; Gas</v>
      </c>
      <c r="H32" s="5"/>
      <c r="I32" s="5"/>
      <c r="J32" s="5" t="str">
        <f t="shared" si="36"/>
        <v>PKY1_PLPKN0000018</v>
      </c>
      <c r="K32" s="5"/>
      <c r="L32" s="5"/>
      <c r="M32" s="5"/>
      <c r="N32" s="5"/>
      <c r="O32" s="5"/>
      <c r="P32" s="5"/>
      <c r="Q32" s="5"/>
      <c r="R32" s="5"/>
      <c r="S32" s="5"/>
      <c r="T32" s="5"/>
      <c r="U32" s="5"/>
      <c r="V32" s="5"/>
      <c r="W32" s="5"/>
      <c r="X32" s="5"/>
      <c r="Y32" s="5" t="str">
        <f t="shared" si="37"/>
        <v>Insufficient</v>
      </c>
      <c r="Z32" s="5"/>
      <c r="AA32" s="5"/>
      <c r="AB32" s="5"/>
      <c r="AC32" s="5"/>
      <c r="AD32" s="5"/>
      <c r="AE32" s="5"/>
      <c r="AF32" s="5"/>
      <c r="AG32" s="5"/>
      <c r="AH32" s="5"/>
      <c r="AI32" s="5"/>
      <c r="AJ32" s="5"/>
      <c r="AK32" s="5"/>
      <c r="AL32" s="5"/>
      <c r="AM32" s="5"/>
      <c r="AN32" s="5"/>
      <c r="AO32" s="5"/>
      <c r="AP32" s="5"/>
      <c r="AQ32" s="5"/>
      <c r="AR32" s="40">
        <f t="array" ref="AR32">MIN(100, MAX(0,
  IFERROR(_xlfn.XLOOKUP(AJ32,'Lookup Tables'!$A$2:$A$7,'Lookup Tables'!$B$2:$B$7,0),0)
  + IF(Z32="Yes", IF(IFERROR(_xlfn.XLOOKUP(AJ32,'Lookup Tables'!$A$2:$A$7,'Lookup Tables'!$B$2:$B$7,0),0)&lt;20, 5, 0), 0)
  + _xlfn.IFS(AB32="Yes", IF(ISNUMBER(AC32)*AND(AC32&lt;=2030),15,10), AB32="Long-term Only", 5, AB32="No", 0, TRUE, 0)
  + _xlfn.IFS(AF32="Full",10, AF32="Partial",5, AF32="Scope 2 Only",3, TRUE,0)
  + _xlfn.IFS(AG32="Yes", IF(ISNUMBER(AH32)*AND(AH32&gt;=5),10,6), AG32="Partial",4, TRUE,0)
  + _xlfn.IFS(AI32="Yes",5, AI32="Partial (material categories only)",3, TRUE,0)
  + _xlfn.IFS(AL32="Yes — Detailed",10, AL32="Yes — High Level",5, TRUE,0)
  + _xlfn.IFS(AM32="Yes — Quantified",15, AM32="Yes — Directional Only",7, TRUE,0)
  + _xlfn.IFS(AP32="Formal",5, AP32="Referenced",2, TRUE,0)
  + _xlfn.IFS(AQ32="No Issues Found",5, AQ32="Concern Identified",-5, AQ32="Severe Contradiction",-15, TRUE,0)
  + _xlfn.IFS(BC32="Reasonable Assurance",5, BC32="Limited Assurance",3, TRUE,0)
  - IF(AND(Z32="Yes", AI32="No"), 10, 0)
  - IF(AND(Z32="Yes", AM32="No"), 10, 0)
))</f>
        <v>0</v>
      </c>
      <c r="AS32" s="5"/>
      <c r="AT32" s="5"/>
      <c r="AU32" s="5"/>
      <c r="AV32" s="5"/>
      <c r="AW32" s="5"/>
      <c r="AX32" s="5"/>
      <c r="AY32" s="5"/>
      <c r="AZ32" s="5"/>
      <c r="BA32" s="5"/>
      <c r="BB32" s="5"/>
      <c r="BC32" s="5"/>
      <c r="BD32" s="5"/>
      <c r="BE32" s="39">
        <f t="array" ref="BE32">MIN(100, MAX(0,
  IFERROR(_xlfn.XLOOKUP(AT32,'Lookup Tables'!$D$2:$D$6,'Lookup Tables'!$E$2:$E$6,0),0)
  + IFERROR(_xlfn.XLOOKUP(AV32,'Lookup Tables'!$G$2:$G$5,'Lookup Tables'!$H$2:$H$5,0),0)
  + IFERROR(_xlfn.XLOOKUP(AW32,'Lookup Tables'!$J$2:$J$5,'Lookup Tables'!$K$2:$K$5,0),0)
  + _xlfn.IFS(AX32="No Issues",10, AX32="Complaint Filed",3, AX32="Confirmed Breach",-15, TRUE,0)
  + IFERROR(_xlfn.XLOOKUP(AY32,'Lookup Tables'!$M$2:$M$6,'Lookup Tables'!$N$2:$N$6,0),0)
  + IFERROR(_xlfn.XLOOKUP(AZ32,'Lookup Tables'!$P$2:$P$6,'Lookup Tables'!$Q$2:$Q$6,0),0)
  + _xlfn.IFS(BA32="Formal Board Committee",5, BA32="Board Oversight Mentioned",2, TRUE,0)
  + _xlfn.IFS(BB32="Yes — Quantified Targets",5, BB32="Yes — Discretionary Only",2, TRUE,0)
  + _xlfn.IFS(BC32="Reasonable Assurance",5, BC32="Limited Assurance",3, BC32="Management Review Only",1, TRUE,0)
))</f>
        <v>0</v>
      </c>
      <c r="BF32" s="5"/>
      <c r="BG32" s="5"/>
      <c r="BH32" s="5"/>
      <c r="BI32" s="5"/>
      <c r="BJ32" s="5"/>
      <c r="BK32" s="5"/>
      <c r="BL32" s="5"/>
      <c r="BM32" s="5"/>
      <c r="BN32" s="5"/>
      <c r="BO32" s="5"/>
      <c r="BP32" s="5"/>
      <c r="BQ32" s="5"/>
      <c r="BR32" s="5"/>
      <c r="BS32" s="41">
        <f t="array" ref="BS32">MIN(100, MAX(0,
  IFERROR(_xlfn.XLOOKUP(BG32,'Lookup Tables'!$A$11:$A$16,'Lookup Tables'!$B$11:$B$16,0),0)
  + IFERROR(_xlfn.XLOOKUP(BR32,'Lookup Tables'!$M$11:$M$14,'Lookup Tables'!$N$11:$N$14,0),0)
  + IFERROR(_xlfn.XLOOKUP(BQ32,'Lookup Tables'!$J$11:$J$15,'Lookup Tables'!$K$11:$K$15,0),0)
  + IFERROR(_xlfn.XLOOKUP(BH32,'Lookup Tables'!$D$11:$D$15,'Lookup Tables'!$E$11:$E$15,0),0)
  + IFERROR(_xlfn.XLOOKUP(BJ32,'Lookup Tables'!$G$11:$G$16,'Lookup Tables'!$H$11:$H$16,0),0)
  + IFERROR(_xlfn.XLOOKUP(BN32,'Lookup Tables'!$P$11:$P$15,'Lookup Tables'!$Q$11:$Q$15,0),0)
  + _xlfn.IFS(BM32="No Evidence",10, BM32="Unknown",3, BM32="Likely",0, BM32="Confirmed",-10, TRUE,3)
  + IFERROR(_xlfn.XLOOKUP(BP32,'Lookup Tables'!$J$21:$J$24,'Lookup Tables'!$K$21:$K$24,0),0)
))</f>
        <v>3</v>
      </c>
      <c r="BT32" s="5"/>
      <c r="BU32" s="5"/>
      <c r="BV32" s="5"/>
      <c r="BW32" s="5"/>
      <c r="BX32" s="5"/>
      <c r="BY32" s="5"/>
      <c r="BZ32" s="5"/>
      <c r="CA32" s="5"/>
      <c r="CB32" s="5"/>
      <c r="CC32" s="5"/>
      <c r="CD32" s="5"/>
      <c r="CE32" s="43">
        <f t="array" ref="CE32">MIN(100, MAX(0,
  IF(ISNUMBER(BV32)*AND(BV32&gt;0), 10, 0)
  + _xlfn.IFS(BY32="Independently Verified",25, BY32="Yes",15, TRUE,0)
  + IFERROR(_xlfn.XLOOKUP(BZ32,'Lookup Tables'!$A$21:$A$24,'Lookup Tables'!$B$21:$B$24,0),0)
  + IFERROR(_xlfn.XLOOKUP(CA32,'Lookup Tables'!$D$21:$D$24,'Lookup Tables'!$E$21:$E$24,0),0)
  + _xlfn.IFS(ISNUMBER(CB32)*AND(CB32&gt;=11),15, ISNUMBER(CB32)*AND(CB32&gt;=6),10, ISNUMBER(CB32)*AND(CB32&gt;=1),5, TRUE,0)
  + IFERROR(_xlfn.XLOOKUP(CC32,'Lookup Tables'!$G$21:$G$25,'Lookup Tables'!$H$21:$H$25,0),0)
  - IF(ISNUMBER(BW32)*AND(ISNUMBER(BV32))*AND(BW32&gt;BV32), 20, 0)
  - IF(AND(BY32="Yes", ISNUMBER(BW32), BW32&gt;60), 10, 0)
))</f>
        <v>0</v>
      </c>
      <c r="CF32" s="5"/>
      <c r="CG32" s="5"/>
      <c r="CH32" s="5"/>
      <c r="CI32" s="5"/>
      <c r="CJ32" s="5"/>
      <c r="CK32" s="5"/>
      <c r="CL32" s="5"/>
      <c r="CM32" s="5"/>
      <c r="CN32" s="5"/>
      <c r="CO32" s="5"/>
      <c r="CP32" s="5"/>
      <c r="CQ32" s="5"/>
      <c r="CR32" s="5">
        <f t="shared" si="38"/>
        <v>0</v>
      </c>
      <c r="CS32" s="5">
        <f t="shared" si="39"/>
        <v>0</v>
      </c>
      <c r="CT32" s="5">
        <f t="shared" si="40"/>
        <v>0</v>
      </c>
      <c r="CU32" s="5">
        <f>MIN(100,
  CR32*15
  + CS32*6
  + CT32*3
  + IFERROR(_xlfn.XLOOKUP(CW32,'Lookup Tables'!$M$21:$M$25,'Lookup Tables'!$N$21:$N$25,0),0)
)</f>
        <v>0</v>
      </c>
      <c r="CV32" s="5" t="str">
        <f t="shared" si="41"/>
        <v>No failures</v>
      </c>
      <c r="CW32" s="5"/>
      <c r="CX32" s="5"/>
      <c r="CY32" s="5"/>
      <c r="CZ32" s="5"/>
      <c r="DA32" s="5" t="str">
        <f t="shared" si="42"/>
        <v>Yes</v>
      </c>
      <c r="DB32" s="5" t="str">
        <f t="shared" si="43"/>
        <v>No</v>
      </c>
      <c r="DC32" s="5"/>
      <c r="DD32" s="5"/>
      <c r="DE32" s="5"/>
      <c r="DF32" s="5"/>
      <c r="DG32" s="5"/>
      <c r="DH32" s="5"/>
      <c r="DI32" s="5"/>
      <c r="DJ32" s="5"/>
      <c r="DK32" s="5"/>
      <c r="DL32" s="5" t="str">
        <f t="shared" si="44"/>
        <v>Clear</v>
      </c>
      <c r="DM32" s="5" t="str">
        <f t="shared" si="45"/>
        <v>Yes</v>
      </c>
      <c r="DN32" s="5">
        <f t="array" ref="DN32">MIN(100,
  IF(ISNUMBER(V32), _xlfn.IFS(V32&gt;=3,25, V32=2,15, V32=1,5, TRUE,0), 0)
  + IFERROR(_xlfn.IFS(VALUE(LEFT(DF32,1))=5,25, VALUE(LEFT(DF32,1))=4,20, VALUE(LEFT(DF32,1))=3,15, VALUE(LEFT(DF32,1))=2,8, TRUE,0), 15)
  + IFERROR(_xlfn.IFS(VALUE(LEFT(DG32,1))=5,25, VALUE(LEFT(DG32,1))=4,20, VALUE(LEFT(DG32,1))=3,15, VALUE(LEFT(DG32,1))=2,8, TRUE,0), 15)
  + _xlfn.IFS(DH32="Fully Verified",25, DH32="Partially Verified",12, TRUE,0)
)</f>
        <v>30</v>
      </c>
      <c r="DO32" s="5" t="str">
        <f t="array" ref="DO32">_xlfn.IFS(
  ISBLANK(AR32), "Insufficient Evidence",
  AND(AR32&gt;=65, AJ32="Approved"), "Strong",
  AR32&gt;=65, "Adequate",
  AR32&gt;=40, "Adequate",
  AR32&gt;=20, "Weak",
  TRUE, "Insufficient Evidence"
)</f>
        <v>Insufficient Evidence</v>
      </c>
      <c r="DP32" s="5" t="str">
        <f t="array" ref="DP32">_xlfn.IFS(
  ISBLANK(BS32), "Insufficient Evidence",
  BS32&gt;=65, "Strong",
  BS32&gt;=40, "Adequate",
  BS32&gt;=20, "Weak",
  TRUE, "Insufficient Evidence"
)</f>
        <v>Insufficient Evidence</v>
      </c>
      <c r="DQ32" s="5" t="str">
        <f t="array" ref="DQ32">_xlfn.IFS(
  ISBLANK(BE32), "Insufficient Evidence",
  OR(AW32="Confirmed Violation", AX32="Confirmed Breach"), "Severe — Hard Trigger",
  BE32&gt;=65, "Strong",
  BE32&gt;=40, "Adequate",
  BE32&gt;=20, "Weak",
  TRUE, "Insufficient Evidence"
)</f>
        <v>Insufficient Evidence</v>
      </c>
      <c r="DR32" s="5" t="str">
        <f t="array" ref="DR32">_xlfn.IFS(
  ISBLANK(CU32), "Insufficient Evidence",
  CU32&lt;=20, "Low Risk",
  CU32&lt;=50, "Moderate Risk",
  CU32&lt;=75, "High Risk",
  TRUE, "Very High Risk"
)</f>
        <v>Low Risk</v>
      </c>
      <c r="DS32" s="5" t="str">
        <f t="array" ref="DS32">_xlfn.IFS(
  ISBLANK(CE32), "Insufficient Evidence",
  AND(ISNUMBER(BW32),ISNUMBER(BV32),BW32&gt;BV32), "Overclaiming Risk",
  CE32&gt;=65, "Strong",
  CE32&gt;=40, "Adequate",
  TRUE, "Weak"
)</f>
        <v>Weak</v>
      </c>
      <c r="DT32" s="5">
        <f t="shared" si="46"/>
        <v>11.7</v>
      </c>
      <c r="DU32" s="5" t="str">
        <f t="array" ref="DU32">_xlfn.IFS(
  DV32="Upgraded to Clear", "Clear",
  DV32="Downgraded to Watchlist", "Watchlist",
  DV32="Downgraded to Exclusion", "Exclusion Risk",
  DB32="Yes — Automatic", "Exclusion Risk",
  OR(AW32="Confirmed Violation", AX32="Confirmed Breach"), "Exclusion Risk",
  OR(V32=0, ISBLANK(V32), DN32&lt;20), "Insufficient Evidence",
  AND(DT32&gt;=65, DA32="No", DB32="No"), "Clear",
  OR(DT32&gt;=40, DA32="Yes"), "Watchlist",
  TRUE, "Exclusion Risk"
)</f>
        <v>Insufficient Evidence</v>
      </c>
      <c r="DV32" s="5"/>
      <c r="DW32" s="5" t="str">
        <f t="array" ref="DW32">_xlfn.IFS(
  DU32="Exclusion Risk", "Exclude — Hard Trigger",
  DU32="Insufficient Evidence", "Watchlist — Further Evidence Needed",
  DU32="Watchlist", "Watchlist — Further Evidence Needed",
  AND(DU32="Clear", DT32&gt;=80), "Include — No Conditions",
  DU32="Clear", "Include — Monitor",
  TRUE, "Watchlist — Further Evidence Needed"
)</f>
        <v>Watchlist — Further Evidence Needed</v>
      </c>
      <c r="DX32" s="5"/>
      <c r="DY32" s="5"/>
      <c r="DZ32" s="5"/>
      <c r="EA32" s="5"/>
      <c r="EB32" s="5" t="str">
        <f t="shared" si="47"/>
        <v>MISSING — No sources reviewed</v>
      </c>
      <c r="EC32" s="5" t="str">
        <f t="shared" si="48"/>
        <v/>
      </c>
    </row>
    <row r="33" spans="1:133" ht="18" customHeight="1" x14ac:dyDescent="0.15">
      <c r="A33" s="3" t="s">
        <v>403</v>
      </c>
      <c r="B33" s="3" t="s">
        <v>404</v>
      </c>
      <c r="C33" s="3" t="str">
        <f>IF(ISBLANK('Universe Tracker'!D29),"",'Universe Tracker'!D29)</f>
        <v>GB00BHJYC057</v>
      </c>
      <c r="D33" s="3"/>
      <c r="E33" s="3"/>
      <c r="F33" s="3" t="str">
        <f>IF(ISBLANK('Universe Tracker'!F29),"",'Universe Tracker'!F29)</f>
        <v>Consumer Discretionary</v>
      </c>
      <c r="G33" s="3" t="str">
        <f>IF(ISBLANK('Universe Tracker'!G29),"",'Universe Tracker'!G29)</f>
        <v>Consumer Discretionary Services</v>
      </c>
      <c r="H33" s="3"/>
      <c r="I33" s="3"/>
      <c r="J33" s="3" t="str">
        <f t="shared" si="36"/>
        <v>IC1H_GB00BHJYC057</v>
      </c>
      <c r="K33" s="3"/>
      <c r="L33" s="3"/>
      <c r="M33" s="3"/>
      <c r="N33" s="3"/>
      <c r="O33" s="3"/>
      <c r="P33" s="3"/>
      <c r="Q33" s="3"/>
      <c r="R33" s="3"/>
      <c r="S33" s="3"/>
      <c r="T33" s="3"/>
      <c r="U33" s="3"/>
      <c r="V33" s="3"/>
      <c r="W33" s="3"/>
      <c r="X33" s="3"/>
      <c r="Y33" s="3" t="str">
        <f t="shared" si="37"/>
        <v>Insufficient</v>
      </c>
      <c r="Z33" s="3"/>
      <c r="AA33" s="3"/>
      <c r="AB33" s="3"/>
      <c r="AC33" s="3"/>
      <c r="AD33" s="3"/>
      <c r="AE33" s="3"/>
      <c r="AF33" s="3"/>
      <c r="AG33" s="3"/>
      <c r="AH33" s="3"/>
      <c r="AI33" s="3"/>
      <c r="AJ33" s="3"/>
      <c r="AK33" s="3"/>
      <c r="AL33" s="3"/>
      <c r="AM33" s="3"/>
      <c r="AN33" s="3"/>
      <c r="AO33" s="3"/>
      <c r="AP33" s="3"/>
      <c r="AQ33" s="3"/>
      <c r="AR33" s="40">
        <f t="array" ref="AR33">MIN(100, MAX(0,
  IFERROR(_xlfn.XLOOKUP(AJ33,'Lookup Tables'!$A$2:$A$7,'Lookup Tables'!$B$2:$B$7,0),0)
  + IF(Z33="Yes", IF(IFERROR(_xlfn.XLOOKUP(AJ33,'Lookup Tables'!$A$2:$A$7,'Lookup Tables'!$B$2:$B$7,0),0)&lt;20, 5, 0), 0)
  + _xlfn.IFS(AB33="Yes", IF(ISNUMBER(AC33)*AND(AC33&lt;=2030),15,10), AB33="Long-term Only", 5, AB33="No", 0, TRUE, 0)
  + _xlfn.IFS(AF33="Full",10, AF33="Partial",5, AF33="Scope 2 Only",3, TRUE,0)
  + _xlfn.IFS(AG33="Yes", IF(ISNUMBER(AH33)*AND(AH33&gt;=5),10,6), AG33="Partial",4, TRUE,0)
  + _xlfn.IFS(AI33="Yes",5, AI33="Partial (material categories only)",3, TRUE,0)
  + _xlfn.IFS(AL33="Yes — Detailed",10, AL33="Yes — High Level",5, TRUE,0)
  + _xlfn.IFS(AM33="Yes — Quantified",15, AM33="Yes — Directional Only",7, TRUE,0)
  + _xlfn.IFS(AP33="Formal",5, AP33="Referenced",2, TRUE,0)
  + _xlfn.IFS(AQ33="No Issues Found",5, AQ33="Concern Identified",-5, AQ33="Severe Contradiction",-15, TRUE,0)
  + _xlfn.IFS(BC33="Reasonable Assurance",5, BC33="Limited Assurance",3, TRUE,0)
  - IF(AND(Z33="Yes", AI33="No"), 10, 0)
  - IF(AND(Z33="Yes", AM33="No"), 10, 0)
))</f>
        <v>0</v>
      </c>
      <c r="AS33" s="3"/>
      <c r="AT33" s="3"/>
      <c r="AU33" s="3"/>
      <c r="AV33" s="3"/>
      <c r="AW33" s="3"/>
      <c r="AX33" s="3"/>
      <c r="AY33" s="3"/>
      <c r="AZ33" s="3"/>
      <c r="BA33" s="3"/>
      <c r="BB33" s="3"/>
      <c r="BC33" s="3"/>
      <c r="BD33" s="3"/>
      <c r="BE33" s="40">
        <f t="array" ref="BE33">MIN(100, MAX(0,
  IFERROR(_xlfn.XLOOKUP(AT33,'Lookup Tables'!$D$2:$D$6,'Lookup Tables'!$E$2:$E$6,0),0)
  + IFERROR(_xlfn.XLOOKUP(AV33,'Lookup Tables'!$G$2:$G$5,'Lookup Tables'!$H$2:$H$5,0),0)
  + IFERROR(_xlfn.XLOOKUP(AW33,'Lookup Tables'!$J$2:$J$5,'Lookup Tables'!$K$2:$K$5,0),0)
  + _xlfn.IFS(AX33="No Issues",10, AX33="Complaint Filed",3, AX33="Confirmed Breach",-15, TRUE,0)
  + IFERROR(_xlfn.XLOOKUP(AY33,'Lookup Tables'!$M$2:$M$6,'Lookup Tables'!$N$2:$N$6,0),0)
  + IFERROR(_xlfn.XLOOKUP(AZ33,'Lookup Tables'!$P$2:$P$6,'Lookup Tables'!$Q$2:$Q$6,0),0)
  + _xlfn.IFS(BA33="Formal Board Committee",5, BA33="Board Oversight Mentioned",2, TRUE,0)
  + _xlfn.IFS(BB33="Yes — Quantified Targets",5, BB33="Yes — Discretionary Only",2, TRUE,0)
  + _xlfn.IFS(BC33="Reasonable Assurance",5, BC33="Limited Assurance",3, BC33="Management Review Only",1, TRUE,0)
))</f>
        <v>0</v>
      </c>
      <c r="BF33" s="3"/>
      <c r="BG33" s="3"/>
      <c r="BH33" s="3"/>
      <c r="BI33" s="3"/>
      <c r="BJ33" s="3"/>
      <c r="BK33" s="3"/>
      <c r="BL33" s="3"/>
      <c r="BM33" s="3"/>
      <c r="BN33" s="3"/>
      <c r="BO33" s="3"/>
      <c r="BP33" s="3"/>
      <c r="BQ33" s="3"/>
      <c r="BR33" s="3"/>
      <c r="BS33" s="42">
        <f t="array" ref="BS33">MIN(100, MAX(0,
  IFERROR(_xlfn.XLOOKUP(BG33,'Lookup Tables'!$A$11:$A$16,'Lookup Tables'!$B$11:$B$16,0),0)
  + IFERROR(_xlfn.XLOOKUP(BR33,'Lookup Tables'!$M$11:$M$14,'Lookup Tables'!$N$11:$N$14,0),0)
  + IFERROR(_xlfn.XLOOKUP(BQ33,'Lookup Tables'!$J$11:$J$15,'Lookup Tables'!$K$11:$K$15,0),0)
  + IFERROR(_xlfn.XLOOKUP(BH33,'Lookup Tables'!$D$11:$D$15,'Lookup Tables'!$E$11:$E$15,0),0)
  + IFERROR(_xlfn.XLOOKUP(BJ33,'Lookup Tables'!$G$11:$G$16,'Lookup Tables'!$H$11:$H$16,0),0)
  + IFERROR(_xlfn.XLOOKUP(BN33,'Lookup Tables'!$P$11:$P$15,'Lookup Tables'!$Q$11:$Q$15,0),0)
  + _xlfn.IFS(BM33="No Evidence",10, BM33="Unknown",3, BM33="Likely",0, BM33="Confirmed",-10, TRUE,3)
  + IFERROR(_xlfn.XLOOKUP(BP33,'Lookup Tables'!$J$21:$J$24,'Lookup Tables'!$K$21:$K$24,0),0)
))</f>
        <v>3</v>
      </c>
      <c r="BT33" s="3"/>
      <c r="BU33" s="3"/>
      <c r="BV33" s="3"/>
      <c r="BW33" s="3"/>
      <c r="BX33" s="3"/>
      <c r="BY33" s="3"/>
      <c r="BZ33" s="3"/>
      <c r="CA33" s="3"/>
      <c r="CB33" s="3"/>
      <c r="CC33" s="3"/>
      <c r="CD33" s="3"/>
      <c r="CE33" s="44">
        <f t="array" ref="CE33">MIN(100, MAX(0,
  IF(ISNUMBER(BV33)*AND(BV33&gt;0), 10, 0)
  + _xlfn.IFS(BY33="Independently Verified",25, BY33="Yes",15, TRUE,0)
  + IFERROR(_xlfn.XLOOKUP(BZ33,'Lookup Tables'!$A$21:$A$24,'Lookup Tables'!$B$21:$B$24,0),0)
  + IFERROR(_xlfn.XLOOKUP(CA33,'Lookup Tables'!$D$21:$D$24,'Lookup Tables'!$E$21:$E$24,0),0)
  + _xlfn.IFS(ISNUMBER(CB33)*AND(CB33&gt;=11),15, ISNUMBER(CB33)*AND(CB33&gt;=6),10, ISNUMBER(CB33)*AND(CB33&gt;=1),5, TRUE,0)
  + IFERROR(_xlfn.XLOOKUP(CC33,'Lookup Tables'!$G$21:$G$25,'Lookup Tables'!$H$21:$H$25,0),0)
  - IF(ISNUMBER(BW33)*AND(ISNUMBER(BV33))*AND(BW33&gt;BV33), 20, 0)
  - IF(AND(BY33="Yes", ISNUMBER(BW33), BW33&gt;60), 10, 0)
))</f>
        <v>0</v>
      </c>
      <c r="CF33" s="3"/>
      <c r="CG33" s="3"/>
      <c r="CH33" s="3"/>
      <c r="CI33" s="3"/>
      <c r="CJ33" s="3"/>
      <c r="CK33" s="3"/>
      <c r="CL33" s="3"/>
      <c r="CM33" s="3"/>
      <c r="CN33" s="3"/>
      <c r="CO33" s="3"/>
      <c r="CP33" s="3"/>
      <c r="CQ33" s="3"/>
      <c r="CR33" s="3">
        <f t="shared" si="38"/>
        <v>0</v>
      </c>
      <c r="CS33" s="3">
        <f t="shared" si="39"/>
        <v>0</v>
      </c>
      <c r="CT33" s="3">
        <f t="shared" si="40"/>
        <v>0</v>
      </c>
      <c r="CU33" s="3">
        <f>MIN(100,
  CR33*15
  + CS33*6
  + CT33*3
  + IFERROR(_xlfn.XLOOKUP(CW33,'Lookup Tables'!$M$21:$M$25,'Lookup Tables'!$N$21:$N$25,0),0)
)</f>
        <v>0</v>
      </c>
      <c r="CV33" s="3" t="str">
        <f t="shared" si="41"/>
        <v>No failures</v>
      </c>
      <c r="CW33" s="3"/>
      <c r="CX33" s="3"/>
      <c r="CY33" s="3"/>
      <c r="CZ33" s="3"/>
      <c r="DA33" s="3" t="str">
        <f t="shared" si="42"/>
        <v>Yes</v>
      </c>
      <c r="DB33" s="3" t="str">
        <f t="shared" si="43"/>
        <v>No</v>
      </c>
      <c r="DC33" s="3"/>
      <c r="DD33" s="3"/>
      <c r="DE33" s="3"/>
      <c r="DF33" s="3"/>
      <c r="DG33" s="3"/>
      <c r="DH33" s="3"/>
      <c r="DI33" s="3"/>
      <c r="DJ33" s="3"/>
      <c r="DK33" s="3"/>
      <c r="DL33" s="3" t="str">
        <f t="shared" si="44"/>
        <v>Clear</v>
      </c>
      <c r="DM33" s="3" t="str">
        <f t="shared" si="45"/>
        <v>Yes</v>
      </c>
      <c r="DN33" s="3">
        <f t="array" ref="DN33">MIN(100,
  IF(ISNUMBER(V33), _xlfn.IFS(V33&gt;=3,25, V33=2,15, V33=1,5, TRUE,0), 0)
  + IFERROR(_xlfn.IFS(VALUE(LEFT(DF33,1))=5,25, VALUE(LEFT(DF33,1))=4,20, VALUE(LEFT(DF33,1))=3,15, VALUE(LEFT(DF33,1))=2,8, TRUE,0), 15)
  + IFERROR(_xlfn.IFS(VALUE(LEFT(DG33,1))=5,25, VALUE(LEFT(DG33,1))=4,20, VALUE(LEFT(DG33,1))=3,15, VALUE(LEFT(DG33,1))=2,8, TRUE,0), 15)
  + _xlfn.IFS(DH33="Fully Verified",25, DH33="Partially Verified",12, TRUE,0)
)</f>
        <v>30</v>
      </c>
      <c r="DO33" s="3" t="str">
        <f t="array" ref="DO33">_xlfn.IFS(
  ISBLANK(AR33), "Insufficient Evidence",
  AND(AR33&gt;=65, AJ33="Approved"), "Strong",
  AR33&gt;=65, "Adequate",
  AR33&gt;=40, "Adequate",
  AR33&gt;=20, "Weak",
  TRUE, "Insufficient Evidence"
)</f>
        <v>Insufficient Evidence</v>
      </c>
      <c r="DP33" s="3" t="str">
        <f t="array" ref="DP33">_xlfn.IFS(
  ISBLANK(BS33), "Insufficient Evidence",
  BS33&gt;=65, "Strong",
  BS33&gt;=40, "Adequate",
  BS33&gt;=20, "Weak",
  TRUE, "Insufficient Evidence"
)</f>
        <v>Insufficient Evidence</v>
      </c>
      <c r="DQ33" s="3" t="str">
        <f t="array" ref="DQ33">_xlfn.IFS(
  ISBLANK(BE33), "Insufficient Evidence",
  OR(AW33="Confirmed Violation", AX33="Confirmed Breach"), "Severe — Hard Trigger",
  BE33&gt;=65, "Strong",
  BE33&gt;=40, "Adequate",
  BE33&gt;=20, "Weak",
  TRUE, "Insufficient Evidence"
)</f>
        <v>Insufficient Evidence</v>
      </c>
      <c r="DR33" s="3" t="str">
        <f t="array" ref="DR33">_xlfn.IFS(
  ISBLANK(CU33), "Insufficient Evidence",
  CU33&lt;=20, "Low Risk",
  CU33&lt;=50, "Moderate Risk",
  CU33&lt;=75, "High Risk",
  TRUE, "Very High Risk"
)</f>
        <v>Low Risk</v>
      </c>
      <c r="DS33" s="3" t="str">
        <f t="array" ref="DS33">_xlfn.IFS(
  ISBLANK(CE33), "Insufficient Evidence",
  AND(ISNUMBER(BW33),ISNUMBER(BV33),BW33&gt;BV33), "Overclaiming Risk",
  CE33&gt;=65, "Strong",
  CE33&gt;=40, "Adequate",
  TRUE, "Weak"
)</f>
        <v>Weak</v>
      </c>
      <c r="DT33" s="3">
        <f t="shared" si="46"/>
        <v>11.7</v>
      </c>
      <c r="DU33" s="3" t="str">
        <f t="array" ref="DU33">_xlfn.IFS(
  DV33="Upgraded to Clear", "Clear",
  DV33="Downgraded to Watchlist", "Watchlist",
  DV33="Downgraded to Exclusion", "Exclusion Risk",
  DB33="Yes — Automatic", "Exclusion Risk",
  OR(AW33="Confirmed Violation", AX33="Confirmed Breach"), "Exclusion Risk",
  OR(V33=0, ISBLANK(V33), DN33&lt;20), "Insufficient Evidence",
  AND(DT33&gt;=65, DA33="No", DB33="No"), "Clear",
  OR(DT33&gt;=40, DA33="Yes"), "Watchlist",
  TRUE, "Exclusion Risk"
)</f>
        <v>Insufficient Evidence</v>
      </c>
      <c r="DV33" s="3"/>
      <c r="DW33" s="3" t="str">
        <f t="array" ref="DW33">_xlfn.IFS(
  DU33="Exclusion Risk", "Exclude — Hard Trigger",
  DU33="Insufficient Evidence", "Watchlist — Further Evidence Needed",
  DU33="Watchlist", "Watchlist — Further Evidence Needed",
  AND(DU33="Clear", DT33&gt;=80), "Include — No Conditions",
  DU33="Clear", "Include — Monitor",
  TRUE, "Watchlist — Further Evidence Needed"
)</f>
        <v>Watchlist — Further Evidence Needed</v>
      </c>
      <c r="DX33" s="3"/>
      <c r="DY33" s="3"/>
      <c r="DZ33" s="3"/>
      <c r="EA33" s="3"/>
      <c r="EB33" s="3" t="str">
        <f t="shared" si="47"/>
        <v>MISSING — No sources reviewed</v>
      </c>
      <c r="EC33" s="3" t="str">
        <f t="shared" si="48"/>
        <v/>
      </c>
    </row>
    <row r="34" spans="1:133" ht="18" customHeight="1" x14ac:dyDescent="0.15">
      <c r="A34" s="5" t="s">
        <v>408</v>
      </c>
      <c r="B34" s="5" t="s">
        <v>409</v>
      </c>
      <c r="C34" s="5" t="str">
        <f>IF(ISBLANK('Universe Tracker'!D30),"",'Universe Tracker'!D30)</f>
        <v>DK0010311471</v>
      </c>
      <c r="D34" s="5"/>
      <c r="E34" s="5"/>
      <c r="F34" s="5" t="str">
        <f>IF(ISBLANK('Universe Tracker'!F30),"",'Universe Tracker'!F30)</f>
        <v>Financials</v>
      </c>
      <c r="G34" s="5" t="str">
        <f>IF(ISBLANK('Universe Tracker'!G30),"",'Universe Tracker'!G30)</f>
        <v>Banking</v>
      </c>
      <c r="H34" s="5"/>
      <c r="I34" s="5"/>
      <c r="J34" s="5" t="str">
        <f t="shared" si="36"/>
        <v>TM2_DK0010311471</v>
      </c>
      <c r="K34" s="5"/>
      <c r="L34" s="5"/>
      <c r="M34" s="5"/>
      <c r="N34" s="5"/>
      <c r="O34" s="5"/>
      <c r="P34" s="5"/>
      <c r="Q34" s="5"/>
      <c r="R34" s="5"/>
      <c r="S34" s="5"/>
      <c r="T34" s="5"/>
      <c r="U34" s="5"/>
      <c r="V34" s="5"/>
      <c r="W34" s="5"/>
      <c r="X34" s="5"/>
      <c r="Y34" s="5" t="str">
        <f t="shared" si="37"/>
        <v>Insufficient</v>
      </c>
      <c r="Z34" s="5"/>
      <c r="AA34" s="5"/>
      <c r="AB34" s="5"/>
      <c r="AC34" s="5"/>
      <c r="AD34" s="5"/>
      <c r="AE34" s="5"/>
      <c r="AF34" s="5"/>
      <c r="AG34" s="5"/>
      <c r="AH34" s="5"/>
      <c r="AI34" s="5"/>
      <c r="AJ34" s="5"/>
      <c r="AK34" s="5"/>
      <c r="AL34" s="5"/>
      <c r="AM34" s="5"/>
      <c r="AN34" s="5"/>
      <c r="AO34" s="5"/>
      <c r="AP34" s="5"/>
      <c r="AQ34" s="5"/>
      <c r="AR34" s="40">
        <f t="array" ref="AR34">MIN(100, MAX(0,
  IFERROR(_xlfn.XLOOKUP(AJ34,'Lookup Tables'!$A$2:$A$7,'Lookup Tables'!$B$2:$B$7,0),0)
  + IF(Z34="Yes", IF(IFERROR(_xlfn.XLOOKUP(AJ34,'Lookup Tables'!$A$2:$A$7,'Lookup Tables'!$B$2:$B$7,0),0)&lt;20, 5, 0), 0)
  + _xlfn.IFS(AB34="Yes", IF(ISNUMBER(AC34)*AND(AC34&lt;=2030),15,10), AB34="Long-term Only", 5, AB34="No", 0, TRUE, 0)
  + _xlfn.IFS(AF34="Full",10, AF34="Partial",5, AF34="Scope 2 Only",3, TRUE,0)
  + _xlfn.IFS(AG34="Yes", IF(ISNUMBER(AH34)*AND(AH34&gt;=5),10,6), AG34="Partial",4, TRUE,0)
  + _xlfn.IFS(AI34="Yes",5, AI34="Partial (material categories only)",3, TRUE,0)
  + _xlfn.IFS(AL34="Yes — Detailed",10, AL34="Yes — High Level",5, TRUE,0)
  + _xlfn.IFS(AM34="Yes — Quantified",15, AM34="Yes — Directional Only",7, TRUE,0)
  + _xlfn.IFS(AP34="Formal",5, AP34="Referenced",2, TRUE,0)
  + _xlfn.IFS(AQ34="No Issues Found",5, AQ34="Concern Identified",-5, AQ34="Severe Contradiction",-15, TRUE,0)
  + _xlfn.IFS(BC34="Reasonable Assurance",5, BC34="Limited Assurance",3, TRUE,0)
  - IF(AND(Z34="Yes", AI34="No"), 10, 0)
  - IF(AND(Z34="Yes", AM34="No"), 10, 0)
))</f>
        <v>0</v>
      </c>
      <c r="AS34" s="5"/>
      <c r="AT34" s="5"/>
      <c r="AU34" s="5"/>
      <c r="AV34" s="5"/>
      <c r="AW34" s="5"/>
      <c r="AX34" s="5"/>
      <c r="AY34" s="5"/>
      <c r="AZ34" s="5"/>
      <c r="BA34" s="5"/>
      <c r="BB34" s="5"/>
      <c r="BC34" s="5"/>
      <c r="BD34" s="5"/>
      <c r="BE34" s="39">
        <f t="array" ref="BE34">MIN(100, MAX(0,
  IFERROR(_xlfn.XLOOKUP(AT34,'Lookup Tables'!$D$2:$D$6,'Lookup Tables'!$E$2:$E$6,0),0)
  + IFERROR(_xlfn.XLOOKUP(AV34,'Lookup Tables'!$G$2:$G$5,'Lookup Tables'!$H$2:$H$5,0),0)
  + IFERROR(_xlfn.XLOOKUP(AW34,'Lookup Tables'!$J$2:$J$5,'Lookup Tables'!$K$2:$K$5,0),0)
  + _xlfn.IFS(AX34="No Issues",10, AX34="Complaint Filed",3, AX34="Confirmed Breach",-15, TRUE,0)
  + IFERROR(_xlfn.XLOOKUP(AY34,'Lookup Tables'!$M$2:$M$6,'Lookup Tables'!$N$2:$N$6,0),0)
  + IFERROR(_xlfn.XLOOKUP(AZ34,'Lookup Tables'!$P$2:$P$6,'Lookup Tables'!$Q$2:$Q$6,0),0)
  + _xlfn.IFS(BA34="Formal Board Committee",5, BA34="Board Oversight Mentioned",2, TRUE,0)
  + _xlfn.IFS(BB34="Yes — Quantified Targets",5, BB34="Yes — Discretionary Only",2, TRUE,0)
  + _xlfn.IFS(BC34="Reasonable Assurance",5, BC34="Limited Assurance",3, BC34="Management Review Only",1, TRUE,0)
))</f>
        <v>0</v>
      </c>
      <c r="BF34" s="5"/>
      <c r="BG34" s="5"/>
      <c r="BH34" s="5"/>
      <c r="BI34" s="5"/>
      <c r="BJ34" s="5"/>
      <c r="BK34" s="5"/>
      <c r="BL34" s="5"/>
      <c r="BM34" s="5"/>
      <c r="BN34" s="5"/>
      <c r="BO34" s="5"/>
      <c r="BP34" s="5"/>
      <c r="BQ34" s="5"/>
      <c r="BR34" s="5"/>
      <c r="BS34" s="41">
        <f t="array" ref="BS34">MIN(100, MAX(0,
  IFERROR(_xlfn.XLOOKUP(BG34,'Lookup Tables'!$A$11:$A$16,'Lookup Tables'!$B$11:$B$16,0),0)
  + IFERROR(_xlfn.XLOOKUP(BR34,'Lookup Tables'!$M$11:$M$14,'Lookup Tables'!$N$11:$N$14,0),0)
  + IFERROR(_xlfn.XLOOKUP(BQ34,'Lookup Tables'!$J$11:$J$15,'Lookup Tables'!$K$11:$K$15,0),0)
  + IFERROR(_xlfn.XLOOKUP(BH34,'Lookup Tables'!$D$11:$D$15,'Lookup Tables'!$E$11:$E$15,0),0)
  + IFERROR(_xlfn.XLOOKUP(BJ34,'Lookup Tables'!$G$11:$G$16,'Lookup Tables'!$H$11:$H$16,0),0)
  + IFERROR(_xlfn.XLOOKUP(BN34,'Lookup Tables'!$P$11:$P$15,'Lookup Tables'!$Q$11:$Q$15,0),0)
  + _xlfn.IFS(BM34="No Evidence",10, BM34="Unknown",3, BM34="Likely",0, BM34="Confirmed",-10, TRUE,3)
  + IFERROR(_xlfn.XLOOKUP(BP34,'Lookup Tables'!$J$21:$J$24,'Lookup Tables'!$K$21:$K$24,0),0)
))</f>
        <v>3</v>
      </c>
      <c r="BT34" s="5"/>
      <c r="BU34" s="5"/>
      <c r="BV34" s="5"/>
      <c r="BW34" s="5"/>
      <c r="BX34" s="5"/>
      <c r="BY34" s="5"/>
      <c r="BZ34" s="5"/>
      <c r="CA34" s="5"/>
      <c r="CB34" s="5"/>
      <c r="CC34" s="5"/>
      <c r="CD34" s="5"/>
      <c r="CE34" s="43">
        <f t="array" ref="CE34">MIN(100, MAX(0,
  IF(ISNUMBER(BV34)*AND(BV34&gt;0), 10, 0)
  + _xlfn.IFS(BY34="Independently Verified",25, BY34="Yes",15, TRUE,0)
  + IFERROR(_xlfn.XLOOKUP(BZ34,'Lookup Tables'!$A$21:$A$24,'Lookup Tables'!$B$21:$B$24,0),0)
  + IFERROR(_xlfn.XLOOKUP(CA34,'Lookup Tables'!$D$21:$D$24,'Lookup Tables'!$E$21:$E$24,0),0)
  + _xlfn.IFS(ISNUMBER(CB34)*AND(CB34&gt;=11),15, ISNUMBER(CB34)*AND(CB34&gt;=6),10, ISNUMBER(CB34)*AND(CB34&gt;=1),5, TRUE,0)
  + IFERROR(_xlfn.XLOOKUP(CC34,'Lookup Tables'!$G$21:$G$25,'Lookup Tables'!$H$21:$H$25,0),0)
  - IF(ISNUMBER(BW34)*AND(ISNUMBER(BV34))*AND(BW34&gt;BV34), 20, 0)
  - IF(AND(BY34="Yes", ISNUMBER(BW34), BW34&gt;60), 10, 0)
))</f>
        <v>0</v>
      </c>
      <c r="CF34" s="5"/>
      <c r="CG34" s="5"/>
      <c r="CH34" s="5"/>
      <c r="CI34" s="5"/>
      <c r="CJ34" s="5"/>
      <c r="CK34" s="5"/>
      <c r="CL34" s="5"/>
      <c r="CM34" s="5"/>
      <c r="CN34" s="5"/>
      <c r="CO34" s="5"/>
      <c r="CP34" s="5"/>
      <c r="CQ34" s="5"/>
      <c r="CR34" s="5">
        <f t="shared" si="38"/>
        <v>0</v>
      </c>
      <c r="CS34" s="5">
        <f t="shared" si="39"/>
        <v>0</v>
      </c>
      <c r="CT34" s="5">
        <f t="shared" si="40"/>
        <v>0</v>
      </c>
      <c r="CU34" s="5">
        <f>MIN(100,
  CR34*15
  + CS34*6
  + CT34*3
  + IFERROR(_xlfn.XLOOKUP(CW34,'Lookup Tables'!$M$21:$M$25,'Lookup Tables'!$N$21:$N$25,0),0)
)</f>
        <v>0</v>
      </c>
      <c r="CV34" s="5" t="str">
        <f t="shared" si="41"/>
        <v>No failures</v>
      </c>
      <c r="CW34" s="5"/>
      <c r="CX34" s="5"/>
      <c r="CY34" s="5"/>
      <c r="CZ34" s="5"/>
      <c r="DA34" s="5" t="str">
        <f t="shared" si="42"/>
        <v>Yes</v>
      </c>
      <c r="DB34" s="5" t="str">
        <f t="shared" si="43"/>
        <v>No</v>
      </c>
      <c r="DC34" s="5"/>
      <c r="DD34" s="5"/>
      <c r="DE34" s="5"/>
      <c r="DF34" s="5"/>
      <c r="DG34" s="5"/>
      <c r="DH34" s="5"/>
      <c r="DI34" s="5"/>
      <c r="DJ34" s="5"/>
      <c r="DK34" s="5"/>
      <c r="DL34" s="5" t="str">
        <f t="shared" si="44"/>
        <v>Clear</v>
      </c>
      <c r="DM34" s="5" t="str">
        <f t="shared" si="45"/>
        <v>Yes</v>
      </c>
      <c r="DN34" s="5">
        <f t="array" ref="DN34">MIN(100,
  IF(ISNUMBER(V34), _xlfn.IFS(V34&gt;=3,25, V34=2,15, V34=1,5, TRUE,0), 0)
  + IFERROR(_xlfn.IFS(VALUE(LEFT(DF34,1))=5,25, VALUE(LEFT(DF34,1))=4,20, VALUE(LEFT(DF34,1))=3,15, VALUE(LEFT(DF34,1))=2,8, TRUE,0), 15)
  + IFERROR(_xlfn.IFS(VALUE(LEFT(DG34,1))=5,25, VALUE(LEFT(DG34,1))=4,20, VALUE(LEFT(DG34,1))=3,15, VALUE(LEFT(DG34,1))=2,8, TRUE,0), 15)
  + _xlfn.IFS(DH34="Fully Verified",25, DH34="Partially Verified",12, TRUE,0)
)</f>
        <v>30</v>
      </c>
      <c r="DO34" s="5" t="str">
        <f t="array" ref="DO34">_xlfn.IFS(
  ISBLANK(AR34), "Insufficient Evidence",
  AND(AR34&gt;=65, AJ34="Approved"), "Strong",
  AR34&gt;=65, "Adequate",
  AR34&gt;=40, "Adequate",
  AR34&gt;=20, "Weak",
  TRUE, "Insufficient Evidence"
)</f>
        <v>Insufficient Evidence</v>
      </c>
      <c r="DP34" s="5" t="str">
        <f t="array" ref="DP34">_xlfn.IFS(
  ISBLANK(BS34), "Insufficient Evidence",
  BS34&gt;=65, "Strong",
  BS34&gt;=40, "Adequate",
  BS34&gt;=20, "Weak",
  TRUE, "Insufficient Evidence"
)</f>
        <v>Insufficient Evidence</v>
      </c>
      <c r="DQ34" s="5" t="str">
        <f t="array" ref="DQ34">_xlfn.IFS(
  ISBLANK(BE34), "Insufficient Evidence",
  OR(AW34="Confirmed Violation", AX34="Confirmed Breach"), "Severe — Hard Trigger",
  BE34&gt;=65, "Strong",
  BE34&gt;=40, "Adequate",
  BE34&gt;=20, "Weak",
  TRUE, "Insufficient Evidence"
)</f>
        <v>Insufficient Evidence</v>
      </c>
      <c r="DR34" s="5" t="str">
        <f t="array" ref="DR34">_xlfn.IFS(
  ISBLANK(CU34), "Insufficient Evidence",
  CU34&lt;=20, "Low Risk",
  CU34&lt;=50, "Moderate Risk",
  CU34&lt;=75, "High Risk",
  TRUE, "Very High Risk"
)</f>
        <v>Low Risk</v>
      </c>
      <c r="DS34" s="5" t="str">
        <f t="array" ref="DS34">_xlfn.IFS(
  ISBLANK(CE34), "Insufficient Evidence",
  AND(ISNUMBER(BW34),ISNUMBER(BV34),BW34&gt;BV34), "Overclaiming Risk",
  CE34&gt;=65, "Strong",
  CE34&gt;=40, "Adequate",
  TRUE, "Weak"
)</f>
        <v>Weak</v>
      </c>
      <c r="DT34" s="5">
        <f t="shared" si="46"/>
        <v>11.7</v>
      </c>
      <c r="DU34" s="5" t="str">
        <f t="array" ref="DU34">_xlfn.IFS(
  DV34="Upgraded to Clear", "Clear",
  DV34="Downgraded to Watchlist", "Watchlist",
  DV34="Downgraded to Exclusion", "Exclusion Risk",
  DB34="Yes — Automatic", "Exclusion Risk",
  OR(AW34="Confirmed Violation", AX34="Confirmed Breach"), "Exclusion Risk",
  OR(V34=0, ISBLANK(V34), DN34&lt;20), "Insufficient Evidence",
  AND(DT34&gt;=65, DA34="No", DB34="No"), "Clear",
  OR(DT34&gt;=40, DA34="Yes"), "Watchlist",
  TRUE, "Exclusion Risk"
)</f>
        <v>Insufficient Evidence</v>
      </c>
      <c r="DV34" s="5"/>
      <c r="DW34" s="5" t="str">
        <f t="array" ref="DW34">_xlfn.IFS(
  DU34="Exclusion Risk", "Exclude — Hard Trigger",
  DU34="Insufficient Evidence", "Watchlist — Further Evidence Needed",
  DU34="Watchlist", "Watchlist — Further Evidence Needed",
  AND(DU34="Clear", DT34&gt;=80), "Include — No Conditions",
  DU34="Clear", "Include — Monitor",
  TRUE, "Watchlist — Further Evidence Needed"
)</f>
        <v>Watchlist — Further Evidence Needed</v>
      </c>
      <c r="DX34" s="5"/>
      <c r="DY34" s="5"/>
      <c r="DZ34" s="5"/>
      <c r="EA34" s="5"/>
      <c r="EB34" s="5" t="str">
        <f t="shared" si="47"/>
        <v>MISSING — No sources reviewed</v>
      </c>
      <c r="EC34" s="5" t="str">
        <f t="shared" si="48"/>
        <v/>
      </c>
    </row>
    <row r="35" spans="1:133" ht="18" customHeight="1" x14ac:dyDescent="0.15">
      <c r="A35" s="3" t="s">
        <v>412</v>
      </c>
      <c r="B35" s="3" t="s">
        <v>413</v>
      </c>
      <c r="C35" s="3" t="str">
        <f>IF(ISBLANK('Universe Tracker'!D31),"",'Universe Tracker'!D31)</f>
        <v>CH0102484968</v>
      </c>
      <c r="D35" s="3"/>
      <c r="E35" s="3"/>
      <c r="F35" s="3" t="str">
        <f>IF(ISBLANK('Universe Tracker'!F31),"",'Universe Tracker'!F31)</f>
        <v>Financials</v>
      </c>
      <c r="G35" s="3" t="str">
        <f>IF(ISBLANK('Universe Tracker'!G31),"",'Universe Tracker'!G31)</f>
        <v>Financial Services</v>
      </c>
      <c r="H35" s="3"/>
      <c r="I35" s="3"/>
      <c r="J35" s="3" t="str">
        <f t="shared" si="36"/>
        <v>JGE_CH0102484968</v>
      </c>
      <c r="K35" s="3"/>
      <c r="L35" s="3"/>
      <c r="M35" s="3"/>
      <c r="N35" s="3"/>
      <c r="O35" s="3"/>
      <c r="P35" s="3"/>
      <c r="Q35" s="3"/>
      <c r="R35" s="3"/>
      <c r="S35" s="3"/>
      <c r="T35" s="3"/>
      <c r="U35" s="3"/>
      <c r="V35" s="3"/>
      <c r="W35" s="3"/>
      <c r="X35" s="3"/>
      <c r="Y35" s="3" t="str">
        <f t="shared" si="37"/>
        <v>Insufficient</v>
      </c>
      <c r="Z35" s="3"/>
      <c r="AA35" s="3"/>
      <c r="AB35" s="3"/>
      <c r="AC35" s="3"/>
      <c r="AD35" s="3"/>
      <c r="AE35" s="3"/>
      <c r="AF35" s="3"/>
      <c r="AG35" s="3"/>
      <c r="AH35" s="3"/>
      <c r="AI35" s="3"/>
      <c r="AJ35" s="3"/>
      <c r="AK35" s="3"/>
      <c r="AL35" s="3"/>
      <c r="AM35" s="3"/>
      <c r="AN35" s="3"/>
      <c r="AO35" s="3"/>
      <c r="AP35" s="3"/>
      <c r="AQ35" s="3"/>
      <c r="AR35" s="40">
        <f t="array" ref="AR35">MIN(100, MAX(0,
  IFERROR(_xlfn.XLOOKUP(AJ35,'Lookup Tables'!$A$2:$A$7,'Lookup Tables'!$B$2:$B$7,0),0)
  + IF(Z35="Yes", IF(IFERROR(_xlfn.XLOOKUP(AJ35,'Lookup Tables'!$A$2:$A$7,'Lookup Tables'!$B$2:$B$7,0),0)&lt;20, 5, 0), 0)
  + _xlfn.IFS(AB35="Yes", IF(ISNUMBER(AC35)*AND(AC35&lt;=2030),15,10), AB35="Long-term Only", 5, AB35="No", 0, TRUE, 0)
  + _xlfn.IFS(AF35="Full",10, AF35="Partial",5, AF35="Scope 2 Only",3, TRUE,0)
  + _xlfn.IFS(AG35="Yes", IF(ISNUMBER(AH35)*AND(AH35&gt;=5),10,6), AG35="Partial",4, TRUE,0)
  + _xlfn.IFS(AI35="Yes",5, AI35="Partial (material categories only)",3, TRUE,0)
  + _xlfn.IFS(AL35="Yes — Detailed",10, AL35="Yes — High Level",5, TRUE,0)
  + _xlfn.IFS(AM35="Yes — Quantified",15, AM35="Yes — Directional Only",7, TRUE,0)
  + _xlfn.IFS(AP35="Formal",5, AP35="Referenced",2, TRUE,0)
  + _xlfn.IFS(AQ35="No Issues Found",5, AQ35="Concern Identified",-5, AQ35="Severe Contradiction",-15, TRUE,0)
  + _xlfn.IFS(BC35="Reasonable Assurance",5, BC35="Limited Assurance",3, TRUE,0)
  - IF(AND(Z35="Yes", AI35="No"), 10, 0)
  - IF(AND(Z35="Yes", AM35="No"), 10, 0)
))</f>
        <v>0</v>
      </c>
      <c r="AS35" s="3"/>
      <c r="AT35" s="3"/>
      <c r="AU35" s="3"/>
      <c r="AV35" s="3"/>
      <c r="AW35" s="3"/>
      <c r="AX35" s="3"/>
      <c r="AY35" s="3"/>
      <c r="AZ35" s="3"/>
      <c r="BA35" s="3"/>
      <c r="BB35" s="3"/>
      <c r="BC35" s="3"/>
      <c r="BD35" s="3"/>
      <c r="BE35" s="40">
        <f t="array" ref="BE35">MIN(100, MAX(0,
  IFERROR(_xlfn.XLOOKUP(AT35,'Lookup Tables'!$D$2:$D$6,'Lookup Tables'!$E$2:$E$6,0),0)
  + IFERROR(_xlfn.XLOOKUP(AV35,'Lookup Tables'!$G$2:$G$5,'Lookup Tables'!$H$2:$H$5,0),0)
  + IFERROR(_xlfn.XLOOKUP(AW35,'Lookup Tables'!$J$2:$J$5,'Lookup Tables'!$K$2:$K$5,0),0)
  + _xlfn.IFS(AX35="No Issues",10, AX35="Complaint Filed",3, AX35="Confirmed Breach",-15, TRUE,0)
  + IFERROR(_xlfn.XLOOKUP(AY35,'Lookup Tables'!$M$2:$M$6,'Lookup Tables'!$N$2:$N$6,0),0)
  + IFERROR(_xlfn.XLOOKUP(AZ35,'Lookup Tables'!$P$2:$P$6,'Lookup Tables'!$Q$2:$Q$6,0),0)
  + _xlfn.IFS(BA35="Formal Board Committee",5, BA35="Board Oversight Mentioned",2, TRUE,0)
  + _xlfn.IFS(BB35="Yes — Quantified Targets",5, BB35="Yes — Discretionary Only",2, TRUE,0)
  + _xlfn.IFS(BC35="Reasonable Assurance",5, BC35="Limited Assurance",3, BC35="Management Review Only",1, TRUE,0)
))</f>
        <v>0</v>
      </c>
      <c r="BF35" s="3"/>
      <c r="BG35" s="3"/>
      <c r="BH35" s="3"/>
      <c r="BI35" s="3"/>
      <c r="BJ35" s="3"/>
      <c r="BK35" s="3"/>
      <c r="BL35" s="3"/>
      <c r="BM35" s="3"/>
      <c r="BN35" s="3"/>
      <c r="BO35" s="3"/>
      <c r="BP35" s="3"/>
      <c r="BQ35" s="3"/>
      <c r="BR35" s="3"/>
      <c r="BS35" s="42">
        <f t="array" ref="BS35">MIN(100, MAX(0,
  IFERROR(_xlfn.XLOOKUP(BG35,'Lookup Tables'!$A$11:$A$16,'Lookup Tables'!$B$11:$B$16,0),0)
  + IFERROR(_xlfn.XLOOKUP(BR35,'Lookup Tables'!$M$11:$M$14,'Lookup Tables'!$N$11:$N$14,0),0)
  + IFERROR(_xlfn.XLOOKUP(BQ35,'Lookup Tables'!$J$11:$J$15,'Lookup Tables'!$K$11:$K$15,0),0)
  + IFERROR(_xlfn.XLOOKUP(BH35,'Lookup Tables'!$D$11:$D$15,'Lookup Tables'!$E$11:$E$15,0),0)
  + IFERROR(_xlfn.XLOOKUP(BJ35,'Lookup Tables'!$G$11:$G$16,'Lookup Tables'!$H$11:$H$16,0),0)
  + IFERROR(_xlfn.XLOOKUP(BN35,'Lookup Tables'!$P$11:$P$15,'Lookup Tables'!$Q$11:$Q$15,0),0)
  + _xlfn.IFS(BM35="No Evidence",10, BM35="Unknown",3, BM35="Likely",0, BM35="Confirmed",-10, TRUE,3)
  + IFERROR(_xlfn.XLOOKUP(BP35,'Lookup Tables'!$J$21:$J$24,'Lookup Tables'!$K$21:$K$24,0),0)
))</f>
        <v>3</v>
      </c>
      <c r="BT35" s="3"/>
      <c r="BU35" s="3"/>
      <c r="BV35" s="3"/>
      <c r="BW35" s="3"/>
      <c r="BX35" s="3"/>
      <c r="BY35" s="3"/>
      <c r="BZ35" s="3"/>
      <c r="CA35" s="3"/>
      <c r="CB35" s="3"/>
      <c r="CC35" s="3"/>
      <c r="CD35" s="3"/>
      <c r="CE35" s="44">
        <f t="array" ref="CE35">MIN(100, MAX(0,
  IF(ISNUMBER(BV35)*AND(BV35&gt;0), 10, 0)
  + _xlfn.IFS(BY35="Independently Verified",25, BY35="Yes",15, TRUE,0)
  + IFERROR(_xlfn.XLOOKUP(BZ35,'Lookup Tables'!$A$21:$A$24,'Lookup Tables'!$B$21:$B$24,0),0)
  + IFERROR(_xlfn.XLOOKUP(CA35,'Lookup Tables'!$D$21:$D$24,'Lookup Tables'!$E$21:$E$24,0),0)
  + _xlfn.IFS(ISNUMBER(CB35)*AND(CB35&gt;=11),15, ISNUMBER(CB35)*AND(CB35&gt;=6),10, ISNUMBER(CB35)*AND(CB35&gt;=1),5, TRUE,0)
  + IFERROR(_xlfn.XLOOKUP(CC35,'Lookup Tables'!$G$21:$G$25,'Lookup Tables'!$H$21:$H$25,0),0)
  - IF(ISNUMBER(BW35)*AND(ISNUMBER(BV35))*AND(BW35&gt;BV35), 20, 0)
  - IF(AND(BY35="Yes", ISNUMBER(BW35), BW35&gt;60), 10, 0)
))</f>
        <v>0</v>
      </c>
      <c r="CF35" s="3"/>
      <c r="CG35" s="3"/>
      <c r="CH35" s="3"/>
      <c r="CI35" s="3"/>
      <c r="CJ35" s="3"/>
      <c r="CK35" s="3"/>
      <c r="CL35" s="3"/>
      <c r="CM35" s="3"/>
      <c r="CN35" s="3"/>
      <c r="CO35" s="3"/>
      <c r="CP35" s="3"/>
      <c r="CQ35" s="3"/>
      <c r="CR35" s="3">
        <f t="shared" si="38"/>
        <v>0</v>
      </c>
      <c r="CS35" s="3">
        <f t="shared" si="39"/>
        <v>0</v>
      </c>
      <c r="CT35" s="3">
        <f t="shared" si="40"/>
        <v>0</v>
      </c>
      <c r="CU35" s="3">
        <f>MIN(100,
  CR35*15
  + CS35*6
  + CT35*3
  + IFERROR(_xlfn.XLOOKUP(CW35,'Lookup Tables'!$M$21:$M$25,'Lookup Tables'!$N$21:$N$25,0),0)
)</f>
        <v>0</v>
      </c>
      <c r="CV35" s="3" t="str">
        <f t="shared" si="41"/>
        <v>No failures</v>
      </c>
      <c r="CW35" s="3"/>
      <c r="CX35" s="3"/>
      <c r="CY35" s="3"/>
      <c r="CZ35" s="3"/>
      <c r="DA35" s="3" t="str">
        <f t="shared" si="42"/>
        <v>Yes</v>
      </c>
      <c r="DB35" s="3" t="str">
        <f t="shared" si="43"/>
        <v>No</v>
      </c>
      <c r="DC35" s="3"/>
      <c r="DD35" s="3"/>
      <c r="DE35" s="3"/>
      <c r="DF35" s="3"/>
      <c r="DG35" s="3"/>
      <c r="DH35" s="3"/>
      <c r="DI35" s="3"/>
      <c r="DJ35" s="3"/>
      <c r="DK35" s="3"/>
      <c r="DL35" s="3" t="str">
        <f t="shared" si="44"/>
        <v>Clear</v>
      </c>
      <c r="DM35" s="3" t="str">
        <f t="shared" si="45"/>
        <v>Yes</v>
      </c>
      <c r="DN35" s="3">
        <f t="array" ref="DN35">MIN(100,
  IF(ISNUMBER(V35), _xlfn.IFS(V35&gt;=3,25, V35=2,15, V35=1,5, TRUE,0), 0)
  + IFERROR(_xlfn.IFS(VALUE(LEFT(DF35,1))=5,25, VALUE(LEFT(DF35,1))=4,20, VALUE(LEFT(DF35,1))=3,15, VALUE(LEFT(DF35,1))=2,8, TRUE,0), 15)
  + IFERROR(_xlfn.IFS(VALUE(LEFT(DG35,1))=5,25, VALUE(LEFT(DG35,1))=4,20, VALUE(LEFT(DG35,1))=3,15, VALUE(LEFT(DG35,1))=2,8, TRUE,0), 15)
  + _xlfn.IFS(DH35="Fully Verified",25, DH35="Partially Verified",12, TRUE,0)
)</f>
        <v>30</v>
      </c>
      <c r="DO35" s="3" t="str">
        <f t="array" ref="DO35">_xlfn.IFS(
  ISBLANK(AR35), "Insufficient Evidence",
  AND(AR35&gt;=65, AJ35="Approved"), "Strong",
  AR35&gt;=65, "Adequate",
  AR35&gt;=40, "Adequate",
  AR35&gt;=20, "Weak",
  TRUE, "Insufficient Evidence"
)</f>
        <v>Insufficient Evidence</v>
      </c>
      <c r="DP35" s="3" t="str">
        <f t="array" ref="DP35">_xlfn.IFS(
  ISBLANK(BS35), "Insufficient Evidence",
  BS35&gt;=65, "Strong",
  BS35&gt;=40, "Adequate",
  BS35&gt;=20, "Weak",
  TRUE, "Insufficient Evidence"
)</f>
        <v>Insufficient Evidence</v>
      </c>
      <c r="DQ35" s="3" t="str">
        <f t="array" ref="DQ35">_xlfn.IFS(
  ISBLANK(BE35), "Insufficient Evidence",
  OR(AW35="Confirmed Violation", AX35="Confirmed Breach"), "Severe — Hard Trigger",
  BE35&gt;=65, "Strong",
  BE35&gt;=40, "Adequate",
  BE35&gt;=20, "Weak",
  TRUE, "Insufficient Evidence"
)</f>
        <v>Insufficient Evidence</v>
      </c>
      <c r="DR35" s="3" t="str">
        <f t="array" ref="DR35">_xlfn.IFS(
  ISBLANK(CU35), "Insufficient Evidence",
  CU35&lt;=20, "Low Risk",
  CU35&lt;=50, "Moderate Risk",
  CU35&lt;=75, "High Risk",
  TRUE, "Very High Risk"
)</f>
        <v>Low Risk</v>
      </c>
      <c r="DS35" s="3" t="str">
        <f t="array" ref="DS35">_xlfn.IFS(
  ISBLANK(CE35), "Insufficient Evidence",
  AND(ISNUMBER(BW35),ISNUMBER(BV35),BW35&gt;BV35), "Overclaiming Risk",
  CE35&gt;=65, "Strong",
  CE35&gt;=40, "Adequate",
  TRUE, "Weak"
)</f>
        <v>Weak</v>
      </c>
      <c r="DT35" s="3">
        <f t="shared" si="46"/>
        <v>11.7</v>
      </c>
      <c r="DU35" s="3" t="str">
        <f t="array" ref="DU35">_xlfn.IFS(
  DV35="Upgraded to Clear", "Clear",
  DV35="Downgraded to Watchlist", "Watchlist",
  DV35="Downgraded to Exclusion", "Exclusion Risk",
  DB35="Yes — Automatic", "Exclusion Risk",
  OR(AW35="Confirmed Violation", AX35="Confirmed Breach"), "Exclusion Risk",
  OR(V35=0, ISBLANK(V35), DN35&lt;20), "Insufficient Evidence",
  AND(DT35&gt;=65, DA35="No", DB35="No"), "Clear",
  OR(DT35&gt;=40, DA35="Yes"), "Watchlist",
  TRUE, "Exclusion Risk"
)</f>
        <v>Insufficient Evidence</v>
      </c>
      <c r="DV35" s="3"/>
      <c r="DW35" s="3" t="str">
        <f t="array" ref="DW35">_xlfn.IFS(
  DU35="Exclusion Risk", "Exclude — Hard Trigger",
  DU35="Insufficient Evidence", "Watchlist — Further Evidence Needed",
  DU35="Watchlist", "Watchlist — Further Evidence Needed",
  AND(DU35="Clear", DT35&gt;=80), "Include — No Conditions",
  DU35="Clear", "Include — Monitor",
  TRUE, "Watchlist — Further Evidence Needed"
)</f>
        <v>Watchlist — Further Evidence Needed</v>
      </c>
      <c r="DX35" s="3"/>
      <c r="DY35" s="3"/>
      <c r="DZ35" s="3"/>
      <c r="EA35" s="3"/>
      <c r="EB35" s="3" t="str">
        <f t="shared" si="47"/>
        <v>MISSING — No sources reviewed</v>
      </c>
      <c r="EC35" s="3" t="str">
        <f t="shared" si="48"/>
        <v/>
      </c>
    </row>
    <row r="36" spans="1:133" ht="18" customHeight="1" x14ac:dyDescent="0.15">
      <c r="A36" s="5" t="s">
        <v>416</v>
      </c>
      <c r="B36" s="5" t="s">
        <v>417</v>
      </c>
      <c r="C36" s="5" t="str">
        <f>IF(ISBLANK('Universe Tracker'!D32),"",'Universe Tracker'!D32)</f>
        <v>IT0004827447</v>
      </c>
      <c r="D36" s="5"/>
      <c r="E36" s="5"/>
      <c r="F36" s="5" t="str">
        <f>IF(ISBLANK('Universe Tracker'!F32),"",'Universe Tracker'!F32)</f>
        <v>Financials</v>
      </c>
      <c r="G36" s="5" t="str">
        <f>IF(ISBLANK('Universe Tracker'!G32),"",'Universe Tracker'!G32)</f>
        <v>Insurance</v>
      </c>
      <c r="H36" s="5"/>
      <c r="I36" s="5"/>
      <c r="J36" s="5" t="str">
        <f t="shared" si="36"/>
        <v>SOAN_IT0004827447</v>
      </c>
      <c r="K36" s="5"/>
      <c r="L36" s="5"/>
      <c r="M36" s="5"/>
      <c r="N36" s="5"/>
      <c r="O36" s="5"/>
      <c r="P36" s="5"/>
      <c r="Q36" s="5"/>
      <c r="R36" s="5"/>
      <c r="S36" s="5"/>
      <c r="T36" s="5"/>
      <c r="U36" s="5"/>
      <c r="V36" s="5"/>
      <c r="W36" s="5"/>
      <c r="X36" s="5"/>
      <c r="Y36" s="5" t="str">
        <f t="shared" si="37"/>
        <v>Insufficient</v>
      </c>
      <c r="Z36" s="5"/>
      <c r="AA36" s="5"/>
      <c r="AB36" s="5"/>
      <c r="AC36" s="5"/>
      <c r="AD36" s="5"/>
      <c r="AE36" s="5"/>
      <c r="AF36" s="5"/>
      <c r="AG36" s="5"/>
      <c r="AH36" s="5"/>
      <c r="AI36" s="5"/>
      <c r="AJ36" s="5"/>
      <c r="AK36" s="5"/>
      <c r="AL36" s="5"/>
      <c r="AM36" s="5"/>
      <c r="AN36" s="5"/>
      <c r="AO36" s="5"/>
      <c r="AP36" s="5"/>
      <c r="AQ36" s="5"/>
      <c r="AR36" s="40">
        <f t="array" ref="AR36">MIN(100, MAX(0,
  IFERROR(_xlfn.XLOOKUP(AJ36,'Lookup Tables'!$A$2:$A$7,'Lookup Tables'!$B$2:$B$7,0),0)
  + IF(Z36="Yes", IF(IFERROR(_xlfn.XLOOKUP(AJ36,'Lookup Tables'!$A$2:$A$7,'Lookup Tables'!$B$2:$B$7,0),0)&lt;20, 5, 0), 0)
  + _xlfn.IFS(AB36="Yes", IF(ISNUMBER(AC36)*AND(AC36&lt;=2030),15,10), AB36="Long-term Only", 5, AB36="No", 0, TRUE, 0)
  + _xlfn.IFS(AF36="Full",10, AF36="Partial",5, AF36="Scope 2 Only",3, TRUE,0)
  + _xlfn.IFS(AG36="Yes", IF(ISNUMBER(AH36)*AND(AH36&gt;=5),10,6), AG36="Partial",4, TRUE,0)
  + _xlfn.IFS(AI36="Yes",5, AI36="Partial (material categories only)",3, TRUE,0)
  + _xlfn.IFS(AL36="Yes — Detailed",10, AL36="Yes — High Level",5, TRUE,0)
  + _xlfn.IFS(AM36="Yes — Quantified",15, AM36="Yes — Directional Only",7, TRUE,0)
  + _xlfn.IFS(AP36="Formal",5, AP36="Referenced",2, TRUE,0)
  + _xlfn.IFS(AQ36="No Issues Found",5, AQ36="Concern Identified",-5, AQ36="Severe Contradiction",-15, TRUE,0)
  + _xlfn.IFS(BC36="Reasonable Assurance",5, BC36="Limited Assurance",3, TRUE,0)
  - IF(AND(Z36="Yes", AI36="No"), 10, 0)
  - IF(AND(Z36="Yes", AM36="No"), 10, 0)
))</f>
        <v>0</v>
      </c>
      <c r="AS36" s="5"/>
      <c r="AT36" s="5"/>
      <c r="AU36" s="5"/>
      <c r="AV36" s="5"/>
      <c r="AW36" s="5"/>
      <c r="AX36" s="5"/>
      <c r="AY36" s="5"/>
      <c r="AZ36" s="5"/>
      <c r="BA36" s="5"/>
      <c r="BB36" s="5"/>
      <c r="BC36" s="5"/>
      <c r="BD36" s="5"/>
      <c r="BE36" s="39">
        <f t="array" ref="BE36">MIN(100, MAX(0,
  IFERROR(_xlfn.XLOOKUP(AT36,'Lookup Tables'!$D$2:$D$6,'Lookup Tables'!$E$2:$E$6,0),0)
  + IFERROR(_xlfn.XLOOKUP(AV36,'Lookup Tables'!$G$2:$G$5,'Lookup Tables'!$H$2:$H$5,0),0)
  + IFERROR(_xlfn.XLOOKUP(AW36,'Lookup Tables'!$J$2:$J$5,'Lookup Tables'!$K$2:$K$5,0),0)
  + _xlfn.IFS(AX36="No Issues",10, AX36="Complaint Filed",3, AX36="Confirmed Breach",-15, TRUE,0)
  + IFERROR(_xlfn.XLOOKUP(AY36,'Lookup Tables'!$M$2:$M$6,'Lookup Tables'!$N$2:$N$6,0),0)
  + IFERROR(_xlfn.XLOOKUP(AZ36,'Lookup Tables'!$P$2:$P$6,'Lookup Tables'!$Q$2:$Q$6,0),0)
  + _xlfn.IFS(BA36="Formal Board Committee",5, BA36="Board Oversight Mentioned",2, TRUE,0)
  + _xlfn.IFS(BB36="Yes — Quantified Targets",5, BB36="Yes — Discretionary Only",2, TRUE,0)
  + _xlfn.IFS(BC36="Reasonable Assurance",5, BC36="Limited Assurance",3, BC36="Management Review Only",1, TRUE,0)
))</f>
        <v>0</v>
      </c>
      <c r="BF36" s="5"/>
      <c r="BG36" s="5"/>
      <c r="BH36" s="5"/>
      <c r="BI36" s="5"/>
      <c r="BJ36" s="5"/>
      <c r="BK36" s="5"/>
      <c r="BL36" s="5"/>
      <c r="BM36" s="5"/>
      <c r="BN36" s="5"/>
      <c r="BO36" s="5"/>
      <c r="BP36" s="5"/>
      <c r="BQ36" s="5"/>
      <c r="BR36" s="5"/>
      <c r="BS36" s="41">
        <f t="array" ref="BS36">MIN(100, MAX(0,
  IFERROR(_xlfn.XLOOKUP(BG36,'Lookup Tables'!$A$11:$A$16,'Lookup Tables'!$B$11:$B$16,0),0)
  + IFERROR(_xlfn.XLOOKUP(BR36,'Lookup Tables'!$M$11:$M$14,'Lookup Tables'!$N$11:$N$14,0),0)
  + IFERROR(_xlfn.XLOOKUP(BQ36,'Lookup Tables'!$J$11:$J$15,'Lookup Tables'!$K$11:$K$15,0),0)
  + IFERROR(_xlfn.XLOOKUP(BH36,'Lookup Tables'!$D$11:$D$15,'Lookup Tables'!$E$11:$E$15,0),0)
  + IFERROR(_xlfn.XLOOKUP(BJ36,'Lookup Tables'!$G$11:$G$16,'Lookup Tables'!$H$11:$H$16,0),0)
  + IFERROR(_xlfn.XLOOKUP(BN36,'Lookup Tables'!$P$11:$P$15,'Lookup Tables'!$Q$11:$Q$15,0),0)
  + _xlfn.IFS(BM36="No Evidence",10, BM36="Unknown",3, BM36="Likely",0, BM36="Confirmed",-10, TRUE,3)
  + IFERROR(_xlfn.XLOOKUP(BP36,'Lookup Tables'!$J$21:$J$24,'Lookup Tables'!$K$21:$K$24,0),0)
))</f>
        <v>3</v>
      </c>
      <c r="BT36" s="5"/>
      <c r="BU36" s="5"/>
      <c r="BV36" s="5"/>
      <c r="BW36" s="5"/>
      <c r="BX36" s="5"/>
      <c r="BY36" s="5"/>
      <c r="BZ36" s="5"/>
      <c r="CA36" s="5"/>
      <c r="CB36" s="5"/>
      <c r="CC36" s="5"/>
      <c r="CD36" s="5"/>
      <c r="CE36" s="43">
        <f t="array" ref="CE36">MIN(100, MAX(0,
  IF(ISNUMBER(BV36)*AND(BV36&gt;0), 10, 0)
  + _xlfn.IFS(BY36="Independently Verified",25, BY36="Yes",15, TRUE,0)
  + IFERROR(_xlfn.XLOOKUP(BZ36,'Lookup Tables'!$A$21:$A$24,'Lookup Tables'!$B$21:$B$24,0),0)
  + IFERROR(_xlfn.XLOOKUP(CA36,'Lookup Tables'!$D$21:$D$24,'Lookup Tables'!$E$21:$E$24,0),0)
  + _xlfn.IFS(ISNUMBER(CB36)*AND(CB36&gt;=11),15, ISNUMBER(CB36)*AND(CB36&gt;=6),10, ISNUMBER(CB36)*AND(CB36&gt;=1),5, TRUE,0)
  + IFERROR(_xlfn.XLOOKUP(CC36,'Lookup Tables'!$G$21:$G$25,'Lookup Tables'!$H$21:$H$25,0),0)
  - IF(ISNUMBER(BW36)*AND(ISNUMBER(BV36))*AND(BW36&gt;BV36), 20, 0)
  - IF(AND(BY36="Yes", ISNUMBER(BW36), BW36&gt;60), 10, 0)
))</f>
        <v>0</v>
      </c>
      <c r="CF36" s="5"/>
      <c r="CG36" s="5"/>
      <c r="CH36" s="5"/>
      <c r="CI36" s="5"/>
      <c r="CJ36" s="5"/>
      <c r="CK36" s="5"/>
      <c r="CL36" s="5"/>
      <c r="CM36" s="5"/>
      <c r="CN36" s="5"/>
      <c r="CO36" s="5"/>
      <c r="CP36" s="5"/>
      <c r="CQ36" s="5"/>
      <c r="CR36" s="5">
        <f t="shared" si="38"/>
        <v>0</v>
      </c>
      <c r="CS36" s="5">
        <f t="shared" si="39"/>
        <v>0</v>
      </c>
      <c r="CT36" s="5">
        <f t="shared" si="40"/>
        <v>0</v>
      </c>
      <c r="CU36" s="5">
        <f>MIN(100,
  CR36*15
  + CS36*6
  + CT36*3
  + IFERROR(_xlfn.XLOOKUP(CW36,'Lookup Tables'!$M$21:$M$25,'Lookup Tables'!$N$21:$N$25,0),0)
)</f>
        <v>0</v>
      </c>
      <c r="CV36" s="5" t="str">
        <f t="shared" si="41"/>
        <v>No failures</v>
      </c>
      <c r="CW36" s="5"/>
      <c r="CX36" s="5"/>
      <c r="CY36" s="5"/>
      <c r="CZ36" s="5"/>
      <c r="DA36" s="5" t="str">
        <f t="shared" si="42"/>
        <v>Yes</v>
      </c>
      <c r="DB36" s="5" t="str">
        <f t="shared" si="43"/>
        <v>No</v>
      </c>
      <c r="DC36" s="5"/>
      <c r="DD36" s="5"/>
      <c r="DE36" s="5"/>
      <c r="DF36" s="5"/>
      <c r="DG36" s="5"/>
      <c r="DH36" s="5"/>
      <c r="DI36" s="5"/>
      <c r="DJ36" s="5"/>
      <c r="DK36" s="5"/>
      <c r="DL36" s="5" t="str">
        <f t="shared" si="44"/>
        <v>Clear</v>
      </c>
      <c r="DM36" s="5" t="str">
        <f t="shared" si="45"/>
        <v>Yes</v>
      </c>
      <c r="DN36" s="5">
        <f t="array" ref="DN36">MIN(100,
  IF(ISNUMBER(V36), _xlfn.IFS(V36&gt;=3,25, V36=2,15, V36=1,5, TRUE,0), 0)
  + IFERROR(_xlfn.IFS(VALUE(LEFT(DF36,1))=5,25, VALUE(LEFT(DF36,1))=4,20, VALUE(LEFT(DF36,1))=3,15, VALUE(LEFT(DF36,1))=2,8, TRUE,0), 15)
  + IFERROR(_xlfn.IFS(VALUE(LEFT(DG36,1))=5,25, VALUE(LEFT(DG36,1))=4,20, VALUE(LEFT(DG36,1))=3,15, VALUE(LEFT(DG36,1))=2,8, TRUE,0), 15)
  + _xlfn.IFS(DH36="Fully Verified",25, DH36="Partially Verified",12, TRUE,0)
)</f>
        <v>30</v>
      </c>
      <c r="DO36" s="5" t="str">
        <f t="array" ref="DO36">_xlfn.IFS(
  ISBLANK(AR36), "Insufficient Evidence",
  AND(AR36&gt;=65, AJ36="Approved"), "Strong",
  AR36&gt;=65, "Adequate",
  AR36&gt;=40, "Adequate",
  AR36&gt;=20, "Weak",
  TRUE, "Insufficient Evidence"
)</f>
        <v>Insufficient Evidence</v>
      </c>
      <c r="DP36" s="5" t="str">
        <f t="array" ref="DP36">_xlfn.IFS(
  ISBLANK(BS36), "Insufficient Evidence",
  BS36&gt;=65, "Strong",
  BS36&gt;=40, "Adequate",
  BS36&gt;=20, "Weak",
  TRUE, "Insufficient Evidence"
)</f>
        <v>Insufficient Evidence</v>
      </c>
      <c r="DQ36" s="5" t="str">
        <f t="array" ref="DQ36">_xlfn.IFS(
  ISBLANK(BE36), "Insufficient Evidence",
  OR(AW36="Confirmed Violation", AX36="Confirmed Breach"), "Severe — Hard Trigger",
  BE36&gt;=65, "Strong",
  BE36&gt;=40, "Adequate",
  BE36&gt;=20, "Weak",
  TRUE, "Insufficient Evidence"
)</f>
        <v>Insufficient Evidence</v>
      </c>
      <c r="DR36" s="5" t="str">
        <f t="array" ref="DR36">_xlfn.IFS(
  ISBLANK(CU36), "Insufficient Evidence",
  CU36&lt;=20, "Low Risk",
  CU36&lt;=50, "Moderate Risk",
  CU36&lt;=75, "High Risk",
  TRUE, "Very High Risk"
)</f>
        <v>Low Risk</v>
      </c>
      <c r="DS36" s="5" t="str">
        <f t="array" ref="DS36">_xlfn.IFS(
  ISBLANK(CE36), "Insufficient Evidence",
  AND(ISNUMBER(BW36),ISNUMBER(BV36),BW36&gt;BV36), "Overclaiming Risk",
  CE36&gt;=65, "Strong",
  CE36&gt;=40, "Adequate",
  TRUE, "Weak"
)</f>
        <v>Weak</v>
      </c>
      <c r="DT36" s="5">
        <f t="shared" si="46"/>
        <v>11.7</v>
      </c>
      <c r="DU36" s="5" t="str">
        <f t="array" ref="DU36">_xlfn.IFS(
  DV36="Upgraded to Clear", "Clear",
  DV36="Downgraded to Watchlist", "Watchlist",
  DV36="Downgraded to Exclusion", "Exclusion Risk",
  DB36="Yes — Automatic", "Exclusion Risk",
  OR(AW36="Confirmed Violation", AX36="Confirmed Breach"), "Exclusion Risk",
  OR(V36=0, ISBLANK(V36), DN36&lt;20), "Insufficient Evidence",
  AND(DT36&gt;=65, DA36="No", DB36="No"), "Clear",
  OR(DT36&gt;=40, DA36="Yes"), "Watchlist",
  TRUE, "Exclusion Risk"
)</f>
        <v>Insufficient Evidence</v>
      </c>
      <c r="DV36" s="5"/>
      <c r="DW36" s="5" t="str">
        <f t="array" ref="DW36">_xlfn.IFS(
  DU36="Exclusion Risk", "Exclude — Hard Trigger",
  DU36="Insufficient Evidence", "Watchlist — Further Evidence Needed",
  DU36="Watchlist", "Watchlist — Further Evidence Needed",
  AND(DU36="Clear", DT36&gt;=80), "Include — No Conditions",
  DU36="Clear", "Include — Monitor",
  TRUE, "Watchlist — Further Evidence Needed"
)</f>
        <v>Watchlist — Further Evidence Needed</v>
      </c>
      <c r="DX36" s="5"/>
      <c r="DY36" s="5"/>
      <c r="DZ36" s="5"/>
      <c r="EA36" s="5"/>
      <c r="EB36" s="5" t="str">
        <f t="shared" si="47"/>
        <v>MISSING — No sources reviewed</v>
      </c>
      <c r="EC36" s="5" t="str">
        <f t="shared" si="48"/>
        <v/>
      </c>
    </row>
    <row r="37" spans="1:133" ht="18" customHeight="1" x14ac:dyDescent="0.15">
      <c r="A37" s="3" t="s">
        <v>420</v>
      </c>
      <c r="B37" s="3" t="s">
        <v>421</v>
      </c>
      <c r="C37" s="3" t="str">
        <f>IF(ISBLANK('Universe Tracker'!D33),"",'Universe Tracker'!D33)</f>
        <v>ES0173516115</v>
      </c>
      <c r="D37" s="3"/>
      <c r="E37" s="3"/>
      <c r="F37" s="3" t="str">
        <f>IF(ISBLANK('Universe Tracker'!F33),"",'Universe Tracker'!F33)</f>
        <v>Energy</v>
      </c>
      <c r="G37" s="3" t="str">
        <f>IF(ISBLANK('Universe Tracker'!G33),"",'Universe Tracker'!G33)</f>
        <v>Oil &amp; Gas</v>
      </c>
      <c r="H37" s="3"/>
      <c r="I37" s="3"/>
      <c r="J37" s="3" t="str">
        <f t="shared" si="36"/>
        <v>REP_ES0173516115</v>
      </c>
      <c r="K37" s="3"/>
      <c r="L37" s="3"/>
      <c r="M37" s="3"/>
      <c r="N37" s="3"/>
      <c r="O37" s="3"/>
      <c r="P37" s="3"/>
      <c r="Q37" s="3"/>
      <c r="R37" s="3"/>
      <c r="S37" s="3"/>
      <c r="T37" s="3"/>
      <c r="U37" s="3"/>
      <c r="V37" s="3"/>
      <c r="W37" s="3"/>
      <c r="X37" s="3"/>
      <c r="Y37" s="3" t="str">
        <f t="shared" si="37"/>
        <v>Insufficient</v>
      </c>
      <c r="Z37" s="3"/>
      <c r="AA37" s="3"/>
      <c r="AB37" s="3"/>
      <c r="AC37" s="3"/>
      <c r="AD37" s="3"/>
      <c r="AE37" s="3"/>
      <c r="AF37" s="3"/>
      <c r="AG37" s="3"/>
      <c r="AH37" s="3"/>
      <c r="AI37" s="3"/>
      <c r="AJ37" s="3"/>
      <c r="AK37" s="3"/>
      <c r="AL37" s="3"/>
      <c r="AM37" s="3"/>
      <c r="AN37" s="3"/>
      <c r="AO37" s="3"/>
      <c r="AP37" s="3"/>
      <c r="AQ37" s="3"/>
      <c r="AR37" s="40">
        <f t="array" ref="AR37">MIN(100, MAX(0,
  IFERROR(_xlfn.XLOOKUP(AJ37,'Lookup Tables'!$A$2:$A$7,'Lookup Tables'!$B$2:$B$7,0),0)
  + IF(Z37="Yes", IF(IFERROR(_xlfn.XLOOKUP(AJ37,'Lookup Tables'!$A$2:$A$7,'Lookup Tables'!$B$2:$B$7,0),0)&lt;20, 5, 0), 0)
  + _xlfn.IFS(AB37="Yes", IF(ISNUMBER(AC37)*AND(AC37&lt;=2030),15,10), AB37="Long-term Only", 5, AB37="No", 0, TRUE, 0)
  + _xlfn.IFS(AF37="Full",10, AF37="Partial",5, AF37="Scope 2 Only",3, TRUE,0)
  + _xlfn.IFS(AG37="Yes", IF(ISNUMBER(AH37)*AND(AH37&gt;=5),10,6), AG37="Partial",4, TRUE,0)
  + _xlfn.IFS(AI37="Yes",5, AI37="Partial (material categories only)",3, TRUE,0)
  + _xlfn.IFS(AL37="Yes — Detailed",10, AL37="Yes — High Level",5, TRUE,0)
  + _xlfn.IFS(AM37="Yes — Quantified",15, AM37="Yes — Directional Only",7, TRUE,0)
  + _xlfn.IFS(AP37="Formal",5, AP37="Referenced",2, TRUE,0)
  + _xlfn.IFS(AQ37="No Issues Found",5, AQ37="Concern Identified",-5, AQ37="Severe Contradiction",-15, TRUE,0)
  + _xlfn.IFS(BC37="Reasonable Assurance",5, BC37="Limited Assurance",3, TRUE,0)
  - IF(AND(Z37="Yes", AI37="No"), 10, 0)
  - IF(AND(Z37="Yes", AM37="No"), 10, 0)
))</f>
        <v>0</v>
      </c>
      <c r="AS37" s="3"/>
      <c r="AT37" s="3"/>
      <c r="AU37" s="3"/>
      <c r="AV37" s="3"/>
      <c r="AW37" s="3"/>
      <c r="AX37" s="3"/>
      <c r="AY37" s="3"/>
      <c r="AZ37" s="3"/>
      <c r="BA37" s="3"/>
      <c r="BB37" s="3"/>
      <c r="BC37" s="3"/>
      <c r="BD37" s="3"/>
      <c r="BE37" s="40">
        <f t="array" ref="BE37">MIN(100, MAX(0,
  IFERROR(_xlfn.XLOOKUP(AT37,'Lookup Tables'!$D$2:$D$6,'Lookup Tables'!$E$2:$E$6,0),0)
  + IFERROR(_xlfn.XLOOKUP(AV37,'Lookup Tables'!$G$2:$G$5,'Lookup Tables'!$H$2:$H$5,0),0)
  + IFERROR(_xlfn.XLOOKUP(AW37,'Lookup Tables'!$J$2:$J$5,'Lookup Tables'!$K$2:$K$5,0),0)
  + _xlfn.IFS(AX37="No Issues",10, AX37="Complaint Filed",3, AX37="Confirmed Breach",-15, TRUE,0)
  + IFERROR(_xlfn.XLOOKUP(AY37,'Lookup Tables'!$M$2:$M$6,'Lookup Tables'!$N$2:$N$6,0),0)
  + IFERROR(_xlfn.XLOOKUP(AZ37,'Lookup Tables'!$P$2:$P$6,'Lookup Tables'!$Q$2:$Q$6,0),0)
  + _xlfn.IFS(BA37="Formal Board Committee",5, BA37="Board Oversight Mentioned",2, TRUE,0)
  + _xlfn.IFS(BB37="Yes — Quantified Targets",5, BB37="Yes — Discretionary Only",2, TRUE,0)
  + _xlfn.IFS(BC37="Reasonable Assurance",5, BC37="Limited Assurance",3, BC37="Management Review Only",1, TRUE,0)
))</f>
        <v>0</v>
      </c>
      <c r="BF37" s="3"/>
      <c r="BG37" s="3"/>
      <c r="BH37" s="3"/>
      <c r="BI37" s="3"/>
      <c r="BJ37" s="3"/>
      <c r="BK37" s="3"/>
      <c r="BL37" s="3"/>
      <c r="BM37" s="3"/>
      <c r="BN37" s="3"/>
      <c r="BO37" s="3"/>
      <c r="BP37" s="3"/>
      <c r="BQ37" s="3"/>
      <c r="BR37" s="3"/>
      <c r="BS37" s="42">
        <f t="array" ref="BS37">MIN(100, MAX(0,
  IFERROR(_xlfn.XLOOKUP(BG37,'Lookup Tables'!$A$11:$A$16,'Lookup Tables'!$B$11:$B$16,0),0)
  + IFERROR(_xlfn.XLOOKUP(BR37,'Lookup Tables'!$M$11:$M$14,'Lookup Tables'!$N$11:$N$14,0),0)
  + IFERROR(_xlfn.XLOOKUP(BQ37,'Lookup Tables'!$J$11:$J$15,'Lookup Tables'!$K$11:$K$15,0),0)
  + IFERROR(_xlfn.XLOOKUP(BH37,'Lookup Tables'!$D$11:$D$15,'Lookup Tables'!$E$11:$E$15,0),0)
  + IFERROR(_xlfn.XLOOKUP(BJ37,'Lookup Tables'!$G$11:$G$16,'Lookup Tables'!$H$11:$H$16,0),0)
  + IFERROR(_xlfn.XLOOKUP(BN37,'Lookup Tables'!$P$11:$P$15,'Lookup Tables'!$Q$11:$Q$15,0),0)
  + _xlfn.IFS(BM37="No Evidence",10, BM37="Unknown",3, BM37="Likely",0, BM37="Confirmed",-10, TRUE,3)
  + IFERROR(_xlfn.XLOOKUP(BP37,'Lookup Tables'!$J$21:$J$24,'Lookup Tables'!$K$21:$K$24,0),0)
))</f>
        <v>3</v>
      </c>
      <c r="BT37" s="3"/>
      <c r="BU37" s="3"/>
      <c r="BV37" s="3"/>
      <c r="BW37" s="3"/>
      <c r="BX37" s="3"/>
      <c r="BY37" s="3"/>
      <c r="BZ37" s="3"/>
      <c r="CA37" s="3"/>
      <c r="CB37" s="3"/>
      <c r="CC37" s="3"/>
      <c r="CD37" s="3"/>
      <c r="CE37" s="44">
        <f t="array" ref="CE37">MIN(100, MAX(0,
  IF(ISNUMBER(BV37)*AND(BV37&gt;0), 10, 0)
  + _xlfn.IFS(BY37="Independently Verified",25, BY37="Yes",15, TRUE,0)
  + IFERROR(_xlfn.XLOOKUP(BZ37,'Lookup Tables'!$A$21:$A$24,'Lookup Tables'!$B$21:$B$24,0),0)
  + IFERROR(_xlfn.XLOOKUP(CA37,'Lookup Tables'!$D$21:$D$24,'Lookup Tables'!$E$21:$E$24,0),0)
  + _xlfn.IFS(ISNUMBER(CB37)*AND(CB37&gt;=11),15, ISNUMBER(CB37)*AND(CB37&gt;=6),10, ISNUMBER(CB37)*AND(CB37&gt;=1),5, TRUE,0)
  + IFERROR(_xlfn.XLOOKUP(CC37,'Lookup Tables'!$G$21:$G$25,'Lookup Tables'!$H$21:$H$25,0),0)
  - IF(ISNUMBER(BW37)*AND(ISNUMBER(BV37))*AND(BW37&gt;BV37), 20, 0)
  - IF(AND(BY37="Yes", ISNUMBER(BW37), BW37&gt;60), 10, 0)
))</f>
        <v>0</v>
      </c>
      <c r="CF37" s="3"/>
      <c r="CG37" s="3"/>
      <c r="CH37" s="3"/>
      <c r="CI37" s="3"/>
      <c r="CJ37" s="3"/>
      <c r="CK37" s="3"/>
      <c r="CL37" s="3"/>
      <c r="CM37" s="3"/>
      <c r="CN37" s="3"/>
      <c r="CO37" s="3"/>
      <c r="CP37" s="3"/>
      <c r="CQ37" s="3"/>
      <c r="CR37" s="3">
        <f t="shared" si="38"/>
        <v>0</v>
      </c>
      <c r="CS37" s="3">
        <f t="shared" si="39"/>
        <v>0</v>
      </c>
      <c r="CT37" s="3">
        <f t="shared" si="40"/>
        <v>0</v>
      </c>
      <c r="CU37" s="3">
        <f>MIN(100,
  CR37*15
  + CS37*6
  + CT37*3
  + IFERROR(_xlfn.XLOOKUP(CW37,'Lookup Tables'!$M$21:$M$25,'Lookup Tables'!$N$21:$N$25,0),0)
)</f>
        <v>0</v>
      </c>
      <c r="CV37" s="3" t="str">
        <f t="shared" si="41"/>
        <v>No failures</v>
      </c>
      <c r="CW37" s="3"/>
      <c r="CX37" s="3"/>
      <c r="CY37" s="3"/>
      <c r="CZ37" s="3"/>
      <c r="DA37" s="3" t="str">
        <f t="shared" si="42"/>
        <v>Yes</v>
      </c>
      <c r="DB37" s="3" t="str">
        <f t="shared" si="43"/>
        <v>No</v>
      </c>
      <c r="DC37" s="3"/>
      <c r="DD37" s="3"/>
      <c r="DE37" s="3"/>
      <c r="DF37" s="3"/>
      <c r="DG37" s="3"/>
      <c r="DH37" s="3"/>
      <c r="DI37" s="3"/>
      <c r="DJ37" s="3"/>
      <c r="DK37" s="3"/>
      <c r="DL37" s="3" t="str">
        <f t="shared" si="44"/>
        <v>Clear</v>
      </c>
      <c r="DM37" s="3" t="str">
        <f t="shared" si="45"/>
        <v>Yes</v>
      </c>
      <c r="DN37" s="3">
        <f t="array" ref="DN37">MIN(100,
  IF(ISNUMBER(V37), _xlfn.IFS(V37&gt;=3,25, V37=2,15, V37=1,5, TRUE,0), 0)
  + IFERROR(_xlfn.IFS(VALUE(LEFT(DF37,1))=5,25, VALUE(LEFT(DF37,1))=4,20, VALUE(LEFT(DF37,1))=3,15, VALUE(LEFT(DF37,1))=2,8, TRUE,0), 15)
  + IFERROR(_xlfn.IFS(VALUE(LEFT(DG37,1))=5,25, VALUE(LEFT(DG37,1))=4,20, VALUE(LEFT(DG37,1))=3,15, VALUE(LEFT(DG37,1))=2,8, TRUE,0), 15)
  + _xlfn.IFS(DH37="Fully Verified",25, DH37="Partially Verified",12, TRUE,0)
)</f>
        <v>30</v>
      </c>
      <c r="DO37" s="3" t="str">
        <f t="array" ref="DO37">_xlfn.IFS(
  ISBLANK(AR37), "Insufficient Evidence",
  AND(AR37&gt;=65, AJ37="Approved"), "Strong",
  AR37&gt;=65, "Adequate",
  AR37&gt;=40, "Adequate",
  AR37&gt;=20, "Weak",
  TRUE, "Insufficient Evidence"
)</f>
        <v>Insufficient Evidence</v>
      </c>
      <c r="DP37" s="3" t="str">
        <f t="array" ref="DP37">_xlfn.IFS(
  ISBLANK(BS37), "Insufficient Evidence",
  BS37&gt;=65, "Strong",
  BS37&gt;=40, "Adequate",
  BS37&gt;=20, "Weak",
  TRUE, "Insufficient Evidence"
)</f>
        <v>Insufficient Evidence</v>
      </c>
      <c r="DQ37" s="3" t="str">
        <f t="array" ref="DQ37">_xlfn.IFS(
  ISBLANK(BE37), "Insufficient Evidence",
  OR(AW37="Confirmed Violation", AX37="Confirmed Breach"), "Severe — Hard Trigger",
  BE37&gt;=65, "Strong",
  BE37&gt;=40, "Adequate",
  BE37&gt;=20, "Weak",
  TRUE, "Insufficient Evidence"
)</f>
        <v>Insufficient Evidence</v>
      </c>
      <c r="DR37" s="3" t="str">
        <f t="array" ref="DR37">_xlfn.IFS(
  ISBLANK(CU37), "Insufficient Evidence",
  CU37&lt;=20, "Low Risk",
  CU37&lt;=50, "Moderate Risk",
  CU37&lt;=75, "High Risk",
  TRUE, "Very High Risk"
)</f>
        <v>Low Risk</v>
      </c>
      <c r="DS37" s="3" t="str">
        <f t="array" ref="DS37">_xlfn.IFS(
  ISBLANK(CE37), "Insufficient Evidence",
  AND(ISNUMBER(BW37),ISNUMBER(BV37),BW37&gt;BV37), "Overclaiming Risk",
  CE37&gt;=65, "Strong",
  CE37&gt;=40, "Adequate",
  TRUE, "Weak"
)</f>
        <v>Weak</v>
      </c>
      <c r="DT37" s="3">
        <f t="shared" si="46"/>
        <v>11.7</v>
      </c>
      <c r="DU37" s="3" t="str">
        <f t="array" ref="DU37">_xlfn.IFS(
  DV37="Upgraded to Clear", "Clear",
  DV37="Downgraded to Watchlist", "Watchlist",
  DV37="Downgraded to Exclusion", "Exclusion Risk",
  DB37="Yes — Automatic", "Exclusion Risk",
  OR(AW37="Confirmed Violation", AX37="Confirmed Breach"), "Exclusion Risk",
  OR(V37=0, ISBLANK(V37), DN37&lt;20), "Insufficient Evidence",
  AND(DT37&gt;=65, DA37="No", DB37="No"), "Clear",
  OR(DT37&gt;=40, DA37="Yes"), "Watchlist",
  TRUE, "Exclusion Risk"
)</f>
        <v>Insufficient Evidence</v>
      </c>
      <c r="DV37" s="3"/>
      <c r="DW37" s="3" t="str">
        <f t="array" ref="DW37">_xlfn.IFS(
  DU37="Exclusion Risk", "Exclude — Hard Trigger",
  DU37="Insufficient Evidence", "Watchlist — Further Evidence Needed",
  DU37="Watchlist", "Watchlist — Further Evidence Needed",
  AND(DU37="Clear", DT37&gt;=80), "Include — No Conditions",
  DU37="Clear", "Include — Monitor",
  TRUE, "Watchlist — Further Evidence Needed"
)</f>
        <v>Watchlist — Further Evidence Needed</v>
      </c>
      <c r="DX37" s="3"/>
      <c r="DY37" s="3"/>
      <c r="DZ37" s="3"/>
      <c r="EA37" s="3"/>
      <c r="EB37" s="3" t="str">
        <f t="shared" si="47"/>
        <v>MISSING — No sources reviewed</v>
      </c>
      <c r="EC37" s="3" t="str">
        <f t="shared" si="48"/>
        <v/>
      </c>
    </row>
    <row r="38" spans="1:133" ht="18" customHeight="1" x14ac:dyDescent="0.15">
      <c r="A38" s="5" t="s">
        <v>424</v>
      </c>
      <c r="B38" s="5" t="s">
        <v>425</v>
      </c>
      <c r="C38" s="5" t="str">
        <f>IF(ISBLANK('Universe Tracker'!D34),"",'Universe Tracker'!D34)</f>
        <v>NL0011821202</v>
      </c>
      <c r="D38" s="5"/>
      <c r="E38" s="5"/>
      <c r="F38" s="5" t="str">
        <f>IF(ISBLANK('Universe Tracker'!F34),"",'Universe Tracker'!F34)</f>
        <v>Financials</v>
      </c>
      <c r="G38" s="5" t="str">
        <f>IF(ISBLANK('Universe Tracker'!G34),"",'Universe Tracker'!G34)</f>
        <v>Banking</v>
      </c>
      <c r="H38" s="5"/>
      <c r="I38" s="5"/>
      <c r="J38" s="5" t="str">
        <f t="shared" si="36"/>
        <v>INN1_NL0011821202</v>
      </c>
      <c r="K38" s="5"/>
      <c r="L38" s="5"/>
      <c r="M38" s="5"/>
      <c r="N38" s="5"/>
      <c r="O38" s="5"/>
      <c r="P38" s="5"/>
      <c r="Q38" s="5"/>
      <c r="R38" s="5"/>
      <c r="S38" s="5"/>
      <c r="T38" s="5"/>
      <c r="U38" s="5"/>
      <c r="V38" s="5"/>
      <c r="W38" s="5"/>
      <c r="X38" s="5"/>
      <c r="Y38" s="5" t="str">
        <f t="shared" si="37"/>
        <v>Insufficient</v>
      </c>
      <c r="Z38" s="5"/>
      <c r="AA38" s="5"/>
      <c r="AB38" s="5"/>
      <c r="AC38" s="5"/>
      <c r="AD38" s="5"/>
      <c r="AE38" s="5"/>
      <c r="AF38" s="5"/>
      <c r="AG38" s="5"/>
      <c r="AH38" s="5"/>
      <c r="AI38" s="5"/>
      <c r="AJ38" s="5"/>
      <c r="AK38" s="5"/>
      <c r="AL38" s="5"/>
      <c r="AM38" s="5"/>
      <c r="AN38" s="5"/>
      <c r="AO38" s="5"/>
      <c r="AP38" s="5"/>
      <c r="AQ38" s="5"/>
      <c r="AR38" s="40">
        <f t="array" ref="AR38">MIN(100, MAX(0,
  IFERROR(_xlfn.XLOOKUP(AJ38,'Lookup Tables'!$A$2:$A$7,'Lookup Tables'!$B$2:$B$7,0),0)
  + IF(Z38="Yes", IF(IFERROR(_xlfn.XLOOKUP(AJ38,'Lookup Tables'!$A$2:$A$7,'Lookup Tables'!$B$2:$B$7,0),0)&lt;20, 5, 0), 0)
  + _xlfn.IFS(AB38="Yes", IF(ISNUMBER(AC38)*AND(AC38&lt;=2030),15,10), AB38="Long-term Only", 5, AB38="No", 0, TRUE, 0)
  + _xlfn.IFS(AF38="Full",10, AF38="Partial",5, AF38="Scope 2 Only",3, TRUE,0)
  + _xlfn.IFS(AG38="Yes", IF(ISNUMBER(AH38)*AND(AH38&gt;=5),10,6), AG38="Partial",4, TRUE,0)
  + _xlfn.IFS(AI38="Yes",5, AI38="Partial (material categories only)",3, TRUE,0)
  + _xlfn.IFS(AL38="Yes — Detailed",10, AL38="Yes — High Level",5, TRUE,0)
  + _xlfn.IFS(AM38="Yes — Quantified",15, AM38="Yes — Directional Only",7, TRUE,0)
  + _xlfn.IFS(AP38="Formal",5, AP38="Referenced",2, TRUE,0)
  + _xlfn.IFS(AQ38="No Issues Found",5, AQ38="Concern Identified",-5, AQ38="Severe Contradiction",-15, TRUE,0)
  + _xlfn.IFS(BC38="Reasonable Assurance",5, BC38="Limited Assurance",3, TRUE,0)
  - IF(AND(Z38="Yes", AI38="No"), 10, 0)
  - IF(AND(Z38="Yes", AM38="No"), 10, 0)
))</f>
        <v>0</v>
      </c>
      <c r="AS38" s="5"/>
      <c r="AT38" s="5"/>
      <c r="AU38" s="5"/>
      <c r="AV38" s="5"/>
      <c r="AW38" s="5"/>
      <c r="AX38" s="5"/>
      <c r="AY38" s="5"/>
      <c r="AZ38" s="5"/>
      <c r="BA38" s="5"/>
      <c r="BB38" s="5"/>
      <c r="BC38" s="5"/>
      <c r="BD38" s="5"/>
      <c r="BE38" s="39">
        <f t="array" ref="BE38">MIN(100, MAX(0,
  IFERROR(_xlfn.XLOOKUP(AT38,'Lookup Tables'!$D$2:$D$6,'Lookup Tables'!$E$2:$E$6,0),0)
  + IFERROR(_xlfn.XLOOKUP(AV38,'Lookup Tables'!$G$2:$G$5,'Lookup Tables'!$H$2:$H$5,0),0)
  + IFERROR(_xlfn.XLOOKUP(AW38,'Lookup Tables'!$J$2:$J$5,'Lookup Tables'!$K$2:$K$5,0),0)
  + _xlfn.IFS(AX38="No Issues",10, AX38="Complaint Filed",3, AX38="Confirmed Breach",-15, TRUE,0)
  + IFERROR(_xlfn.XLOOKUP(AY38,'Lookup Tables'!$M$2:$M$6,'Lookup Tables'!$N$2:$N$6,0),0)
  + IFERROR(_xlfn.XLOOKUP(AZ38,'Lookup Tables'!$P$2:$P$6,'Lookup Tables'!$Q$2:$Q$6,0),0)
  + _xlfn.IFS(BA38="Formal Board Committee",5, BA38="Board Oversight Mentioned",2, TRUE,0)
  + _xlfn.IFS(BB38="Yes — Quantified Targets",5, BB38="Yes — Discretionary Only",2, TRUE,0)
  + _xlfn.IFS(BC38="Reasonable Assurance",5, BC38="Limited Assurance",3, BC38="Management Review Only",1, TRUE,0)
))</f>
        <v>0</v>
      </c>
      <c r="BF38" s="5"/>
      <c r="BG38" s="5"/>
      <c r="BH38" s="5"/>
      <c r="BI38" s="5"/>
      <c r="BJ38" s="5"/>
      <c r="BK38" s="5"/>
      <c r="BL38" s="5"/>
      <c r="BM38" s="5"/>
      <c r="BN38" s="5"/>
      <c r="BO38" s="5"/>
      <c r="BP38" s="5"/>
      <c r="BQ38" s="5"/>
      <c r="BR38" s="5"/>
      <c r="BS38" s="41">
        <f t="array" ref="BS38">MIN(100, MAX(0,
  IFERROR(_xlfn.XLOOKUP(BG38,'Lookup Tables'!$A$11:$A$16,'Lookup Tables'!$B$11:$B$16,0),0)
  + IFERROR(_xlfn.XLOOKUP(BR38,'Lookup Tables'!$M$11:$M$14,'Lookup Tables'!$N$11:$N$14,0),0)
  + IFERROR(_xlfn.XLOOKUP(BQ38,'Lookup Tables'!$J$11:$J$15,'Lookup Tables'!$K$11:$K$15,0),0)
  + IFERROR(_xlfn.XLOOKUP(BH38,'Lookup Tables'!$D$11:$D$15,'Lookup Tables'!$E$11:$E$15,0),0)
  + IFERROR(_xlfn.XLOOKUP(BJ38,'Lookup Tables'!$G$11:$G$16,'Lookup Tables'!$H$11:$H$16,0),0)
  + IFERROR(_xlfn.XLOOKUP(BN38,'Lookup Tables'!$P$11:$P$15,'Lookup Tables'!$Q$11:$Q$15,0),0)
  + _xlfn.IFS(BM38="No Evidence",10, BM38="Unknown",3, BM38="Likely",0, BM38="Confirmed",-10, TRUE,3)
  + IFERROR(_xlfn.XLOOKUP(BP38,'Lookup Tables'!$J$21:$J$24,'Lookup Tables'!$K$21:$K$24,0),0)
))</f>
        <v>3</v>
      </c>
      <c r="BT38" s="5"/>
      <c r="BU38" s="5"/>
      <c r="BV38" s="5"/>
      <c r="BW38" s="5"/>
      <c r="BX38" s="5"/>
      <c r="BY38" s="5"/>
      <c r="BZ38" s="5"/>
      <c r="CA38" s="5"/>
      <c r="CB38" s="5"/>
      <c r="CC38" s="5"/>
      <c r="CD38" s="5"/>
      <c r="CE38" s="43">
        <f t="array" ref="CE38">MIN(100, MAX(0,
  IF(ISNUMBER(BV38)*AND(BV38&gt;0), 10, 0)
  + _xlfn.IFS(BY38="Independently Verified",25, BY38="Yes",15, TRUE,0)
  + IFERROR(_xlfn.XLOOKUP(BZ38,'Lookup Tables'!$A$21:$A$24,'Lookup Tables'!$B$21:$B$24,0),0)
  + IFERROR(_xlfn.XLOOKUP(CA38,'Lookup Tables'!$D$21:$D$24,'Lookup Tables'!$E$21:$E$24,0),0)
  + _xlfn.IFS(ISNUMBER(CB38)*AND(CB38&gt;=11),15, ISNUMBER(CB38)*AND(CB38&gt;=6),10, ISNUMBER(CB38)*AND(CB38&gt;=1),5, TRUE,0)
  + IFERROR(_xlfn.XLOOKUP(CC38,'Lookup Tables'!$G$21:$G$25,'Lookup Tables'!$H$21:$H$25,0),0)
  - IF(ISNUMBER(BW38)*AND(ISNUMBER(BV38))*AND(BW38&gt;BV38), 20, 0)
  - IF(AND(BY38="Yes", ISNUMBER(BW38), BW38&gt;60), 10, 0)
))</f>
        <v>0</v>
      </c>
      <c r="CF38" s="5"/>
      <c r="CG38" s="5"/>
      <c r="CH38" s="5"/>
      <c r="CI38" s="5"/>
      <c r="CJ38" s="5"/>
      <c r="CK38" s="5"/>
      <c r="CL38" s="5"/>
      <c r="CM38" s="5"/>
      <c r="CN38" s="5"/>
      <c r="CO38" s="5"/>
      <c r="CP38" s="5"/>
      <c r="CQ38" s="5"/>
      <c r="CR38" s="5">
        <f t="shared" si="38"/>
        <v>0</v>
      </c>
      <c r="CS38" s="5">
        <f t="shared" si="39"/>
        <v>0</v>
      </c>
      <c r="CT38" s="5">
        <f t="shared" si="40"/>
        <v>0</v>
      </c>
      <c r="CU38" s="5">
        <f>MIN(100,
  CR38*15
  + CS38*6
  + CT38*3
  + IFERROR(_xlfn.XLOOKUP(CW38,'Lookup Tables'!$M$21:$M$25,'Lookup Tables'!$N$21:$N$25,0),0)
)</f>
        <v>0</v>
      </c>
      <c r="CV38" s="5" t="str">
        <f t="shared" si="41"/>
        <v>No failures</v>
      </c>
      <c r="CW38" s="5"/>
      <c r="CX38" s="5"/>
      <c r="CY38" s="5"/>
      <c r="CZ38" s="5"/>
      <c r="DA38" s="5" t="str">
        <f t="shared" si="42"/>
        <v>Yes</v>
      </c>
      <c r="DB38" s="5" t="str">
        <f t="shared" si="43"/>
        <v>No</v>
      </c>
      <c r="DC38" s="5"/>
      <c r="DD38" s="5"/>
      <c r="DE38" s="5"/>
      <c r="DF38" s="5"/>
      <c r="DG38" s="5"/>
      <c r="DH38" s="5"/>
      <c r="DI38" s="5"/>
      <c r="DJ38" s="5"/>
      <c r="DK38" s="5"/>
      <c r="DL38" s="5" t="str">
        <f t="shared" si="44"/>
        <v>Clear</v>
      </c>
      <c r="DM38" s="5" t="str">
        <f t="shared" si="45"/>
        <v>Yes</v>
      </c>
      <c r="DN38" s="5">
        <f t="array" ref="DN38">MIN(100,
  IF(ISNUMBER(V38), _xlfn.IFS(V38&gt;=3,25, V38=2,15, V38=1,5, TRUE,0), 0)
  + IFERROR(_xlfn.IFS(VALUE(LEFT(DF38,1))=5,25, VALUE(LEFT(DF38,1))=4,20, VALUE(LEFT(DF38,1))=3,15, VALUE(LEFT(DF38,1))=2,8, TRUE,0), 15)
  + IFERROR(_xlfn.IFS(VALUE(LEFT(DG38,1))=5,25, VALUE(LEFT(DG38,1))=4,20, VALUE(LEFT(DG38,1))=3,15, VALUE(LEFT(DG38,1))=2,8, TRUE,0), 15)
  + _xlfn.IFS(DH38="Fully Verified",25, DH38="Partially Verified",12, TRUE,0)
)</f>
        <v>30</v>
      </c>
      <c r="DO38" s="5" t="str">
        <f t="array" ref="DO38">_xlfn.IFS(
  ISBLANK(AR38), "Insufficient Evidence",
  AND(AR38&gt;=65, AJ38="Approved"), "Strong",
  AR38&gt;=65, "Adequate",
  AR38&gt;=40, "Adequate",
  AR38&gt;=20, "Weak",
  TRUE, "Insufficient Evidence"
)</f>
        <v>Insufficient Evidence</v>
      </c>
      <c r="DP38" s="5" t="str">
        <f t="array" ref="DP38">_xlfn.IFS(
  ISBLANK(BS38), "Insufficient Evidence",
  BS38&gt;=65, "Strong",
  BS38&gt;=40, "Adequate",
  BS38&gt;=20, "Weak",
  TRUE, "Insufficient Evidence"
)</f>
        <v>Insufficient Evidence</v>
      </c>
      <c r="DQ38" s="5" t="str">
        <f t="array" ref="DQ38">_xlfn.IFS(
  ISBLANK(BE38), "Insufficient Evidence",
  OR(AW38="Confirmed Violation", AX38="Confirmed Breach"), "Severe — Hard Trigger",
  BE38&gt;=65, "Strong",
  BE38&gt;=40, "Adequate",
  BE38&gt;=20, "Weak",
  TRUE, "Insufficient Evidence"
)</f>
        <v>Insufficient Evidence</v>
      </c>
      <c r="DR38" s="5" t="str">
        <f t="array" ref="DR38">_xlfn.IFS(
  ISBLANK(CU38), "Insufficient Evidence",
  CU38&lt;=20, "Low Risk",
  CU38&lt;=50, "Moderate Risk",
  CU38&lt;=75, "High Risk",
  TRUE, "Very High Risk"
)</f>
        <v>Low Risk</v>
      </c>
      <c r="DS38" s="5" t="str">
        <f t="array" ref="DS38">_xlfn.IFS(
  ISBLANK(CE38), "Insufficient Evidence",
  AND(ISNUMBER(BW38),ISNUMBER(BV38),BW38&gt;BV38), "Overclaiming Risk",
  CE38&gt;=65, "Strong",
  CE38&gt;=40, "Adequate",
  TRUE, "Weak"
)</f>
        <v>Weak</v>
      </c>
      <c r="DT38" s="5">
        <f t="shared" si="46"/>
        <v>11.7</v>
      </c>
      <c r="DU38" s="5" t="str">
        <f t="array" ref="DU38">_xlfn.IFS(
  DV38="Upgraded to Clear", "Clear",
  DV38="Downgraded to Watchlist", "Watchlist",
  DV38="Downgraded to Exclusion", "Exclusion Risk",
  DB38="Yes — Automatic", "Exclusion Risk",
  OR(AW38="Confirmed Violation", AX38="Confirmed Breach"), "Exclusion Risk",
  OR(V38=0, ISBLANK(V38), DN38&lt;20), "Insufficient Evidence",
  AND(DT38&gt;=65, DA38="No", DB38="No"), "Clear",
  OR(DT38&gt;=40, DA38="Yes"), "Watchlist",
  TRUE, "Exclusion Risk"
)</f>
        <v>Insufficient Evidence</v>
      </c>
      <c r="DV38" s="5"/>
      <c r="DW38" s="5" t="str">
        <f t="array" ref="DW38">_xlfn.IFS(
  DU38="Exclusion Risk", "Exclude — Hard Trigger",
  DU38="Insufficient Evidence", "Watchlist — Further Evidence Needed",
  DU38="Watchlist", "Watchlist — Further Evidence Needed",
  AND(DU38="Clear", DT38&gt;=80), "Include — No Conditions",
  DU38="Clear", "Include — Monitor",
  TRUE, "Watchlist — Further Evidence Needed"
)</f>
        <v>Watchlist — Further Evidence Needed</v>
      </c>
      <c r="DX38" s="5"/>
      <c r="DY38" s="5"/>
      <c r="DZ38" s="5"/>
      <c r="EA38" s="5"/>
      <c r="EB38" s="5" t="str">
        <f t="shared" si="47"/>
        <v>MISSING — No sources reviewed</v>
      </c>
      <c r="EC38" s="5" t="str">
        <f t="shared" si="48"/>
        <v/>
      </c>
    </row>
    <row r="39" spans="1:133" ht="18" customHeight="1" x14ac:dyDescent="0.15">
      <c r="A39" s="3" t="s">
        <v>428</v>
      </c>
      <c r="B39" s="3" t="s">
        <v>429</v>
      </c>
      <c r="C39" s="3" t="str">
        <f>IF(ISBLANK('Universe Tracker'!D35),"",'Universe Tracker'!D35)</f>
        <v>GB0001826634</v>
      </c>
      <c r="D39" s="3"/>
      <c r="E39" s="3"/>
      <c r="F39" s="3" t="str">
        <f>IF(ISBLANK('Universe Tracker'!F35),"",'Universe Tracker'!F35)</f>
        <v>Industrials</v>
      </c>
      <c r="G39" s="3" t="str">
        <f>IF(ISBLANK('Universe Tracker'!G35),"",'Universe Tracker'!G35)</f>
        <v>Industrial Products</v>
      </c>
      <c r="H39" s="3"/>
      <c r="I39" s="3"/>
      <c r="J39" s="3" t="str">
        <f t="shared" ref="J39:J70" si="49">IF(ISBLANK(B39),"",B39&amp;"_"&amp;C39)</f>
        <v>DP9_GB0001826634</v>
      </c>
      <c r="K39" s="3"/>
      <c r="L39" s="3"/>
      <c r="M39" s="3"/>
      <c r="N39" s="3"/>
      <c r="O39" s="3"/>
      <c r="P39" s="3"/>
      <c r="Q39" s="3"/>
      <c r="R39" s="3"/>
      <c r="S39" s="3"/>
      <c r="T39" s="3"/>
      <c r="U39" s="3"/>
      <c r="V39" s="3"/>
      <c r="W39" s="3"/>
      <c r="X39" s="3"/>
      <c r="Y39" s="3" t="str">
        <f t="shared" ref="Y39:Y70" si="50">IF(AND(V39&gt;=2,K39="Yes",L39="Yes"),"Sufficient",IF(AND(V39&gt;=1,OR(K39="Yes",L39="Yes")),"Thin","Insufficient"))</f>
        <v>Insufficient</v>
      </c>
      <c r="Z39" s="3"/>
      <c r="AA39" s="3"/>
      <c r="AB39" s="3"/>
      <c r="AC39" s="3"/>
      <c r="AD39" s="3"/>
      <c r="AE39" s="3"/>
      <c r="AF39" s="3"/>
      <c r="AG39" s="3"/>
      <c r="AH39" s="3"/>
      <c r="AI39" s="3"/>
      <c r="AJ39" s="3"/>
      <c r="AK39" s="3"/>
      <c r="AL39" s="3"/>
      <c r="AM39" s="3"/>
      <c r="AN39" s="3"/>
      <c r="AO39" s="3"/>
      <c r="AP39" s="3"/>
      <c r="AQ39" s="3"/>
      <c r="AR39" s="40">
        <f t="array" ref="AR39">MIN(100, MAX(0,
  IFERROR(_xlfn.XLOOKUP(AJ39,'Lookup Tables'!$A$2:$A$7,'Lookup Tables'!$B$2:$B$7,0),0)
  + IF(Z39="Yes", IF(IFERROR(_xlfn.XLOOKUP(AJ39,'Lookup Tables'!$A$2:$A$7,'Lookup Tables'!$B$2:$B$7,0),0)&lt;20, 5, 0), 0)
  + _xlfn.IFS(AB39="Yes", IF(ISNUMBER(AC39)*AND(AC39&lt;=2030),15,10), AB39="Long-term Only", 5, AB39="No", 0, TRUE, 0)
  + _xlfn.IFS(AF39="Full",10, AF39="Partial",5, AF39="Scope 2 Only",3, TRUE,0)
  + _xlfn.IFS(AG39="Yes", IF(ISNUMBER(AH39)*AND(AH39&gt;=5),10,6), AG39="Partial",4, TRUE,0)
  + _xlfn.IFS(AI39="Yes",5, AI39="Partial (material categories only)",3, TRUE,0)
  + _xlfn.IFS(AL39="Yes — Detailed",10, AL39="Yes — High Level",5, TRUE,0)
  + _xlfn.IFS(AM39="Yes — Quantified",15, AM39="Yes — Directional Only",7, TRUE,0)
  + _xlfn.IFS(AP39="Formal",5, AP39="Referenced",2, TRUE,0)
  + _xlfn.IFS(AQ39="No Issues Found",5, AQ39="Concern Identified",-5, AQ39="Severe Contradiction",-15, TRUE,0)
  + _xlfn.IFS(BC39="Reasonable Assurance",5, BC39="Limited Assurance",3, TRUE,0)
  - IF(AND(Z39="Yes", AI39="No"), 10, 0)
  - IF(AND(Z39="Yes", AM39="No"), 10, 0)
))</f>
        <v>0</v>
      </c>
      <c r="AS39" s="3"/>
      <c r="AT39" s="3"/>
      <c r="AU39" s="3"/>
      <c r="AV39" s="3"/>
      <c r="AW39" s="3"/>
      <c r="AX39" s="3"/>
      <c r="AY39" s="3"/>
      <c r="AZ39" s="3"/>
      <c r="BA39" s="3"/>
      <c r="BB39" s="3"/>
      <c r="BC39" s="3"/>
      <c r="BD39" s="3"/>
      <c r="BE39" s="40">
        <f t="array" ref="BE39">MIN(100, MAX(0,
  IFERROR(_xlfn.XLOOKUP(AT39,'Lookup Tables'!$D$2:$D$6,'Lookup Tables'!$E$2:$E$6,0),0)
  + IFERROR(_xlfn.XLOOKUP(AV39,'Lookup Tables'!$G$2:$G$5,'Lookup Tables'!$H$2:$H$5,0),0)
  + IFERROR(_xlfn.XLOOKUP(AW39,'Lookup Tables'!$J$2:$J$5,'Lookup Tables'!$K$2:$K$5,0),0)
  + _xlfn.IFS(AX39="No Issues",10, AX39="Complaint Filed",3, AX39="Confirmed Breach",-15, TRUE,0)
  + IFERROR(_xlfn.XLOOKUP(AY39,'Lookup Tables'!$M$2:$M$6,'Lookup Tables'!$N$2:$N$6,0),0)
  + IFERROR(_xlfn.XLOOKUP(AZ39,'Lookup Tables'!$P$2:$P$6,'Lookup Tables'!$Q$2:$Q$6,0),0)
  + _xlfn.IFS(BA39="Formal Board Committee",5, BA39="Board Oversight Mentioned",2, TRUE,0)
  + _xlfn.IFS(BB39="Yes — Quantified Targets",5, BB39="Yes — Discretionary Only",2, TRUE,0)
  + _xlfn.IFS(BC39="Reasonable Assurance",5, BC39="Limited Assurance",3, BC39="Management Review Only",1, TRUE,0)
))</f>
        <v>0</v>
      </c>
      <c r="BF39" s="3"/>
      <c r="BG39" s="3"/>
      <c r="BH39" s="3"/>
      <c r="BI39" s="3"/>
      <c r="BJ39" s="3"/>
      <c r="BK39" s="3"/>
      <c r="BL39" s="3"/>
      <c r="BM39" s="3"/>
      <c r="BN39" s="3"/>
      <c r="BO39" s="3"/>
      <c r="BP39" s="3"/>
      <c r="BQ39" s="3"/>
      <c r="BR39" s="3"/>
      <c r="BS39" s="42">
        <f t="array" ref="BS39">MIN(100, MAX(0,
  IFERROR(_xlfn.XLOOKUP(BG39,'Lookup Tables'!$A$11:$A$16,'Lookup Tables'!$B$11:$B$16,0),0)
  + IFERROR(_xlfn.XLOOKUP(BR39,'Lookup Tables'!$M$11:$M$14,'Lookup Tables'!$N$11:$N$14,0),0)
  + IFERROR(_xlfn.XLOOKUP(BQ39,'Lookup Tables'!$J$11:$J$15,'Lookup Tables'!$K$11:$K$15,0),0)
  + IFERROR(_xlfn.XLOOKUP(BH39,'Lookup Tables'!$D$11:$D$15,'Lookup Tables'!$E$11:$E$15,0),0)
  + IFERROR(_xlfn.XLOOKUP(BJ39,'Lookup Tables'!$G$11:$G$16,'Lookup Tables'!$H$11:$H$16,0),0)
  + IFERROR(_xlfn.XLOOKUP(BN39,'Lookup Tables'!$P$11:$P$15,'Lookup Tables'!$Q$11:$Q$15,0),0)
  + _xlfn.IFS(BM39="No Evidence",10, BM39="Unknown",3, BM39="Likely",0, BM39="Confirmed",-10, TRUE,3)
  + IFERROR(_xlfn.XLOOKUP(BP39,'Lookup Tables'!$J$21:$J$24,'Lookup Tables'!$K$21:$K$24,0),0)
))</f>
        <v>3</v>
      </c>
      <c r="BT39" s="3"/>
      <c r="BU39" s="3"/>
      <c r="BV39" s="3"/>
      <c r="BW39" s="3"/>
      <c r="BX39" s="3"/>
      <c r="BY39" s="3"/>
      <c r="BZ39" s="3"/>
      <c r="CA39" s="3"/>
      <c r="CB39" s="3"/>
      <c r="CC39" s="3"/>
      <c r="CD39" s="3"/>
      <c r="CE39" s="44">
        <f t="array" ref="CE39">MIN(100, MAX(0,
  IF(ISNUMBER(BV39)*AND(BV39&gt;0), 10, 0)
  + _xlfn.IFS(BY39="Independently Verified",25, BY39="Yes",15, TRUE,0)
  + IFERROR(_xlfn.XLOOKUP(BZ39,'Lookup Tables'!$A$21:$A$24,'Lookup Tables'!$B$21:$B$24,0),0)
  + IFERROR(_xlfn.XLOOKUP(CA39,'Lookup Tables'!$D$21:$D$24,'Lookup Tables'!$E$21:$E$24,0),0)
  + _xlfn.IFS(ISNUMBER(CB39)*AND(CB39&gt;=11),15, ISNUMBER(CB39)*AND(CB39&gt;=6),10, ISNUMBER(CB39)*AND(CB39&gt;=1),5, TRUE,0)
  + IFERROR(_xlfn.XLOOKUP(CC39,'Lookup Tables'!$G$21:$G$25,'Lookup Tables'!$H$21:$H$25,0),0)
  - IF(ISNUMBER(BW39)*AND(ISNUMBER(BV39))*AND(BW39&gt;BV39), 20, 0)
  - IF(AND(BY39="Yes", ISNUMBER(BW39), BW39&gt;60), 10, 0)
))</f>
        <v>0</v>
      </c>
      <c r="CF39" s="3"/>
      <c r="CG39" s="3"/>
      <c r="CH39" s="3"/>
      <c r="CI39" s="3"/>
      <c r="CJ39" s="3"/>
      <c r="CK39" s="3"/>
      <c r="CL39" s="3"/>
      <c r="CM39" s="3"/>
      <c r="CN39" s="3"/>
      <c r="CO39" s="3"/>
      <c r="CP39" s="3"/>
      <c r="CQ39" s="3"/>
      <c r="CR39" s="3">
        <f t="shared" ref="CR39:CR70" si="51">COUNTIF(CJ39:CQ39,"FAIL")</f>
        <v>0</v>
      </c>
      <c r="CS39" s="3">
        <f t="shared" ref="CS39:CS70" si="52">COUNTIF(CJ39:CQ39,"PARTIAL")</f>
        <v>0</v>
      </c>
      <c r="CT39" s="3">
        <f t="shared" ref="CT39:CT70" si="53">COUNTIF(CJ39:CQ39,"MISSING")</f>
        <v>0</v>
      </c>
      <c r="CU39" s="3">
        <f>MIN(100,
  CR39*15
  + CS39*6
  + CT39*3
  + IFERROR(_xlfn.XLOOKUP(CW39,'Lookup Tables'!$M$21:$M$25,'Lookup Tables'!$N$21:$N$25,0),0)
)</f>
        <v>0</v>
      </c>
      <c r="CV39" s="3" t="str">
        <f t="shared" si="41"/>
        <v>No failures</v>
      </c>
      <c r="CW39" s="3"/>
      <c r="CX39" s="3"/>
      <c r="CY39" s="3"/>
      <c r="CZ39" s="3"/>
      <c r="DA39" s="3" t="str">
        <f t="shared" ref="DA39:DA70" si="54">IF(OR(CU39&gt;=50,CW39="Material",CW39="Severe",AS39="Material",AS39="Severe",BF39="Material",BF39="Severe — Exclusion Trigger",AND(ISNUMBER(BS39),BS39&lt;30)),"Yes","No")</f>
        <v>Yes</v>
      </c>
      <c r="DB39" s="3" t="str">
        <f t="shared" ref="DB39:DB70" si="55">IF(OR(CR39&gt;=6,AW39="Confirmed Violation",AX39="Confirmed Breach"),"Yes — Automatic",IF(CW39="Severe","Yes — Requires Captain Confirmation","No"))</f>
        <v>No</v>
      </c>
      <c r="DC39" s="3"/>
      <c r="DD39" s="3"/>
      <c r="DE39" s="3"/>
      <c r="DF39" s="3"/>
      <c r="DG39" s="3"/>
      <c r="DH39" s="3"/>
      <c r="DI39" s="3"/>
      <c r="DJ39" s="3"/>
      <c r="DK39" s="3"/>
      <c r="DL39" s="3" t="str">
        <f t="shared" ref="DL39:DL70" si="56">IF(OR(IFERROR(VALUE(LEFT(DF39,1)),99)&lt;=2,IFERROR(VALUE(LEFT(DG39,1)),99)&lt;=2),"Flagged","Clear")</f>
        <v>Clear</v>
      </c>
      <c r="DM39" s="3" t="str">
        <f t="shared" ref="DM39:DM70" si="57">IF(OR(DA39="Yes",DB39&lt;&gt;"No",DH39="Unverified",DL39="Flagged"),"Yes","No")</f>
        <v>Yes</v>
      </c>
      <c r="DN39" s="3">
        <f t="array" ref="DN39">MIN(100,
  IF(ISNUMBER(V39), _xlfn.IFS(V39&gt;=3,25, V39=2,15, V39=1,5, TRUE,0), 0)
  + IFERROR(_xlfn.IFS(VALUE(LEFT(DF39,1))=5,25, VALUE(LEFT(DF39,1))=4,20, VALUE(LEFT(DF39,1))=3,15, VALUE(LEFT(DF39,1))=2,8, TRUE,0), 15)
  + IFERROR(_xlfn.IFS(VALUE(LEFT(DG39,1))=5,25, VALUE(LEFT(DG39,1))=4,20, VALUE(LEFT(DG39,1))=3,15, VALUE(LEFT(DG39,1))=2,8, TRUE,0), 15)
  + _xlfn.IFS(DH39="Fully Verified",25, DH39="Partially Verified",12, TRUE,0)
)</f>
        <v>30</v>
      </c>
      <c r="DO39" s="3" t="str">
        <f t="array" ref="DO39">_xlfn.IFS(
  ISBLANK(AR39), "Insufficient Evidence",
  AND(AR39&gt;=65, AJ39="Approved"), "Strong",
  AR39&gt;=65, "Adequate",
  AR39&gt;=40, "Adequate",
  AR39&gt;=20, "Weak",
  TRUE, "Insufficient Evidence"
)</f>
        <v>Insufficient Evidence</v>
      </c>
      <c r="DP39" s="3" t="str">
        <f t="array" ref="DP39">_xlfn.IFS(
  ISBLANK(BS39), "Insufficient Evidence",
  BS39&gt;=65, "Strong",
  BS39&gt;=40, "Adequate",
  BS39&gt;=20, "Weak",
  TRUE, "Insufficient Evidence"
)</f>
        <v>Insufficient Evidence</v>
      </c>
      <c r="DQ39" s="3" t="str">
        <f t="array" ref="DQ39">_xlfn.IFS(
  ISBLANK(BE39), "Insufficient Evidence",
  OR(AW39="Confirmed Violation", AX39="Confirmed Breach"), "Severe — Hard Trigger",
  BE39&gt;=65, "Strong",
  BE39&gt;=40, "Adequate",
  BE39&gt;=20, "Weak",
  TRUE, "Insufficient Evidence"
)</f>
        <v>Insufficient Evidence</v>
      </c>
      <c r="DR39" s="3" t="str">
        <f t="array" ref="DR39">_xlfn.IFS(
  ISBLANK(CU39), "Insufficient Evidence",
  CU39&lt;=20, "Low Risk",
  CU39&lt;=50, "Moderate Risk",
  CU39&lt;=75, "High Risk",
  TRUE, "Very High Risk"
)</f>
        <v>Low Risk</v>
      </c>
      <c r="DS39" s="3" t="str">
        <f t="array" ref="DS39">_xlfn.IFS(
  ISBLANK(CE39), "Insufficient Evidence",
  AND(ISNUMBER(BW39),ISNUMBER(BV39),BW39&gt;BV39), "Overclaiming Risk",
  CE39&gt;=65, "Strong",
  CE39&gt;=40, "Adequate",
  TRUE, "Weak"
)</f>
        <v>Weak</v>
      </c>
      <c r="DT39" s="3">
        <f t="shared" ref="DT39:DT70" si="58">IF(DB39="Yes — Automatic",0,ROUND((IF(ISNUMBER(AR39),AR39,0)*0.3+IF(ISNUMBER(BS39),BS39,0)*0.2+IF(ISNUMBER(BE39),BE39,0)*0.2+IF(ISNUMBER(CE39),CE39,0)*0.15+(100-IF(ISNUMBER(CU39),CU39,50))*0.15)*IF(DN39&gt;=75,1,IF(DN39&gt;=50,0.9,IF(DN39&gt;=25,0.75,0.6))),1))</f>
        <v>11.7</v>
      </c>
      <c r="DU39" s="3" t="str">
        <f t="array" ref="DU39">_xlfn.IFS(
  DV39="Upgraded to Clear", "Clear",
  DV39="Downgraded to Watchlist", "Watchlist",
  DV39="Downgraded to Exclusion", "Exclusion Risk",
  DB39="Yes — Automatic", "Exclusion Risk",
  OR(AW39="Confirmed Violation", AX39="Confirmed Breach"), "Exclusion Risk",
  OR(V39=0, ISBLANK(V39), DN39&lt;20), "Insufficient Evidence",
  AND(DT39&gt;=65, DA39="No", DB39="No"), "Clear",
  OR(DT39&gt;=40, DA39="Yes"), "Watchlist",
  TRUE, "Exclusion Risk"
)</f>
        <v>Insufficient Evidence</v>
      </c>
      <c r="DV39" s="3"/>
      <c r="DW39" s="3" t="str">
        <f t="array" ref="DW39">_xlfn.IFS(
  DU39="Exclusion Risk", "Exclude — Hard Trigger",
  DU39="Insufficient Evidence", "Watchlist — Further Evidence Needed",
  DU39="Watchlist", "Watchlist — Further Evidence Needed",
  AND(DU39="Clear", DT39&gt;=80), "Include — No Conditions",
  DU39="Clear", "Include — Monitor",
  TRUE, "Watchlist — Further Evidence Needed"
)</f>
        <v>Watchlist — Further Evidence Needed</v>
      </c>
      <c r="DX39" s="3"/>
      <c r="DY39" s="3"/>
      <c r="DZ39" s="3"/>
      <c r="EA39" s="3"/>
      <c r="EB39" s="3" t="str">
        <f t="shared" ref="EB39:EB70" si="59">IF(OR(V39=0, ISBLANK(V39)), "MISSING — No sources reviewed", "")</f>
        <v>MISSING — No sources reviewed</v>
      </c>
      <c r="EC39" s="3" t="str">
        <f t="shared" ref="EC39:EC70" si="60">IF(AND(NOT(ISBLANK(DC39)), ISBLANK(DE39)), "PAGE REF MISSING", "")</f>
        <v/>
      </c>
    </row>
    <row r="40" spans="1:133" ht="18" customHeight="1" x14ac:dyDescent="0.15">
      <c r="A40" s="5" t="s">
        <v>432</v>
      </c>
      <c r="B40" s="5" t="s">
        <v>433</v>
      </c>
      <c r="C40" s="5" t="str">
        <f>IF(ISBLANK('Universe Tracker'!D36),"",'Universe Tracker'!D36)</f>
        <v>GB0031348658</v>
      </c>
      <c r="D40" s="5"/>
      <c r="E40" s="5"/>
      <c r="F40" s="5" t="str">
        <f>IF(ISBLANK('Universe Tracker'!F36),"",'Universe Tracker'!F36)</f>
        <v>Financials</v>
      </c>
      <c r="G40" s="5" t="str">
        <f>IF(ISBLANK('Universe Tracker'!G36),"",'Universe Tracker'!G36)</f>
        <v>Banking</v>
      </c>
      <c r="H40" s="5"/>
      <c r="I40" s="5"/>
      <c r="J40" s="5" t="str">
        <f t="shared" si="49"/>
        <v>BCY_GB0031348658</v>
      </c>
      <c r="K40" s="5"/>
      <c r="L40" s="5"/>
      <c r="M40" s="5"/>
      <c r="N40" s="5"/>
      <c r="O40" s="5"/>
      <c r="P40" s="5"/>
      <c r="Q40" s="5"/>
      <c r="R40" s="5"/>
      <c r="S40" s="5"/>
      <c r="T40" s="5"/>
      <c r="U40" s="5"/>
      <c r="V40" s="5"/>
      <c r="W40" s="5"/>
      <c r="X40" s="5"/>
      <c r="Y40" s="5" t="str">
        <f t="shared" si="50"/>
        <v>Insufficient</v>
      </c>
      <c r="Z40" s="5"/>
      <c r="AA40" s="5"/>
      <c r="AB40" s="5"/>
      <c r="AC40" s="5"/>
      <c r="AD40" s="5"/>
      <c r="AE40" s="5"/>
      <c r="AF40" s="5"/>
      <c r="AG40" s="5"/>
      <c r="AH40" s="5"/>
      <c r="AI40" s="5"/>
      <c r="AJ40" s="5"/>
      <c r="AK40" s="5"/>
      <c r="AL40" s="5"/>
      <c r="AM40" s="5"/>
      <c r="AN40" s="5"/>
      <c r="AO40" s="5"/>
      <c r="AP40" s="5"/>
      <c r="AQ40" s="5"/>
      <c r="AR40" s="40">
        <f t="array" ref="AR40">MIN(100, MAX(0,
  IFERROR(_xlfn.XLOOKUP(AJ40,'Lookup Tables'!$A$2:$A$7,'Lookup Tables'!$B$2:$B$7,0),0)
  + IF(Z40="Yes", IF(IFERROR(_xlfn.XLOOKUP(AJ40,'Lookup Tables'!$A$2:$A$7,'Lookup Tables'!$B$2:$B$7,0),0)&lt;20, 5, 0), 0)
  + _xlfn.IFS(AB40="Yes", IF(ISNUMBER(AC40)*AND(AC40&lt;=2030),15,10), AB40="Long-term Only", 5, AB40="No", 0, TRUE, 0)
  + _xlfn.IFS(AF40="Full",10, AF40="Partial",5, AF40="Scope 2 Only",3, TRUE,0)
  + _xlfn.IFS(AG40="Yes", IF(ISNUMBER(AH40)*AND(AH40&gt;=5),10,6), AG40="Partial",4, TRUE,0)
  + _xlfn.IFS(AI40="Yes",5, AI40="Partial (material categories only)",3, TRUE,0)
  + _xlfn.IFS(AL40="Yes — Detailed",10, AL40="Yes — High Level",5, TRUE,0)
  + _xlfn.IFS(AM40="Yes — Quantified",15, AM40="Yes — Directional Only",7, TRUE,0)
  + _xlfn.IFS(AP40="Formal",5, AP40="Referenced",2, TRUE,0)
  + _xlfn.IFS(AQ40="No Issues Found",5, AQ40="Concern Identified",-5, AQ40="Severe Contradiction",-15, TRUE,0)
  + _xlfn.IFS(BC40="Reasonable Assurance",5, BC40="Limited Assurance",3, TRUE,0)
  - IF(AND(Z40="Yes", AI40="No"), 10, 0)
  - IF(AND(Z40="Yes", AM40="No"), 10, 0)
))</f>
        <v>0</v>
      </c>
      <c r="AS40" s="5"/>
      <c r="AT40" s="5"/>
      <c r="AU40" s="5"/>
      <c r="AV40" s="5"/>
      <c r="AW40" s="5"/>
      <c r="AX40" s="5"/>
      <c r="AY40" s="5"/>
      <c r="AZ40" s="5"/>
      <c r="BA40" s="5"/>
      <c r="BB40" s="5"/>
      <c r="BC40" s="5"/>
      <c r="BD40" s="5"/>
      <c r="BE40" s="39">
        <f t="array" ref="BE40">MIN(100, MAX(0,
  IFERROR(_xlfn.XLOOKUP(AT40,'Lookup Tables'!$D$2:$D$6,'Lookup Tables'!$E$2:$E$6,0),0)
  + IFERROR(_xlfn.XLOOKUP(AV40,'Lookup Tables'!$G$2:$G$5,'Lookup Tables'!$H$2:$H$5,0),0)
  + IFERROR(_xlfn.XLOOKUP(AW40,'Lookup Tables'!$J$2:$J$5,'Lookup Tables'!$K$2:$K$5,0),0)
  + _xlfn.IFS(AX40="No Issues",10, AX40="Complaint Filed",3, AX40="Confirmed Breach",-15, TRUE,0)
  + IFERROR(_xlfn.XLOOKUP(AY40,'Lookup Tables'!$M$2:$M$6,'Lookup Tables'!$N$2:$N$6,0),0)
  + IFERROR(_xlfn.XLOOKUP(AZ40,'Lookup Tables'!$P$2:$P$6,'Lookup Tables'!$Q$2:$Q$6,0),0)
  + _xlfn.IFS(BA40="Formal Board Committee",5, BA40="Board Oversight Mentioned",2, TRUE,0)
  + _xlfn.IFS(BB40="Yes — Quantified Targets",5, BB40="Yes — Discretionary Only",2, TRUE,0)
  + _xlfn.IFS(BC40="Reasonable Assurance",5, BC40="Limited Assurance",3, BC40="Management Review Only",1, TRUE,0)
))</f>
        <v>0</v>
      </c>
      <c r="BF40" s="5"/>
      <c r="BG40" s="5"/>
      <c r="BH40" s="5"/>
      <c r="BI40" s="5"/>
      <c r="BJ40" s="5"/>
      <c r="BK40" s="5"/>
      <c r="BL40" s="5"/>
      <c r="BM40" s="5"/>
      <c r="BN40" s="5"/>
      <c r="BO40" s="5"/>
      <c r="BP40" s="5"/>
      <c r="BQ40" s="5"/>
      <c r="BR40" s="5"/>
      <c r="BS40" s="41">
        <f t="array" ref="BS40">MIN(100, MAX(0,
  IFERROR(_xlfn.XLOOKUP(BG40,'Lookup Tables'!$A$11:$A$16,'Lookup Tables'!$B$11:$B$16,0),0)
  + IFERROR(_xlfn.XLOOKUP(BR40,'Lookup Tables'!$M$11:$M$14,'Lookup Tables'!$N$11:$N$14,0),0)
  + IFERROR(_xlfn.XLOOKUP(BQ40,'Lookup Tables'!$J$11:$J$15,'Lookup Tables'!$K$11:$K$15,0),0)
  + IFERROR(_xlfn.XLOOKUP(BH40,'Lookup Tables'!$D$11:$D$15,'Lookup Tables'!$E$11:$E$15,0),0)
  + IFERROR(_xlfn.XLOOKUP(BJ40,'Lookup Tables'!$G$11:$G$16,'Lookup Tables'!$H$11:$H$16,0),0)
  + IFERROR(_xlfn.XLOOKUP(BN40,'Lookup Tables'!$P$11:$P$15,'Lookup Tables'!$Q$11:$Q$15,0),0)
  + _xlfn.IFS(BM40="No Evidence",10, BM40="Unknown",3, BM40="Likely",0, BM40="Confirmed",-10, TRUE,3)
  + IFERROR(_xlfn.XLOOKUP(BP40,'Lookup Tables'!$J$21:$J$24,'Lookup Tables'!$K$21:$K$24,0),0)
))</f>
        <v>3</v>
      </c>
      <c r="BT40" s="5"/>
      <c r="BU40" s="5"/>
      <c r="BV40" s="5"/>
      <c r="BW40" s="5"/>
      <c r="BX40" s="5"/>
      <c r="BY40" s="5"/>
      <c r="BZ40" s="5"/>
      <c r="CA40" s="5"/>
      <c r="CB40" s="5"/>
      <c r="CC40" s="5"/>
      <c r="CD40" s="5"/>
      <c r="CE40" s="43">
        <f t="array" ref="CE40">MIN(100, MAX(0,
  IF(ISNUMBER(BV40)*AND(BV40&gt;0), 10, 0)
  + _xlfn.IFS(BY40="Independently Verified",25, BY40="Yes",15, TRUE,0)
  + IFERROR(_xlfn.XLOOKUP(BZ40,'Lookup Tables'!$A$21:$A$24,'Lookup Tables'!$B$21:$B$24,0),0)
  + IFERROR(_xlfn.XLOOKUP(CA40,'Lookup Tables'!$D$21:$D$24,'Lookup Tables'!$E$21:$E$24,0),0)
  + _xlfn.IFS(ISNUMBER(CB40)*AND(CB40&gt;=11),15, ISNUMBER(CB40)*AND(CB40&gt;=6),10, ISNUMBER(CB40)*AND(CB40&gt;=1),5, TRUE,0)
  + IFERROR(_xlfn.XLOOKUP(CC40,'Lookup Tables'!$G$21:$G$25,'Lookup Tables'!$H$21:$H$25,0),0)
  - IF(ISNUMBER(BW40)*AND(ISNUMBER(BV40))*AND(BW40&gt;BV40), 20, 0)
  - IF(AND(BY40="Yes", ISNUMBER(BW40), BW40&gt;60), 10, 0)
))</f>
        <v>0</v>
      </c>
      <c r="CF40" s="5"/>
      <c r="CG40" s="5"/>
      <c r="CH40" s="5"/>
      <c r="CI40" s="5"/>
      <c r="CJ40" s="5"/>
      <c r="CK40" s="5"/>
      <c r="CL40" s="5"/>
      <c r="CM40" s="5"/>
      <c r="CN40" s="5"/>
      <c r="CO40" s="5"/>
      <c r="CP40" s="5"/>
      <c r="CQ40" s="5"/>
      <c r="CR40" s="5">
        <f t="shared" si="51"/>
        <v>0</v>
      </c>
      <c r="CS40" s="5">
        <f t="shared" si="52"/>
        <v>0</v>
      </c>
      <c r="CT40" s="5">
        <f t="shared" si="53"/>
        <v>0</v>
      </c>
      <c r="CU40" s="5">
        <f>MIN(100,
  CR40*15
  + CS40*6
  + CT40*3
  + IFERROR(_xlfn.XLOOKUP(CW40,'Lookup Tables'!$M$21:$M$25,'Lookup Tables'!$N$21:$N$25,0),0)
)</f>
        <v>0</v>
      </c>
      <c r="CV40" s="5" t="str">
        <f t="shared" si="41"/>
        <v>No failures</v>
      </c>
      <c r="CW40" s="5"/>
      <c r="CX40" s="5"/>
      <c r="CY40" s="5"/>
      <c r="CZ40" s="5"/>
      <c r="DA40" s="5" t="str">
        <f t="shared" si="54"/>
        <v>Yes</v>
      </c>
      <c r="DB40" s="5" t="str">
        <f t="shared" si="55"/>
        <v>No</v>
      </c>
      <c r="DC40" s="5"/>
      <c r="DD40" s="5"/>
      <c r="DE40" s="5"/>
      <c r="DF40" s="5"/>
      <c r="DG40" s="5"/>
      <c r="DH40" s="5"/>
      <c r="DI40" s="5"/>
      <c r="DJ40" s="5"/>
      <c r="DK40" s="5"/>
      <c r="DL40" s="5" t="str">
        <f t="shared" si="56"/>
        <v>Clear</v>
      </c>
      <c r="DM40" s="5" t="str">
        <f t="shared" si="57"/>
        <v>Yes</v>
      </c>
      <c r="DN40" s="5">
        <f t="array" ref="DN40">MIN(100,
  IF(ISNUMBER(V40), _xlfn.IFS(V40&gt;=3,25, V40=2,15, V40=1,5, TRUE,0), 0)
  + IFERROR(_xlfn.IFS(VALUE(LEFT(DF40,1))=5,25, VALUE(LEFT(DF40,1))=4,20, VALUE(LEFT(DF40,1))=3,15, VALUE(LEFT(DF40,1))=2,8, TRUE,0), 15)
  + IFERROR(_xlfn.IFS(VALUE(LEFT(DG40,1))=5,25, VALUE(LEFT(DG40,1))=4,20, VALUE(LEFT(DG40,1))=3,15, VALUE(LEFT(DG40,1))=2,8, TRUE,0), 15)
  + _xlfn.IFS(DH40="Fully Verified",25, DH40="Partially Verified",12, TRUE,0)
)</f>
        <v>30</v>
      </c>
      <c r="DO40" s="5" t="str">
        <f t="array" ref="DO40">_xlfn.IFS(
  ISBLANK(AR40), "Insufficient Evidence",
  AND(AR40&gt;=65, AJ40="Approved"), "Strong",
  AR40&gt;=65, "Adequate",
  AR40&gt;=40, "Adequate",
  AR40&gt;=20, "Weak",
  TRUE, "Insufficient Evidence"
)</f>
        <v>Insufficient Evidence</v>
      </c>
      <c r="DP40" s="5" t="str">
        <f t="array" ref="DP40">_xlfn.IFS(
  ISBLANK(BS40), "Insufficient Evidence",
  BS40&gt;=65, "Strong",
  BS40&gt;=40, "Adequate",
  BS40&gt;=20, "Weak",
  TRUE, "Insufficient Evidence"
)</f>
        <v>Insufficient Evidence</v>
      </c>
      <c r="DQ40" s="5" t="str">
        <f t="array" ref="DQ40">_xlfn.IFS(
  ISBLANK(BE40), "Insufficient Evidence",
  OR(AW40="Confirmed Violation", AX40="Confirmed Breach"), "Severe — Hard Trigger",
  BE40&gt;=65, "Strong",
  BE40&gt;=40, "Adequate",
  BE40&gt;=20, "Weak",
  TRUE, "Insufficient Evidence"
)</f>
        <v>Insufficient Evidence</v>
      </c>
      <c r="DR40" s="5" t="str">
        <f t="array" ref="DR40">_xlfn.IFS(
  ISBLANK(CU40), "Insufficient Evidence",
  CU40&lt;=20, "Low Risk",
  CU40&lt;=50, "Moderate Risk",
  CU40&lt;=75, "High Risk",
  TRUE, "Very High Risk"
)</f>
        <v>Low Risk</v>
      </c>
      <c r="DS40" s="5" t="str">
        <f t="array" ref="DS40">_xlfn.IFS(
  ISBLANK(CE40), "Insufficient Evidence",
  AND(ISNUMBER(BW40),ISNUMBER(BV40),BW40&gt;BV40), "Overclaiming Risk",
  CE40&gt;=65, "Strong",
  CE40&gt;=40, "Adequate",
  TRUE, "Weak"
)</f>
        <v>Weak</v>
      </c>
      <c r="DT40" s="5">
        <f t="shared" si="58"/>
        <v>11.7</v>
      </c>
      <c r="DU40" s="5" t="str">
        <f t="array" ref="DU40">_xlfn.IFS(
  DV40="Upgraded to Clear", "Clear",
  DV40="Downgraded to Watchlist", "Watchlist",
  DV40="Downgraded to Exclusion", "Exclusion Risk",
  DB40="Yes — Automatic", "Exclusion Risk",
  OR(AW40="Confirmed Violation", AX40="Confirmed Breach"), "Exclusion Risk",
  OR(V40=0, ISBLANK(V40), DN40&lt;20), "Insufficient Evidence",
  AND(DT40&gt;=65, DA40="No", DB40="No"), "Clear",
  OR(DT40&gt;=40, DA40="Yes"), "Watchlist",
  TRUE, "Exclusion Risk"
)</f>
        <v>Insufficient Evidence</v>
      </c>
      <c r="DV40" s="5"/>
      <c r="DW40" s="5" t="str">
        <f t="array" ref="DW40">_xlfn.IFS(
  DU40="Exclusion Risk", "Exclude — Hard Trigger",
  DU40="Insufficient Evidence", "Watchlist — Further Evidence Needed",
  DU40="Watchlist", "Watchlist — Further Evidence Needed",
  AND(DU40="Clear", DT40&gt;=80), "Include — No Conditions",
  DU40="Clear", "Include — Monitor",
  TRUE, "Watchlist — Further Evidence Needed"
)</f>
        <v>Watchlist — Further Evidence Needed</v>
      </c>
      <c r="DX40" s="5"/>
      <c r="DY40" s="5"/>
      <c r="DZ40" s="5"/>
      <c r="EA40" s="5"/>
      <c r="EB40" s="5" t="str">
        <f t="shared" si="59"/>
        <v>MISSING — No sources reviewed</v>
      </c>
      <c r="EC40" s="5" t="str">
        <f t="shared" si="60"/>
        <v/>
      </c>
    </row>
    <row r="41" spans="1:133" ht="18" customHeight="1" x14ac:dyDescent="0.15">
      <c r="A41" s="3" t="s">
        <v>436</v>
      </c>
      <c r="B41" s="3" t="s">
        <v>437</v>
      </c>
      <c r="C41" s="3" t="str">
        <f>IF(ISBLANK('Universe Tracker'!D37),"",'Universe Tracker'!D37)</f>
        <v>DK0060854669</v>
      </c>
      <c r="D41" s="3"/>
      <c r="E41" s="3"/>
      <c r="F41" s="3" t="str">
        <f>IF(ISBLANK('Universe Tracker'!F37),"",'Universe Tracker'!F37)</f>
        <v>Financials</v>
      </c>
      <c r="G41" s="3" t="str">
        <f>IF(ISBLANK('Universe Tracker'!G37),"",'Universe Tracker'!G37)</f>
        <v>Banking</v>
      </c>
      <c r="H41" s="3"/>
      <c r="I41" s="3"/>
      <c r="J41" s="3" t="str">
        <f t="shared" si="49"/>
        <v>CJ2_DK0060854669</v>
      </c>
      <c r="K41" s="3"/>
      <c r="L41" s="3"/>
      <c r="M41" s="3"/>
      <c r="N41" s="3"/>
      <c r="O41" s="3"/>
      <c r="P41" s="3"/>
      <c r="Q41" s="3"/>
      <c r="R41" s="3"/>
      <c r="S41" s="3"/>
      <c r="T41" s="3"/>
      <c r="U41" s="3"/>
      <c r="V41" s="3"/>
      <c r="W41" s="3"/>
      <c r="X41" s="3"/>
      <c r="Y41" s="3" t="str">
        <f t="shared" si="50"/>
        <v>Insufficient</v>
      </c>
      <c r="Z41" s="3"/>
      <c r="AA41" s="3"/>
      <c r="AB41" s="3"/>
      <c r="AC41" s="3"/>
      <c r="AD41" s="3"/>
      <c r="AE41" s="3"/>
      <c r="AF41" s="3"/>
      <c r="AG41" s="3"/>
      <c r="AH41" s="3"/>
      <c r="AI41" s="3"/>
      <c r="AJ41" s="3"/>
      <c r="AK41" s="3"/>
      <c r="AL41" s="3"/>
      <c r="AM41" s="3"/>
      <c r="AN41" s="3"/>
      <c r="AO41" s="3"/>
      <c r="AP41" s="3"/>
      <c r="AQ41" s="3"/>
      <c r="AR41" s="40">
        <f t="array" ref="AR41">MIN(100, MAX(0,
  IFERROR(_xlfn.XLOOKUP(AJ41,'Lookup Tables'!$A$2:$A$7,'Lookup Tables'!$B$2:$B$7,0),0)
  + IF(Z41="Yes", IF(IFERROR(_xlfn.XLOOKUP(AJ41,'Lookup Tables'!$A$2:$A$7,'Lookup Tables'!$B$2:$B$7,0),0)&lt;20, 5, 0), 0)
  + _xlfn.IFS(AB41="Yes", IF(ISNUMBER(AC41)*AND(AC41&lt;=2030),15,10), AB41="Long-term Only", 5, AB41="No", 0, TRUE, 0)
  + _xlfn.IFS(AF41="Full",10, AF41="Partial",5, AF41="Scope 2 Only",3, TRUE,0)
  + _xlfn.IFS(AG41="Yes", IF(ISNUMBER(AH41)*AND(AH41&gt;=5),10,6), AG41="Partial",4, TRUE,0)
  + _xlfn.IFS(AI41="Yes",5, AI41="Partial (material categories only)",3, TRUE,0)
  + _xlfn.IFS(AL41="Yes — Detailed",10, AL41="Yes — High Level",5, TRUE,0)
  + _xlfn.IFS(AM41="Yes — Quantified",15, AM41="Yes — Directional Only",7, TRUE,0)
  + _xlfn.IFS(AP41="Formal",5, AP41="Referenced",2, TRUE,0)
  + _xlfn.IFS(AQ41="No Issues Found",5, AQ41="Concern Identified",-5, AQ41="Severe Contradiction",-15, TRUE,0)
  + _xlfn.IFS(BC41="Reasonable Assurance",5, BC41="Limited Assurance",3, TRUE,0)
  - IF(AND(Z41="Yes", AI41="No"), 10, 0)
  - IF(AND(Z41="Yes", AM41="No"), 10, 0)
))</f>
        <v>0</v>
      </c>
      <c r="AS41" s="3"/>
      <c r="AT41" s="3"/>
      <c r="AU41" s="3"/>
      <c r="AV41" s="3"/>
      <c r="AW41" s="3"/>
      <c r="AX41" s="3"/>
      <c r="AY41" s="3"/>
      <c r="AZ41" s="3"/>
      <c r="BA41" s="3"/>
      <c r="BB41" s="3"/>
      <c r="BC41" s="3"/>
      <c r="BD41" s="3"/>
      <c r="BE41" s="40">
        <f t="array" ref="BE41">MIN(100, MAX(0,
  IFERROR(_xlfn.XLOOKUP(AT41,'Lookup Tables'!$D$2:$D$6,'Lookup Tables'!$E$2:$E$6,0),0)
  + IFERROR(_xlfn.XLOOKUP(AV41,'Lookup Tables'!$G$2:$G$5,'Lookup Tables'!$H$2:$H$5,0),0)
  + IFERROR(_xlfn.XLOOKUP(AW41,'Lookup Tables'!$J$2:$J$5,'Lookup Tables'!$K$2:$K$5,0),0)
  + _xlfn.IFS(AX41="No Issues",10, AX41="Complaint Filed",3, AX41="Confirmed Breach",-15, TRUE,0)
  + IFERROR(_xlfn.XLOOKUP(AY41,'Lookup Tables'!$M$2:$M$6,'Lookup Tables'!$N$2:$N$6,0),0)
  + IFERROR(_xlfn.XLOOKUP(AZ41,'Lookup Tables'!$P$2:$P$6,'Lookup Tables'!$Q$2:$Q$6,0),0)
  + _xlfn.IFS(BA41="Formal Board Committee",5, BA41="Board Oversight Mentioned",2, TRUE,0)
  + _xlfn.IFS(BB41="Yes — Quantified Targets",5, BB41="Yes — Discretionary Only",2, TRUE,0)
  + _xlfn.IFS(BC41="Reasonable Assurance",5, BC41="Limited Assurance",3, BC41="Management Review Only",1, TRUE,0)
))</f>
        <v>0</v>
      </c>
      <c r="BF41" s="3"/>
      <c r="BG41" s="3"/>
      <c r="BH41" s="3"/>
      <c r="BI41" s="3"/>
      <c r="BJ41" s="3"/>
      <c r="BK41" s="3"/>
      <c r="BL41" s="3"/>
      <c r="BM41" s="3"/>
      <c r="BN41" s="3"/>
      <c r="BO41" s="3"/>
      <c r="BP41" s="3"/>
      <c r="BQ41" s="3"/>
      <c r="BR41" s="3"/>
      <c r="BS41" s="42">
        <f t="array" ref="BS41">MIN(100, MAX(0,
  IFERROR(_xlfn.XLOOKUP(BG41,'Lookup Tables'!$A$11:$A$16,'Lookup Tables'!$B$11:$B$16,0),0)
  + IFERROR(_xlfn.XLOOKUP(BR41,'Lookup Tables'!$M$11:$M$14,'Lookup Tables'!$N$11:$N$14,0),0)
  + IFERROR(_xlfn.XLOOKUP(BQ41,'Lookup Tables'!$J$11:$J$15,'Lookup Tables'!$K$11:$K$15,0),0)
  + IFERROR(_xlfn.XLOOKUP(BH41,'Lookup Tables'!$D$11:$D$15,'Lookup Tables'!$E$11:$E$15,0),0)
  + IFERROR(_xlfn.XLOOKUP(BJ41,'Lookup Tables'!$G$11:$G$16,'Lookup Tables'!$H$11:$H$16,0),0)
  + IFERROR(_xlfn.XLOOKUP(BN41,'Lookup Tables'!$P$11:$P$15,'Lookup Tables'!$Q$11:$Q$15,0),0)
  + _xlfn.IFS(BM41="No Evidence",10, BM41="Unknown",3, BM41="Likely",0, BM41="Confirmed",-10, TRUE,3)
  + IFERROR(_xlfn.XLOOKUP(BP41,'Lookup Tables'!$J$21:$J$24,'Lookup Tables'!$K$21:$K$24,0),0)
))</f>
        <v>3</v>
      </c>
      <c r="BT41" s="3"/>
      <c r="BU41" s="3"/>
      <c r="BV41" s="3"/>
      <c r="BW41" s="3"/>
      <c r="BX41" s="3"/>
      <c r="BY41" s="3"/>
      <c r="BZ41" s="3"/>
      <c r="CA41" s="3"/>
      <c r="CB41" s="3"/>
      <c r="CC41" s="3"/>
      <c r="CD41" s="3"/>
      <c r="CE41" s="44">
        <f t="array" ref="CE41">MIN(100, MAX(0,
  IF(ISNUMBER(BV41)*AND(BV41&gt;0), 10, 0)
  + _xlfn.IFS(BY41="Independently Verified",25, BY41="Yes",15, TRUE,0)
  + IFERROR(_xlfn.XLOOKUP(BZ41,'Lookup Tables'!$A$21:$A$24,'Lookup Tables'!$B$21:$B$24,0),0)
  + IFERROR(_xlfn.XLOOKUP(CA41,'Lookup Tables'!$D$21:$D$24,'Lookup Tables'!$E$21:$E$24,0),0)
  + _xlfn.IFS(ISNUMBER(CB41)*AND(CB41&gt;=11),15, ISNUMBER(CB41)*AND(CB41&gt;=6),10, ISNUMBER(CB41)*AND(CB41&gt;=1),5, TRUE,0)
  + IFERROR(_xlfn.XLOOKUP(CC41,'Lookup Tables'!$G$21:$G$25,'Lookup Tables'!$H$21:$H$25,0),0)
  - IF(ISNUMBER(BW41)*AND(ISNUMBER(BV41))*AND(BW41&gt;BV41), 20, 0)
  - IF(AND(BY41="Yes", ISNUMBER(BW41), BW41&gt;60), 10, 0)
))</f>
        <v>0</v>
      </c>
      <c r="CF41" s="3"/>
      <c r="CG41" s="3"/>
      <c r="CH41" s="3"/>
      <c r="CI41" s="3"/>
      <c r="CJ41" s="3"/>
      <c r="CK41" s="3"/>
      <c r="CL41" s="3"/>
      <c r="CM41" s="3"/>
      <c r="CN41" s="3"/>
      <c r="CO41" s="3"/>
      <c r="CP41" s="3"/>
      <c r="CQ41" s="3"/>
      <c r="CR41" s="3">
        <f t="shared" si="51"/>
        <v>0</v>
      </c>
      <c r="CS41" s="3">
        <f t="shared" si="52"/>
        <v>0</v>
      </c>
      <c r="CT41" s="3">
        <f t="shared" si="53"/>
        <v>0</v>
      </c>
      <c r="CU41" s="3">
        <f>MIN(100,
  CR41*15
  + CS41*6
  + CT41*3
  + IFERROR(_xlfn.XLOOKUP(CW41,'Lookup Tables'!$M$21:$M$25,'Lookup Tables'!$N$21:$N$25,0),0)
)</f>
        <v>0</v>
      </c>
      <c r="CV41" s="3" t="str">
        <f t="shared" ref="CV41:CV71" si="61">IFERROR(
CHOOSE(
MATCH("FAIL",CJ41:CQ41,0),
"1-Specificity","2-Metric","3-Baseline","4-Target",
"5-Time Horizon","6-Scope","7-Verification","8-Consistency"
),
IFERROR(
CHOOSE(
MATCH("PARTIAL",CJ41:CQ41,0),
"1-Specificity","2-Metric","3-Baseline","4-Target",
"5-Time Horizon","6-Scope","7-Verification","8-Consistency"
),
"No failures"
)
)</f>
        <v>No failures</v>
      </c>
      <c r="CW41" s="3"/>
      <c r="CX41" s="3"/>
      <c r="CY41" s="3"/>
      <c r="CZ41" s="3"/>
      <c r="DA41" s="3" t="str">
        <f t="shared" si="54"/>
        <v>Yes</v>
      </c>
      <c r="DB41" s="3" t="str">
        <f t="shared" si="55"/>
        <v>No</v>
      </c>
      <c r="DC41" s="3"/>
      <c r="DD41" s="3"/>
      <c r="DE41" s="3"/>
      <c r="DF41" s="3"/>
      <c r="DG41" s="3"/>
      <c r="DH41" s="3"/>
      <c r="DI41" s="3"/>
      <c r="DJ41" s="3"/>
      <c r="DK41" s="3"/>
      <c r="DL41" s="3" t="str">
        <f t="shared" si="56"/>
        <v>Clear</v>
      </c>
      <c r="DM41" s="3" t="str">
        <f t="shared" si="57"/>
        <v>Yes</v>
      </c>
      <c r="DN41" s="3">
        <f t="array" ref="DN41">MIN(100,
  IF(ISNUMBER(V41), _xlfn.IFS(V41&gt;=3,25, V41=2,15, V41=1,5, TRUE,0), 0)
  + IFERROR(_xlfn.IFS(VALUE(LEFT(DF41,1))=5,25, VALUE(LEFT(DF41,1))=4,20, VALUE(LEFT(DF41,1))=3,15, VALUE(LEFT(DF41,1))=2,8, TRUE,0), 15)
  + IFERROR(_xlfn.IFS(VALUE(LEFT(DG41,1))=5,25, VALUE(LEFT(DG41,1))=4,20, VALUE(LEFT(DG41,1))=3,15, VALUE(LEFT(DG41,1))=2,8, TRUE,0), 15)
  + _xlfn.IFS(DH41="Fully Verified",25, DH41="Partially Verified",12, TRUE,0)
)</f>
        <v>30</v>
      </c>
      <c r="DO41" s="3" t="str">
        <f t="array" ref="DO41">_xlfn.IFS(
  ISBLANK(AR41), "Insufficient Evidence",
  AND(AR41&gt;=65, AJ41="Approved"), "Strong",
  AR41&gt;=65, "Adequate",
  AR41&gt;=40, "Adequate",
  AR41&gt;=20, "Weak",
  TRUE, "Insufficient Evidence"
)</f>
        <v>Insufficient Evidence</v>
      </c>
      <c r="DP41" s="3" t="str">
        <f t="array" ref="DP41">_xlfn.IFS(
  ISBLANK(BS41), "Insufficient Evidence",
  BS41&gt;=65, "Strong",
  BS41&gt;=40, "Adequate",
  BS41&gt;=20, "Weak",
  TRUE, "Insufficient Evidence"
)</f>
        <v>Insufficient Evidence</v>
      </c>
      <c r="DQ41" s="3" t="str">
        <f t="array" ref="DQ41">_xlfn.IFS(
  ISBLANK(BE41), "Insufficient Evidence",
  OR(AW41="Confirmed Violation", AX41="Confirmed Breach"), "Severe — Hard Trigger",
  BE41&gt;=65, "Strong",
  BE41&gt;=40, "Adequate",
  BE41&gt;=20, "Weak",
  TRUE, "Insufficient Evidence"
)</f>
        <v>Insufficient Evidence</v>
      </c>
      <c r="DR41" s="3" t="str">
        <f t="array" ref="DR41">_xlfn.IFS(
  ISBLANK(CU41), "Insufficient Evidence",
  CU41&lt;=20, "Low Risk",
  CU41&lt;=50, "Moderate Risk",
  CU41&lt;=75, "High Risk",
  TRUE, "Very High Risk"
)</f>
        <v>Low Risk</v>
      </c>
      <c r="DS41" s="3" t="str">
        <f t="array" ref="DS41">_xlfn.IFS(
  ISBLANK(CE41), "Insufficient Evidence",
  AND(ISNUMBER(BW41),ISNUMBER(BV41),BW41&gt;BV41), "Overclaiming Risk",
  CE41&gt;=65, "Strong",
  CE41&gt;=40, "Adequate",
  TRUE, "Weak"
)</f>
        <v>Weak</v>
      </c>
      <c r="DT41" s="3">
        <f t="shared" si="58"/>
        <v>11.7</v>
      </c>
      <c r="DU41" s="3" t="str">
        <f t="array" ref="DU41">_xlfn.IFS(
  DV41="Upgraded to Clear", "Clear",
  DV41="Downgraded to Watchlist", "Watchlist",
  DV41="Downgraded to Exclusion", "Exclusion Risk",
  DB41="Yes — Automatic", "Exclusion Risk",
  OR(AW41="Confirmed Violation", AX41="Confirmed Breach"), "Exclusion Risk",
  OR(V41=0, ISBLANK(V41), DN41&lt;20), "Insufficient Evidence",
  AND(DT41&gt;=65, DA41="No", DB41="No"), "Clear",
  OR(DT41&gt;=40, DA41="Yes"), "Watchlist",
  TRUE, "Exclusion Risk"
)</f>
        <v>Insufficient Evidence</v>
      </c>
      <c r="DV41" s="3"/>
      <c r="DW41" s="3" t="str">
        <f t="array" ref="DW41">_xlfn.IFS(
  DU41="Exclusion Risk", "Exclude — Hard Trigger",
  DU41="Insufficient Evidence", "Watchlist — Further Evidence Needed",
  DU41="Watchlist", "Watchlist — Further Evidence Needed",
  AND(DU41="Clear", DT41&gt;=80), "Include — No Conditions",
  DU41="Clear", "Include — Monitor",
  TRUE, "Watchlist — Further Evidence Needed"
)</f>
        <v>Watchlist — Further Evidence Needed</v>
      </c>
      <c r="DX41" s="3"/>
      <c r="DY41" s="3"/>
      <c r="DZ41" s="3"/>
      <c r="EA41" s="3"/>
      <c r="EB41" s="3" t="str">
        <f t="shared" si="59"/>
        <v>MISSING — No sources reviewed</v>
      </c>
      <c r="EC41" s="3" t="str">
        <f t="shared" si="60"/>
        <v/>
      </c>
    </row>
    <row r="42" spans="1:133" ht="18" customHeight="1" x14ac:dyDescent="0.15">
      <c r="A42" s="5" t="s">
        <v>440</v>
      </c>
      <c r="B42" s="5" t="s">
        <v>441</v>
      </c>
      <c r="C42" s="5" t="str">
        <f>IF(ISBLANK('Universe Tracker'!D38),"",'Universe Tracker'!D38)</f>
        <v>IT0001031084</v>
      </c>
      <c r="D42" s="5"/>
      <c r="E42" s="5"/>
      <c r="F42" s="5" t="str">
        <f>IF(ISBLANK('Universe Tracker'!F38),"",'Universe Tracker'!F38)</f>
        <v>Financials</v>
      </c>
      <c r="G42" s="5" t="str">
        <f>IF(ISBLANK('Universe Tracker'!G38),"",'Universe Tracker'!G38)</f>
        <v>Financial Services</v>
      </c>
      <c r="H42" s="5"/>
      <c r="I42" s="5"/>
      <c r="J42" s="5" t="str">
        <f t="shared" si="49"/>
        <v>B7A_IT0001031084</v>
      </c>
      <c r="K42" s="5"/>
      <c r="L42" s="5"/>
      <c r="M42" s="5"/>
      <c r="N42" s="5"/>
      <c r="O42" s="5"/>
      <c r="P42" s="5"/>
      <c r="Q42" s="5"/>
      <c r="R42" s="5"/>
      <c r="S42" s="5"/>
      <c r="T42" s="5"/>
      <c r="U42" s="5"/>
      <c r="V42" s="5"/>
      <c r="W42" s="5"/>
      <c r="X42" s="5"/>
      <c r="Y42" s="5" t="str">
        <f t="shared" si="50"/>
        <v>Insufficient</v>
      </c>
      <c r="Z42" s="5"/>
      <c r="AA42" s="5"/>
      <c r="AB42" s="5"/>
      <c r="AC42" s="5"/>
      <c r="AD42" s="5"/>
      <c r="AE42" s="5"/>
      <c r="AF42" s="5"/>
      <c r="AG42" s="5"/>
      <c r="AH42" s="5"/>
      <c r="AI42" s="5"/>
      <c r="AJ42" s="5"/>
      <c r="AK42" s="5"/>
      <c r="AL42" s="5"/>
      <c r="AM42" s="5"/>
      <c r="AN42" s="5"/>
      <c r="AO42" s="5"/>
      <c r="AP42" s="5"/>
      <c r="AQ42" s="5"/>
      <c r="AR42" s="40">
        <f t="array" ref="AR42">MIN(100, MAX(0,
  IFERROR(_xlfn.XLOOKUP(AJ42,'Lookup Tables'!$A$2:$A$7,'Lookup Tables'!$B$2:$B$7,0),0)
  + IF(Z42="Yes", IF(IFERROR(_xlfn.XLOOKUP(AJ42,'Lookup Tables'!$A$2:$A$7,'Lookup Tables'!$B$2:$B$7,0),0)&lt;20, 5, 0), 0)
  + _xlfn.IFS(AB42="Yes", IF(ISNUMBER(AC42)*AND(AC42&lt;=2030),15,10), AB42="Long-term Only", 5, AB42="No", 0, TRUE, 0)
  + _xlfn.IFS(AF42="Full",10, AF42="Partial",5, AF42="Scope 2 Only",3, TRUE,0)
  + _xlfn.IFS(AG42="Yes", IF(ISNUMBER(AH42)*AND(AH42&gt;=5),10,6), AG42="Partial",4, TRUE,0)
  + _xlfn.IFS(AI42="Yes",5, AI42="Partial (material categories only)",3, TRUE,0)
  + _xlfn.IFS(AL42="Yes — Detailed",10, AL42="Yes — High Level",5, TRUE,0)
  + _xlfn.IFS(AM42="Yes — Quantified",15, AM42="Yes — Directional Only",7, TRUE,0)
  + _xlfn.IFS(AP42="Formal",5, AP42="Referenced",2, TRUE,0)
  + _xlfn.IFS(AQ42="No Issues Found",5, AQ42="Concern Identified",-5, AQ42="Severe Contradiction",-15, TRUE,0)
  + _xlfn.IFS(BC42="Reasonable Assurance",5, BC42="Limited Assurance",3, TRUE,0)
  - IF(AND(Z42="Yes", AI42="No"), 10, 0)
  - IF(AND(Z42="Yes", AM42="No"), 10, 0)
))</f>
        <v>0</v>
      </c>
      <c r="AS42" s="5"/>
      <c r="AT42" s="5"/>
      <c r="AU42" s="5"/>
      <c r="AV42" s="5"/>
      <c r="AW42" s="5"/>
      <c r="AX42" s="5"/>
      <c r="AY42" s="5"/>
      <c r="AZ42" s="5"/>
      <c r="BA42" s="5"/>
      <c r="BB42" s="5"/>
      <c r="BC42" s="5"/>
      <c r="BD42" s="5"/>
      <c r="BE42" s="39">
        <f t="array" ref="BE42">MIN(100, MAX(0,
  IFERROR(_xlfn.XLOOKUP(AT42,'Lookup Tables'!$D$2:$D$6,'Lookup Tables'!$E$2:$E$6,0),0)
  + IFERROR(_xlfn.XLOOKUP(AV42,'Lookup Tables'!$G$2:$G$5,'Lookup Tables'!$H$2:$H$5,0),0)
  + IFERROR(_xlfn.XLOOKUP(AW42,'Lookup Tables'!$J$2:$J$5,'Lookup Tables'!$K$2:$K$5,0),0)
  + _xlfn.IFS(AX42="No Issues",10, AX42="Complaint Filed",3, AX42="Confirmed Breach",-15, TRUE,0)
  + IFERROR(_xlfn.XLOOKUP(AY42,'Lookup Tables'!$M$2:$M$6,'Lookup Tables'!$N$2:$N$6,0),0)
  + IFERROR(_xlfn.XLOOKUP(AZ42,'Lookup Tables'!$P$2:$P$6,'Lookup Tables'!$Q$2:$Q$6,0),0)
  + _xlfn.IFS(BA42="Formal Board Committee",5, BA42="Board Oversight Mentioned",2, TRUE,0)
  + _xlfn.IFS(BB42="Yes — Quantified Targets",5, BB42="Yes — Discretionary Only",2, TRUE,0)
  + _xlfn.IFS(BC42="Reasonable Assurance",5, BC42="Limited Assurance",3, BC42="Management Review Only",1, TRUE,0)
))</f>
        <v>0</v>
      </c>
      <c r="BF42" s="5"/>
      <c r="BG42" s="5"/>
      <c r="BH42" s="5"/>
      <c r="BI42" s="5"/>
      <c r="BJ42" s="5"/>
      <c r="BK42" s="5"/>
      <c r="BL42" s="5"/>
      <c r="BM42" s="5"/>
      <c r="BN42" s="5"/>
      <c r="BO42" s="5"/>
      <c r="BP42" s="5"/>
      <c r="BQ42" s="5"/>
      <c r="BR42" s="5"/>
      <c r="BS42" s="41">
        <f t="array" ref="BS42">MIN(100, MAX(0,
  IFERROR(_xlfn.XLOOKUP(BG42,'Lookup Tables'!$A$11:$A$16,'Lookup Tables'!$B$11:$B$16,0),0)
  + IFERROR(_xlfn.XLOOKUP(BR42,'Lookup Tables'!$M$11:$M$14,'Lookup Tables'!$N$11:$N$14,0),0)
  + IFERROR(_xlfn.XLOOKUP(BQ42,'Lookup Tables'!$J$11:$J$15,'Lookup Tables'!$K$11:$K$15,0),0)
  + IFERROR(_xlfn.XLOOKUP(BH42,'Lookup Tables'!$D$11:$D$15,'Lookup Tables'!$E$11:$E$15,0),0)
  + IFERROR(_xlfn.XLOOKUP(BJ42,'Lookup Tables'!$G$11:$G$16,'Lookup Tables'!$H$11:$H$16,0),0)
  + IFERROR(_xlfn.XLOOKUP(BN42,'Lookup Tables'!$P$11:$P$15,'Lookup Tables'!$Q$11:$Q$15,0),0)
  + _xlfn.IFS(BM42="No Evidence",10, BM42="Unknown",3, BM42="Likely",0, BM42="Confirmed",-10, TRUE,3)
  + IFERROR(_xlfn.XLOOKUP(BP42,'Lookup Tables'!$J$21:$J$24,'Lookup Tables'!$K$21:$K$24,0),0)
))</f>
        <v>3</v>
      </c>
      <c r="BT42" s="5"/>
      <c r="BU42" s="5"/>
      <c r="BV42" s="5"/>
      <c r="BW42" s="5"/>
      <c r="BX42" s="5"/>
      <c r="BY42" s="5"/>
      <c r="BZ42" s="5"/>
      <c r="CA42" s="5"/>
      <c r="CB42" s="5"/>
      <c r="CC42" s="5"/>
      <c r="CD42" s="5"/>
      <c r="CE42" s="43">
        <f t="array" ref="CE42">MIN(100, MAX(0,
  IF(ISNUMBER(BV42)*AND(BV42&gt;0), 10, 0)
  + _xlfn.IFS(BY42="Independently Verified",25, BY42="Yes",15, TRUE,0)
  + IFERROR(_xlfn.XLOOKUP(BZ42,'Lookup Tables'!$A$21:$A$24,'Lookup Tables'!$B$21:$B$24,0),0)
  + IFERROR(_xlfn.XLOOKUP(CA42,'Lookup Tables'!$D$21:$D$24,'Lookup Tables'!$E$21:$E$24,0),0)
  + _xlfn.IFS(ISNUMBER(CB42)*AND(CB42&gt;=11),15, ISNUMBER(CB42)*AND(CB42&gt;=6),10, ISNUMBER(CB42)*AND(CB42&gt;=1),5, TRUE,0)
  + IFERROR(_xlfn.XLOOKUP(CC42,'Lookup Tables'!$G$21:$G$25,'Lookup Tables'!$H$21:$H$25,0),0)
  - IF(ISNUMBER(BW42)*AND(ISNUMBER(BV42))*AND(BW42&gt;BV42), 20, 0)
  - IF(AND(BY42="Yes", ISNUMBER(BW42), BW42&gt;60), 10, 0)
))</f>
        <v>0</v>
      </c>
      <c r="CF42" s="5"/>
      <c r="CG42" s="5"/>
      <c r="CH42" s="5"/>
      <c r="CI42" s="5"/>
      <c r="CJ42" s="5"/>
      <c r="CK42" s="5"/>
      <c r="CL42" s="5"/>
      <c r="CM42" s="5"/>
      <c r="CN42" s="5"/>
      <c r="CO42" s="5"/>
      <c r="CP42" s="5"/>
      <c r="CQ42" s="5"/>
      <c r="CR42" s="5">
        <f t="shared" si="51"/>
        <v>0</v>
      </c>
      <c r="CS42" s="5">
        <f t="shared" si="52"/>
        <v>0</v>
      </c>
      <c r="CT42" s="5">
        <f t="shared" si="53"/>
        <v>0</v>
      </c>
      <c r="CU42" s="5">
        <f>MIN(100,
  CR42*15
  + CS42*6
  + CT42*3
  + IFERROR(_xlfn.XLOOKUP(CW42,'Lookup Tables'!$M$21:$M$25,'Lookup Tables'!$N$21:$N$25,0),0)
)</f>
        <v>0</v>
      </c>
      <c r="CV42" s="5" t="str">
        <f t="shared" si="61"/>
        <v>No failures</v>
      </c>
      <c r="CW42" s="5"/>
      <c r="CX42" s="5"/>
      <c r="CY42" s="5"/>
      <c r="CZ42" s="5"/>
      <c r="DA42" s="5" t="str">
        <f t="shared" si="54"/>
        <v>Yes</v>
      </c>
      <c r="DB42" s="5" t="str">
        <f t="shared" si="55"/>
        <v>No</v>
      </c>
      <c r="DC42" s="5"/>
      <c r="DD42" s="5"/>
      <c r="DE42" s="5"/>
      <c r="DF42" s="5"/>
      <c r="DG42" s="5"/>
      <c r="DH42" s="5"/>
      <c r="DI42" s="5"/>
      <c r="DJ42" s="5"/>
      <c r="DK42" s="5"/>
      <c r="DL42" s="5" t="str">
        <f t="shared" si="56"/>
        <v>Clear</v>
      </c>
      <c r="DM42" s="5" t="str">
        <f t="shared" si="57"/>
        <v>Yes</v>
      </c>
      <c r="DN42" s="5">
        <f t="array" ref="DN42">MIN(100,
  IF(ISNUMBER(V42), _xlfn.IFS(V42&gt;=3,25, V42=2,15, V42=1,5, TRUE,0), 0)
  + IFERROR(_xlfn.IFS(VALUE(LEFT(DF42,1))=5,25, VALUE(LEFT(DF42,1))=4,20, VALUE(LEFT(DF42,1))=3,15, VALUE(LEFT(DF42,1))=2,8, TRUE,0), 15)
  + IFERROR(_xlfn.IFS(VALUE(LEFT(DG42,1))=5,25, VALUE(LEFT(DG42,1))=4,20, VALUE(LEFT(DG42,1))=3,15, VALUE(LEFT(DG42,1))=2,8, TRUE,0), 15)
  + _xlfn.IFS(DH42="Fully Verified",25, DH42="Partially Verified",12, TRUE,0)
)</f>
        <v>30</v>
      </c>
      <c r="DO42" s="5" t="str">
        <f t="array" ref="DO42">_xlfn.IFS(
  ISBLANK(AR42), "Insufficient Evidence",
  AND(AR42&gt;=65, AJ42="Approved"), "Strong",
  AR42&gt;=65, "Adequate",
  AR42&gt;=40, "Adequate",
  AR42&gt;=20, "Weak",
  TRUE, "Insufficient Evidence"
)</f>
        <v>Insufficient Evidence</v>
      </c>
      <c r="DP42" s="5" t="str">
        <f t="array" ref="DP42">_xlfn.IFS(
  ISBLANK(BS42), "Insufficient Evidence",
  BS42&gt;=65, "Strong",
  BS42&gt;=40, "Adequate",
  BS42&gt;=20, "Weak",
  TRUE, "Insufficient Evidence"
)</f>
        <v>Insufficient Evidence</v>
      </c>
      <c r="DQ42" s="5" t="str">
        <f t="array" ref="DQ42">_xlfn.IFS(
  ISBLANK(BE42), "Insufficient Evidence",
  OR(AW42="Confirmed Violation", AX42="Confirmed Breach"), "Severe — Hard Trigger",
  BE42&gt;=65, "Strong",
  BE42&gt;=40, "Adequate",
  BE42&gt;=20, "Weak",
  TRUE, "Insufficient Evidence"
)</f>
        <v>Insufficient Evidence</v>
      </c>
      <c r="DR42" s="5" t="str">
        <f t="array" ref="DR42">_xlfn.IFS(
  ISBLANK(CU42), "Insufficient Evidence",
  CU42&lt;=20, "Low Risk",
  CU42&lt;=50, "Moderate Risk",
  CU42&lt;=75, "High Risk",
  TRUE, "Very High Risk"
)</f>
        <v>Low Risk</v>
      </c>
      <c r="DS42" s="5" t="str">
        <f t="array" ref="DS42">_xlfn.IFS(
  ISBLANK(CE42), "Insufficient Evidence",
  AND(ISNUMBER(BW42),ISNUMBER(BV42),BW42&gt;BV42), "Overclaiming Risk",
  CE42&gt;=65, "Strong",
  CE42&gt;=40, "Adequate",
  TRUE, "Weak"
)</f>
        <v>Weak</v>
      </c>
      <c r="DT42" s="5">
        <f t="shared" si="58"/>
        <v>11.7</v>
      </c>
      <c r="DU42" s="5" t="str">
        <f t="array" ref="DU42">_xlfn.IFS(
  DV42="Upgraded to Clear", "Clear",
  DV42="Downgraded to Watchlist", "Watchlist",
  DV42="Downgraded to Exclusion", "Exclusion Risk",
  DB42="Yes — Automatic", "Exclusion Risk",
  OR(AW42="Confirmed Violation", AX42="Confirmed Breach"), "Exclusion Risk",
  OR(V42=0, ISBLANK(V42), DN42&lt;20), "Insufficient Evidence",
  AND(DT42&gt;=65, DA42="No", DB42="No"), "Clear",
  OR(DT42&gt;=40, DA42="Yes"), "Watchlist",
  TRUE, "Exclusion Risk"
)</f>
        <v>Insufficient Evidence</v>
      </c>
      <c r="DV42" s="5"/>
      <c r="DW42" s="5" t="str">
        <f t="array" ref="DW42">_xlfn.IFS(
  DU42="Exclusion Risk", "Exclude — Hard Trigger",
  DU42="Insufficient Evidence", "Watchlist — Further Evidence Needed",
  DU42="Watchlist", "Watchlist — Further Evidence Needed",
  AND(DU42="Clear", DT42&gt;=80), "Include — No Conditions",
  DU42="Clear", "Include — Monitor",
  TRUE, "Watchlist — Further Evidence Needed"
)</f>
        <v>Watchlist — Further Evidence Needed</v>
      </c>
      <c r="DX42" s="5"/>
      <c r="DY42" s="5"/>
      <c r="DZ42" s="5"/>
      <c r="EA42" s="5"/>
      <c r="EB42" s="5" t="str">
        <f t="shared" si="59"/>
        <v>MISSING — No sources reviewed</v>
      </c>
      <c r="EC42" s="5" t="str">
        <f t="shared" si="60"/>
        <v/>
      </c>
    </row>
    <row r="43" spans="1:133" ht="18" customHeight="1" x14ac:dyDescent="0.15">
      <c r="A43" s="3" t="s">
        <v>444</v>
      </c>
      <c r="B43" s="3" t="s">
        <v>445</v>
      </c>
      <c r="C43" s="3" t="str">
        <f>IF(ISBLANK('Universe Tracker'!D39),"",'Universe Tracker'!D39)</f>
        <v>GB00BF4HYT85</v>
      </c>
      <c r="D43" s="3"/>
      <c r="E43" s="3"/>
      <c r="F43" s="3" t="str">
        <f>IF(ISBLANK('Universe Tracker'!F39),"",'Universe Tracker'!F39)</f>
        <v>Financials</v>
      </c>
      <c r="G43" s="3" t="str">
        <f>IF(ISBLANK('Universe Tracker'!G39),"",'Universe Tracker'!G39)</f>
        <v>Banking</v>
      </c>
      <c r="H43" s="3"/>
      <c r="I43" s="3"/>
      <c r="J43" s="3" t="str">
        <f t="shared" si="49"/>
        <v>GEB_GB00BF4HYT85</v>
      </c>
      <c r="K43" s="3"/>
      <c r="L43" s="3"/>
      <c r="M43" s="3"/>
      <c r="N43" s="3"/>
      <c r="O43" s="3"/>
      <c r="P43" s="3"/>
      <c r="Q43" s="3"/>
      <c r="R43" s="3"/>
      <c r="S43" s="3"/>
      <c r="T43" s="3"/>
      <c r="U43" s="3"/>
      <c r="V43" s="3"/>
      <c r="W43" s="3"/>
      <c r="X43" s="3"/>
      <c r="Y43" s="3" t="str">
        <f t="shared" si="50"/>
        <v>Insufficient</v>
      </c>
      <c r="Z43" s="3"/>
      <c r="AA43" s="3"/>
      <c r="AB43" s="3"/>
      <c r="AC43" s="3"/>
      <c r="AD43" s="3"/>
      <c r="AE43" s="3"/>
      <c r="AF43" s="3"/>
      <c r="AG43" s="3"/>
      <c r="AH43" s="3"/>
      <c r="AI43" s="3"/>
      <c r="AJ43" s="3"/>
      <c r="AK43" s="3"/>
      <c r="AL43" s="3"/>
      <c r="AM43" s="3"/>
      <c r="AN43" s="3"/>
      <c r="AO43" s="3"/>
      <c r="AP43" s="3"/>
      <c r="AQ43" s="3"/>
      <c r="AR43" s="40">
        <f t="array" ref="AR43">MIN(100, MAX(0,
  IFERROR(_xlfn.XLOOKUP(AJ43,'Lookup Tables'!$A$2:$A$7,'Lookup Tables'!$B$2:$B$7,0),0)
  + IF(Z43="Yes", IF(IFERROR(_xlfn.XLOOKUP(AJ43,'Lookup Tables'!$A$2:$A$7,'Lookup Tables'!$B$2:$B$7,0),0)&lt;20, 5, 0), 0)
  + _xlfn.IFS(AB43="Yes", IF(ISNUMBER(AC43)*AND(AC43&lt;=2030),15,10), AB43="Long-term Only", 5, AB43="No", 0, TRUE, 0)
  + _xlfn.IFS(AF43="Full",10, AF43="Partial",5, AF43="Scope 2 Only",3, TRUE,0)
  + _xlfn.IFS(AG43="Yes", IF(ISNUMBER(AH43)*AND(AH43&gt;=5),10,6), AG43="Partial",4, TRUE,0)
  + _xlfn.IFS(AI43="Yes",5, AI43="Partial (material categories only)",3, TRUE,0)
  + _xlfn.IFS(AL43="Yes — Detailed",10, AL43="Yes — High Level",5, TRUE,0)
  + _xlfn.IFS(AM43="Yes — Quantified",15, AM43="Yes — Directional Only",7, TRUE,0)
  + _xlfn.IFS(AP43="Formal",5, AP43="Referenced",2, TRUE,0)
  + _xlfn.IFS(AQ43="No Issues Found",5, AQ43="Concern Identified",-5, AQ43="Severe Contradiction",-15, TRUE,0)
  + _xlfn.IFS(BC43="Reasonable Assurance",5, BC43="Limited Assurance",3, TRUE,0)
  - IF(AND(Z43="Yes", AI43="No"), 10, 0)
  - IF(AND(Z43="Yes", AM43="No"), 10, 0)
))</f>
        <v>0</v>
      </c>
      <c r="AS43" s="3"/>
      <c r="AT43" s="3"/>
      <c r="AU43" s="3"/>
      <c r="AV43" s="3"/>
      <c r="AW43" s="3"/>
      <c r="AX43" s="3"/>
      <c r="AY43" s="3"/>
      <c r="AZ43" s="3"/>
      <c r="BA43" s="3"/>
      <c r="BB43" s="3"/>
      <c r="BC43" s="3"/>
      <c r="BD43" s="3"/>
      <c r="BE43" s="40">
        <f t="array" ref="BE43">MIN(100, MAX(0,
  IFERROR(_xlfn.XLOOKUP(AT43,'Lookup Tables'!$D$2:$D$6,'Lookup Tables'!$E$2:$E$6,0),0)
  + IFERROR(_xlfn.XLOOKUP(AV43,'Lookup Tables'!$G$2:$G$5,'Lookup Tables'!$H$2:$H$5,0),0)
  + IFERROR(_xlfn.XLOOKUP(AW43,'Lookup Tables'!$J$2:$J$5,'Lookup Tables'!$K$2:$K$5,0),0)
  + _xlfn.IFS(AX43="No Issues",10, AX43="Complaint Filed",3, AX43="Confirmed Breach",-15, TRUE,0)
  + IFERROR(_xlfn.XLOOKUP(AY43,'Lookup Tables'!$M$2:$M$6,'Lookup Tables'!$N$2:$N$6,0),0)
  + IFERROR(_xlfn.XLOOKUP(AZ43,'Lookup Tables'!$P$2:$P$6,'Lookup Tables'!$Q$2:$Q$6,0),0)
  + _xlfn.IFS(BA43="Formal Board Committee",5, BA43="Board Oversight Mentioned",2, TRUE,0)
  + _xlfn.IFS(BB43="Yes — Quantified Targets",5, BB43="Yes — Discretionary Only",2, TRUE,0)
  + _xlfn.IFS(BC43="Reasonable Assurance",5, BC43="Limited Assurance",3, BC43="Management Review Only",1, TRUE,0)
))</f>
        <v>0</v>
      </c>
      <c r="BF43" s="3"/>
      <c r="BG43" s="3"/>
      <c r="BH43" s="3"/>
      <c r="BI43" s="3"/>
      <c r="BJ43" s="3"/>
      <c r="BK43" s="3"/>
      <c r="BL43" s="3"/>
      <c r="BM43" s="3"/>
      <c r="BN43" s="3"/>
      <c r="BO43" s="3"/>
      <c r="BP43" s="3"/>
      <c r="BQ43" s="3"/>
      <c r="BR43" s="3"/>
      <c r="BS43" s="42">
        <f t="array" ref="BS43">MIN(100, MAX(0,
  IFERROR(_xlfn.XLOOKUP(BG43,'Lookup Tables'!$A$11:$A$16,'Lookup Tables'!$B$11:$B$16,0),0)
  + IFERROR(_xlfn.XLOOKUP(BR43,'Lookup Tables'!$M$11:$M$14,'Lookup Tables'!$N$11:$N$14,0),0)
  + IFERROR(_xlfn.XLOOKUP(BQ43,'Lookup Tables'!$J$11:$J$15,'Lookup Tables'!$K$11:$K$15,0),0)
  + IFERROR(_xlfn.XLOOKUP(BH43,'Lookup Tables'!$D$11:$D$15,'Lookup Tables'!$E$11:$E$15,0),0)
  + IFERROR(_xlfn.XLOOKUP(BJ43,'Lookup Tables'!$G$11:$G$16,'Lookup Tables'!$H$11:$H$16,0),0)
  + IFERROR(_xlfn.XLOOKUP(BN43,'Lookup Tables'!$P$11:$P$15,'Lookup Tables'!$Q$11:$Q$15,0),0)
  + _xlfn.IFS(BM43="No Evidence",10, BM43="Unknown",3, BM43="Likely",0, BM43="Confirmed",-10, TRUE,3)
  + IFERROR(_xlfn.XLOOKUP(BP43,'Lookup Tables'!$J$21:$J$24,'Lookup Tables'!$K$21:$K$24,0),0)
))</f>
        <v>3</v>
      </c>
      <c r="BT43" s="3"/>
      <c r="BU43" s="3"/>
      <c r="BV43" s="3"/>
      <c r="BW43" s="3"/>
      <c r="BX43" s="3"/>
      <c r="BY43" s="3"/>
      <c r="BZ43" s="3"/>
      <c r="CA43" s="3"/>
      <c r="CB43" s="3"/>
      <c r="CC43" s="3"/>
      <c r="CD43" s="3"/>
      <c r="CE43" s="44">
        <f t="array" ref="CE43">MIN(100, MAX(0,
  IF(ISNUMBER(BV43)*AND(BV43&gt;0), 10, 0)
  + _xlfn.IFS(BY43="Independently Verified",25, BY43="Yes",15, TRUE,0)
  + IFERROR(_xlfn.XLOOKUP(BZ43,'Lookup Tables'!$A$21:$A$24,'Lookup Tables'!$B$21:$B$24,0),0)
  + IFERROR(_xlfn.XLOOKUP(CA43,'Lookup Tables'!$D$21:$D$24,'Lookup Tables'!$E$21:$E$24,0),0)
  + _xlfn.IFS(ISNUMBER(CB43)*AND(CB43&gt;=11),15, ISNUMBER(CB43)*AND(CB43&gt;=6),10, ISNUMBER(CB43)*AND(CB43&gt;=1),5, TRUE,0)
  + IFERROR(_xlfn.XLOOKUP(CC43,'Lookup Tables'!$G$21:$G$25,'Lookup Tables'!$H$21:$H$25,0),0)
  - IF(ISNUMBER(BW43)*AND(ISNUMBER(BV43))*AND(BW43&gt;BV43), 20, 0)
  - IF(AND(BY43="Yes", ISNUMBER(BW43), BW43&gt;60), 10, 0)
))</f>
        <v>0</v>
      </c>
      <c r="CF43" s="3"/>
      <c r="CG43" s="3"/>
      <c r="CH43" s="3"/>
      <c r="CI43" s="3"/>
      <c r="CJ43" s="3"/>
      <c r="CK43" s="3"/>
      <c r="CL43" s="3"/>
      <c r="CM43" s="3"/>
      <c r="CN43" s="3"/>
      <c r="CO43" s="3"/>
      <c r="CP43" s="3"/>
      <c r="CQ43" s="3"/>
      <c r="CR43" s="3">
        <f t="shared" si="51"/>
        <v>0</v>
      </c>
      <c r="CS43" s="3">
        <f t="shared" si="52"/>
        <v>0</v>
      </c>
      <c r="CT43" s="3">
        <f t="shared" si="53"/>
        <v>0</v>
      </c>
      <c r="CU43" s="3">
        <f>MIN(100,
  CR43*15
  + CS43*6
  + CT43*3
  + IFERROR(_xlfn.XLOOKUP(CW43,'Lookup Tables'!$M$21:$M$25,'Lookup Tables'!$N$21:$N$25,0),0)
)</f>
        <v>0</v>
      </c>
      <c r="CV43" s="3" t="str">
        <f t="shared" si="61"/>
        <v>No failures</v>
      </c>
      <c r="CW43" s="3"/>
      <c r="CX43" s="3"/>
      <c r="CY43" s="3"/>
      <c r="CZ43" s="3"/>
      <c r="DA43" s="3" t="str">
        <f t="shared" si="54"/>
        <v>Yes</v>
      </c>
      <c r="DB43" s="3" t="str">
        <f t="shared" si="55"/>
        <v>No</v>
      </c>
      <c r="DC43" s="3"/>
      <c r="DD43" s="3"/>
      <c r="DE43" s="3"/>
      <c r="DF43" s="3"/>
      <c r="DG43" s="3"/>
      <c r="DH43" s="3"/>
      <c r="DI43" s="3"/>
      <c r="DJ43" s="3"/>
      <c r="DK43" s="3"/>
      <c r="DL43" s="3" t="str">
        <f t="shared" si="56"/>
        <v>Clear</v>
      </c>
      <c r="DM43" s="3" t="str">
        <f t="shared" si="57"/>
        <v>Yes</v>
      </c>
      <c r="DN43" s="3">
        <f t="array" ref="DN43">MIN(100,
  IF(ISNUMBER(V43), _xlfn.IFS(V43&gt;=3,25, V43=2,15, V43=1,5, TRUE,0), 0)
  + IFERROR(_xlfn.IFS(VALUE(LEFT(DF43,1))=5,25, VALUE(LEFT(DF43,1))=4,20, VALUE(LEFT(DF43,1))=3,15, VALUE(LEFT(DF43,1))=2,8, TRUE,0), 15)
  + IFERROR(_xlfn.IFS(VALUE(LEFT(DG43,1))=5,25, VALUE(LEFT(DG43,1))=4,20, VALUE(LEFT(DG43,1))=3,15, VALUE(LEFT(DG43,1))=2,8, TRUE,0), 15)
  + _xlfn.IFS(DH43="Fully Verified",25, DH43="Partially Verified",12, TRUE,0)
)</f>
        <v>30</v>
      </c>
      <c r="DO43" s="3" t="str">
        <f t="array" ref="DO43">_xlfn.IFS(
  ISBLANK(AR43), "Insufficient Evidence",
  AND(AR43&gt;=65, AJ43="Approved"), "Strong",
  AR43&gt;=65, "Adequate",
  AR43&gt;=40, "Adequate",
  AR43&gt;=20, "Weak",
  TRUE, "Insufficient Evidence"
)</f>
        <v>Insufficient Evidence</v>
      </c>
      <c r="DP43" s="3" t="str">
        <f t="array" ref="DP43">_xlfn.IFS(
  ISBLANK(BS43), "Insufficient Evidence",
  BS43&gt;=65, "Strong",
  BS43&gt;=40, "Adequate",
  BS43&gt;=20, "Weak",
  TRUE, "Insufficient Evidence"
)</f>
        <v>Insufficient Evidence</v>
      </c>
      <c r="DQ43" s="3" t="str">
        <f t="array" ref="DQ43">_xlfn.IFS(
  ISBLANK(BE43), "Insufficient Evidence",
  OR(AW43="Confirmed Violation", AX43="Confirmed Breach"), "Severe — Hard Trigger",
  BE43&gt;=65, "Strong",
  BE43&gt;=40, "Adequate",
  BE43&gt;=20, "Weak",
  TRUE, "Insufficient Evidence"
)</f>
        <v>Insufficient Evidence</v>
      </c>
      <c r="DR43" s="3" t="str">
        <f t="array" ref="DR43">_xlfn.IFS(
  ISBLANK(CU43), "Insufficient Evidence",
  CU43&lt;=20, "Low Risk",
  CU43&lt;=50, "Moderate Risk",
  CU43&lt;=75, "High Risk",
  TRUE, "Very High Risk"
)</f>
        <v>Low Risk</v>
      </c>
      <c r="DS43" s="3" t="str">
        <f t="array" ref="DS43">_xlfn.IFS(
  ISBLANK(CE43), "Insufficient Evidence",
  AND(ISNUMBER(BW43),ISNUMBER(BV43),BW43&gt;BV43), "Overclaiming Risk",
  CE43&gt;=65, "Strong",
  CE43&gt;=40, "Adequate",
  TRUE, "Weak"
)</f>
        <v>Weak</v>
      </c>
      <c r="DT43" s="3">
        <f t="shared" si="58"/>
        <v>11.7</v>
      </c>
      <c r="DU43" s="3" t="str">
        <f t="array" ref="DU43">_xlfn.IFS(
  DV43="Upgraded to Clear", "Clear",
  DV43="Downgraded to Watchlist", "Watchlist",
  DV43="Downgraded to Exclusion", "Exclusion Risk",
  DB43="Yes — Automatic", "Exclusion Risk",
  OR(AW43="Confirmed Violation", AX43="Confirmed Breach"), "Exclusion Risk",
  OR(V43=0, ISBLANK(V43), DN43&lt;20), "Insufficient Evidence",
  AND(DT43&gt;=65, DA43="No", DB43="No"), "Clear",
  OR(DT43&gt;=40, DA43="Yes"), "Watchlist",
  TRUE, "Exclusion Risk"
)</f>
        <v>Insufficient Evidence</v>
      </c>
      <c r="DV43" s="3"/>
      <c r="DW43" s="3" t="str">
        <f t="array" ref="DW43">_xlfn.IFS(
  DU43="Exclusion Risk", "Exclude — Hard Trigger",
  DU43="Insufficient Evidence", "Watchlist — Further Evidence Needed",
  DU43="Watchlist", "Watchlist — Further Evidence Needed",
  AND(DU43="Clear", DT43&gt;=80), "Include — No Conditions",
  DU43="Clear", "Include — Monitor",
  TRUE, "Watchlist — Further Evidence Needed"
)</f>
        <v>Watchlist — Further Evidence Needed</v>
      </c>
      <c r="DX43" s="3"/>
      <c r="DY43" s="3"/>
      <c r="DZ43" s="3"/>
      <c r="EA43" s="3"/>
      <c r="EB43" s="3" t="str">
        <f t="shared" si="59"/>
        <v>MISSING — No sources reviewed</v>
      </c>
      <c r="EC43" s="3" t="str">
        <f t="shared" si="60"/>
        <v/>
      </c>
    </row>
    <row r="44" spans="1:133" ht="18" customHeight="1" x14ac:dyDescent="0.15">
      <c r="A44" s="5" t="s">
        <v>448</v>
      </c>
      <c r="B44" s="5" t="s">
        <v>449</v>
      </c>
      <c r="C44" s="5" t="str">
        <f>IF(ISBLANK('Universe Tracker'!D40),"",'Universe Tracker'!D40)</f>
        <v>IT0004776628</v>
      </c>
      <c r="D44" s="5"/>
      <c r="E44" s="5"/>
      <c r="F44" s="5" t="str">
        <f>IF(ISBLANK('Universe Tracker'!F40),"",'Universe Tracker'!F40)</f>
        <v>Financials</v>
      </c>
      <c r="G44" s="5" t="str">
        <f>IF(ISBLANK('Universe Tracker'!G40),"",'Universe Tracker'!G40)</f>
        <v>Banking</v>
      </c>
      <c r="H44" s="5"/>
      <c r="I44" s="5"/>
      <c r="J44" s="5" t="str">
        <f t="shared" si="49"/>
        <v>ME1_IT0004776628</v>
      </c>
      <c r="K44" s="5"/>
      <c r="L44" s="5"/>
      <c r="M44" s="5"/>
      <c r="N44" s="5"/>
      <c r="O44" s="5"/>
      <c r="P44" s="5"/>
      <c r="Q44" s="5"/>
      <c r="R44" s="5"/>
      <c r="S44" s="5"/>
      <c r="T44" s="5"/>
      <c r="U44" s="5"/>
      <c r="V44" s="5"/>
      <c r="W44" s="5"/>
      <c r="X44" s="5"/>
      <c r="Y44" s="5" t="str">
        <f t="shared" si="50"/>
        <v>Insufficient</v>
      </c>
      <c r="Z44" s="5"/>
      <c r="AA44" s="5"/>
      <c r="AB44" s="5"/>
      <c r="AC44" s="5"/>
      <c r="AD44" s="5"/>
      <c r="AE44" s="5"/>
      <c r="AF44" s="5"/>
      <c r="AG44" s="5"/>
      <c r="AH44" s="5"/>
      <c r="AI44" s="5"/>
      <c r="AJ44" s="5"/>
      <c r="AK44" s="5"/>
      <c r="AL44" s="5"/>
      <c r="AM44" s="5"/>
      <c r="AN44" s="5"/>
      <c r="AO44" s="5"/>
      <c r="AP44" s="5"/>
      <c r="AQ44" s="5"/>
      <c r="AR44" s="40">
        <f t="array" ref="AR44">MIN(100, MAX(0,
  IFERROR(_xlfn.XLOOKUP(AJ44,'Lookup Tables'!$A$2:$A$7,'Lookup Tables'!$B$2:$B$7,0),0)
  + IF(Z44="Yes", IF(IFERROR(_xlfn.XLOOKUP(AJ44,'Lookup Tables'!$A$2:$A$7,'Lookup Tables'!$B$2:$B$7,0),0)&lt;20, 5, 0), 0)
  + _xlfn.IFS(AB44="Yes", IF(ISNUMBER(AC44)*AND(AC44&lt;=2030),15,10), AB44="Long-term Only", 5, AB44="No", 0, TRUE, 0)
  + _xlfn.IFS(AF44="Full",10, AF44="Partial",5, AF44="Scope 2 Only",3, TRUE,0)
  + _xlfn.IFS(AG44="Yes", IF(ISNUMBER(AH44)*AND(AH44&gt;=5),10,6), AG44="Partial",4, TRUE,0)
  + _xlfn.IFS(AI44="Yes",5, AI44="Partial (material categories only)",3, TRUE,0)
  + _xlfn.IFS(AL44="Yes — Detailed",10, AL44="Yes — High Level",5, TRUE,0)
  + _xlfn.IFS(AM44="Yes — Quantified",15, AM44="Yes — Directional Only",7, TRUE,0)
  + _xlfn.IFS(AP44="Formal",5, AP44="Referenced",2, TRUE,0)
  + _xlfn.IFS(AQ44="No Issues Found",5, AQ44="Concern Identified",-5, AQ44="Severe Contradiction",-15, TRUE,0)
  + _xlfn.IFS(BC44="Reasonable Assurance",5, BC44="Limited Assurance",3, TRUE,0)
  - IF(AND(Z44="Yes", AI44="No"), 10, 0)
  - IF(AND(Z44="Yes", AM44="No"), 10, 0)
))</f>
        <v>0</v>
      </c>
      <c r="AS44" s="5"/>
      <c r="AT44" s="5"/>
      <c r="AU44" s="5"/>
      <c r="AV44" s="5"/>
      <c r="AW44" s="5"/>
      <c r="AX44" s="5"/>
      <c r="AY44" s="5"/>
      <c r="AZ44" s="5"/>
      <c r="BA44" s="5"/>
      <c r="BB44" s="5"/>
      <c r="BC44" s="5"/>
      <c r="BD44" s="5"/>
      <c r="BE44" s="39">
        <f t="array" ref="BE44">MIN(100, MAX(0,
  IFERROR(_xlfn.XLOOKUP(AT44,'Lookup Tables'!$D$2:$D$6,'Lookup Tables'!$E$2:$E$6,0),0)
  + IFERROR(_xlfn.XLOOKUP(AV44,'Lookup Tables'!$G$2:$G$5,'Lookup Tables'!$H$2:$H$5,0),0)
  + IFERROR(_xlfn.XLOOKUP(AW44,'Lookup Tables'!$J$2:$J$5,'Lookup Tables'!$K$2:$K$5,0),0)
  + _xlfn.IFS(AX44="No Issues",10, AX44="Complaint Filed",3, AX44="Confirmed Breach",-15, TRUE,0)
  + IFERROR(_xlfn.XLOOKUP(AY44,'Lookup Tables'!$M$2:$M$6,'Lookup Tables'!$N$2:$N$6,0),0)
  + IFERROR(_xlfn.XLOOKUP(AZ44,'Lookup Tables'!$P$2:$P$6,'Lookup Tables'!$Q$2:$Q$6,0),0)
  + _xlfn.IFS(BA44="Formal Board Committee",5, BA44="Board Oversight Mentioned",2, TRUE,0)
  + _xlfn.IFS(BB44="Yes — Quantified Targets",5, BB44="Yes — Discretionary Only",2, TRUE,0)
  + _xlfn.IFS(BC44="Reasonable Assurance",5, BC44="Limited Assurance",3, BC44="Management Review Only",1, TRUE,0)
))</f>
        <v>0</v>
      </c>
      <c r="BF44" s="5"/>
      <c r="BG44" s="5"/>
      <c r="BH44" s="5"/>
      <c r="BI44" s="5"/>
      <c r="BJ44" s="5"/>
      <c r="BK44" s="5"/>
      <c r="BL44" s="5"/>
      <c r="BM44" s="5"/>
      <c r="BN44" s="5"/>
      <c r="BO44" s="5"/>
      <c r="BP44" s="5"/>
      <c r="BQ44" s="5"/>
      <c r="BR44" s="5"/>
      <c r="BS44" s="41">
        <f t="array" ref="BS44">MIN(100, MAX(0,
  IFERROR(_xlfn.XLOOKUP(BG44,'Lookup Tables'!$A$11:$A$16,'Lookup Tables'!$B$11:$B$16,0),0)
  + IFERROR(_xlfn.XLOOKUP(BR44,'Lookup Tables'!$M$11:$M$14,'Lookup Tables'!$N$11:$N$14,0),0)
  + IFERROR(_xlfn.XLOOKUP(BQ44,'Lookup Tables'!$J$11:$J$15,'Lookup Tables'!$K$11:$K$15,0),0)
  + IFERROR(_xlfn.XLOOKUP(BH44,'Lookup Tables'!$D$11:$D$15,'Lookup Tables'!$E$11:$E$15,0),0)
  + IFERROR(_xlfn.XLOOKUP(BJ44,'Lookup Tables'!$G$11:$G$16,'Lookup Tables'!$H$11:$H$16,0),0)
  + IFERROR(_xlfn.XLOOKUP(BN44,'Lookup Tables'!$P$11:$P$15,'Lookup Tables'!$Q$11:$Q$15,0),0)
  + _xlfn.IFS(BM44="No Evidence",10, BM44="Unknown",3, BM44="Likely",0, BM44="Confirmed",-10, TRUE,3)
  + IFERROR(_xlfn.XLOOKUP(BP44,'Lookup Tables'!$J$21:$J$24,'Lookup Tables'!$K$21:$K$24,0),0)
))</f>
        <v>3</v>
      </c>
      <c r="BT44" s="5"/>
      <c r="BU44" s="5"/>
      <c r="BV44" s="5"/>
      <c r="BW44" s="5"/>
      <c r="BX44" s="5"/>
      <c r="BY44" s="5"/>
      <c r="BZ44" s="5"/>
      <c r="CA44" s="5"/>
      <c r="CB44" s="5"/>
      <c r="CC44" s="5"/>
      <c r="CD44" s="5"/>
      <c r="CE44" s="43">
        <f t="array" ref="CE44">MIN(100, MAX(0,
  IF(ISNUMBER(BV44)*AND(BV44&gt;0), 10, 0)
  + _xlfn.IFS(BY44="Independently Verified",25, BY44="Yes",15, TRUE,0)
  + IFERROR(_xlfn.XLOOKUP(BZ44,'Lookup Tables'!$A$21:$A$24,'Lookup Tables'!$B$21:$B$24,0),0)
  + IFERROR(_xlfn.XLOOKUP(CA44,'Lookup Tables'!$D$21:$D$24,'Lookup Tables'!$E$21:$E$24,0),0)
  + _xlfn.IFS(ISNUMBER(CB44)*AND(CB44&gt;=11),15, ISNUMBER(CB44)*AND(CB44&gt;=6),10, ISNUMBER(CB44)*AND(CB44&gt;=1),5, TRUE,0)
  + IFERROR(_xlfn.XLOOKUP(CC44,'Lookup Tables'!$G$21:$G$25,'Lookup Tables'!$H$21:$H$25,0),0)
  - IF(ISNUMBER(BW44)*AND(ISNUMBER(BV44))*AND(BW44&gt;BV44), 20, 0)
  - IF(AND(BY44="Yes", ISNUMBER(BW44), BW44&gt;60), 10, 0)
))</f>
        <v>0</v>
      </c>
      <c r="CF44" s="5"/>
      <c r="CG44" s="5"/>
      <c r="CH44" s="5"/>
      <c r="CI44" s="5"/>
      <c r="CJ44" s="5"/>
      <c r="CK44" s="5"/>
      <c r="CL44" s="5"/>
      <c r="CM44" s="5"/>
      <c r="CN44" s="5"/>
      <c r="CO44" s="5"/>
      <c r="CP44" s="5"/>
      <c r="CQ44" s="5"/>
      <c r="CR44" s="5">
        <f t="shared" si="51"/>
        <v>0</v>
      </c>
      <c r="CS44" s="5">
        <f t="shared" si="52"/>
        <v>0</v>
      </c>
      <c r="CT44" s="5">
        <f t="shared" si="53"/>
        <v>0</v>
      </c>
      <c r="CU44" s="5">
        <f>MIN(100,
  CR44*15
  + CS44*6
  + CT44*3
  + IFERROR(_xlfn.XLOOKUP(CW44,'Lookup Tables'!$M$21:$M$25,'Lookup Tables'!$N$21:$N$25,0),0)
)</f>
        <v>0</v>
      </c>
      <c r="CV44" s="5" t="str">
        <f t="shared" si="61"/>
        <v>No failures</v>
      </c>
      <c r="CW44" s="5"/>
      <c r="CX44" s="5"/>
      <c r="CY44" s="5"/>
      <c r="CZ44" s="5"/>
      <c r="DA44" s="5" t="str">
        <f t="shared" si="54"/>
        <v>Yes</v>
      </c>
      <c r="DB44" s="5" t="str">
        <f t="shared" si="55"/>
        <v>No</v>
      </c>
      <c r="DC44" s="5"/>
      <c r="DD44" s="5"/>
      <c r="DE44" s="5"/>
      <c r="DF44" s="5"/>
      <c r="DG44" s="5"/>
      <c r="DH44" s="5"/>
      <c r="DI44" s="5"/>
      <c r="DJ44" s="5"/>
      <c r="DK44" s="5"/>
      <c r="DL44" s="5" t="str">
        <f t="shared" si="56"/>
        <v>Clear</v>
      </c>
      <c r="DM44" s="5" t="str">
        <f t="shared" si="57"/>
        <v>Yes</v>
      </c>
      <c r="DN44" s="5">
        <f t="array" ref="DN44">MIN(100,
  IF(ISNUMBER(V44), _xlfn.IFS(V44&gt;=3,25, V44=2,15, V44=1,5, TRUE,0), 0)
  + IFERROR(_xlfn.IFS(VALUE(LEFT(DF44,1))=5,25, VALUE(LEFT(DF44,1))=4,20, VALUE(LEFT(DF44,1))=3,15, VALUE(LEFT(DF44,1))=2,8, TRUE,0), 15)
  + IFERROR(_xlfn.IFS(VALUE(LEFT(DG44,1))=5,25, VALUE(LEFT(DG44,1))=4,20, VALUE(LEFT(DG44,1))=3,15, VALUE(LEFT(DG44,1))=2,8, TRUE,0), 15)
  + _xlfn.IFS(DH44="Fully Verified",25, DH44="Partially Verified",12, TRUE,0)
)</f>
        <v>30</v>
      </c>
      <c r="DO44" s="5" t="str">
        <f t="array" ref="DO44">_xlfn.IFS(
  ISBLANK(AR44), "Insufficient Evidence",
  AND(AR44&gt;=65, AJ44="Approved"), "Strong",
  AR44&gt;=65, "Adequate",
  AR44&gt;=40, "Adequate",
  AR44&gt;=20, "Weak",
  TRUE, "Insufficient Evidence"
)</f>
        <v>Insufficient Evidence</v>
      </c>
      <c r="DP44" s="5" t="str">
        <f t="array" ref="DP44">_xlfn.IFS(
  ISBLANK(BS44), "Insufficient Evidence",
  BS44&gt;=65, "Strong",
  BS44&gt;=40, "Adequate",
  BS44&gt;=20, "Weak",
  TRUE, "Insufficient Evidence"
)</f>
        <v>Insufficient Evidence</v>
      </c>
      <c r="DQ44" s="5" t="str">
        <f t="array" ref="DQ44">_xlfn.IFS(
  ISBLANK(BE44), "Insufficient Evidence",
  OR(AW44="Confirmed Violation", AX44="Confirmed Breach"), "Severe — Hard Trigger",
  BE44&gt;=65, "Strong",
  BE44&gt;=40, "Adequate",
  BE44&gt;=20, "Weak",
  TRUE, "Insufficient Evidence"
)</f>
        <v>Insufficient Evidence</v>
      </c>
      <c r="DR44" s="5" t="str">
        <f t="array" ref="DR44">_xlfn.IFS(
  ISBLANK(CU44), "Insufficient Evidence",
  CU44&lt;=20, "Low Risk",
  CU44&lt;=50, "Moderate Risk",
  CU44&lt;=75, "High Risk",
  TRUE, "Very High Risk"
)</f>
        <v>Low Risk</v>
      </c>
      <c r="DS44" s="5" t="str">
        <f t="array" ref="DS44">_xlfn.IFS(
  ISBLANK(CE44), "Insufficient Evidence",
  AND(ISNUMBER(BW44),ISNUMBER(BV44),BW44&gt;BV44), "Overclaiming Risk",
  CE44&gt;=65, "Strong",
  CE44&gt;=40, "Adequate",
  TRUE, "Weak"
)</f>
        <v>Weak</v>
      </c>
      <c r="DT44" s="5">
        <f t="shared" si="58"/>
        <v>11.7</v>
      </c>
      <c r="DU44" s="5" t="str">
        <f t="array" ref="DU44">_xlfn.IFS(
  DV44="Upgraded to Clear", "Clear",
  DV44="Downgraded to Watchlist", "Watchlist",
  DV44="Downgraded to Exclusion", "Exclusion Risk",
  DB44="Yes — Automatic", "Exclusion Risk",
  OR(AW44="Confirmed Violation", AX44="Confirmed Breach"), "Exclusion Risk",
  OR(V44=0, ISBLANK(V44), DN44&lt;20), "Insufficient Evidence",
  AND(DT44&gt;=65, DA44="No", DB44="No"), "Clear",
  OR(DT44&gt;=40, DA44="Yes"), "Watchlist",
  TRUE, "Exclusion Risk"
)</f>
        <v>Insufficient Evidence</v>
      </c>
      <c r="DV44" s="5"/>
      <c r="DW44" s="5" t="str">
        <f t="array" ref="DW44">_xlfn.IFS(
  DU44="Exclusion Risk", "Exclude — Hard Trigger",
  DU44="Insufficient Evidence", "Watchlist — Further Evidence Needed",
  DU44="Watchlist", "Watchlist — Further Evidence Needed",
  AND(DU44="Clear", DT44&gt;=80), "Include — No Conditions",
  DU44="Clear", "Include — Monitor",
  TRUE, "Watchlist — Further Evidence Needed"
)</f>
        <v>Watchlist — Further Evidence Needed</v>
      </c>
      <c r="DX44" s="5"/>
      <c r="DY44" s="5"/>
      <c r="DZ44" s="5"/>
      <c r="EA44" s="5"/>
      <c r="EB44" s="5" t="str">
        <f t="shared" si="59"/>
        <v>MISSING — No sources reviewed</v>
      </c>
      <c r="EC44" s="5" t="str">
        <f t="shared" si="60"/>
        <v/>
      </c>
    </row>
    <row r="45" spans="1:133" ht="18" customHeight="1" x14ac:dyDescent="0.15">
      <c r="A45" s="3" t="s">
        <v>452</v>
      </c>
      <c r="B45" s="3" t="s">
        <v>453</v>
      </c>
      <c r="C45" s="3" t="str">
        <f>IF(ISBLANK('Universe Tracker'!D41),"",'Universe Tracker'!D41)</f>
        <v>GB00BGLP8L22</v>
      </c>
      <c r="D45" s="3"/>
      <c r="E45" s="3"/>
      <c r="F45" s="3" t="str">
        <f>IF(ISBLANK('Universe Tracker'!F41),"",'Universe Tracker'!F41)</f>
        <v>Industrials</v>
      </c>
      <c r="G45" s="3" t="str">
        <f>IF(ISBLANK('Universe Tracker'!G41),"",'Universe Tracker'!G41)</f>
        <v>Industrial Products</v>
      </c>
      <c r="H45" s="3"/>
      <c r="I45" s="3"/>
      <c r="J45" s="3" t="str">
        <f t="shared" si="49"/>
        <v>IMI1_GB00BGLP8L22</v>
      </c>
      <c r="K45" s="3"/>
      <c r="L45" s="3"/>
      <c r="M45" s="3"/>
      <c r="N45" s="3"/>
      <c r="O45" s="3"/>
      <c r="P45" s="3"/>
      <c r="Q45" s="3"/>
      <c r="R45" s="3"/>
      <c r="S45" s="3"/>
      <c r="T45" s="3"/>
      <c r="U45" s="3"/>
      <c r="V45" s="3"/>
      <c r="W45" s="3"/>
      <c r="X45" s="3"/>
      <c r="Y45" s="3" t="str">
        <f t="shared" si="50"/>
        <v>Insufficient</v>
      </c>
      <c r="Z45" s="3"/>
      <c r="AA45" s="3"/>
      <c r="AB45" s="3"/>
      <c r="AC45" s="3"/>
      <c r="AD45" s="3"/>
      <c r="AE45" s="3"/>
      <c r="AF45" s="3"/>
      <c r="AG45" s="3"/>
      <c r="AH45" s="3"/>
      <c r="AI45" s="3"/>
      <c r="AJ45" s="3"/>
      <c r="AK45" s="3"/>
      <c r="AL45" s="3"/>
      <c r="AM45" s="3"/>
      <c r="AN45" s="3"/>
      <c r="AO45" s="3"/>
      <c r="AP45" s="3"/>
      <c r="AQ45" s="3"/>
      <c r="AR45" s="40">
        <f t="array" ref="AR45">MIN(100, MAX(0,
  IFERROR(_xlfn.XLOOKUP(AJ45,'Lookup Tables'!$A$2:$A$7,'Lookup Tables'!$B$2:$B$7,0),0)
  + IF(Z45="Yes", IF(IFERROR(_xlfn.XLOOKUP(AJ45,'Lookup Tables'!$A$2:$A$7,'Lookup Tables'!$B$2:$B$7,0),0)&lt;20, 5, 0), 0)
  + _xlfn.IFS(AB45="Yes", IF(ISNUMBER(AC45)*AND(AC45&lt;=2030),15,10), AB45="Long-term Only", 5, AB45="No", 0, TRUE, 0)
  + _xlfn.IFS(AF45="Full",10, AF45="Partial",5, AF45="Scope 2 Only",3, TRUE,0)
  + _xlfn.IFS(AG45="Yes", IF(ISNUMBER(AH45)*AND(AH45&gt;=5),10,6), AG45="Partial",4, TRUE,0)
  + _xlfn.IFS(AI45="Yes",5, AI45="Partial (material categories only)",3, TRUE,0)
  + _xlfn.IFS(AL45="Yes — Detailed",10, AL45="Yes — High Level",5, TRUE,0)
  + _xlfn.IFS(AM45="Yes — Quantified",15, AM45="Yes — Directional Only",7, TRUE,0)
  + _xlfn.IFS(AP45="Formal",5, AP45="Referenced",2, TRUE,0)
  + _xlfn.IFS(AQ45="No Issues Found",5, AQ45="Concern Identified",-5, AQ45="Severe Contradiction",-15, TRUE,0)
  + _xlfn.IFS(BC45="Reasonable Assurance",5, BC45="Limited Assurance",3, TRUE,0)
  - IF(AND(Z45="Yes", AI45="No"), 10, 0)
  - IF(AND(Z45="Yes", AM45="No"), 10, 0)
))</f>
        <v>0</v>
      </c>
      <c r="AS45" s="3"/>
      <c r="AT45" s="3"/>
      <c r="AU45" s="3"/>
      <c r="AV45" s="3"/>
      <c r="AW45" s="3"/>
      <c r="AX45" s="3"/>
      <c r="AY45" s="3"/>
      <c r="AZ45" s="3"/>
      <c r="BA45" s="3"/>
      <c r="BB45" s="3"/>
      <c r="BC45" s="3"/>
      <c r="BD45" s="3"/>
      <c r="BE45" s="40">
        <f t="array" ref="BE45">MIN(100, MAX(0,
  IFERROR(_xlfn.XLOOKUP(AT45,'Lookup Tables'!$D$2:$D$6,'Lookup Tables'!$E$2:$E$6,0),0)
  + IFERROR(_xlfn.XLOOKUP(AV45,'Lookup Tables'!$G$2:$G$5,'Lookup Tables'!$H$2:$H$5,0),0)
  + IFERROR(_xlfn.XLOOKUP(AW45,'Lookup Tables'!$J$2:$J$5,'Lookup Tables'!$K$2:$K$5,0),0)
  + _xlfn.IFS(AX45="No Issues",10, AX45="Complaint Filed",3, AX45="Confirmed Breach",-15, TRUE,0)
  + IFERROR(_xlfn.XLOOKUP(AY45,'Lookup Tables'!$M$2:$M$6,'Lookup Tables'!$N$2:$N$6,0),0)
  + IFERROR(_xlfn.XLOOKUP(AZ45,'Lookup Tables'!$P$2:$P$6,'Lookup Tables'!$Q$2:$Q$6,0),0)
  + _xlfn.IFS(BA45="Formal Board Committee",5, BA45="Board Oversight Mentioned",2, TRUE,0)
  + _xlfn.IFS(BB45="Yes — Quantified Targets",5, BB45="Yes — Discretionary Only",2, TRUE,0)
  + _xlfn.IFS(BC45="Reasonable Assurance",5, BC45="Limited Assurance",3, BC45="Management Review Only",1, TRUE,0)
))</f>
        <v>0</v>
      </c>
      <c r="BF45" s="3"/>
      <c r="BG45" s="3"/>
      <c r="BH45" s="3"/>
      <c r="BI45" s="3"/>
      <c r="BJ45" s="3"/>
      <c r="BK45" s="3"/>
      <c r="BL45" s="3"/>
      <c r="BM45" s="3"/>
      <c r="BN45" s="3"/>
      <c r="BO45" s="3"/>
      <c r="BP45" s="3"/>
      <c r="BQ45" s="3"/>
      <c r="BR45" s="3"/>
      <c r="BS45" s="42">
        <f t="array" ref="BS45">MIN(100, MAX(0,
  IFERROR(_xlfn.XLOOKUP(BG45,'Lookup Tables'!$A$11:$A$16,'Lookup Tables'!$B$11:$B$16,0),0)
  + IFERROR(_xlfn.XLOOKUP(BR45,'Lookup Tables'!$M$11:$M$14,'Lookup Tables'!$N$11:$N$14,0),0)
  + IFERROR(_xlfn.XLOOKUP(BQ45,'Lookup Tables'!$J$11:$J$15,'Lookup Tables'!$K$11:$K$15,0),0)
  + IFERROR(_xlfn.XLOOKUP(BH45,'Lookup Tables'!$D$11:$D$15,'Lookup Tables'!$E$11:$E$15,0),0)
  + IFERROR(_xlfn.XLOOKUP(BJ45,'Lookup Tables'!$G$11:$G$16,'Lookup Tables'!$H$11:$H$16,0),0)
  + IFERROR(_xlfn.XLOOKUP(BN45,'Lookup Tables'!$P$11:$P$15,'Lookup Tables'!$Q$11:$Q$15,0),0)
  + _xlfn.IFS(BM45="No Evidence",10, BM45="Unknown",3, BM45="Likely",0, BM45="Confirmed",-10, TRUE,3)
  + IFERROR(_xlfn.XLOOKUP(BP45,'Lookup Tables'!$J$21:$J$24,'Lookup Tables'!$K$21:$K$24,0),0)
))</f>
        <v>3</v>
      </c>
      <c r="BT45" s="3"/>
      <c r="BU45" s="3"/>
      <c r="BV45" s="3"/>
      <c r="BW45" s="3"/>
      <c r="BX45" s="3"/>
      <c r="BY45" s="3"/>
      <c r="BZ45" s="3"/>
      <c r="CA45" s="3"/>
      <c r="CB45" s="3"/>
      <c r="CC45" s="3"/>
      <c r="CD45" s="3"/>
      <c r="CE45" s="44">
        <f t="array" ref="CE45">MIN(100, MAX(0,
  IF(ISNUMBER(BV45)*AND(BV45&gt;0), 10, 0)
  + _xlfn.IFS(BY45="Independently Verified",25, BY45="Yes",15, TRUE,0)
  + IFERROR(_xlfn.XLOOKUP(BZ45,'Lookup Tables'!$A$21:$A$24,'Lookup Tables'!$B$21:$B$24,0),0)
  + IFERROR(_xlfn.XLOOKUP(CA45,'Lookup Tables'!$D$21:$D$24,'Lookup Tables'!$E$21:$E$24,0),0)
  + _xlfn.IFS(ISNUMBER(CB45)*AND(CB45&gt;=11),15, ISNUMBER(CB45)*AND(CB45&gt;=6),10, ISNUMBER(CB45)*AND(CB45&gt;=1),5, TRUE,0)
  + IFERROR(_xlfn.XLOOKUP(CC45,'Lookup Tables'!$G$21:$G$25,'Lookup Tables'!$H$21:$H$25,0),0)
  - IF(ISNUMBER(BW45)*AND(ISNUMBER(BV45))*AND(BW45&gt;BV45), 20, 0)
  - IF(AND(BY45="Yes", ISNUMBER(BW45), BW45&gt;60), 10, 0)
))</f>
        <v>0</v>
      </c>
      <c r="CF45" s="3"/>
      <c r="CG45" s="3"/>
      <c r="CH45" s="3"/>
      <c r="CI45" s="3"/>
      <c r="CJ45" s="3"/>
      <c r="CK45" s="3"/>
      <c r="CL45" s="3"/>
      <c r="CM45" s="3"/>
      <c r="CN45" s="3"/>
      <c r="CO45" s="3"/>
      <c r="CP45" s="3"/>
      <c r="CQ45" s="3"/>
      <c r="CR45" s="3">
        <f t="shared" si="51"/>
        <v>0</v>
      </c>
      <c r="CS45" s="3">
        <f t="shared" si="52"/>
        <v>0</v>
      </c>
      <c r="CT45" s="3">
        <f t="shared" si="53"/>
        <v>0</v>
      </c>
      <c r="CU45" s="3">
        <f>MIN(100,
  CR45*15
  + CS45*6
  + CT45*3
  + IFERROR(_xlfn.XLOOKUP(CW45,'Lookup Tables'!$M$21:$M$25,'Lookup Tables'!$N$21:$N$25,0),0)
)</f>
        <v>0</v>
      </c>
      <c r="CV45" s="3" t="str">
        <f t="shared" si="61"/>
        <v>No failures</v>
      </c>
      <c r="CW45" s="3"/>
      <c r="CX45" s="3"/>
      <c r="CY45" s="3"/>
      <c r="CZ45" s="3"/>
      <c r="DA45" s="3" t="str">
        <f t="shared" si="54"/>
        <v>Yes</v>
      </c>
      <c r="DB45" s="3" t="str">
        <f t="shared" si="55"/>
        <v>No</v>
      </c>
      <c r="DC45" s="3"/>
      <c r="DD45" s="3"/>
      <c r="DE45" s="3"/>
      <c r="DF45" s="3"/>
      <c r="DG45" s="3"/>
      <c r="DH45" s="3"/>
      <c r="DI45" s="3"/>
      <c r="DJ45" s="3"/>
      <c r="DK45" s="3"/>
      <c r="DL45" s="3" t="str">
        <f t="shared" si="56"/>
        <v>Clear</v>
      </c>
      <c r="DM45" s="3" t="str">
        <f t="shared" si="57"/>
        <v>Yes</v>
      </c>
      <c r="DN45" s="3">
        <f t="array" ref="DN45">MIN(100,
  IF(ISNUMBER(V45), _xlfn.IFS(V45&gt;=3,25, V45=2,15, V45=1,5, TRUE,0), 0)
  + IFERROR(_xlfn.IFS(VALUE(LEFT(DF45,1))=5,25, VALUE(LEFT(DF45,1))=4,20, VALUE(LEFT(DF45,1))=3,15, VALUE(LEFT(DF45,1))=2,8, TRUE,0), 15)
  + IFERROR(_xlfn.IFS(VALUE(LEFT(DG45,1))=5,25, VALUE(LEFT(DG45,1))=4,20, VALUE(LEFT(DG45,1))=3,15, VALUE(LEFT(DG45,1))=2,8, TRUE,0), 15)
  + _xlfn.IFS(DH45="Fully Verified",25, DH45="Partially Verified",12, TRUE,0)
)</f>
        <v>30</v>
      </c>
      <c r="DO45" s="3" t="str">
        <f t="array" ref="DO45">_xlfn.IFS(
  ISBLANK(AR45), "Insufficient Evidence",
  AND(AR45&gt;=65, AJ45="Approved"), "Strong",
  AR45&gt;=65, "Adequate",
  AR45&gt;=40, "Adequate",
  AR45&gt;=20, "Weak",
  TRUE, "Insufficient Evidence"
)</f>
        <v>Insufficient Evidence</v>
      </c>
      <c r="DP45" s="3" t="str">
        <f t="array" ref="DP45">_xlfn.IFS(
  ISBLANK(BS45), "Insufficient Evidence",
  BS45&gt;=65, "Strong",
  BS45&gt;=40, "Adequate",
  BS45&gt;=20, "Weak",
  TRUE, "Insufficient Evidence"
)</f>
        <v>Insufficient Evidence</v>
      </c>
      <c r="DQ45" s="3" t="str">
        <f t="array" ref="DQ45">_xlfn.IFS(
  ISBLANK(BE45), "Insufficient Evidence",
  OR(AW45="Confirmed Violation", AX45="Confirmed Breach"), "Severe — Hard Trigger",
  BE45&gt;=65, "Strong",
  BE45&gt;=40, "Adequate",
  BE45&gt;=20, "Weak",
  TRUE, "Insufficient Evidence"
)</f>
        <v>Insufficient Evidence</v>
      </c>
      <c r="DR45" s="3" t="str">
        <f t="array" ref="DR45">_xlfn.IFS(
  ISBLANK(CU45), "Insufficient Evidence",
  CU45&lt;=20, "Low Risk",
  CU45&lt;=50, "Moderate Risk",
  CU45&lt;=75, "High Risk",
  TRUE, "Very High Risk"
)</f>
        <v>Low Risk</v>
      </c>
      <c r="DS45" s="3" t="str">
        <f t="array" ref="DS45">_xlfn.IFS(
  ISBLANK(CE45), "Insufficient Evidence",
  AND(ISNUMBER(BW45),ISNUMBER(BV45),BW45&gt;BV45), "Overclaiming Risk",
  CE45&gt;=65, "Strong",
  CE45&gt;=40, "Adequate",
  TRUE, "Weak"
)</f>
        <v>Weak</v>
      </c>
      <c r="DT45" s="3">
        <f t="shared" si="58"/>
        <v>11.7</v>
      </c>
      <c r="DU45" s="3" t="str">
        <f t="array" ref="DU45">_xlfn.IFS(
  DV45="Upgraded to Clear", "Clear",
  DV45="Downgraded to Watchlist", "Watchlist",
  DV45="Downgraded to Exclusion", "Exclusion Risk",
  DB45="Yes — Automatic", "Exclusion Risk",
  OR(AW45="Confirmed Violation", AX45="Confirmed Breach"), "Exclusion Risk",
  OR(V45=0, ISBLANK(V45), DN45&lt;20), "Insufficient Evidence",
  AND(DT45&gt;=65, DA45="No", DB45="No"), "Clear",
  OR(DT45&gt;=40, DA45="Yes"), "Watchlist",
  TRUE, "Exclusion Risk"
)</f>
        <v>Insufficient Evidence</v>
      </c>
      <c r="DV45" s="3"/>
      <c r="DW45" s="3" t="str">
        <f t="array" ref="DW45">_xlfn.IFS(
  DU45="Exclusion Risk", "Exclude — Hard Trigger",
  DU45="Insufficient Evidence", "Watchlist — Further Evidence Needed",
  DU45="Watchlist", "Watchlist — Further Evidence Needed",
  AND(DU45="Clear", DT45&gt;=80), "Include — No Conditions",
  DU45="Clear", "Include — Monitor",
  TRUE, "Watchlist — Further Evidence Needed"
)</f>
        <v>Watchlist — Further Evidence Needed</v>
      </c>
      <c r="DX45" s="3"/>
      <c r="DY45" s="3"/>
      <c r="DZ45" s="3"/>
      <c r="EA45" s="3"/>
      <c r="EB45" s="3" t="str">
        <f t="shared" si="59"/>
        <v>MISSING — No sources reviewed</v>
      </c>
      <c r="EC45" s="3" t="str">
        <f t="shared" si="60"/>
        <v/>
      </c>
    </row>
    <row r="46" spans="1:133" ht="18" customHeight="1" x14ac:dyDescent="0.15">
      <c r="A46" s="5" t="s">
        <v>456</v>
      </c>
      <c r="B46" s="5" t="s">
        <v>457</v>
      </c>
      <c r="C46" s="5" t="str">
        <f>IF(ISBLANK('Universe Tracker'!D42),"",'Universe Tracker'!D42)</f>
        <v>GB0005405286</v>
      </c>
      <c r="D46" s="5"/>
      <c r="E46" s="5"/>
      <c r="F46" s="5" t="str">
        <f>IF(ISBLANK('Universe Tracker'!F42),"",'Universe Tracker'!F42)</f>
        <v>Financials</v>
      </c>
      <c r="G46" s="5" t="str">
        <f>IF(ISBLANK('Universe Tracker'!G42),"",'Universe Tracker'!G42)</f>
        <v>Banking</v>
      </c>
      <c r="H46" s="5"/>
      <c r="I46" s="5"/>
      <c r="J46" s="5" t="str">
        <f t="shared" si="49"/>
        <v>HBC1_GB0005405286</v>
      </c>
      <c r="K46" s="5"/>
      <c r="L46" s="5"/>
      <c r="M46" s="5"/>
      <c r="N46" s="5"/>
      <c r="O46" s="5"/>
      <c r="P46" s="5"/>
      <c r="Q46" s="5"/>
      <c r="R46" s="5"/>
      <c r="S46" s="5"/>
      <c r="T46" s="5"/>
      <c r="U46" s="5"/>
      <c r="V46" s="5"/>
      <c r="W46" s="5"/>
      <c r="X46" s="5"/>
      <c r="Y46" s="5" t="str">
        <f t="shared" si="50"/>
        <v>Insufficient</v>
      </c>
      <c r="Z46" s="5"/>
      <c r="AA46" s="5"/>
      <c r="AB46" s="5"/>
      <c r="AC46" s="5"/>
      <c r="AD46" s="5"/>
      <c r="AE46" s="5"/>
      <c r="AF46" s="5"/>
      <c r="AG46" s="5"/>
      <c r="AH46" s="5"/>
      <c r="AI46" s="5"/>
      <c r="AJ46" s="5"/>
      <c r="AK46" s="5"/>
      <c r="AL46" s="5"/>
      <c r="AM46" s="5"/>
      <c r="AN46" s="5"/>
      <c r="AO46" s="5"/>
      <c r="AP46" s="5"/>
      <c r="AQ46" s="5"/>
      <c r="AR46" s="40">
        <f t="array" ref="AR46">MIN(100, MAX(0,
  IFERROR(_xlfn.XLOOKUP(AJ46,'Lookup Tables'!$A$2:$A$7,'Lookup Tables'!$B$2:$B$7,0),0)
  + IF(Z46="Yes", IF(IFERROR(_xlfn.XLOOKUP(AJ46,'Lookup Tables'!$A$2:$A$7,'Lookup Tables'!$B$2:$B$7,0),0)&lt;20, 5, 0), 0)
  + _xlfn.IFS(AB46="Yes", IF(ISNUMBER(AC46)*AND(AC46&lt;=2030),15,10), AB46="Long-term Only", 5, AB46="No", 0, TRUE, 0)
  + _xlfn.IFS(AF46="Full",10, AF46="Partial",5, AF46="Scope 2 Only",3, TRUE,0)
  + _xlfn.IFS(AG46="Yes", IF(ISNUMBER(AH46)*AND(AH46&gt;=5),10,6), AG46="Partial",4, TRUE,0)
  + _xlfn.IFS(AI46="Yes",5, AI46="Partial (material categories only)",3, TRUE,0)
  + _xlfn.IFS(AL46="Yes — Detailed",10, AL46="Yes — High Level",5, TRUE,0)
  + _xlfn.IFS(AM46="Yes — Quantified",15, AM46="Yes — Directional Only",7, TRUE,0)
  + _xlfn.IFS(AP46="Formal",5, AP46="Referenced",2, TRUE,0)
  + _xlfn.IFS(AQ46="No Issues Found",5, AQ46="Concern Identified",-5, AQ46="Severe Contradiction",-15, TRUE,0)
  + _xlfn.IFS(BC46="Reasonable Assurance",5, BC46="Limited Assurance",3, TRUE,0)
  - IF(AND(Z46="Yes", AI46="No"), 10, 0)
  - IF(AND(Z46="Yes", AM46="No"), 10, 0)
))</f>
        <v>0</v>
      </c>
      <c r="AS46" s="5"/>
      <c r="AT46" s="5"/>
      <c r="AU46" s="5"/>
      <c r="AV46" s="5"/>
      <c r="AW46" s="5"/>
      <c r="AX46" s="5"/>
      <c r="AY46" s="5"/>
      <c r="AZ46" s="5"/>
      <c r="BA46" s="5"/>
      <c r="BB46" s="5"/>
      <c r="BC46" s="5"/>
      <c r="BD46" s="5"/>
      <c r="BE46" s="39">
        <f t="array" ref="BE46">MIN(100, MAX(0,
  IFERROR(_xlfn.XLOOKUP(AT46,'Lookup Tables'!$D$2:$D$6,'Lookup Tables'!$E$2:$E$6,0),0)
  + IFERROR(_xlfn.XLOOKUP(AV46,'Lookup Tables'!$G$2:$G$5,'Lookup Tables'!$H$2:$H$5,0),0)
  + IFERROR(_xlfn.XLOOKUP(AW46,'Lookup Tables'!$J$2:$J$5,'Lookup Tables'!$K$2:$K$5,0),0)
  + _xlfn.IFS(AX46="No Issues",10, AX46="Complaint Filed",3, AX46="Confirmed Breach",-15, TRUE,0)
  + IFERROR(_xlfn.XLOOKUP(AY46,'Lookup Tables'!$M$2:$M$6,'Lookup Tables'!$N$2:$N$6,0),0)
  + IFERROR(_xlfn.XLOOKUP(AZ46,'Lookup Tables'!$P$2:$P$6,'Lookup Tables'!$Q$2:$Q$6,0),0)
  + _xlfn.IFS(BA46="Formal Board Committee",5, BA46="Board Oversight Mentioned",2, TRUE,0)
  + _xlfn.IFS(BB46="Yes — Quantified Targets",5, BB46="Yes — Discretionary Only",2, TRUE,0)
  + _xlfn.IFS(BC46="Reasonable Assurance",5, BC46="Limited Assurance",3, BC46="Management Review Only",1, TRUE,0)
))</f>
        <v>0</v>
      </c>
      <c r="BF46" s="5"/>
      <c r="BG46" s="5"/>
      <c r="BH46" s="5"/>
      <c r="BI46" s="5"/>
      <c r="BJ46" s="5"/>
      <c r="BK46" s="5"/>
      <c r="BL46" s="5"/>
      <c r="BM46" s="5"/>
      <c r="BN46" s="5"/>
      <c r="BO46" s="5"/>
      <c r="BP46" s="5"/>
      <c r="BQ46" s="5"/>
      <c r="BR46" s="5"/>
      <c r="BS46" s="41">
        <f t="array" ref="BS46">MIN(100, MAX(0,
  IFERROR(_xlfn.XLOOKUP(BG46,'Lookup Tables'!$A$11:$A$16,'Lookup Tables'!$B$11:$B$16,0),0)
  + IFERROR(_xlfn.XLOOKUP(BR46,'Lookup Tables'!$M$11:$M$14,'Lookup Tables'!$N$11:$N$14,0),0)
  + IFERROR(_xlfn.XLOOKUP(BQ46,'Lookup Tables'!$J$11:$J$15,'Lookup Tables'!$K$11:$K$15,0),0)
  + IFERROR(_xlfn.XLOOKUP(BH46,'Lookup Tables'!$D$11:$D$15,'Lookup Tables'!$E$11:$E$15,0),0)
  + IFERROR(_xlfn.XLOOKUP(BJ46,'Lookup Tables'!$G$11:$G$16,'Lookup Tables'!$H$11:$H$16,0),0)
  + IFERROR(_xlfn.XLOOKUP(BN46,'Lookup Tables'!$P$11:$P$15,'Lookup Tables'!$Q$11:$Q$15,0),0)
  + _xlfn.IFS(BM46="No Evidence",10, BM46="Unknown",3, BM46="Likely",0, BM46="Confirmed",-10, TRUE,3)
  + IFERROR(_xlfn.XLOOKUP(BP46,'Lookup Tables'!$J$21:$J$24,'Lookup Tables'!$K$21:$K$24,0),0)
))</f>
        <v>3</v>
      </c>
      <c r="BT46" s="5"/>
      <c r="BU46" s="5"/>
      <c r="BV46" s="5"/>
      <c r="BW46" s="5"/>
      <c r="BX46" s="5"/>
      <c r="BY46" s="5"/>
      <c r="BZ46" s="5"/>
      <c r="CA46" s="5"/>
      <c r="CB46" s="5"/>
      <c r="CC46" s="5"/>
      <c r="CD46" s="5"/>
      <c r="CE46" s="43">
        <f t="array" ref="CE46">MIN(100, MAX(0,
  IF(ISNUMBER(BV46)*AND(BV46&gt;0), 10, 0)
  + _xlfn.IFS(BY46="Independently Verified",25, BY46="Yes",15, TRUE,0)
  + IFERROR(_xlfn.XLOOKUP(BZ46,'Lookup Tables'!$A$21:$A$24,'Lookup Tables'!$B$21:$B$24,0),0)
  + IFERROR(_xlfn.XLOOKUP(CA46,'Lookup Tables'!$D$21:$D$24,'Lookup Tables'!$E$21:$E$24,0),0)
  + _xlfn.IFS(ISNUMBER(CB46)*AND(CB46&gt;=11),15, ISNUMBER(CB46)*AND(CB46&gt;=6),10, ISNUMBER(CB46)*AND(CB46&gt;=1),5, TRUE,0)
  + IFERROR(_xlfn.XLOOKUP(CC46,'Lookup Tables'!$G$21:$G$25,'Lookup Tables'!$H$21:$H$25,0),0)
  - IF(ISNUMBER(BW46)*AND(ISNUMBER(BV46))*AND(BW46&gt;BV46), 20, 0)
  - IF(AND(BY46="Yes", ISNUMBER(BW46), BW46&gt;60), 10, 0)
))</f>
        <v>0</v>
      </c>
      <c r="CF46" s="5"/>
      <c r="CG46" s="5"/>
      <c r="CH46" s="5"/>
      <c r="CI46" s="5"/>
      <c r="CJ46" s="5"/>
      <c r="CK46" s="5"/>
      <c r="CL46" s="5"/>
      <c r="CM46" s="5"/>
      <c r="CN46" s="5"/>
      <c r="CO46" s="5"/>
      <c r="CP46" s="5"/>
      <c r="CQ46" s="5"/>
      <c r="CR46" s="5">
        <f t="shared" si="51"/>
        <v>0</v>
      </c>
      <c r="CS46" s="5">
        <f t="shared" si="52"/>
        <v>0</v>
      </c>
      <c r="CT46" s="5">
        <f t="shared" si="53"/>
        <v>0</v>
      </c>
      <c r="CU46" s="5">
        <f>MIN(100,
  CR46*15
  + CS46*6
  + CT46*3
  + IFERROR(_xlfn.XLOOKUP(CW46,'Lookup Tables'!$M$21:$M$25,'Lookup Tables'!$N$21:$N$25,0),0)
)</f>
        <v>0</v>
      </c>
      <c r="CV46" s="5" t="str">
        <f t="shared" si="61"/>
        <v>No failures</v>
      </c>
      <c r="CW46" s="5"/>
      <c r="CX46" s="5"/>
      <c r="CY46" s="5"/>
      <c r="CZ46" s="5"/>
      <c r="DA46" s="5" t="str">
        <f t="shared" si="54"/>
        <v>Yes</v>
      </c>
      <c r="DB46" s="5" t="str">
        <f t="shared" si="55"/>
        <v>No</v>
      </c>
      <c r="DC46" s="5"/>
      <c r="DD46" s="5"/>
      <c r="DE46" s="5"/>
      <c r="DF46" s="5"/>
      <c r="DG46" s="5"/>
      <c r="DH46" s="5"/>
      <c r="DI46" s="5"/>
      <c r="DJ46" s="5"/>
      <c r="DK46" s="5"/>
      <c r="DL46" s="5" t="str">
        <f t="shared" si="56"/>
        <v>Clear</v>
      </c>
      <c r="DM46" s="5" t="str">
        <f t="shared" si="57"/>
        <v>Yes</v>
      </c>
      <c r="DN46" s="5">
        <f t="array" ref="DN46">MIN(100,
  IF(ISNUMBER(V46), _xlfn.IFS(V46&gt;=3,25, V46=2,15, V46=1,5, TRUE,0), 0)
  + IFERROR(_xlfn.IFS(VALUE(LEFT(DF46,1))=5,25, VALUE(LEFT(DF46,1))=4,20, VALUE(LEFT(DF46,1))=3,15, VALUE(LEFT(DF46,1))=2,8, TRUE,0), 15)
  + IFERROR(_xlfn.IFS(VALUE(LEFT(DG46,1))=5,25, VALUE(LEFT(DG46,1))=4,20, VALUE(LEFT(DG46,1))=3,15, VALUE(LEFT(DG46,1))=2,8, TRUE,0), 15)
  + _xlfn.IFS(DH46="Fully Verified",25, DH46="Partially Verified",12, TRUE,0)
)</f>
        <v>30</v>
      </c>
      <c r="DO46" s="5" t="str">
        <f t="array" ref="DO46">_xlfn.IFS(
  ISBLANK(AR46), "Insufficient Evidence",
  AND(AR46&gt;=65, AJ46="Approved"), "Strong",
  AR46&gt;=65, "Adequate",
  AR46&gt;=40, "Adequate",
  AR46&gt;=20, "Weak",
  TRUE, "Insufficient Evidence"
)</f>
        <v>Insufficient Evidence</v>
      </c>
      <c r="DP46" s="5" t="str">
        <f t="array" ref="DP46">_xlfn.IFS(
  ISBLANK(BS46), "Insufficient Evidence",
  BS46&gt;=65, "Strong",
  BS46&gt;=40, "Adequate",
  BS46&gt;=20, "Weak",
  TRUE, "Insufficient Evidence"
)</f>
        <v>Insufficient Evidence</v>
      </c>
      <c r="DQ46" s="5" t="str">
        <f t="array" ref="DQ46">_xlfn.IFS(
  ISBLANK(BE46), "Insufficient Evidence",
  OR(AW46="Confirmed Violation", AX46="Confirmed Breach"), "Severe — Hard Trigger",
  BE46&gt;=65, "Strong",
  BE46&gt;=40, "Adequate",
  BE46&gt;=20, "Weak",
  TRUE, "Insufficient Evidence"
)</f>
        <v>Insufficient Evidence</v>
      </c>
      <c r="DR46" s="5" t="str">
        <f t="array" ref="DR46">_xlfn.IFS(
  ISBLANK(CU46), "Insufficient Evidence",
  CU46&lt;=20, "Low Risk",
  CU46&lt;=50, "Moderate Risk",
  CU46&lt;=75, "High Risk",
  TRUE, "Very High Risk"
)</f>
        <v>Low Risk</v>
      </c>
      <c r="DS46" s="5" t="str">
        <f t="array" ref="DS46">_xlfn.IFS(
  ISBLANK(CE46), "Insufficient Evidence",
  AND(ISNUMBER(BW46),ISNUMBER(BV46),BW46&gt;BV46), "Overclaiming Risk",
  CE46&gt;=65, "Strong",
  CE46&gt;=40, "Adequate",
  TRUE, "Weak"
)</f>
        <v>Weak</v>
      </c>
      <c r="DT46" s="5">
        <f t="shared" si="58"/>
        <v>11.7</v>
      </c>
      <c r="DU46" s="5" t="str">
        <f t="array" ref="DU46">_xlfn.IFS(
  DV46="Upgraded to Clear", "Clear",
  DV46="Downgraded to Watchlist", "Watchlist",
  DV46="Downgraded to Exclusion", "Exclusion Risk",
  DB46="Yes — Automatic", "Exclusion Risk",
  OR(AW46="Confirmed Violation", AX46="Confirmed Breach"), "Exclusion Risk",
  OR(V46=0, ISBLANK(V46), DN46&lt;20), "Insufficient Evidence",
  AND(DT46&gt;=65, DA46="No", DB46="No"), "Clear",
  OR(DT46&gt;=40, DA46="Yes"), "Watchlist",
  TRUE, "Exclusion Risk"
)</f>
        <v>Insufficient Evidence</v>
      </c>
      <c r="DV46" s="5"/>
      <c r="DW46" s="5" t="str">
        <f t="array" ref="DW46">_xlfn.IFS(
  DU46="Exclusion Risk", "Exclude — Hard Trigger",
  DU46="Insufficient Evidence", "Watchlist — Further Evidence Needed",
  DU46="Watchlist", "Watchlist — Further Evidence Needed",
  AND(DU46="Clear", DT46&gt;=80), "Include — No Conditions",
  DU46="Clear", "Include — Monitor",
  TRUE, "Watchlist — Further Evidence Needed"
)</f>
        <v>Watchlist — Further Evidence Needed</v>
      </c>
      <c r="DX46" s="5"/>
      <c r="DY46" s="5"/>
      <c r="DZ46" s="5"/>
      <c r="EA46" s="5"/>
      <c r="EB46" s="5" t="str">
        <f t="shared" si="59"/>
        <v>MISSING — No sources reviewed</v>
      </c>
      <c r="EC46" s="5" t="str">
        <f t="shared" si="60"/>
        <v/>
      </c>
    </row>
    <row r="47" spans="1:133" ht="18" customHeight="1" x14ac:dyDescent="0.15">
      <c r="A47" s="3" t="s">
        <v>460</v>
      </c>
      <c r="B47" s="3" t="s">
        <v>461</v>
      </c>
      <c r="C47" s="3" t="str">
        <f>IF(ISBLANK('Universe Tracker'!D43),"",'Universe Tracker'!D43)</f>
        <v>PLPZU0000011</v>
      </c>
      <c r="D47" s="3"/>
      <c r="E47" s="3"/>
      <c r="F47" s="3" t="str">
        <f>IF(ISBLANK('Universe Tracker'!F43),"",'Universe Tracker'!F43)</f>
        <v>Financials</v>
      </c>
      <c r="G47" s="3" t="str">
        <f>IF(ISBLANK('Universe Tracker'!G43),"",'Universe Tracker'!G43)</f>
        <v>Insurance</v>
      </c>
      <c r="H47" s="3"/>
      <c r="I47" s="3"/>
      <c r="J47" s="3" t="str">
        <f t="shared" si="49"/>
        <v>7PZ_PLPZU0000011</v>
      </c>
      <c r="K47" s="3"/>
      <c r="L47" s="3"/>
      <c r="M47" s="3"/>
      <c r="N47" s="3"/>
      <c r="O47" s="3"/>
      <c r="P47" s="3"/>
      <c r="Q47" s="3"/>
      <c r="R47" s="3"/>
      <c r="S47" s="3"/>
      <c r="T47" s="3"/>
      <c r="U47" s="3"/>
      <c r="V47" s="3"/>
      <c r="W47" s="3"/>
      <c r="X47" s="3"/>
      <c r="Y47" s="3" t="str">
        <f t="shared" si="50"/>
        <v>Insufficient</v>
      </c>
      <c r="Z47" s="3"/>
      <c r="AA47" s="3"/>
      <c r="AB47" s="3"/>
      <c r="AC47" s="3"/>
      <c r="AD47" s="3"/>
      <c r="AE47" s="3"/>
      <c r="AF47" s="3"/>
      <c r="AG47" s="3"/>
      <c r="AH47" s="3"/>
      <c r="AI47" s="3"/>
      <c r="AJ47" s="3"/>
      <c r="AK47" s="3"/>
      <c r="AL47" s="3"/>
      <c r="AM47" s="3"/>
      <c r="AN47" s="3"/>
      <c r="AO47" s="3"/>
      <c r="AP47" s="3"/>
      <c r="AQ47" s="3"/>
      <c r="AR47" s="40">
        <f t="array" ref="AR47">MIN(100, MAX(0,
  IFERROR(_xlfn.XLOOKUP(AJ47,'Lookup Tables'!$A$2:$A$7,'Lookup Tables'!$B$2:$B$7,0),0)
  + IF(Z47="Yes", IF(IFERROR(_xlfn.XLOOKUP(AJ47,'Lookup Tables'!$A$2:$A$7,'Lookup Tables'!$B$2:$B$7,0),0)&lt;20, 5, 0), 0)
  + _xlfn.IFS(AB47="Yes", IF(ISNUMBER(AC47)*AND(AC47&lt;=2030),15,10), AB47="Long-term Only", 5, AB47="No", 0, TRUE, 0)
  + _xlfn.IFS(AF47="Full",10, AF47="Partial",5, AF47="Scope 2 Only",3, TRUE,0)
  + _xlfn.IFS(AG47="Yes", IF(ISNUMBER(AH47)*AND(AH47&gt;=5),10,6), AG47="Partial",4, TRUE,0)
  + _xlfn.IFS(AI47="Yes",5, AI47="Partial (material categories only)",3, TRUE,0)
  + _xlfn.IFS(AL47="Yes — Detailed",10, AL47="Yes — High Level",5, TRUE,0)
  + _xlfn.IFS(AM47="Yes — Quantified",15, AM47="Yes — Directional Only",7, TRUE,0)
  + _xlfn.IFS(AP47="Formal",5, AP47="Referenced",2, TRUE,0)
  + _xlfn.IFS(AQ47="No Issues Found",5, AQ47="Concern Identified",-5, AQ47="Severe Contradiction",-15, TRUE,0)
  + _xlfn.IFS(BC47="Reasonable Assurance",5, BC47="Limited Assurance",3, TRUE,0)
  - IF(AND(Z47="Yes", AI47="No"), 10, 0)
  - IF(AND(Z47="Yes", AM47="No"), 10, 0)
))</f>
        <v>0</v>
      </c>
      <c r="AS47" s="3"/>
      <c r="AT47" s="3"/>
      <c r="AU47" s="3"/>
      <c r="AV47" s="3"/>
      <c r="AW47" s="3"/>
      <c r="AX47" s="3"/>
      <c r="AY47" s="3"/>
      <c r="AZ47" s="3"/>
      <c r="BA47" s="3"/>
      <c r="BB47" s="3"/>
      <c r="BC47" s="3"/>
      <c r="BD47" s="3"/>
      <c r="BE47" s="40">
        <f t="array" ref="BE47">MIN(100, MAX(0,
  IFERROR(_xlfn.XLOOKUP(AT47,'Lookup Tables'!$D$2:$D$6,'Lookup Tables'!$E$2:$E$6,0),0)
  + IFERROR(_xlfn.XLOOKUP(AV47,'Lookup Tables'!$G$2:$G$5,'Lookup Tables'!$H$2:$H$5,0),0)
  + IFERROR(_xlfn.XLOOKUP(AW47,'Lookup Tables'!$J$2:$J$5,'Lookup Tables'!$K$2:$K$5,0),0)
  + _xlfn.IFS(AX47="No Issues",10, AX47="Complaint Filed",3, AX47="Confirmed Breach",-15, TRUE,0)
  + IFERROR(_xlfn.XLOOKUP(AY47,'Lookup Tables'!$M$2:$M$6,'Lookup Tables'!$N$2:$N$6,0),0)
  + IFERROR(_xlfn.XLOOKUP(AZ47,'Lookup Tables'!$P$2:$P$6,'Lookup Tables'!$Q$2:$Q$6,0),0)
  + _xlfn.IFS(BA47="Formal Board Committee",5, BA47="Board Oversight Mentioned",2, TRUE,0)
  + _xlfn.IFS(BB47="Yes — Quantified Targets",5, BB47="Yes — Discretionary Only",2, TRUE,0)
  + _xlfn.IFS(BC47="Reasonable Assurance",5, BC47="Limited Assurance",3, BC47="Management Review Only",1, TRUE,0)
))</f>
        <v>0</v>
      </c>
      <c r="BF47" s="3"/>
      <c r="BG47" s="3"/>
      <c r="BH47" s="3"/>
      <c r="BI47" s="3"/>
      <c r="BJ47" s="3"/>
      <c r="BK47" s="3"/>
      <c r="BL47" s="3"/>
      <c r="BM47" s="3"/>
      <c r="BN47" s="3"/>
      <c r="BO47" s="3"/>
      <c r="BP47" s="3"/>
      <c r="BQ47" s="3"/>
      <c r="BR47" s="3"/>
      <c r="BS47" s="42">
        <f t="array" ref="BS47">MIN(100, MAX(0,
  IFERROR(_xlfn.XLOOKUP(BG47,'Lookup Tables'!$A$11:$A$16,'Lookup Tables'!$B$11:$B$16,0),0)
  + IFERROR(_xlfn.XLOOKUP(BR47,'Lookup Tables'!$M$11:$M$14,'Lookup Tables'!$N$11:$N$14,0),0)
  + IFERROR(_xlfn.XLOOKUP(BQ47,'Lookup Tables'!$J$11:$J$15,'Lookup Tables'!$K$11:$K$15,0),0)
  + IFERROR(_xlfn.XLOOKUP(BH47,'Lookup Tables'!$D$11:$D$15,'Lookup Tables'!$E$11:$E$15,0),0)
  + IFERROR(_xlfn.XLOOKUP(BJ47,'Lookup Tables'!$G$11:$G$16,'Lookup Tables'!$H$11:$H$16,0),0)
  + IFERROR(_xlfn.XLOOKUP(BN47,'Lookup Tables'!$P$11:$P$15,'Lookup Tables'!$Q$11:$Q$15,0),0)
  + _xlfn.IFS(BM47="No Evidence",10, BM47="Unknown",3, BM47="Likely",0, BM47="Confirmed",-10, TRUE,3)
  + IFERROR(_xlfn.XLOOKUP(BP47,'Lookup Tables'!$J$21:$J$24,'Lookup Tables'!$K$21:$K$24,0),0)
))</f>
        <v>3</v>
      </c>
      <c r="BT47" s="3"/>
      <c r="BU47" s="3"/>
      <c r="BV47" s="3"/>
      <c r="BW47" s="3"/>
      <c r="BX47" s="3"/>
      <c r="BY47" s="3"/>
      <c r="BZ47" s="3"/>
      <c r="CA47" s="3"/>
      <c r="CB47" s="3"/>
      <c r="CC47" s="3"/>
      <c r="CD47" s="3"/>
      <c r="CE47" s="44">
        <f t="array" ref="CE47">MIN(100, MAX(0,
  IF(ISNUMBER(BV47)*AND(BV47&gt;0), 10, 0)
  + _xlfn.IFS(BY47="Independently Verified",25, BY47="Yes",15, TRUE,0)
  + IFERROR(_xlfn.XLOOKUP(BZ47,'Lookup Tables'!$A$21:$A$24,'Lookup Tables'!$B$21:$B$24,0),0)
  + IFERROR(_xlfn.XLOOKUP(CA47,'Lookup Tables'!$D$21:$D$24,'Lookup Tables'!$E$21:$E$24,0),0)
  + _xlfn.IFS(ISNUMBER(CB47)*AND(CB47&gt;=11),15, ISNUMBER(CB47)*AND(CB47&gt;=6),10, ISNUMBER(CB47)*AND(CB47&gt;=1),5, TRUE,0)
  + IFERROR(_xlfn.XLOOKUP(CC47,'Lookup Tables'!$G$21:$G$25,'Lookup Tables'!$H$21:$H$25,0),0)
  - IF(ISNUMBER(BW47)*AND(ISNUMBER(BV47))*AND(BW47&gt;BV47), 20, 0)
  - IF(AND(BY47="Yes", ISNUMBER(BW47), BW47&gt;60), 10, 0)
))</f>
        <v>0</v>
      </c>
      <c r="CF47" s="3"/>
      <c r="CG47" s="3"/>
      <c r="CH47" s="3"/>
      <c r="CI47" s="3"/>
      <c r="CJ47" s="3"/>
      <c r="CK47" s="3"/>
      <c r="CL47" s="3"/>
      <c r="CM47" s="3"/>
      <c r="CN47" s="3"/>
      <c r="CO47" s="3"/>
      <c r="CP47" s="3"/>
      <c r="CQ47" s="3"/>
      <c r="CR47" s="3">
        <f t="shared" si="51"/>
        <v>0</v>
      </c>
      <c r="CS47" s="3">
        <f t="shared" si="52"/>
        <v>0</v>
      </c>
      <c r="CT47" s="3">
        <f t="shared" si="53"/>
        <v>0</v>
      </c>
      <c r="CU47" s="3">
        <f>MIN(100,
  CR47*15
  + CS47*6
  + CT47*3
  + IFERROR(_xlfn.XLOOKUP(CW47,'Lookup Tables'!$M$21:$M$25,'Lookup Tables'!$N$21:$N$25,0),0)
)</f>
        <v>0</v>
      </c>
      <c r="CV47" s="3" t="str">
        <f t="shared" si="61"/>
        <v>No failures</v>
      </c>
      <c r="CW47" s="3"/>
      <c r="CX47" s="3"/>
      <c r="CY47" s="3"/>
      <c r="CZ47" s="3"/>
      <c r="DA47" s="3" t="str">
        <f t="shared" si="54"/>
        <v>Yes</v>
      </c>
      <c r="DB47" s="3" t="str">
        <f t="shared" si="55"/>
        <v>No</v>
      </c>
      <c r="DC47" s="3"/>
      <c r="DD47" s="3"/>
      <c r="DE47" s="3"/>
      <c r="DF47" s="3"/>
      <c r="DG47" s="3"/>
      <c r="DH47" s="3"/>
      <c r="DI47" s="3"/>
      <c r="DJ47" s="3"/>
      <c r="DK47" s="3"/>
      <c r="DL47" s="3" t="str">
        <f t="shared" si="56"/>
        <v>Clear</v>
      </c>
      <c r="DM47" s="3" t="str">
        <f t="shared" si="57"/>
        <v>Yes</v>
      </c>
      <c r="DN47" s="3">
        <f t="array" ref="DN47">MIN(100,
  IF(ISNUMBER(V47), _xlfn.IFS(V47&gt;=3,25, V47=2,15, V47=1,5, TRUE,0), 0)
  + IFERROR(_xlfn.IFS(VALUE(LEFT(DF47,1))=5,25, VALUE(LEFT(DF47,1))=4,20, VALUE(LEFT(DF47,1))=3,15, VALUE(LEFT(DF47,1))=2,8, TRUE,0), 15)
  + IFERROR(_xlfn.IFS(VALUE(LEFT(DG47,1))=5,25, VALUE(LEFT(DG47,1))=4,20, VALUE(LEFT(DG47,1))=3,15, VALUE(LEFT(DG47,1))=2,8, TRUE,0), 15)
  + _xlfn.IFS(DH47="Fully Verified",25, DH47="Partially Verified",12, TRUE,0)
)</f>
        <v>30</v>
      </c>
      <c r="DO47" s="3" t="str">
        <f t="array" ref="DO47">_xlfn.IFS(
  ISBLANK(AR47), "Insufficient Evidence",
  AND(AR47&gt;=65, AJ47="Approved"), "Strong",
  AR47&gt;=65, "Adequate",
  AR47&gt;=40, "Adequate",
  AR47&gt;=20, "Weak",
  TRUE, "Insufficient Evidence"
)</f>
        <v>Insufficient Evidence</v>
      </c>
      <c r="DP47" s="3" t="str">
        <f t="array" ref="DP47">_xlfn.IFS(
  ISBLANK(BS47), "Insufficient Evidence",
  BS47&gt;=65, "Strong",
  BS47&gt;=40, "Adequate",
  BS47&gt;=20, "Weak",
  TRUE, "Insufficient Evidence"
)</f>
        <v>Insufficient Evidence</v>
      </c>
      <c r="DQ47" s="3" t="str">
        <f t="array" ref="DQ47">_xlfn.IFS(
  ISBLANK(BE47), "Insufficient Evidence",
  OR(AW47="Confirmed Violation", AX47="Confirmed Breach"), "Severe — Hard Trigger",
  BE47&gt;=65, "Strong",
  BE47&gt;=40, "Adequate",
  BE47&gt;=20, "Weak",
  TRUE, "Insufficient Evidence"
)</f>
        <v>Insufficient Evidence</v>
      </c>
      <c r="DR47" s="3" t="str">
        <f t="array" ref="DR47">_xlfn.IFS(
  ISBLANK(CU47), "Insufficient Evidence",
  CU47&lt;=20, "Low Risk",
  CU47&lt;=50, "Moderate Risk",
  CU47&lt;=75, "High Risk",
  TRUE, "Very High Risk"
)</f>
        <v>Low Risk</v>
      </c>
      <c r="DS47" s="3" t="str">
        <f t="array" ref="DS47">_xlfn.IFS(
  ISBLANK(CE47), "Insufficient Evidence",
  AND(ISNUMBER(BW47),ISNUMBER(BV47),BW47&gt;BV47), "Overclaiming Risk",
  CE47&gt;=65, "Strong",
  CE47&gt;=40, "Adequate",
  TRUE, "Weak"
)</f>
        <v>Weak</v>
      </c>
      <c r="DT47" s="3">
        <f t="shared" si="58"/>
        <v>11.7</v>
      </c>
      <c r="DU47" s="3" t="str">
        <f t="array" ref="DU47">_xlfn.IFS(
  DV47="Upgraded to Clear", "Clear",
  DV47="Downgraded to Watchlist", "Watchlist",
  DV47="Downgraded to Exclusion", "Exclusion Risk",
  DB47="Yes — Automatic", "Exclusion Risk",
  OR(AW47="Confirmed Violation", AX47="Confirmed Breach"), "Exclusion Risk",
  OR(V47=0, ISBLANK(V47), DN47&lt;20), "Insufficient Evidence",
  AND(DT47&gt;=65, DA47="No", DB47="No"), "Clear",
  OR(DT47&gt;=40, DA47="Yes"), "Watchlist",
  TRUE, "Exclusion Risk"
)</f>
        <v>Insufficient Evidence</v>
      </c>
      <c r="DV47" s="3"/>
      <c r="DW47" s="3" t="str">
        <f t="array" ref="DW47">_xlfn.IFS(
  DU47="Exclusion Risk", "Exclude — Hard Trigger",
  DU47="Insufficient Evidence", "Watchlist — Further Evidence Needed",
  DU47="Watchlist", "Watchlist — Further Evidence Needed",
  AND(DU47="Clear", DT47&gt;=80), "Include — No Conditions",
  DU47="Clear", "Include — Monitor",
  TRUE, "Watchlist — Further Evidence Needed"
)</f>
        <v>Watchlist — Further Evidence Needed</v>
      </c>
      <c r="DX47" s="3"/>
      <c r="DY47" s="3"/>
      <c r="DZ47" s="3"/>
      <c r="EA47" s="3"/>
      <c r="EB47" s="3" t="str">
        <f t="shared" si="59"/>
        <v>MISSING — No sources reviewed</v>
      </c>
      <c r="EC47" s="3" t="str">
        <f t="shared" si="60"/>
        <v/>
      </c>
    </row>
    <row r="48" spans="1:133" ht="18" customHeight="1" x14ac:dyDescent="0.15">
      <c r="A48" s="5" t="s">
        <v>464</v>
      </c>
      <c r="B48" s="5" t="s">
        <v>465</v>
      </c>
      <c r="C48" s="5" t="str">
        <f>IF(ISBLANK('Universe Tracker'!D44),"",'Universe Tracker'!D44)</f>
        <v>CH0038388911</v>
      </c>
      <c r="D48" s="5"/>
      <c r="E48" s="5"/>
      <c r="F48" s="5" t="str">
        <f>IF(ISBLANK('Universe Tracker'!F44),"",'Universe Tracker'!F44)</f>
        <v>Industrials</v>
      </c>
      <c r="G48" s="5" t="str">
        <f>IF(ISBLANK('Universe Tracker'!G44),"",'Universe Tracker'!G44)</f>
        <v>Industrial Products</v>
      </c>
      <c r="H48" s="5"/>
      <c r="I48" s="5"/>
      <c r="J48" s="5" t="str">
        <f t="shared" si="49"/>
        <v>SUL1_CH0038388911</v>
      </c>
      <c r="K48" s="5"/>
      <c r="L48" s="5"/>
      <c r="M48" s="5"/>
      <c r="N48" s="5"/>
      <c r="O48" s="5"/>
      <c r="P48" s="5"/>
      <c r="Q48" s="5"/>
      <c r="R48" s="5"/>
      <c r="S48" s="5"/>
      <c r="T48" s="5"/>
      <c r="U48" s="5"/>
      <c r="V48" s="5"/>
      <c r="W48" s="5"/>
      <c r="X48" s="5"/>
      <c r="Y48" s="5" t="str">
        <f t="shared" si="50"/>
        <v>Insufficient</v>
      </c>
      <c r="Z48" s="5"/>
      <c r="AA48" s="5"/>
      <c r="AB48" s="5"/>
      <c r="AC48" s="5"/>
      <c r="AD48" s="5"/>
      <c r="AE48" s="5"/>
      <c r="AF48" s="5"/>
      <c r="AG48" s="5"/>
      <c r="AH48" s="5"/>
      <c r="AI48" s="5"/>
      <c r="AJ48" s="5"/>
      <c r="AK48" s="5"/>
      <c r="AL48" s="5"/>
      <c r="AM48" s="5"/>
      <c r="AN48" s="5"/>
      <c r="AO48" s="5"/>
      <c r="AP48" s="5"/>
      <c r="AQ48" s="5"/>
      <c r="AR48" s="40">
        <f t="array" ref="AR48">MIN(100, MAX(0,
  IFERROR(_xlfn.XLOOKUP(AJ48,'Lookup Tables'!$A$2:$A$7,'Lookup Tables'!$B$2:$B$7,0),0)
  + IF(Z48="Yes", IF(IFERROR(_xlfn.XLOOKUP(AJ48,'Lookup Tables'!$A$2:$A$7,'Lookup Tables'!$B$2:$B$7,0),0)&lt;20, 5, 0), 0)
  + _xlfn.IFS(AB48="Yes", IF(ISNUMBER(AC48)*AND(AC48&lt;=2030),15,10), AB48="Long-term Only", 5, AB48="No", 0, TRUE, 0)
  + _xlfn.IFS(AF48="Full",10, AF48="Partial",5, AF48="Scope 2 Only",3, TRUE,0)
  + _xlfn.IFS(AG48="Yes", IF(ISNUMBER(AH48)*AND(AH48&gt;=5),10,6), AG48="Partial",4, TRUE,0)
  + _xlfn.IFS(AI48="Yes",5, AI48="Partial (material categories only)",3, TRUE,0)
  + _xlfn.IFS(AL48="Yes — Detailed",10, AL48="Yes — High Level",5, TRUE,0)
  + _xlfn.IFS(AM48="Yes — Quantified",15, AM48="Yes — Directional Only",7, TRUE,0)
  + _xlfn.IFS(AP48="Formal",5, AP48="Referenced",2, TRUE,0)
  + _xlfn.IFS(AQ48="No Issues Found",5, AQ48="Concern Identified",-5, AQ48="Severe Contradiction",-15, TRUE,0)
  + _xlfn.IFS(BC48="Reasonable Assurance",5, BC48="Limited Assurance",3, TRUE,0)
  - IF(AND(Z48="Yes", AI48="No"), 10, 0)
  - IF(AND(Z48="Yes", AM48="No"), 10, 0)
))</f>
        <v>0</v>
      </c>
      <c r="AS48" s="5"/>
      <c r="AT48" s="5"/>
      <c r="AU48" s="5"/>
      <c r="AV48" s="5"/>
      <c r="AW48" s="5"/>
      <c r="AX48" s="5"/>
      <c r="AY48" s="5"/>
      <c r="AZ48" s="5"/>
      <c r="BA48" s="5"/>
      <c r="BB48" s="5"/>
      <c r="BC48" s="5"/>
      <c r="BD48" s="5"/>
      <c r="BE48" s="39">
        <f t="array" ref="BE48">MIN(100, MAX(0,
  IFERROR(_xlfn.XLOOKUP(AT48,'Lookup Tables'!$D$2:$D$6,'Lookup Tables'!$E$2:$E$6,0),0)
  + IFERROR(_xlfn.XLOOKUP(AV48,'Lookup Tables'!$G$2:$G$5,'Lookup Tables'!$H$2:$H$5,0),0)
  + IFERROR(_xlfn.XLOOKUP(AW48,'Lookup Tables'!$J$2:$J$5,'Lookup Tables'!$K$2:$K$5,0),0)
  + _xlfn.IFS(AX48="No Issues",10, AX48="Complaint Filed",3, AX48="Confirmed Breach",-15, TRUE,0)
  + IFERROR(_xlfn.XLOOKUP(AY48,'Lookup Tables'!$M$2:$M$6,'Lookup Tables'!$N$2:$N$6,0),0)
  + IFERROR(_xlfn.XLOOKUP(AZ48,'Lookup Tables'!$P$2:$P$6,'Lookup Tables'!$Q$2:$Q$6,0),0)
  + _xlfn.IFS(BA48="Formal Board Committee",5, BA48="Board Oversight Mentioned",2, TRUE,0)
  + _xlfn.IFS(BB48="Yes — Quantified Targets",5, BB48="Yes — Discretionary Only",2, TRUE,0)
  + _xlfn.IFS(BC48="Reasonable Assurance",5, BC48="Limited Assurance",3, BC48="Management Review Only",1, TRUE,0)
))</f>
        <v>0</v>
      </c>
      <c r="BF48" s="5"/>
      <c r="BG48" s="5"/>
      <c r="BH48" s="5"/>
      <c r="BI48" s="5"/>
      <c r="BJ48" s="5"/>
      <c r="BK48" s="5"/>
      <c r="BL48" s="5"/>
      <c r="BM48" s="5"/>
      <c r="BN48" s="5"/>
      <c r="BO48" s="5"/>
      <c r="BP48" s="5"/>
      <c r="BQ48" s="5"/>
      <c r="BR48" s="5"/>
      <c r="BS48" s="41">
        <f t="array" ref="BS48">MIN(100, MAX(0,
  IFERROR(_xlfn.XLOOKUP(BG48,'Lookup Tables'!$A$11:$A$16,'Lookup Tables'!$B$11:$B$16,0),0)
  + IFERROR(_xlfn.XLOOKUP(BR48,'Lookup Tables'!$M$11:$M$14,'Lookup Tables'!$N$11:$N$14,0),0)
  + IFERROR(_xlfn.XLOOKUP(BQ48,'Lookup Tables'!$J$11:$J$15,'Lookup Tables'!$K$11:$K$15,0),0)
  + IFERROR(_xlfn.XLOOKUP(BH48,'Lookup Tables'!$D$11:$D$15,'Lookup Tables'!$E$11:$E$15,0),0)
  + IFERROR(_xlfn.XLOOKUP(BJ48,'Lookup Tables'!$G$11:$G$16,'Lookup Tables'!$H$11:$H$16,0),0)
  + IFERROR(_xlfn.XLOOKUP(BN48,'Lookup Tables'!$P$11:$P$15,'Lookup Tables'!$Q$11:$Q$15,0),0)
  + _xlfn.IFS(BM48="No Evidence",10, BM48="Unknown",3, BM48="Likely",0, BM48="Confirmed",-10, TRUE,3)
  + IFERROR(_xlfn.XLOOKUP(BP48,'Lookup Tables'!$J$21:$J$24,'Lookup Tables'!$K$21:$K$24,0),0)
))</f>
        <v>3</v>
      </c>
      <c r="BT48" s="5"/>
      <c r="BU48" s="5"/>
      <c r="BV48" s="5"/>
      <c r="BW48" s="5"/>
      <c r="BX48" s="5"/>
      <c r="BY48" s="5"/>
      <c r="BZ48" s="5"/>
      <c r="CA48" s="5"/>
      <c r="CB48" s="5"/>
      <c r="CC48" s="5"/>
      <c r="CD48" s="5"/>
      <c r="CE48" s="43">
        <f t="array" ref="CE48">MIN(100, MAX(0,
  IF(ISNUMBER(BV48)*AND(BV48&gt;0), 10, 0)
  + _xlfn.IFS(BY48="Independently Verified",25, BY48="Yes",15, TRUE,0)
  + IFERROR(_xlfn.XLOOKUP(BZ48,'Lookup Tables'!$A$21:$A$24,'Lookup Tables'!$B$21:$B$24,0),0)
  + IFERROR(_xlfn.XLOOKUP(CA48,'Lookup Tables'!$D$21:$D$24,'Lookup Tables'!$E$21:$E$24,0),0)
  + _xlfn.IFS(ISNUMBER(CB48)*AND(CB48&gt;=11),15, ISNUMBER(CB48)*AND(CB48&gt;=6),10, ISNUMBER(CB48)*AND(CB48&gt;=1),5, TRUE,0)
  + IFERROR(_xlfn.XLOOKUP(CC48,'Lookup Tables'!$G$21:$G$25,'Lookup Tables'!$H$21:$H$25,0),0)
  - IF(ISNUMBER(BW48)*AND(ISNUMBER(BV48))*AND(BW48&gt;BV48), 20, 0)
  - IF(AND(BY48="Yes", ISNUMBER(BW48), BW48&gt;60), 10, 0)
))</f>
        <v>0</v>
      </c>
      <c r="CF48" s="5"/>
      <c r="CG48" s="5"/>
      <c r="CH48" s="5"/>
      <c r="CI48" s="5"/>
      <c r="CJ48" s="5"/>
      <c r="CK48" s="5"/>
      <c r="CL48" s="5"/>
      <c r="CM48" s="5"/>
      <c r="CN48" s="5"/>
      <c r="CO48" s="5"/>
      <c r="CP48" s="5"/>
      <c r="CQ48" s="5"/>
      <c r="CR48" s="5">
        <f t="shared" si="51"/>
        <v>0</v>
      </c>
      <c r="CS48" s="5">
        <f t="shared" si="52"/>
        <v>0</v>
      </c>
      <c r="CT48" s="5">
        <f t="shared" si="53"/>
        <v>0</v>
      </c>
      <c r="CU48" s="5">
        <f>MIN(100,
  CR48*15
  + CS48*6
  + CT48*3
  + IFERROR(_xlfn.XLOOKUP(CW48,'Lookup Tables'!$M$21:$M$25,'Lookup Tables'!$N$21:$N$25,0),0)
)</f>
        <v>0</v>
      </c>
      <c r="CV48" s="5" t="str">
        <f t="shared" si="61"/>
        <v>No failures</v>
      </c>
      <c r="CW48" s="5"/>
      <c r="CX48" s="5"/>
      <c r="CY48" s="5"/>
      <c r="CZ48" s="5"/>
      <c r="DA48" s="5" t="str">
        <f t="shared" si="54"/>
        <v>Yes</v>
      </c>
      <c r="DB48" s="5" t="str">
        <f t="shared" si="55"/>
        <v>No</v>
      </c>
      <c r="DC48" s="5"/>
      <c r="DD48" s="5"/>
      <c r="DE48" s="5"/>
      <c r="DF48" s="5"/>
      <c r="DG48" s="5"/>
      <c r="DH48" s="5"/>
      <c r="DI48" s="5"/>
      <c r="DJ48" s="5"/>
      <c r="DK48" s="5"/>
      <c r="DL48" s="5" t="str">
        <f t="shared" si="56"/>
        <v>Clear</v>
      </c>
      <c r="DM48" s="5" t="str">
        <f t="shared" si="57"/>
        <v>Yes</v>
      </c>
      <c r="DN48" s="5">
        <f t="array" ref="DN48">MIN(100,
  IF(ISNUMBER(V48), _xlfn.IFS(V48&gt;=3,25, V48=2,15, V48=1,5, TRUE,0), 0)
  + IFERROR(_xlfn.IFS(VALUE(LEFT(DF48,1))=5,25, VALUE(LEFT(DF48,1))=4,20, VALUE(LEFT(DF48,1))=3,15, VALUE(LEFT(DF48,1))=2,8, TRUE,0), 15)
  + IFERROR(_xlfn.IFS(VALUE(LEFT(DG48,1))=5,25, VALUE(LEFT(DG48,1))=4,20, VALUE(LEFT(DG48,1))=3,15, VALUE(LEFT(DG48,1))=2,8, TRUE,0), 15)
  + _xlfn.IFS(DH48="Fully Verified",25, DH48="Partially Verified",12, TRUE,0)
)</f>
        <v>30</v>
      </c>
      <c r="DO48" s="5" t="str">
        <f t="array" ref="DO48">_xlfn.IFS(
  ISBLANK(AR48), "Insufficient Evidence",
  AND(AR48&gt;=65, AJ48="Approved"), "Strong",
  AR48&gt;=65, "Adequate",
  AR48&gt;=40, "Adequate",
  AR48&gt;=20, "Weak",
  TRUE, "Insufficient Evidence"
)</f>
        <v>Insufficient Evidence</v>
      </c>
      <c r="DP48" s="5" t="str">
        <f t="array" ref="DP48">_xlfn.IFS(
  ISBLANK(BS48), "Insufficient Evidence",
  BS48&gt;=65, "Strong",
  BS48&gt;=40, "Adequate",
  BS48&gt;=20, "Weak",
  TRUE, "Insufficient Evidence"
)</f>
        <v>Insufficient Evidence</v>
      </c>
      <c r="DQ48" s="5" t="str">
        <f t="array" ref="DQ48">_xlfn.IFS(
  ISBLANK(BE48), "Insufficient Evidence",
  OR(AW48="Confirmed Violation", AX48="Confirmed Breach"), "Severe — Hard Trigger",
  BE48&gt;=65, "Strong",
  BE48&gt;=40, "Adequate",
  BE48&gt;=20, "Weak",
  TRUE, "Insufficient Evidence"
)</f>
        <v>Insufficient Evidence</v>
      </c>
      <c r="DR48" s="5" t="str">
        <f t="array" ref="DR48">_xlfn.IFS(
  ISBLANK(CU48), "Insufficient Evidence",
  CU48&lt;=20, "Low Risk",
  CU48&lt;=50, "Moderate Risk",
  CU48&lt;=75, "High Risk",
  TRUE, "Very High Risk"
)</f>
        <v>Low Risk</v>
      </c>
      <c r="DS48" s="5" t="str">
        <f t="array" ref="DS48">_xlfn.IFS(
  ISBLANK(CE48), "Insufficient Evidence",
  AND(ISNUMBER(BW48),ISNUMBER(BV48),BW48&gt;BV48), "Overclaiming Risk",
  CE48&gt;=65, "Strong",
  CE48&gt;=40, "Adequate",
  TRUE, "Weak"
)</f>
        <v>Weak</v>
      </c>
      <c r="DT48" s="5">
        <f t="shared" si="58"/>
        <v>11.7</v>
      </c>
      <c r="DU48" s="5" t="str">
        <f t="array" ref="DU48">_xlfn.IFS(
  DV48="Upgraded to Clear", "Clear",
  DV48="Downgraded to Watchlist", "Watchlist",
  DV48="Downgraded to Exclusion", "Exclusion Risk",
  DB48="Yes — Automatic", "Exclusion Risk",
  OR(AW48="Confirmed Violation", AX48="Confirmed Breach"), "Exclusion Risk",
  OR(V48=0, ISBLANK(V48), DN48&lt;20), "Insufficient Evidence",
  AND(DT48&gt;=65, DA48="No", DB48="No"), "Clear",
  OR(DT48&gt;=40, DA48="Yes"), "Watchlist",
  TRUE, "Exclusion Risk"
)</f>
        <v>Insufficient Evidence</v>
      </c>
      <c r="DV48" s="5"/>
      <c r="DW48" s="5" t="str">
        <f t="array" ref="DW48">_xlfn.IFS(
  DU48="Exclusion Risk", "Exclude — Hard Trigger",
  DU48="Insufficient Evidence", "Watchlist — Further Evidence Needed",
  DU48="Watchlist", "Watchlist — Further Evidence Needed",
  AND(DU48="Clear", DT48&gt;=80), "Include — No Conditions",
  DU48="Clear", "Include — Monitor",
  TRUE, "Watchlist — Further Evidence Needed"
)</f>
        <v>Watchlist — Further Evidence Needed</v>
      </c>
      <c r="DX48" s="5"/>
      <c r="DY48" s="5"/>
      <c r="DZ48" s="5"/>
      <c r="EA48" s="5"/>
      <c r="EB48" s="5" t="str">
        <f t="shared" si="59"/>
        <v>MISSING — No sources reviewed</v>
      </c>
      <c r="EC48" s="5" t="str">
        <f t="shared" si="60"/>
        <v/>
      </c>
    </row>
    <row r="49" spans="1:133" ht="18" customHeight="1" x14ac:dyDescent="0.15">
      <c r="A49" s="3" t="s">
        <v>468</v>
      </c>
      <c r="B49" s="3" t="s">
        <v>469</v>
      </c>
      <c r="C49" s="3" t="str">
        <f>IF(ISBLANK('Universe Tracker'!D45),"",'Universe Tracker'!D45)</f>
        <v>NO0010096985</v>
      </c>
      <c r="D49" s="3"/>
      <c r="E49" s="3"/>
      <c r="F49" s="3" t="str">
        <f>IF(ISBLANK('Universe Tracker'!F45),"",'Universe Tracker'!F45)</f>
        <v>Energy</v>
      </c>
      <c r="G49" s="3" t="str">
        <f>IF(ISBLANK('Universe Tracker'!G45),"",'Universe Tracker'!G45)</f>
        <v>Oil &amp; Gas</v>
      </c>
      <c r="H49" s="3"/>
      <c r="I49" s="3"/>
      <c r="J49" s="3" t="str">
        <f t="shared" si="49"/>
        <v>DNQ_NO0010096985</v>
      </c>
      <c r="K49" s="3"/>
      <c r="L49" s="3"/>
      <c r="M49" s="3"/>
      <c r="N49" s="3"/>
      <c r="O49" s="3"/>
      <c r="P49" s="3"/>
      <c r="Q49" s="3"/>
      <c r="R49" s="3"/>
      <c r="S49" s="3"/>
      <c r="T49" s="3"/>
      <c r="U49" s="3"/>
      <c r="V49" s="3"/>
      <c r="W49" s="3"/>
      <c r="X49" s="3"/>
      <c r="Y49" s="3" t="str">
        <f t="shared" si="50"/>
        <v>Insufficient</v>
      </c>
      <c r="Z49" s="3"/>
      <c r="AA49" s="3"/>
      <c r="AB49" s="3"/>
      <c r="AC49" s="3"/>
      <c r="AD49" s="3"/>
      <c r="AE49" s="3"/>
      <c r="AF49" s="3"/>
      <c r="AG49" s="3"/>
      <c r="AH49" s="3"/>
      <c r="AI49" s="3"/>
      <c r="AJ49" s="3"/>
      <c r="AK49" s="3"/>
      <c r="AL49" s="3"/>
      <c r="AM49" s="3"/>
      <c r="AN49" s="3"/>
      <c r="AO49" s="3"/>
      <c r="AP49" s="3"/>
      <c r="AQ49" s="3"/>
      <c r="AR49" s="40">
        <f t="array" ref="AR49">MIN(100, MAX(0,
  IFERROR(_xlfn.XLOOKUP(AJ49,'Lookup Tables'!$A$2:$A$7,'Lookup Tables'!$B$2:$B$7,0),0)
  + IF(Z49="Yes", IF(IFERROR(_xlfn.XLOOKUP(AJ49,'Lookup Tables'!$A$2:$A$7,'Lookup Tables'!$B$2:$B$7,0),0)&lt;20, 5, 0), 0)
  + _xlfn.IFS(AB49="Yes", IF(ISNUMBER(AC49)*AND(AC49&lt;=2030),15,10), AB49="Long-term Only", 5, AB49="No", 0, TRUE, 0)
  + _xlfn.IFS(AF49="Full",10, AF49="Partial",5, AF49="Scope 2 Only",3, TRUE,0)
  + _xlfn.IFS(AG49="Yes", IF(ISNUMBER(AH49)*AND(AH49&gt;=5),10,6), AG49="Partial",4, TRUE,0)
  + _xlfn.IFS(AI49="Yes",5, AI49="Partial (material categories only)",3, TRUE,0)
  + _xlfn.IFS(AL49="Yes — Detailed",10, AL49="Yes — High Level",5, TRUE,0)
  + _xlfn.IFS(AM49="Yes — Quantified",15, AM49="Yes — Directional Only",7, TRUE,0)
  + _xlfn.IFS(AP49="Formal",5, AP49="Referenced",2, TRUE,0)
  + _xlfn.IFS(AQ49="No Issues Found",5, AQ49="Concern Identified",-5, AQ49="Severe Contradiction",-15, TRUE,0)
  + _xlfn.IFS(BC49="Reasonable Assurance",5, BC49="Limited Assurance",3, TRUE,0)
  - IF(AND(Z49="Yes", AI49="No"), 10, 0)
  - IF(AND(Z49="Yes", AM49="No"), 10, 0)
))</f>
        <v>0</v>
      </c>
      <c r="AS49" s="3"/>
      <c r="AT49" s="3"/>
      <c r="AU49" s="3"/>
      <c r="AV49" s="3"/>
      <c r="AW49" s="3"/>
      <c r="AX49" s="3"/>
      <c r="AY49" s="3"/>
      <c r="AZ49" s="3"/>
      <c r="BA49" s="3"/>
      <c r="BB49" s="3"/>
      <c r="BC49" s="3"/>
      <c r="BD49" s="3"/>
      <c r="BE49" s="40">
        <f t="array" ref="BE49">MIN(100, MAX(0,
  IFERROR(_xlfn.XLOOKUP(AT49,'Lookup Tables'!$D$2:$D$6,'Lookup Tables'!$E$2:$E$6,0),0)
  + IFERROR(_xlfn.XLOOKUP(AV49,'Lookup Tables'!$G$2:$G$5,'Lookup Tables'!$H$2:$H$5,0),0)
  + IFERROR(_xlfn.XLOOKUP(AW49,'Lookup Tables'!$J$2:$J$5,'Lookup Tables'!$K$2:$K$5,0),0)
  + _xlfn.IFS(AX49="No Issues",10, AX49="Complaint Filed",3, AX49="Confirmed Breach",-15, TRUE,0)
  + IFERROR(_xlfn.XLOOKUP(AY49,'Lookup Tables'!$M$2:$M$6,'Lookup Tables'!$N$2:$N$6,0),0)
  + IFERROR(_xlfn.XLOOKUP(AZ49,'Lookup Tables'!$P$2:$P$6,'Lookup Tables'!$Q$2:$Q$6,0),0)
  + _xlfn.IFS(BA49="Formal Board Committee",5, BA49="Board Oversight Mentioned",2, TRUE,0)
  + _xlfn.IFS(BB49="Yes — Quantified Targets",5, BB49="Yes — Discretionary Only",2, TRUE,0)
  + _xlfn.IFS(BC49="Reasonable Assurance",5, BC49="Limited Assurance",3, BC49="Management Review Only",1, TRUE,0)
))</f>
        <v>0</v>
      </c>
      <c r="BF49" s="3"/>
      <c r="BG49" s="3"/>
      <c r="BH49" s="3"/>
      <c r="BI49" s="3"/>
      <c r="BJ49" s="3"/>
      <c r="BK49" s="3"/>
      <c r="BL49" s="3"/>
      <c r="BM49" s="3"/>
      <c r="BN49" s="3"/>
      <c r="BO49" s="3"/>
      <c r="BP49" s="3"/>
      <c r="BQ49" s="3"/>
      <c r="BR49" s="3"/>
      <c r="BS49" s="42">
        <f t="array" ref="BS49">MIN(100, MAX(0,
  IFERROR(_xlfn.XLOOKUP(BG49,'Lookup Tables'!$A$11:$A$16,'Lookup Tables'!$B$11:$B$16,0),0)
  + IFERROR(_xlfn.XLOOKUP(BR49,'Lookup Tables'!$M$11:$M$14,'Lookup Tables'!$N$11:$N$14,0),0)
  + IFERROR(_xlfn.XLOOKUP(BQ49,'Lookup Tables'!$J$11:$J$15,'Lookup Tables'!$K$11:$K$15,0),0)
  + IFERROR(_xlfn.XLOOKUP(BH49,'Lookup Tables'!$D$11:$D$15,'Lookup Tables'!$E$11:$E$15,0),0)
  + IFERROR(_xlfn.XLOOKUP(BJ49,'Lookup Tables'!$G$11:$G$16,'Lookup Tables'!$H$11:$H$16,0),0)
  + IFERROR(_xlfn.XLOOKUP(BN49,'Lookup Tables'!$P$11:$P$15,'Lookup Tables'!$Q$11:$Q$15,0),0)
  + _xlfn.IFS(BM49="No Evidence",10, BM49="Unknown",3, BM49="Likely",0, BM49="Confirmed",-10, TRUE,3)
  + IFERROR(_xlfn.XLOOKUP(BP49,'Lookup Tables'!$J$21:$J$24,'Lookup Tables'!$K$21:$K$24,0),0)
))</f>
        <v>3</v>
      </c>
      <c r="BT49" s="3"/>
      <c r="BU49" s="3"/>
      <c r="BV49" s="3"/>
      <c r="BW49" s="3"/>
      <c r="BX49" s="3"/>
      <c r="BY49" s="3"/>
      <c r="BZ49" s="3"/>
      <c r="CA49" s="3"/>
      <c r="CB49" s="3"/>
      <c r="CC49" s="3"/>
      <c r="CD49" s="3"/>
      <c r="CE49" s="44">
        <f t="array" ref="CE49">MIN(100, MAX(0,
  IF(ISNUMBER(BV49)*AND(BV49&gt;0), 10, 0)
  + _xlfn.IFS(BY49="Independently Verified",25, BY49="Yes",15, TRUE,0)
  + IFERROR(_xlfn.XLOOKUP(BZ49,'Lookup Tables'!$A$21:$A$24,'Lookup Tables'!$B$21:$B$24,0),0)
  + IFERROR(_xlfn.XLOOKUP(CA49,'Lookup Tables'!$D$21:$D$24,'Lookup Tables'!$E$21:$E$24,0),0)
  + _xlfn.IFS(ISNUMBER(CB49)*AND(CB49&gt;=11),15, ISNUMBER(CB49)*AND(CB49&gt;=6),10, ISNUMBER(CB49)*AND(CB49&gt;=1),5, TRUE,0)
  + IFERROR(_xlfn.XLOOKUP(CC49,'Lookup Tables'!$G$21:$G$25,'Lookup Tables'!$H$21:$H$25,0),0)
  - IF(ISNUMBER(BW49)*AND(ISNUMBER(BV49))*AND(BW49&gt;BV49), 20, 0)
  - IF(AND(BY49="Yes", ISNUMBER(BW49), BW49&gt;60), 10, 0)
))</f>
        <v>0</v>
      </c>
      <c r="CF49" s="3"/>
      <c r="CG49" s="3"/>
      <c r="CH49" s="3"/>
      <c r="CI49" s="3"/>
      <c r="CJ49" s="3"/>
      <c r="CK49" s="3"/>
      <c r="CL49" s="3"/>
      <c r="CM49" s="3"/>
      <c r="CN49" s="3"/>
      <c r="CO49" s="3"/>
      <c r="CP49" s="3"/>
      <c r="CQ49" s="3"/>
      <c r="CR49" s="3">
        <f t="shared" si="51"/>
        <v>0</v>
      </c>
      <c r="CS49" s="3">
        <f t="shared" si="52"/>
        <v>0</v>
      </c>
      <c r="CT49" s="3">
        <f t="shared" si="53"/>
        <v>0</v>
      </c>
      <c r="CU49" s="3">
        <f>MIN(100,
  CR49*15
  + CS49*6
  + CT49*3
  + IFERROR(_xlfn.XLOOKUP(CW49,'Lookup Tables'!$M$21:$M$25,'Lookup Tables'!$N$21:$N$25,0),0)
)</f>
        <v>0</v>
      </c>
      <c r="CV49" s="3" t="str">
        <f t="shared" si="61"/>
        <v>No failures</v>
      </c>
      <c r="CW49" s="3"/>
      <c r="CX49" s="3"/>
      <c r="CY49" s="3"/>
      <c r="CZ49" s="3"/>
      <c r="DA49" s="3" t="str">
        <f t="shared" si="54"/>
        <v>Yes</v>
      </c>
      <c r="DB49" s="3" t="str">
        <f t="shared" si="55"/>
        <v>No</v>
      </c>
      <c r="DC49" s="3"/>
      <c r="DD49" s="3"/>
      <c r="DE49" s="3"/>
      <c r="DF49" s="3"/>
      <c r="DG49" s="3"/>
      <c r="DH49" s="3"/>
      <c r="DI49" s="3"/>
      <c r="DJ49" s="3"/>
      <c r="DK49" s="3"/>
      <c r="DL49" s="3" t="str">
        <f t="shared" si="56"/>
        <v>Clear</v>
      </c>
      <c r="DM49" s="3" t="str">
        <f t="shared" si="57"/>
        <v>Yes</v>
      </c>
      <c r="DN49" s="3">
        <f t="array" ref="DN49">MIN(100,
  IF(ISNUMBER(V49), _xlfn.IFS(V49&gt;=3,25, V49=2,15, V49=1,5, TRUE,0), 0)
  + IFERROR(_xlfn.IFS(VALUE(LEFT(DF49,1))=5,25, VALUE(LEFT(DF49,1))=4,20, VALUE(LEFT(DF49,1))=3,15, VALUE(LEFT(DF49,1))=2,8, TRUE,0), 15)
  + IFERROR(_xlfn.IFS(VALUE(LEFT(DG49,1))=5,25, VALUE(LEFT(DG49,1))=4,20, VALUE(LEFT(DG49,1))=3,15, VALUE(LEFT(DG49,1))=2,8, TRUE,0), 15)
  + _xlfn.IFS(DH49="Fully Verified",25, DH49="Partially Verified",12, TRUE,0)
)</f>
        <v>30</v>
      </c>
      <c r="DO49" s="3" t="str">
        <f t="array" ref="DO49">_xlfn.IFS(
  ISBLANK(AR49), "Insufficient Evidence",
  AND(AR49&gt;=65, AJ49="Approved"), "Strong",
  AR49&gt;=65, "Adequate",
  AR49&gt;=40, "Adequate",
  AR49&gt;=20, "Weak",
  TRUE, "Insufficient Evidence"
)</f>
        <v>Insufficient Evidence</v>
      </c>
      <c r="DP49" s="3" t="str">
        <f t="array" ref="DP49">_xlfn.IFS(
  ISBLANK(BS49), "Insufficient Evidence",
  BS49&gt;=65, "Strong",
  BS49&gt;=40, "Adequate",
  BS49&gt;=20, "Weak",
  TRUE, "Insufficient Evidence"
)</f>
        <v>Insufficient Evidence</v>
      </c>
      <c r="DQ49" s="3" t="str">
        <f t="array" ref="DQ49">_xlfn.IFS(
  ISBLANK(BE49), "Insufficient Evidence",
  OR(AW49="Confirmed Violation", AX49="Confirmed Breach"), "Severe — Hard Trigger",
  BE49&gt;=65, "Strong",
  BE49&gt;=40, "Adequate",
  BE49&gt;=20, "Weak",
  TRUE, "Insufficient Evidence"
)</f>
        <v>Insufficient Evidence</v>
      </c>
      <c r="DR49" s="3" t="str">
        <f t="array" ref="DR49">_xlfn.IFS(
  ISBLANK(CU49), "Insufficient Evidence",
  CU49&lt;=20, "Low Risk",
  CU49&lt;=50, "Moderate Risk",
  CU49&lt;=75, "High Risk",
  TRUE, "Very High Risk"
)</f>
        <v>Low Risk</v>
      </c>
      <c r="DS49" s="3" t="str">
        <f t="array" ref="DS49">_xlfn.IFS(
  ISBLANK(CE49), "Insufficient Evidence",
  AND(ISNUMBER(BW49),ISNUMBER(BV49),BW49&gt;BV49), "Overclaiming Risk",
  CE49&gt;=65, "Strong",
  CE49&gt;=40, "Adequate",
  TRUE, "Weak"
)</f>
        <v>Weak</v>
      </c>
      <c r="DT49" s="3">
        <f t="shared" si="58"/>
        <v>11.7</v>
      </c>
      <c r="DU49" s="3" t="str">
        <f t="array" ref="DU49">_xlfn.IFS(
  DV49="Upgraded to Clear", "Clear",
  DV49="Downgraded to Watchlist", "Watchlist",
  DV49="Downgraded to Exclusion", "Exclusion Risk",
  DB49="Yes — Automatic", "Exclusion Risk",
  OR(AW49="Confirmed Violation", AX49="Confirmed Breach"), "Exclusion Risk",
  OR(V49=0, ISBLANK(V49), DN49&lt;20), "Insufficient Evidence",
  AND(DT49&gt;=65, DA49="No", DB49="No"), "Clear",
  OR(DT49&gt;=40, DA49="Yes"), "Watchlist",
  TRUE, "Exclusion Risk"
)</f>
        <v>Insufficient Evidence</v>
      </c>
      <c r="DV49" s="3"/>
      <c r="DW49" s="3" t="str">
        <f t="array" ref="DW49">_xlfn.IFS(
  DU49="Exclusion Risk", "Exclude — Hard Trigger",
  DU49="Insufficient Evidence", "Watchlist — Further Evidence Needed",
  DU49="Watchlist", "Watchlist — Further Evidence Needed",
  AND(DU49="Clear", DT49&gt;=80), "Include — No Conditions",
  DU49="Clear", "Include — Monitor",
  TRUE, "Watchlist — Further Evidence Needed"
)</f>
        <v>Watchlist — Further Evidence Needed</v>
      </c>
      <c r="DX49" s="3"/>
      <c r="DY49" s="3"/>
      <c r="DZ49" s="3"/>
      <c r="EA49" s="3"/>
      <c r="EB49" s="3" t="str">
        <f t="shared" si="59"/>
        <v>MISSING — No sources reviewed</v>
      </c>
      <c r="EC49" s="3" t="str">
        <f t="shared" si="60"/>
        <v/>
      </c>
    </row>
    <row r="50" spans="1:133" ht="18" customHeight="1" x14ac:dyDescent="0.15">
      <c r="A50" s="5" t="s">
        <v>472</v>
      </c>
      <c r="B50" s="5" t="s">
        <v>473</v>
      </c>
      <c r="C50" s="5" t="str">
        <f>IF(ISBLANK('Universe Tracker'!D46),"",'Universe Tracker'!D46)</f>
        <v>GB0004052071</v>
      </c>
      <c r="D50" s="5"/>
      <c r="E50" s="5"/>
      <c r="F50" s="5" t="str">
        <f>IF(ISBLANK('Universe Tracker'!F46),"",'Universe Tracker'!F46)</f>
        <v>Industrials</v>
      </c>
      <c r="G50" s="5" t="str">
        <f>IF(ISBLANK('Universe Tracker'!G46),"",'Universe Tracker'!G46)</f>
        <v>Industrial Products</v>
      </c>
      <c r="H50" s="5"/>
      <c r="I50" s="5"/>
      <c r="J50" s="5" t="str">
        <f t="shared" si="49"/>
        <v>H11_GB0004052071</v>
      </c>
      <c r="K50" s="5"/>
      <c r="L50" s="5"/>
      <c r="M50" s="5"/>
      <c r="N50" s="5"/>
      <c r="O50" s="5"/>
      <c r="P50" s="5"/>
      <c r="Q50" s="5"/>
      <c r="R50" s="5"/>
      <c r="S50" s="5"/>
      <c r="T50" s="5"/>
      <c r="U50" s="5"/>
      <c r="V50" s="5"/>
      <c r="W50" s="5"/>
      <c r="X50" s="5"/>
      <c r="Y50" s="5" t="str">
        <f t="shared" si="50"/>
        <v>Insufficient</v>
      </c>
      <c r="Z50" s="5"/>
      <c r="AA50" s="5"/>
      <c r="AB50" s="5"/>
      <c r="AC50" s="5"/>
      <c r="AD50" s="5"/>
      <c r="AE50" s="5"/>
      <c r="AF50" s="5"/>
      <c r="AG50" s="5"/>
      <c r="AH50" s="5"/>
      <c r="AI50" s="5"/>
      <c r="AJ50" s="5"/>
      <c r="AK50" s="5"/>
      <c r="AL50" s="5"/>
      <c r="AM50" s="5"/>
      <c r="AN50" s="5"/>
      <c r="AO50" s="5"/>
      <c r="AP50" s="5"/>
      <c r="AQ50" s="5"/>
      <c r="AR50" s="40">
        <f t="array" ref="AR50">MIN(100, MAX(0,
  IFERROR(_xlfn.XLOOKUP(AJ50,'Lookup Tables'!$A$2:$A$7,'Lookup Tables'!$B$2:$B$7,0),0)
  + IF(Z50="Yes", IF(IFERROR(_xlfn.XLOOKUP(AJ50,'Lookup Tables'!$A$2:$A$7,'Lookup Tables'!$B$2:$B$7,0),0)&lt;20, 5, 0), 0)
  + _xlfn.IFS(AB50="Yes", IF(ISNUMBER(AC50)*AND(AC50&lt;=2030),15,10), AB50="Long-term Only", 5, AB50="No", 0, TRUE, 0)
  + _xlfn.IFS(AF50="Full",10, AF50="Partial",5, AF50="Scope 2 Only",3, TRUE,0)
  + _xlfn.IFS(AG50="Yes", IF(ISNUMBER(AH50)*AND(AH50&gt;=5),10,6), AG50="Partial",4, TRUE,0)
  + _xlfn.IFS(AI50="Yes",5, AI50="Partial (material categories only)",3, TRUE,0)
  + _xlfn.IFS(AL50="Yes — Detailed",10, AL50="Yes — High Level",5, TRUE,0)
  + _xlfn.IFS(AM50="Yes — Quantified",15, AM50="Yes — Directional Only",7, TRUE,0)
  + _xlfn.IFS(AP50="Formal",5, AP50="Referenced",2, TRUE,0)
  + _xlfn.IFS(AQ50="No Issues Found",5, AQ50="Concern Identified",-5, AQ50="Severe Contradiction",-15, TRUE,0)
  + _xlfn.IFS(BC50="Reasonable Assurance",5, BC50="Limited Assurance",3, TRUE,0)
  - IF(AND(Z50="Yes", AI50="No"), 10, 0)
  - IF(AND(Z50="Yes", AM50="No"), 10, 0)
))</f>
        <v>0</v>
      </c>
      <c r="AS50" s="5"/>
      <c r="AT50" s="5"/>
      <c r="AU50" s="5"/>
      <c r="AV50" s="5"/>
      <c r="AW50" s="5"/>
      <c r="AX50" s="5"/>
      <c r="AY50" s="5"/>
      <c r="AZ50" s="5"/>
      <c r="BA50" s="5"/>
      <c r="BB50" s="5"/>
      <c r="BC50" s="5"/>
      <c r="BD50" s="5"/>
      <c r="BE50" s="39">
        <f t="array" ref="BE50">MIN(100, MAX(0,
  IFERROR(_xlfn.XLOOKUP(AT50,'Lookup Tables'!$D$2:$D$6,'Lookup Tables'!$E$2:$E$6,0),0)
  + IFERROR(_xlfn.XLOOKUP(AV50,'Lookup Tables'!$G$2:$G$5,'Lookup Tables'!$H$2:$H$5,0),0)
  + IFERROR(_xlfn.XLOOKUP(AW50,'Lookup Tables'!$J$2:$J$5,'Lookup Tables'!$K$2:$K$5,0),0)
  + _xlfn.IFS(AX50="No Issues",10, AX50="Complaint Filed",3, AX50="Confirmed Breach",-15, TRUE,0)
  + IFERROR(_xlfn.XLOOKUP(AY50,'Lookup Tables'!$M$2:$M$6,'Lookup Tables'!$N$2:$N$6,0),0)
  + IFERROR(_xlfn.XLOOKUP(AZ50,'Lookup Tables'!$P$2:$P$6,'Lookup Tables'!$Q$2:$Q$6,0),0)
  + _xlfn.IFS(BA50="Formal Board Committee",5, BA50="Board Oversight Mentioned",2, TRUE,0)
  + _xlfn.IFS(BB50="Yes — Quantified Targets",5, BB50="Yes — Discretionary Only",2, TRUE,0)
  + _xlfn.IFS(BC50="Reasonable Assurance",5, BC50="Limited Assurance",3, BC50="Management Review Only",1, TRUE,0)
))</f>
        <v>0</v>
      </c>
      <c r="BF50" s="5"/>
      <c r="BG50" s="5"/>
      <c r="BH50" s="5"/>
      <c r="BI50" s="5"/>
      <c r="BJ50" s="5"/>
      <c r="BK50" s="5"/>
      <c r="BL50" s="5"/>
      <c r="BM50" s="5"/>
      <c r="BN50" s="5"/>
      <c r="BO50" s="5"/>
      <c r="BP50" s="5"/>
      <c r="BQ50" s="5"/>
      <c r="BR50" s="5"/>
      <c r="BS50" s="41">
        <f t="array" ref="BS50">MIN(100, MAX(0,
  IFERROR(_xlfn.XLOOKUP(BG50,'Lookup Tables'!$A$11:$A$16,'Lookup Tables'!$B$11:$B$16,0),0)
  + IFERROR(_xlfn.XLOOKUP(BR50,'Lookup Tables'!$M$11:$M$14,'Lookup Tables'!$N$11:$N$14,0),0)
  + IFERROR(_xlfn.XLOOKUP(BQ50,'Lookup Tables'!$J$11:$J$15,'Lookup Tables'!$K$11:$K$15,0),0)
  + IFERROR(_xlfn.XLOOKUP(BH50,'Lookup Tables'!$D$11:$D$15,'Lookup Tables'!$E$11:$E$15,0),0)
  + IFERROR(_xlfn.XLOOKUP(BJ50,'Lookup Tables'!$G$11:$G$16,'Lookup Tables'!$H$11:$H$16,0),0)
  + IFERROR(_xlfn.XLOOKUP(BN50,'Lookup Tables'!$P$11:$P$15,'Lookup Tables'!$Q$11:$Q$15,0),0)
  + _xlfn.IFS(BM50="No Evidence",10, BM50="Unknown",3, BM50="Likely",0, BM50="Confirmed",-10, TRUE,3)
  + IFERROR(_xlfn.XLOOKUP(BP50,'Lookup Tables'!$J$21:$J$24,'Lookup Tables'!$K$21:$K$24,0),0)
))</f>
        <v>3</v>
      </c>
      <c r="BT50" s="5"/>
      <c r="BU50" s="5"/>
      <c r="BV50" s="5"/>
      <c r="BW50" s="5"/>
      <c r="BX50" s="5"/>
      <c r="BY50" s="5"/>
      <c r="BZ50" s="5"/>
      <c r="CA50" s="5"/>
      <c r="CB50" s="5"/>
      <c r="CC50" s="5"/>
      <c r="CD50" s="5"/>
      <c r="CE50" s="43">
        <f t="array" ref="CE50">MIN(100, MAX(0,
  IF(ISNUMBER(BV50)*AND(BV50&gt;0), 10, 0)
  + _xlfn.IFS(BY50="Independently Verified",25, BY50="Yes",15, TRUE,0)
  + IFERROR(_xlfn.XLOOKUP(BZ50,'Lookup Tables'!$A$21:$A$24,'Lookup Tables'!$B$21:$B$24,0),0)
  + IFERROR(_xlfn.XLOOKUP(CA50,'Lookup Tables'!$D$21:$D$24,'Lookup Tables'!$E$21:$E$24,0),0)
  + _xlfn.IFS(ISNUMBER(CB50)*AND(CB50&gt;=11),15, ISNUMBER(CB50)*AND(CB50&gt;=6),10, ISNUMBER(CB50)*AND(CB50&gt;=1),5, TRUE,0)
  + IFERROR(_xlfn.XLOOKUP(CC50,'Lookup Tables'!$G$21:$G$25,'Lookup Tables'!$H$21:$H$25,0),0)
  - IF(ISNUMBER(BW50)*AND(ISNUMBER(BV50))*AND(BW50&gt;BV50), 20, 0)
  - IF(AND(BY50="Yes", ISNUMBER(BW50), BW50&gt;60), 10, 0)
))</f>
        <v>0</v>
      </c>
      <c r="CF50" s="5"/>
      <c r="CG50" s="5"/>
      <c r="CH50" s="5"/>
      <c r="CI50" s="5"/>
      <c r="CJ50" s="5"/>
      <c r="CK50" s="5"/>
      <c r="CL50" s="5"/>
      <c r="CM50" s="5"/>
      <c r="CN50" s="5"/>
      <c r="CO50" s="5"/>
      <c r="CP50" s="5"/>
      <c r="CQ50" s="5"/>
      <c r="CR50" s="5">
        <f t="shared" si="51"/>
        <v>0</v>
      </c>
      <c r="CS50" s="5">
        <f t="shared" si="52"/>
        <v>0</v>
      </c>
      <c r="CT50" s="5">
        <f t="shared" si="53"/>
        <v>0</v>
      </c>
      <c r="CU50" s="5">
        <f>MIN(100,
  CR50*15
  + CS50*6
  + CT50*3
  + IFERROR(_xlfn.XLOOKUP(CW50,'Lookup Tables'!$M$21:$M$25,'Lookup Tables'!$N$21:$N$25,0),0)
)</f>
        <v>0</v>
      </c>
      <c r="CV50" s="5" t="str">
        <f t="shared" si="61"/>
        <v>No failures</v>
      </c>
      <c r="CW50" s="5"/>
      <c r="CX50" s="5"/>
      <c r="CY50" s="5"/>
      <c r="CZ50" s="5"/>
      <c r="DA50" s="5" t="str">
        <f t="shared" si="54"/>
        <v>Yes</v>
      </c>
      <c r="DB50" s="5" t="str">
        <f t="shared" si="55"/>
        <v>No</v>
      </c>
      <c r="DC50" s="5"/>
      <c r="DD50" s="5"/>
      <c r="DE50" s="5"/>
      <c r="DF50" s="5"/>
      <c r="DG50" s="5"/>
      <c r="DH50" s="5"/>
      <c r="DI50" s="5"/>
      <c r="DJ50" s="5"/>
      <c r="DK50" s="5"/>
      <c r="DL50" s="5" t="str">
        <f t="shared" si="56"/>
        <v>Clear</v>
      </c>
      <c r="DM50" s="5" t="str">
        <f t="shared" si="57"/>
        <v>Yes</v>
      </c>
      <c r="DN50" s="5">
        <f t="array" ref="DN50">MIN(100,
  IF(ISNUMBER(V50), _xlfn.IFS(V50&gt;=3,25, V50=2,15, V50=1,5, TRUE,0), 0)
  + IFERROR(_xlfn.IFS(VALUE(LEFT(DF50,1))=5,25, VALUE(LEFT(DF50,1))=4,20, VALUE(LEFT(DF50,1))=3,15, VALUE(LEFT(DF50,1))=2,8, TRUE,0), 15)
  + IFERROR(_xlfn.IFS(VALUE(LEFT(DG50,1))=5,25, VALUE(LEFT(DG50,1))=4,20, VALUE(LEFT(DG50,1))=3,15, VALUE(LEFT(DG50,1))=2,8, TRUE,0), 15)
  + _xlfn.IFS(DH50="Fully Verified",25, DH50="Partially Verified",12, TRUE,0)
)</f>
        <v>30</v>
      </c>
      <c r="DO50" s="5" t="str">
        <f t="array" ref="DO50">_xlfn.IFS(
  ISBLANK(AR50), "Insufficient Evidence",
  AND(AR50&gt;=65, AJ50="Approved"), "Strong",
  AR50&gt;=65, "Adequate",
  AR50&gt;=40, "Adequate",
  AR50&gt;=20, "Weak",
  TRUE, "Insufficient Evidence"
)</f>
        <v>Insufficient Evidence</v>
      </c>
      <c r="DP50" s="5" t="str">
        <f t="array" ref="DP50">_xlfn.IFS(
  ISBLANK(BS50), "Insufficient Evidence",
  BS50&gt;=65, "Strong",
  BS50&gt;=40, "Adequate",
  BS50&gt;=20, "Weak",
  TRUE, "Insufficient Evidence"
)</f>
        <v>Insufficient Evidence</v>
      </c>
      <c r="DQ50" s="5" t="str">
        <f t="array" ref="DQ50">_xlfn.IFS(
  ISBLANK(BE50), "Insufficient Evidence",
  OR(AW50="Confirmed Violation", AX50="Confirmed Breach"), "Severe — Hard Trigger",
  BE50&gt;=65, "Strong",
  BE50&gt;=40, "Adequate",
  BE50&gt;=20, "Weak",
  TRUE, "Insufficient Evidence"
)</f>
        <v>Insufficient Evidence</v>
      </c>
      <c r="DR50" s="5" t="str">
        <f t="array" ref="DR50">_xlfn.IFS(
  ISBLANK(CU50), "Insufficient Evidence",
  CU50&lt;=20, "Low Risk",
  CU50&lt;=50, "Moderate Risk",
  CU50&lt;=75, "High Risk",
  TRUE, "Very High Risk"
)</f>
        <v>Low Risk</v>
      </c>
      <c r="DS50" s="5" t="str">
        <f t="array" ref="DS50">_xlfn.IFS(
  ISBLANK(CE50), "Insufficient Evidence",
  AND(ISNUMBER(BW50),ISNUMBER(BV50),BW50&gt;BV50), "Overclaiming Risk",
  CE50&gt;=65, "Strong",
  CE50&gt;=40, "Adequate",
  TRUE, "Weak"
)</f>
        <v>Weak</v>
      </c>
      <c r="DT50" s="5">
        <f t="shared" si="58"/>
        <v>11.7</v>
      </c>
      <c r="DU50" s="5" t="str">
        <f t="array" ref="DU50">_xlfn.IFS(
  DV50="Upgraded to Clear", "Clear",
  DV50="Downgraded to Watchlist", "Watchlist",
  DV50="Downgraded to Exclusion", "Exclusion Risk",
  DB50="Yes — Automatic", "Exclusion Risk",
  OR(AW50="Confirmed Violation", AX50="Confirmed Breach"), "Exclusion Risk",
  OR(V50=0, ISBLANK(V50), DN50&lt;20), "Insufficient Evidence",
  AND(DT50&gt;=65, DA50="No", DB50="No"), "Clear",
  OR(DT50&gt;=40, DA50="Yes"), "Watchlist",
  TRUE, "Exclusion Risk"
)</f>
        <v>Insufficient Evidence</v>
      </c>
      <c r="DV50" s="5"/>
      <c r="DW50" s="5" t="str">
        <f t="array" ref="DW50">_xlfn.IFS(
  DU50="Exclusion Risk", "Exclude — Hard Trigger",
  DU50="Insufficient Evidence", "Watchlist — Further Evidence Needed",
  DU50="Watchlist", "Watchlist — Further Evidence Needed",
  AND(DU50="Clear", DT50&gt;=80), "Include — No Conditions",
  DU50="Clear", "Include — Monitor",
  TRUE, "Watchlist — Further Evidence Needed"
)</f>
        <v>Watchlist — Further Evidence Needed</v>
      </c>
      <c r="DX50" s="5"/>
      <c r="DY50" s="5"/>
      <c r="DZ50" s="5"/>
      <c r="EA50" s="5"/>
      <c r="EB50" s="5" t="str">
        <f t="shared" si="59"/>
        <v>MISSING — No sources reviewed</v>
      </c>
      <c r="EC50" s="5" t="str">
        <f t="shared" si="60"/>
        <v/>
      </c>
    </row>
    <row r="51" spans="1:133" ht="18" customHeight="1" x14ac:dyDescent="0.15">
      <c r="A51" s="3" t="s">
        <v>476</v>
      </c>
      <c r="B51" s="3" t="s">
        <v>477</v>
      </c>
      <c r="C51" s="3" t="str">
        <f>IF(ISBLANK('Universe Tracker'!D47),"",'Universe Tracker'!D47)</f>
        <v>AT0000743059</v>
      </c>
      <c r="D51" s="3"/>
      <c r="E51" s="3"/>
      <c r="F51" s="3" t="str">
        <f>IF(ISBLANK('Universe Tracker'!F47),"",'Universe Tracker'!F47)</f>
        <v>Energy</v>
      </c>
      <c r="G51" s="3" t="str">
        <f>IF(ISBLANK('Universe Tracker'!G47),"",'Universe Tracker'!G47)</f>
        <v>Oil &amp; Gas</v>
      </c>
      <c r="H51" s="3"/>
      <c r="I51" s="3"/>
      <c r="J51" s="3" t="str">
        <f t="shared" si="49"/>
        <v>OMV_AT0000743059</v>
      </c>
      <c r="K51" s="3"/>
      <c r="L51" s="3"/>
      <c r="M51" s="3"/>
      <c r="N51" s="3"/>
      <c r="O51" s="3"/>
      <c r="P51" s="3"/>
      <c r="Q51" s="3"/>
      <c r="R51" s="3"/>
      <c r="S51" s="3"/>
      <c r="T51" s="3"/>
      <c r="U51" s="3"/>
      <c r="V51" s="3"/>
      <c r="W51" s="3"/>
      <c r="X51" s="3"/>
      <c r="Y51" s="3" t="str">
        <f t="shared" si="50"/>
        <v>Insufficient</v>
      </c>
      <c r="Z51" s="3"/>
      <c r="AA51" s="3"/>
      <c r="AB51" s="3"/>
      <c r="AC51" s="3"/>
      <c r="AD51" s="3"/>
      <c r="AE51" s="3"/>
      <c r="AF51" s="3"/>
      <c r="AG51" s="3"/>
      <c r="AH51" s="3"/>
      <c r="AI51" s="3"/>
      <c r="AJ51" s="3"/>
      <c r="AK51" s="3"/>
      <c r="AL51" s="3"/>
      <c r="AM51" s="3"/>
      <c r="AN51" s="3"/>
      <c r="AO51" s="3"/>
      <c r="AP51" s="3"/>
      <c r="AQ51" s="3"/>
      <c r="AR51" s="40">
        <f t="array" ref="AR51">MIN(100, MAX(0,
  IFERROR(_xlfn.XLOOKUP(AJ51,'Lookup Tables'!$A$2:$A$7,'Lookup Tables'!$B$2:$B$7,0),0)
  + IF(Z51="Yes", IF(IFERROR(_xlfn.XLOOKUP(AJ51,'Lookup Tables'!$A$2:$A$7,'Lookup Tables'!$B$2:$B$7,0),0)&lt;20, 5, 0), 0)
  + _xlfn.IFS(AB51="Yes", IF(ISNUMBER(AC51)*AND(AC51&lt;=2030),15,10), AB51="Long-term Only", 5, AB51="No", 0, TRUE, 0)
  + _xlfn.IFS(AF51="Full",10, AF51="Partial",5, AF51="Scope 2 Only",3, TRUE,0)
  + _xlfn.IFS(AG51="Yes", IF(ISNUMBER(AH51)*AND(AH51&gt;=5),10,6), AG51="Partial",4, TRUE,0)
  + _xlfn.IFS(AI51="Yes",5, AI51="Partial (material categories only)",3, TRUE,0)
  + _xlfn.IFS(AL51="Yes — Detailed",10, AL51="Yes — High Level",5, TRUE,0)
  + _xlfn.IFS(AM51="Yes — Quantified",15, AM51="Yes — Directional Only",7, TRUE,0)
  + _xlfn.IFS(AP51="Formal",5, AP51="Referenced",2, TRUE,0)
  + _xlfn.IFS(AQ51="No Issues Found",5, AQ51="Concern Identified",-5, AQ51="Severe Contradiction",-15, TRUE,0)
  + _xlfn.IFS(BC51="Reasonable Assurance",5, BC51="Limited Assurance",3, TRUE,0)
  - IF(AND(Z51="Yes", AI51="No"), 10, 0)
  - IF(AND(Z51="Yes", AM51="No"), 10, 0)
))</f>
        <v>0</v>
      </c>
      <c r="AS51" s="3"/>
      <c r="AT51" s="3"/>
      <c r="AU51" s="3"/>
      <c r="AV51" s="3"/>
      <c r="AW51" s="3"/>
      <c r="AX51" s="3"/>
      <c r="AY51" s="3"/>
      <c r="AZ51" s="3"/>
      <c r="BA51" s="3"/>
      <c r="BB51" s="3"/>
      <c r="BC51" s="3"/>
      <c r="BD51" s="3"/>
      <c r="BE51" s="40">
        <f t="array" ref="BE51">MIN(100, MAX(0,
  IFERROR(_xlfn.XLOOKUP(AT51,'Lookup Tables'!$D$2:$D$6,'Lookup Tables'!$E$2:$E$6,0),0)
  + IFERROR(_xlfn.XLOOKUP(AV51,'Lookup Tables'!$G$2:$G$5,'Lookup Tables'!$H$2:$H$5,0),0)
  + IFERROR(_xlfn.XLOOKUP(AW51,'Lookup Tables'!$J$2:$J$5,'Lookup Tables'!$K$2:$K$5,0),0)
  + _xlfn.IFS(AX51="No Issues",10, AX51="Complaint Filed",3, AX51="Confirmed Breach",-15, TRUE,0)
  + IFERROR(_xlfn.XLOOKUP(AY51,'Lookup Tables'!$M$2:$M$6,'Lookup Tables'!$N$2:$N$6,0),0)
  + IFERROR(_xlfn.XLOOKUP(AZ51,'Lookup Tables'!$P$2:$P$6,'Lookup Tables'!$Q$2:$Q$6,0),0)
  + _xlfn.IFS(BA51="Formal Board Committee",5, BA51="Board Oversight Mentioned",2, TRUE,0)
  + _xlfn.IFS(BB51="Yes — Quantified Targets",5, BB51="Yes — Discretionary Only",2, TRUE,0)
  + _xlfn.IFS(BC51="Reasonable Assurance",5, BC51="Limited Assurance",3, BC51="Management Review Only",1, TRUE,0)
))</f>
        <v>0</v>
      </c>
      <c r="BF51" s="3"/>
      <c r="BG51" s="3"/>
      <c r="BH51" s="3"/>
      <c r="BI51" s="3"/>
      <c r="BJ51" s="3"/>
      <c r="BK51" s="3"/>
      <c r="BL51" s="3"/>
      <c r="BM51" s="3"/>
      <c r="BN51" s="3"/>
      <c r="BO51" s="3"/>
      <c r="BP51" s="3"/>
      <c r="BQ51" s="3"/>
      <c r="BR51" s="3"/>
      <c r="BS51" s="42">
        <f t="array" ref="BS51">MIN(100, MAX(0,
  IFERROR(_xlfn.XLOOKUP(BG51,'Lookup Tables'!$A$11:$A$16,'Lookup Tables'!$B$11:$B$16,0),0)
  + IFERROR(_xlfn.XLOOKUP(BR51,'Lookup Tables'!$M$11:$M$14,'Lookup Tables'!$N$11:$N$14,0),0)
  + IFERROR(_xlfn.XLOOKUP(BQ51,'Lookup Tables'!$J$11:$J$15,'Lookup Tables'!$K$11:$K$15,0),0)
  + IFERROR(_xlfn.XLOOKUP(BH51,'Lookup Tables'!$D$11:$D$15,'Lookup Tables'!$E$11:$E$15,0),0)
  + IFERROR(_xlfn.XLOOKUP(BJ51,'Lookup Tables'!$G$11:$G$16,'Lookup Tables'!$H$11:$H$16,0),0)
  + IFERROR(_xlfn.XLOOKUP(BN51,'Lookup Tables'!$P$11:$P$15,'Lookup Tables'!$Q$11:$Q$15,0),0)
  + _xlfn.IFS(BM51="No Evidence",10, BM51="Unknown",3, BM51="Likely",0, BM51="Confirmed",-10, TRUE,3)
  + IFERROR(_xlfn.XLOOKUP(BP51,'Lookup Tables'!$J$21:$J$24,'Lookup Tables'!$K$21:$K$24,0),0)
))</f>
        <v>3</v>
      </c>
      <c r="BT51" s="3"/>
      <c r="BU51" s="3"/>
      <c r="BV51" s="3"/>
      <c r="BW51" s="3"/>
      <c r="BX51" s="3"/>
      <c r="BY51" s="3"/>
      <c r="BZ51" s="3"/>
      <c r="CA51" s="3"/>
      <c r="CB51" s="3"/>
      <c r="CC51" s="3"/>
      <c r="CD51" s="3"/>
      <c r="CE51" s="44">
        <f t="array" ref="CE51">MIN(100, MAX(0,
  IF(ISNUMBER(BV51)*AND(BV51&gt;0), 10, 0)
  + _xlfn.IFS(BY51="Independently Verified",25, BY51="Yes",15, TRUE,0)
  + IFERROR(_xlfn.XLOOKUP(BZ51,'Lookup Tables'!$A$21:$A$24,'Lookup Tables'!$B$21:$B$24,0),0)
  + IFERROR(_xlfn.XLOOKUP(CA51,'Lookup Tables'!$D$21:$D$24,'Lookup Tables'!$E$21:$E$24,0),0)
  + _xlfn.IFS(ISNUMBER(CB51)*AND(CB51&gt;=11),15, ISNUMBER(CB51)*AND(CB51&gt;=6),10, ISNUMBER(CB51)*AND(CB51&gt;=1),5, TRUE,0)
  + IFERROR(_xlfn.XLOOKUP(CC51,'Lookup Tables'!$G$21:$G$25,'Lookup Tables'!$H$21:$H$25,0),0)
  - IF(ISNUMBER(BW51)*AND(ISNUMBER(BV51))*AND(BW51&gt;BV51), 20, 0)
  - IF(AND(BY51="Yes", ISNUMBER(BW51), BW51&gt;60), 10, 0)
))</f>
        <v>0</v>
      </c>
      <c r="CF51" s="3"/>
      <c r="CG51" s="3"/>
      <c r="CH51" s="3"/>
      <c r="CI51" s="3"/>
      <c r="CJ51" s="3"/>
      <c r="CK51" s="3"/>
      <c r="CL51" s="3"/>
      <c r="CM51" s="3"/>
      <c r="CN51" s="3"/>
      <c r="CO51" s="3"/>
      <c r="CP51" s="3"/>
      <c r="CQ51" s="3"/>
      <c r="CR51" s="3">
        <f t="shared" si="51"/>
        <v>0</v>
      </c>
      <c r="CS51" s="3">
        <f t="shared" si="52"/>
        <v>0</v>
      </c>
      <c r="CT51" s="3">
        <f t="shared" si="53"/>
        <v>0</v>
      </c>
      <c r="CU51" s="3">
        <f>MIN(100,
  CR51*15
  + CS51*6
  + CT51*3
  + IFERROR(_xlfn.XLOOKUP(CW51,'Lookup Tables'!$M$21:$M$25,'Lookup Tables'!$N$21:$N$25,0),0)
)</f>
        <v>0</v>
      </c>
      <c r="CV51" s="3" t="str">
        <f t="shared" si="61"/>
        <v>No failures</v>
      </c>
      <c r="CW51" s="3"/>
      <c r="CX51" s="3"/>
      <c r="CY51" s="3"/>
      <c r="CZ51" s="3"/>
      <c r="DA51" s="3" t="str">
        <f t="shared" si="54"/>
        <v>Yes</v>
      </c>
      <c r="DB51" s="3" t="str">
        <f t="shared" si="55"/>
        <v>No</v>
      </c>
      <c r="DC51" s="3"/>
      <c r="DD51" s="3"/>
      <c r="DE51" s="3"/>
      <c r="DF51" s="3"/>
      <c r="DG51" s="3"/>
      <c r="DH51" s="3"/>
      <c r="DI51" s="3"/>
      <c r="DJ51" s="3"/>
      <c r="DK51" s="3"/>
      <c r="DL51" s="3" t="str">
        <f t="shared" si="56"/>
        <v>Clear</v>
      </c>
      <c r="DM51" s="3" t="str">
        <f t="shared" si="57"/>
        <v>Yes</v>
      </c>
      <c r="DN51" s="3">
        <f t="array" ref="DN51">MIN(100,
  IF(ISNUMBER(V51), _xlfn.IFS(V51&gt;=3,25, V51=2,15, V51=1,5, TRUE,0), 0)
  + IFERROR(_xlfn.IFS(VALUE(LEFT(DF51,1))=5,25, VALUE(LEFT(DF51,1))=4,20, VALUE(LEFT(DF51,1))=3,15, VALUE(LEFT(DF51,1))=2,8, TRUE,0), 15)
  + IFERROR(_xlfn.IFS(VALUE(LEFT(DG51,1))=5,25, VALUE(LEFT(DG51,1))=4,20, VALUE(LEFT(DG51,1))=3,15, VALUE(LEFT(DG51,1))=2,8, TRUE,0), 15)
  + _xlfn.IFS(DH51="Fully Verified",25, DH51="Partially Verified",12, TRUE,0)
)</f>
        <v>30</v>
      </c>
      <c r="DO51" s="3" t="str">
        <f t="array" ref="DO51">_xlfn.IFS(
  ISBLANK(AR51), "Insufficient Evidence",
  AND(AR51&gt;=65, AJ51="Approved"), "Strong",
  AR51&gt;=65, "Adequate",
  AR51&gt;=40, "Adequate",
  AR51&gt;=20, "Weak",
  TRUE, "Insufficient Evidence"
)</f>
        <v>Insufficient Evidence</v>
      </c>
      <c r="DP51" s="3" t="str">
        <f t="array" ref="DP51">_xlfn.IFS(
  ISBLANK(BS51), "Insufficient Evidence",
  BS51&gt;=65, "Strong",
  BS51&gt;=40, "Adequate",
  BS51&gt;=20, "Weak",
  TRUE, "Insufficient Evidence"
)</f>
        <v>Insufficient Evidence</v>
      </c>
      <c r="DQ51" s="3" t="str">
        <f t="array" ref="DQ51">_xlfn.IFS(
  ISBLANK(BE51), "Insufficient Evidence",
  OR(AW51="Confirmed Violation", AX51="Confirmed Breach"), "Severe — Hard Trigger",
  BE51&gt;=65, "Strong",
  BE51&gt;=40, "Adequate",
  BE51&gt;=20, "Weak",
  TRUE, "Insufficient Evidence"
)</f>
        <v>Insufficient Evidence</v>
      </c>
      <c r="DR51" s="3" t="str">
        <f t="array" ref="DR51">_xlfn.IFS(
  ISBLANK(CU51), "Insufficient Evidence",
  CU51&lt;=20, "Low Risk",
  CU51&lt;=50, "Moderate Risk",
  CU51&lt;=75, "High Risk",
  TRUE, "Very High Risk"
)</f>
        <v>Low Risk</v>
      </c>
      <c r="DS51" s="3" t="str">
        <f t="array" ref="DS51">_xlfn.IFS(
  ISBLANK(CE51), "Insufficient Evidence",
  AND(ISNUMBER(BW51),ISNUMBER(BV51),BW51&gt;BV51), "Overclaiming Risk",
  CE51&gt;=65, "Strong",
  CE51&gt;=40, "Adequate",
  TRUE, "Weak"
)</f>
        <v>Weak</v>
      </c>
      <c r="DT51" s="3">
        <f t="shared" si="58"/>
        <v>11.7</v>
      </c>
      <c r="DU51" s="3" t="str">
        <f t="array" ref="DU51">_xlfn.IFS(
  DV51="Upgraded to Clear", "Clear",
  DV51="Downgraded to Watchlist", "Watchlist",
  DV51="Downgraded to Exclusion", "Exclusion Risk",
  DB51="Yes — Automatic", "Exclusion Risk",
  OR(AW51="Confirmed Violation", AX51="Confirmed Breach"), "Exclusion Risk",
  OR(V51=0, ISBLANK(V51), DN51&lt;20), "Insufficient Evidence",
  AND(DT51&gt;=65, DA51="No", DB51="No"), "Clear",
  OR(DT51&gt;=40, DA51="Yes"), "Watchlist",
  TRUE, "Exclusion Risk"
)</f>
        <v>Insufficient Evidence</v>
      </c>
      <c r="DV51" s="3"/>
      <c r="DW51" s="3" t="str">
        <f t="array" ref="DW51">_xlfn.IFS(
  DU51="Exclusion Risk", "Exclude — Hard Trigger",
  DU51="Insufficient Evidence", "Watchlist — Further Evidence Needed",
  DU51="Watchlist", "Watchlist — Further Evidence Needed",
  AND(DU51="Clear", DT51&gt;=80), "Include — No Conditions",
  DU51="Clear", "Include — Monitor",
  TRUE, "Watchlist — Further Evidence Needed"
)</f>
        <v>Watchlist — Further Evidence Needed</v>
      </c>
      <c r="DX51" s="3"/>
      <c r="DY51" s="3"/>
      <c r="DZ51" s="3"/>
      <c r="EA51" s="3"/>
      <c r="EB51" s="3" t="str">
        <f t="shared" si="59"/>
        <v>MISSING — No sources reviewed</v>
      </c>
      <c r="EC51" s="3" t="str">
        <f t="shared" si="60"/>
        <v/>
      </c>
    </row>
    <row r="52" spans="1:133" ht="18" customHeight="1" x14ac:dyDescent="0.15">
      <c r="A52" s="5" t="s">
        <v>480</v>
      </c>
      <c r="B52" s="5" t="s">
        <v>481</v>
      </c>
      <c r="C52" s="5" t="str">
        <f>IF(ISBLANK('Universe Tracker'!D48),"",'Universe Tracker'!D48)</f>
        <v>AT0000606306</v>
      </c>
      <c r="D52" s="5"/>
      <c r="E52" s="5"/>
      <c r="F52" s="5" t="str">
        <f>IF(ISBLANK('Universe Tracker'!F48),"",'Universe Tracker'!F48)</f>
        <v>Financials</v>
      </c>
      <c r="G52" s="5" t="str">
        <f>IF(ISBLANK('Universe Tracker'!G48),"",'Universe Tracker'!G48)</f>
        <v>Banking</v>
      </c>
      <c r="H52" s="5"/>
      <c r="I52" s="5"/>
      <c r="J52" s="5" t="str">
        <f t="shared" si="49"/>
        <v>RAW_AT0000606306</v>
      </c>
      <c r="K52" s="5"/>
      <c r="L52" s="5"/>
      <c r="M52" s="5"/>
      <c r="N52" s="5"/>
      <c r="O52" s="5"/>
      <c r="P52" s="5"/>
      <c r="Q52" s="5"/>
      <c r="R52" s="5"/>
      <c r="S52" s="5"/>
      <c r="T52" s="5"/>
      <c r="U52" s="5"/>
      <c r="V52" s="5"/>
      <c r="W52" s="5"/>
      <c r="X52" s="5"/>
      <c r="Y52" s="5" t="str">
        <f t="shared" si="50"/>
        <v>Insufficient</v>
      </c>
      <c r="Z52" s="5"/>
      <c r="AA52" s="5"/>
      <c r="AB52" s="5"/>
      <c r="AC52" s="5"/>
      <c r="AD52" s="5"/>
      <c r="AE52" s="5"/>
      <c r="AF52" s="5"/>
      <c r="AG52" s="5"/>
      <c r="AH52" s="5"/>
      <c r="AI52" s="5"/>
      <c r="AJ52" s="5"/>
      <c r="AK52" s="5"/>
      <c r="AL52" s="5"/>
      <c r="AM52" s="5"/>
      <c r="AN52" s="5"/>
      <c r="AO52" s="5"/>
      <c r="AP52" s="5"/>
      <c r="AQ52" s="5"/>
      <c r="AR52" s="40">
        <f t="array" ref="AR52">MIN(100, MAX(0,
  IFERROR(_xlfn.XLOOKUP(AJ52,'Lookup Tables'!$A$2:$A$7,'Lookup Tables'!$B$2:$B$7,0),0)
  + IF(Z52="Yes", IF(IFERROR(_xlfn.XLOOKUP(AJ52,'Lookup Tables'!$A$2:$A$7,'Lookup Tables'!$B$2:$B$7,0),0)&lt;20, 5, 0), 0)
  + _xlfn.IFS(AB52="Yes", IF(ISNUMBER(AC52)*AND(AC52&lt;=2030),15,10), AB52="Long-term Only", 5, AB52="No", 0, TRUE, 0)
  + _xlfn.IFS(AF52="Full",10, AF52="Partial",5, AF52="Scope 2 Only",3, TRUE,0)
  + _xlfn.IFS(AG52="Yes", IF(ISNUMBER(AH52)*AND(AH52&gt;=5),10,6), AG52="Partial",4, TRUE,0)
  + _xlfn.IFS(AI52="Yes",5, AI52="Partial (material categories only)",3, TRUE,0)
  + _xlfn.IFS(AL52="Yes — Detailed",10, AL52="Yes — High Level",5, TRUE,0)
  + _xlfn.IFS(AM52="Yes — Quantified",15, AM52="Yes — Directional Only",7, TRUE,0)
  + _xlfn.IFS(AP52="Formal",5, AP52="Referenced",2, TRUE,0)
  + _xlfn.IFS(AQ52="No Issues Found",5, AQ52="Concern Identified",-5, AQ52="Severe Contradiction",-15, TRUE,0)
  + _xlfn.IFS(BC52="Reasonable Assurance",5, BC52="Limited Assurance",3, TRUE,0)
  - IF(AND(Z52="Yes", AI52="No"), 10, 0)
  - IF(AND(Z52="Yes", AM52="No"), 10, 0)
))</f>
        <v>0</v>
      </c>
      <c r="AS52" s="5"/>
      <c r="AT52" s="5"/>
      <c r="AU52" s="5"/>
      <c r="AV52" s="5"/>
      <c r="AW52" s="5"/>
      <c r="AX52" s="5"/>
      <c r="AY52" s="5"/>
      <c r="AZ52" s="5"/>
      <c r="BA52" s="5"/>
      <c r="BB52" s="5"/>
      <c r="BC52" s="5"/>
      <c r="BD52" s="5"/>
      <c r="BE52" s="39">
        <f t="array" ref="BE52">MIN(100, MAX(0,
  IFERROR(_xlfn.XLOOKUP(AT52,'Lookup Tables'!$D$2:$D$6,'Lookup Tables'!$E$2:$E$6,0),0)
  + IFERROR(_xlfn.XLOOKUP(AV52,'Lookup Tables'!$G$2:$G$5,'Lookup Tables'!$H$2:$H$5,0),0)
  + IFERROR(_xlfn.XLOOKUP(AW52,'Lookup Tables'!$J$2:$J$5,'Lookup Tables'!$K$2:$K$5,0),0)
  + _xlfn.IFS(AX52="No Issues",10, AX52="Complaint Filed",3, AX52="Confirmed Breach",-15, TRUE,0)
  + IFERROR(_xlfn.XLOOKUP(AY52,'Lookup Tables'!$M$2:$M$6,'Lookup Tables'!$N$2:$N$6,0),0)
  + IFERROR(_xlfn.XLOOKUP(AZ52,'Lookup Tables'!$P$2:$P$6,'Lookup Tables'!$Q$2:$Q$6,0),0)
  + _xlfn.IFS(BA52="Formal Board Committee",5, BA52="Board Oversight Mentioned",2, TRUE,0)
  + _xlfn.IFS(BB52="Yes — Quantified Targets",5, BB52="Yes — Discretionary Only",2, TRUE,0)
  + _xlfn.IFS(BC52="Reasonable Assurance",5, BC52="Limited Assurance",3, BC52="Management Review Only",1, TRUE,0)
))</f>
        <v>0</v>
      </c>
      <c r="BF52" s="5"/>
      <c r="BG52" s="5"/>
      <c r="BH52" s="5"/>
      <c r="BI52" s="5"/>
      <c r="BJ52" s="5"/>
      <c r="BK52" s="5"/>
      <c r="BL52" s="5"/>
      <c r="BM52" s="5"/>
      <c r="BN52" s="5"/>
      <c r="BO52" s="5"/>
      <c r="BP52" s="5"/>
      <c r="BQ52" s="5"/>
      <c r="BR52" s="5"/>
      <c r="BS52" s="41">
        <f t="array" ref="BS52">MIN(100, MAX(0,
  IFERROR(_xlfn.XLOOKUP(BG52,'Lookup Tables'!$A$11:$A$16,'Lookup Tables'!$B$11:$B$16,0),0)
  + IFERROR(_xlfn.XLOOKUP(BR52,'Lookup Tables'!$M$11:$M$14,'Lookup Tables'!$N$11:$N$14,0),0)
  + IFERROR(_xlfn.XLOOKUP(BQ52,'Lookup Tables'!$J$11:$J$15,'Lookup Tables'!$K$11:$K$15,0),0)
  + IFERROR(_xlfn.XLOOKUP(BH52,'Lookup Tables'!$D$11:$D$15,'Lookup Tables'!$E$11:$E$15,0),0)
  + IFERROR(_xlfn.XLOOKUP(BJ52,'Lookup Tables'!$G$11:$G$16,'Lookup Tables'!$H$11:$H$16,0),0)
  + IFERROR(_xlfn.XLOOKUP(BN52,'Lookup Tables'!$P$11:$P$15,'Lookup Tables'!$Q$11:$Q$15,0),0)
  + _xlfn.IFS(BM52="No Evidence",10, BM52="Unknown",3, BM52="Likely",0, BM52="Confirmed",-10, TRUE,3)
  + IFERROR(_xlfn.XLOOKUP(BP52,'Lookup Tables'!$J$21:$J$24,'Lookup Tables'!$K$21:$K$24,0),0)
))</f>
        <v>3</v>
      </c>
      <c r="BT52" s="5"/>
      <c r="BU52" s="5"/>
      <c r="BV52" s="5"/>
      <c r="BW52" s="5"/>
      <c r="BX52" s="5"/>
      <c r="BY52" s="5"/>
      <c r="BZ52" s="5"/>
      <c r="CA52" s="5"/>
      <c r="CB52" s="5"/>
      <c r="CC52" s="5"/>
      <c r="CD52" s="5"/>
      <c r="CE52" s="43">
        <f t="array" ref="CE52">MIN(100, MAX(0,
  IF(ISNUMBER(BV52)*AND(BV52&gt;0), 10, 0)
  + _xlfn.IFS(BY52="Independently Verified",25, BY52="Yes",15, TRUE,0)
  + IFERROR(_xlfn.XLOOKUP(BZ52,'Lookup Tables'!$A$21:$A$24,'Lookup Tables'!$B$21:$B$24,0),0)
  + IFERROR(_xlfn.XLOOKUP(CA52,'Lookup Tables'!$D$21:$D$24,'Lookup Tables'!$E$21:$E$24,0),0)
  + _xlfn.IFS(ISNUMBER(CB52)*AND(CB52&gt;=11),15, ISNUMBER(CB52)*AND(CB52&gt;=6),10, ISNUMBER(CB52)*AND(CB52&gt;=1),5, TRUE,0)
  + IFERROR(_xlfn.XLOOKUP(CC52,'Lookup Tables'!$G$21:$G$25,'Lookup Tables'!$H$21:$H$25,0),0)
  - IF(ISNUMBER(BW52)*AND(ISNUMBER(BV52))*AND(BW52&gt;BV52), 20, 0)
  - IF(AND(BY52="Yes", ISNUMBER(BW52), BW52&gt;60), 10, 0)
))</f>
        <v>0</v>
      </c>
      <c r="CF52" s="5"/>
      <c r="CG52" s="5"/>
      <c r="CH52" s="5"/>
      <c r="CI52" s="5"/>
      <c r="CJ52" s="5"/>
      <c r="CK52" s="5"/>
      <c r="CL52" s="5"/>
      <c r="CM52" s="5"/>
      <c r="CN52" s="5"/>
      <c r="CO52" s="5"/>
      <c r="CP52" s="5"/>
      <c r="CQ52" s="5"/>
      <c r="CR52" s="5">
        <f t="shared" si="51"/>
        <v>0</v>
      </c>
      <c r="CS52" s="5">
        <f t="shared" si="52"/>
        <v>0</v>
      </c>
      <c r="CT52" s="5">
        <f t="shared" si="53"/>
        <v>0</v>
      </c>
      <c r="CU52" s="5">
        <f>MIN(100,
  CR52*15
  + CS52*6
  + CT52*3
  + IFERROR(_xlfn.XLOOKUP(CW52,'Lookup Tables'!$M$21:$M$25,'Lookup Tables'!$N$21:$N$25,0),0)
)</f>
        <v>0</v>
      </c>
      <c r="CV52" s="5" t="str">
        <f t="shared" si="61"/>
        <v>No failures</v>
      </c>
      <c r="CW52" s="5"/>
      <c r="CX52" s="5"/>
      <c r="CY52" s="5"/>
      <c r="CZ52" s="5"/>
      <c r="DA52" s="5" t="str">
        <f t="shared" si="54"/>
        <v>Yes</v>
      </c>
      <c r="DB52" s="5" t="str">
        <f t="shared" si="55"/>
        <v>No</v>
      </c>
      <c r="DC52" s="5"/>
      <c r="DD52" s="5"/>
      <c r="DE52" s="5"/>
      <c r="DF52" s="5"/>
      <c r="DG52" s="5"/>
      <c r="DH52" s="5"/>
      <c r="DI52" s="5"/>
      <c r="DJ52" s="5"/>
      <c r="DK52" s="5"/>
      <c r="DL52" s="5" t="str">
        <f t="shared" si="56"/>
        <v>Clear</v>
      </c>
      <c r="DM52" s="5" t="str">
        <f t="shared" si="57"/>
        <v>Yes</v>
      </c>
      <c r="DN52" s="5">
        <f t="array" ref="DN52">MIN(100,
  IF(ISNUMBER(V52), _xlfn.IFS(V52&gt;=3,25, V52=2,15, V52=1,5, TRUE,0), 0)
  + IFERROR(_xlfn.IFS(VALUE(LEFT(DF52,1))=5,25, VALUE(LEFT(DF52,1))=4,20, VALUE(LEFT(DF52,1))=3,15, VALUE(LEFT(DF52,1))=2,8, TRUE,0), 15)
  + IFERROR(_xlfn.IFS(VALUE(LEFT(DG52,1))=5,25, VALUE(LEFT(DG52,1))=4,20, VALUE(LEFT(DG52,1))=3,15, VALUE(LEFT(DG52,1))=2,8, TRUE,0), 15)
  + _xlfn.IFS(DH52="Fully Verified",25, DH52="Partially Verified",12, TRUE,0)
)</f>
        <v>30</v>
      </c>
      <c r="DO52" s="5" t="str">
        <f t="array" ref="DO52">_xlfn.IFS(
  ISBLANK(AR52), "Insufficient Evidence",
  AND(AR52&gt;=65, AJ52="Approved"), "Strong",
  AR52&gt;=65, "Adequate",
  AR52&gt;=40, "Adequate",
  AR52&gt;=20, "Weak",
  TRUE, "Insufficient Evidence"
)</f>
        <v>Insufficient Evidence</v>
      </c>
      <c r="DP52" s="5" t="str">
        <f t="array" ref="DP52">_xlfn.IFS(
  ISBLANK(BS52), "Insufficient Evidence",
  BS52&gt;=65, "Strong",
  BS52&gt;=40, "Adequate",
  BS52&gt;=20, "Weak",
  TRUE, "Insufficient Evidence"
)</f>
        <v>Insufficient Evidence</v>
      </c>
      <c r="DQ52" s="5" t="str">
        <f t="array" ref="DQ52">_xlfn.IFS(
  ISBLANK(BE52), "Insufficient Evidence",
  OR(AW52="Confirmed Violation", AX52="Confirmed Breach"), "Severe — Hard Trigger",
  BE52&gt;=65, "Strong",
  BE52&gt;=40, "Adequate",
  BE52&gt;=20, "Weak",
  TRUE, "Insufficient Evidence"
)</f>
        <v>Insufficient Evidence</v>
      </c>
      <c r="DR52" s="5" t="str">
        <f t="array" ref="DR52">_xlfn.IFS(
  ISBLANK(CU52), "Insufficient Evidence",
  CU52&lt;=20, "Low Risk",
  CU52&lt;=50, "Moderate Risk",
  CU52&lt;=75, "High Risk",
  TRUE, "Very High Risk"
)</f>
        <v>Low Risk</v>
      </c>
      <c r="DS52" s="5" t="str">
        <f t="array" ref="DS52">_xlfn.IFS(
  ISBLANK(CE52), "Insufficient Evidence",
  AND(ISNUMBER(BW52),ISNUMBER(BV52),BW52&gt;BV52), "Overclaiming Risk",
  CE52&gt;=65, "Strong",
  CE52&gt;=40, "Adequate",
  TRUE, "Weak"
)</f>
        <v>Weak</v>
      </c>
      <c r="DT52" s="5">
        <f t="shared" si="58"/>
        <v>11.7</v>
      </c>
      <c r="DU52" s="5" t="str">
        <f t="array" ref="DU52">_xlfn.IFS(
  DV52="Upgraded to Clear", "Clear",
  DV52="Downgraded to Watchlist", "Watchlist",
  DV52="Downgraded to Exclusion", "Exclusion Risk",
  DB52="Yes — Automatic", "Exclusion Risk",
  OR(AW52="Confirmed Violation", AX52="Confirmed Breach"), "Exclusion Risk",
  OR(V52=0, ISBLANK(V52), DN52&lt;20), "Insufficient Evidence",
  AND(DT52&gt;=65, DA52="No", DB52="No"), "Clear",
  OR(DT52&gt;=40, DA52="Yes"), "Watchlist",
  TRUE, "Exclusion Risk"
)</f>
        <v>Insufficient Evidence</v>
      </c>
      <c r="DV52" s="5"/>
      <c r="DW52" s="5" t="str">
        <f t="array" ref="DW52">_xlfn.IFS(
  DU52="Exclusion Risk", "Exclude — Hard Trigger",
  DU52="Insufficient Evidence", "Watchlist — Further Evidence Needed",
  DU52="Watchlist", "Watchlist — Further Evidence Needed",
  AND(DU52="Clear", DT52&gt;=80), "Include — No Conditions",
  DU52="Clear", "Include — Monitor",
  TRUE, "Watchlist — Further Evidence Needed"
)</f>
        <v>Watchlist — Further Evidence Needed</v>
      </c>
      <c r="DX52" s="5"/>
      <c r="DY52" s="5"/>
      <c r="DZ52" s="5"/>
      <c r="EA52" s="5"/>
      <c r="EB52" s="5" t="str">
        <f t="shared" si="59"/>
        <v>MISSING — No sources reviewed</v>
      </c>
      <c r="EC52" s="5" t="str">
        <f t="shared" si="60"/>
        <v/>
      </c>
    </row>
    <row r="53" spans="1:133" ht="18" customHeight="1" x14ac:dyDescent="0.15">
      <c r="A53" s="3" t="s">
        <v>484</v>
      </c>
      <c r="B53" s="3" t="s">
        <v>485</v>
      </c>
      <c r="C53" s="3" t="str">
        <f>IF(ISBLANK('Universe Tracker'!D49),"",'Universe Tracker'!D49)</f>
        <v>DE0006231004</v>
      </c>
      <c r="D53" s="3"/>
      <c r="E53" s="3"/>
      <c r="F53" s="3" t="str">
        <f>IF(ISBLANK('Universe Tracker'!F49),"",'Universe Tracker'!F49)</f>
        <v>Technology</v>
      </c>
      <c r="G53" s="3" t="str">
        <f>IF(ISBLANK('Universe Tracker'!G49),"",'Universe Tracker'!G49)</f>
        <v>Tech Hardware &amp; Semiconductors</v>
      </c>
      <c r="H53" s="3"/>
      <c r="I53" s="3"/>
      <c r="J53" s="3" t="str">
        <f t="shared" si="49"/>
        <v>IFX_DE0006231004</v>
      </c>
      <c r="K53" s="3"/>
      <c r="L53" s="3"/>
      <c r="M53" s="3"/>
      <c r="N53" s="3"/>
      <c r="O53" s="3"/>
      <c r="P53" s="3"/>
      <c r="Q53" s="3"/>
      <c r="R53" s="3"/>
      <c r="S53" s="3"/>
      <c r="T53" s="3"/>
      <c r="U53" s="3"/>
      <c r="V53" s="3"/>
      <c r="W53" s="3"/>
      <c r="X53" s="3"/>
      <c r="Y53" s="3" t="str">
        <f t="shared" si="50"/>
        <v>Insufficient</v>
      </c>
      <c r="Z53" s="3"/>
      <c r="AA53" s="3"/>
      <c r="AB53" s="3"/>
      <c r="AC53" s="3"/>
      <c r="AD53" s="3"/>
      <c r="AE53" s="3"/>
      <c r="AF53" s="3"/>
      <c r="AG53" s="3"/>
      <c r="AH53" s="3"/>
      <c r="AI53" s="3"/>
      <c r="AJ53" s="3"/>
      <c r="AK53" s="3"/>
      <c r="AL53" s="3"/>
      <c r="AM53" s="3"/>
      <c r="AN53" s="3"/>
      <c r="AO53" s="3"/>
      <c r="AP53" s="3"/>
      <c r="AQ53" s="3"/>
      <c r="AR53" s="40">
        <f t="array" ref="AR53">MIN(100, MAX(0,
  IFERROR(_xlfn.XLOOKUP(AJ53,'Lookup Tables'!$A$2:$A$7,'Lookup Tables'!$B$2:$B$7,0),0)
  + IF(Z53="Yes", IF(IFERROR(_xlfn.XLOOKUP(AJ53,'Lookup Tables'!$A$2:$A$7,'Lookup Tables'!$B$2:$B$7,0),0)&lt;20, 5, 0), 0)
  + _xlfn.IFS(AB53="Yes", IF(ISNUMBER(AC53)*AND(AC53&lt;=2030),15,10), AB53="Long-term Only", 5, AB53="No", 0, TRUE, 0)
  + _xlfn.IFS(AF53="Full",10, AF53="Partial",5, AF53="Scope 2 Only",3, TRUE,0)
  + _xlfn.IFS(AG53="Yes", IF(ISNUMBER(AH53)*AND(AH53&gt;=5),10,6), AG53="Partial",4, TRUE,0)
  + _xlfn.IFS(AI53="Yes",5, AI53="Partial (material categories only)",3, TRUE,0)
  + _xlfn.IFS(AL53="Yes — Detailed",10, AL53="Yes — High Level",5, TRUE,0)
  + _xlfn.IFS(AM53="Yes — Quantified",15, AM53="Yes — Directional Only",7, TRUE,0)
  + _xlfn.IFS(AP53="Formal",5, AP53="Referenced",2, TRUE,0)
  + _xlfn.IFS(AQ53="No Issues Found",5, AQ53="Concern Identified",-5, AQ53="Severe Contradiction",-15, TRUE,0)
  + _xlfn.IFS(BC53="Reasonable Assurance",5, BC53="Limited Assurance",3, TRUE,0)
  - IF(AND(Z53="Yes", AI53="No"), 10, 0)
  - IF(AND(Z53="Yes", AM53="No"), 10, 0)
))</f>
        <v>0</v>
      </c>
      <c r="AS53" s="3"/>
      <c r="AT53" s="3"/>
      <c r="AU53" s="3"/>
      <c r="AV53" s="3"/>
      <c r="AW53" s="3"/>
      <c r="AX53" s="3"/>
      <c r="AY53" s="3"/>
      <c r="AZ53" s="3"/>
      <c r="BA53" s="3"/>
      <c r="BB53" s="3"/>
      <c r="BC53" s="3"/>
      <c r="BD53" s="3"/>
      <c r="BE53" s="40">
        <f t="array" ref="BE53">MIN(100, MAX(0,
  IFERROR(_xlfn.XLOOKUP(AT53,'Lookup Tables'!$D$2:$D$6,'Lookup Tables'!$E$2:$E$6,0),0)
  + IFERROR(_xlfn.XLOOKUP(AV53,'Lookup Tables'!$G$2:$G$5,'Lookup Tables'!$H$2:$H$5,0),0)
  + IFERROR(_xlfn.XLOOKUP(AW53,'Lookup Tables'!$J$2:$J$5,'Lookup Tables'!$K$2:$K$5,0),0)
  + _xlfn.IFS(AX53="No Issues",10, AX53="Complaint Filed",3, AX53="Confirmed Breach",-15, TRUE,0)
  + IFERROR(_xlfn.XLOOKUP(AY53,'Lookup Tables'!$M$2:$M$6,'Lookup Tables'!$N$2:$N$6,0),0)
  + IFERROR(_xlfn.XLOOKUP(AZ53,'Lookup Tables'!$P$2:$P$6,'Lookup Tables'!$Q$2:$Q$6,0),0)
  + _xlfn.IFS(BA53="Formal Board Committee",5, BA53="Board Oversight Mentioned",2, TRUE,0)
  + _xlfn.IFS(BB53="Yes — Quantified Targets",5, BB53="Yes — Discretionary Only",2, TRUE,0)
  + _xlfn.IFS(BC53="Reasonable Assurance",5, BC53="Limited Assurance",3, BC53="Management Review Only",1, TRUE,0)
))</f>
        <v>0</v>
      </c>
      <c r="BF53" s="3"/>
      <c r="BG53" s="3"/>
      <c r="BH53" s="3"/>
      <c r="BI53" s="3"/>
      <c r="BJ53" s="3"/>
      <c r="BK53" s="3"/>
      <c r="BL53" s="3"/>
      <c r="BM53" s="3"/>
      <c r="BN53" s="3"/>
      <c r="BO53" s="3"/>
      <c r="BP53" s="3"/>
      <c r="BQ53" s="3"/>
      <c r="BR53" s="3"/>
      <c r="BS53" s="42">
        <f t="array" ref="BS53">MIN(100, MAX(0,
  IFERROR(_xlfn.XLOOKUP(BG53,'Lookup Tables'!$A$11:$A$16,'Lookup Tables'!$B$11:$B$16,0),0)
  + IFERROR(_xlfn.XLOOKUP(BR53,'Lookup Tables'!$M$11:$M$14,'Lookup Tables'!$N$11:$N$14,0),0)
  + IFERROR(_xlfn.XLOOKUP(BQ53,'Lookup Tables'!$J$11:$J$15,'Lookup Tables'!$K$11:$K$15,0),0)
  + IFERROR(_xlfn.XLOOKUP(BH53,'Lookup Tables'!$D$11:$D$15,'Lookup Tables'!$E$11:$E$15,0),0)
  + IFERROR(_xlfn.XLOOKUP(BJ53,'Lookup Tables'!$G$11:$G$16,'Lookup Tables'!$H$11:$H$16,0),0)
  + IFERROR(_xlfn.XLOOKUP(BN53,'Lookup Tables'!$P$11:$P$15,'Lookup Tables'!$Q$11:$Q$15,0),0)
  + _xlfn.IFS(BM53="No Evidence",10, BM53="Unknown",3, BM53="Likely",0, BM53="Confirmed",-10, TRUE,3)
  + IFERROR(_xlfn.XLOOKUP(BP53,'Lookup Tables'!$J$21:$J$24,'Lookup Tables'!$K$21:$K$24,0),0)
))</f>
        <v>3</v>
      </c>
      <c r="BT53" s="3"/>
      <c r="BU53" s="3"/>
      <c r="BV53" s="3"/>
      <c r="BW53" s="3"/>
      <c r="BX53" s="3"/>
      <c r="BY53" s="3"/>
      <c r="BZ53" s="3"/>
      <c r="CA53" s="3"/>
      <c r="CB53" s="3"/>
      <c r="CC53" s="3"/>
      <c r="CD53" s="3"/>
      <c r="CE53" s="44">
        <f t="array" ref="CE53">MIN(100, MAX(0,
  IF(ISNUMBER(BV53)*AND(BV53&gt;0), 10, 0)
  + _xlfn.IFS(BY53="Independently Verified",25, BY53="Yes",15, TRUE,0)
  + IFERROR(_xlfn.XLOOKUP(BZ53,'Lookup Tables'!$A$21:$A$24,'Lookup Tables'!$B$21:$B$24,0),0)
  + IFERROR(_xlfn.XLOOKUP(CA53,'Lookup Tables'!$D$21:$D$24,'Lookup Tables'!$E$21:$E$24,0),0)
  + _xlfn.IFS(ISNUMBER(CB53)*AND(CB53&gt;=11),15, ISNUMBER(CB53)*AND(CB53&gt;=6),10, ISNUMBER(CB53)*AND(CB53&gt;=1),5, TRUE,0)
  + IFERROR(_xlfn.XLOOKUP(CC53,'Lookup Tables'!$G$21:$G$25,'Lookup Tables'!$H$21:$H$25,0),0)
  - IF(ISNUMBER(BW53)*AND(ISNUMBER(BV53))*AND(BW53&gt;BV53), 20, 0)
  - IF(AND(BY53="Yes", ISNUMBER(BW53), BW53&gt;60), 10, 0)
))</f>
        <v>0</v>
      </c>
      <c r="CF53" s="3"/>
      <c r="CG53" s="3"/>
      <c r="CH53" s="3"/>
      <c r="CI53" s="3"/>
      <c r="CJ53" s="3"/>
      <c r="CK53" s="3"/>
      <c r="CL53" s="3"/>
      <c r="CM53" s="3"/>
      <c r="CN53" s="3"/>
      <c r="CO53" s="3"/>
      <c r="CP53" s="3"/>
      <c r="CQ53" s="3"/>
      <c r="CR53" s="3">
        <f t="shared" si="51"/>
        <v>0</v>
      </c>
      <c r="CS53" s="3">
        <f t="shared" si="52"/>
        <v>0</v>
      </c>
      <c r="CT53" s="3">
        <f t="shared" si="53"/>
        <v>0</v>
      </c>
      <c r="CU53" s="3">
        <f>MIN(100,
  CR53*15
  + CS53*6
  + CT53*3
  + IFERROR(_xlfn.XLOOKUP(CW53,'Lookup Tables'!$M$21:$M$25,'Lookup Tables'!$N$21:$N$25,0),0)
)</f>
        <v>0</v>
      </c>
      <c r="CV53" s="3" t="str">
        <f t="shared" si="61"/>
        <v>No failures</v>
      </c>
      <c r="CW53" s="3"/>
      <c r="CX53" s="3"/>
      <c r="CY53" s="3"/>
      <c r="CZ53" s="3"/>
      <c r="DA53" s="3" t="str">
        <f t="shared" si="54"/>
        <v>Yes</v>
      </c>
      <c r="DB53" s="3" t="str">
        <f t="shared" si="55"/>
        <v>No</v>
      </c>
      <c r="DC53" s="3"/>
      <c r="DD53" s="3"/>
      <c r="DE53" s="3"/>
      <c r="DF53" s="3"/>
      <c r="DG53" s="3"/>
      <c r="DH53" s="3"/>
      <c r="DI53" s="3"/>
      <c r="DJ53" s="3"/>
      <c r="DK53" s="3"/>
      <c r="DL53" s="3" t="str">
        <f t="shared" si="56"/>
        <v>Clear</v>
      </c>
      <c r="DM53" s="3" t="str">
        <f t="shared" si="57"/>
        <v>Yes</v>
      </c>
      <c r="DN53" s="3">
        <f t="array" ref="DN53">MIN(100,
  IF(ISNUMBER(V53), _xlfn.IFS(V53&gt;=3,25, V53=2,15, V53=1,5, TRUE,0), 0)
  + IFERROR(_xlfn.IFS(VALUE(LEFT(DF53,1))=5,25, VALUE(LEFT(DF53,1))=4,20, VALUE(LEFT(DF53,1))=3,15, VALUE(LEFT(DF53,1))=2,8, TRUE,0), 15)
  + IFERROR(_xlfn.IFS(VALUE(LEFT(DG53,1))=5,25, VALUE(LEFT(DG53,1))=4,20, VALUE(LEFT(DG53,1))=3,15, VALUE(LEFT(DG53,1))=2,8, TRUE,0), 15)
  + _xlfn.IFS(DH53="Fully Verified",25, DH53="Partially Verified",12, TRUE,0)
)</f>
        <v>30</v>
      </c>
      <c r="DO53" s="3" t="str">
        <f t="array" ref="DO53">_xlfn.IFS(
  ISBLANK(AR53), "Insufficient Evidence",
  AND(AR53&gt;=65, AJ53="Approved"), "Strong",
  AR53&gt;=65, "Adequate",
  AR53&gt;=40, "Adequate",
  AR53&gt;=20, "Weak",
  TRUE, "Insufficient Evidence"
)</f>
        <v>Insufficient Evidence</v>
      </c>
      <c r="DP53" s="3" t="str">
        <f t="array" ref="DP53">_xlfn.IFS(
  ISBLANK(BS53), "Insufficient Evidence",
  BS53&gt;=65, "Strong",
  BS53&gt;=40, "Adequate",
  BS53&gt;=20, "Weak",
  TRUE, "Insufficient Evidence"
)</f>
        <v>Insufficient Evidence</v>
      </c>
      <c r="DQ53" s="3" t="str">
        <f t="array" ref="DQ53">_xlfn.IFS(
  ISBLANK(BE53), "Insufficient Evidence",
  OR(AW53="Confirmed Violation", AX53="Confirmed Breach"), "Severe — Hard Trigger",
  BE53&gt;=65, "Strong",
  BE53&gt;=40, "Adequate",
  BE53&gt;=20, "Weak",
  TRUE, "Insufficient Evidence"
)</f>
        <v>Insufficient Evidence</v>
      </c>
      <c r="DR53" s="3" t="str">
        <f t="array" ref="DR53">_xlfn.IFS(
  ISBLANK(CU53), "Insufficient Evidence",
  CU53&lt;=20, "Low Risk",
  CU53&lt;=50, "Moderate Risk",
  CU53&lt;=75, "High Risk",
  TRUE, "Very High Risk"
)</f>
        <v>Low Risk</v>
      </c>
      <c r="DS53" s="3" t="str">
        <f t="array" ref="DS53">_xlfn.IFS(
  ISBLANK(CE53), "Insufficient Evidence",
  AND(ISNUMBER(BW53),ISNUMBER(BV53),BW53&gt;BV53), "Overclaiming Risk",
  CE53&gt;=65, "Strong",
  CE53&gt;=40, "Adequate",
  TRUE, "Weak"
)</f>
        <v>Weak</v>
      </c>
      <c r="DT53" s="3">
        <f t="shared" si="58"/>
        <v>11.7</v>
      </c>
      <c r="DU53" s="3" t="str">
        <f t="array" ref="DU53">_xlfn.IFS(
  DV53="Upgraded to Clear", "Clear",
  DV53="Downgraded to Watchlist", "Watchlist",
  DV53="Downgraded to Exclusion", "Exclusion Risk",
  DB53="Yes — Automatic", "Exclusion Risk",
  OR(AW53="Confirmed Violation", AX53="Confirmed Breach"), "Exclusion Risk",
  OR(V53=0, ISBLANK(V53), DN53&lt;20), "Insufficient Evidence",
  AND(DT53&gt;=65, DA53="No", DB53="No"), "Clear",
  OR(DT53&gt;=40, DA53="Yes"), "Watchlist",
  TRUE, "Exclusion Risk"
)</f>
        <v>Insufficient Evidence</v>
      </c>
      <c r="DV53" s="3"/>
      <c r="DW53" s="3" t="str">
        <f t="array" ref="DW53">_xlfn.IFS(
  DU53="Exclusion Risk", "Exclude — Hard Trigger",
  DU53="Insufficient Evidence", "Watchlist — Further Evidence Needed",
  DU53="Watchlist", "Watchlist — Further Evidence Needed",
  AND(DU53="Clear", DT53&gt;=80), "Include — No Conditions",
  DU53="Clear", "Include — Monitor",
  TRUE, "Watchlist — Further Evidence Needed"
)</f>
        <v>Watchlist — Further Evidence Needed</v>
      </c>
      <c r="DX53" s="3"/>
      <c r="DY53" s="3"/>
      <c r="DZ53" s="3"/>
      <c r="EA53" s="3"/>
      <c r="EB53" s="3" t="str">
        <f t="shared" si="59"/>
        <v>MISSING — No sources reviewed</v>
      </c>
      <c r="EC53" s="3" t="str">
        <f t="shared" si="60"/>
        <v/>
      </c>
    </row>
    <row r="54" spans="1:133" ht="18" customHeight="1" x14ac:dyDescent="0.15">
      <c r="A54" s="5" t="s">
        <v>490</v>
      </c>
      <c r="B54" s="5" t="s">
        <v>491</v>
      </c>
      <c r="C54" s="5" t="str">
        <f>IF(ISBLANK('Universe Tracker'!D50),"",'Universe Tracker'!D50)</f>
        <v>IT0000062072</v>
      </c>
      <c r="D54" s="5"/>
      <c r="E54" s="5"/>
      <c r="F54" s="5" t="str">
        <f>IF(ISBLANK('Universe Tracker'!F50),"",'Universe Tracker'!F50)</f>
        <v>Financials</v>
      </c>
      <c r="G54" s="5" t="str">
        <f>IF(ISBLANK('Universe Tracker'!G50),"",'Universe Tracker'!G50)</f>
        <v>Insurance</v>
      </c>
      <c r="H54" s="5"/>
      <c r="I54" s="5"/>
      <c r="J54" s="5" t="str">
        <f t="shared" si="49"/>
        <v>ASG_IT0000062072</v>
      </c>
      <c r="K54" s="5"/>
      <c r="L54" s="5"/>
      <c r="M54" s="5"/>
      <c r="N54" s="5"/>
      <c r="O54" s="5"/>
      <c r="P54" s="5"/>
      <c r="Q54" s="5"/>
      <c r="R54" s="5"/>
      <c r="S54" s="5"/>
      <c r="T54" s="5"/>
      <c r="U54" s="5"/>
      <c r="V54" s="5"/>
      <c r="W54" s="5"/>
      <c r="X54" s="5"/>
      <c r="Y54" s="5" t="str">
        <f t="shared" si="50"/>
        <v>Insufficient</v>
      </c>
      <c r="Z54" s="5"/>
      <c r="AA54" s="5"/>
      <c r="AB54" s="5"/>
      <c r="AC54" s="5"/>
      <c r="AD54" s="5"/>
      <c r="AE54" s="5"/>
      <c r="AF54" s="5"/>
      <c r="AG54" s="5"/>
      <c r="AH54" s="5"/>
      <c r="AI54" s="5"/>
      <c r="AJ54" s="5"/>
      <c r="AK54" s="5"/>
      <c r="AL54" s="5"/>
      <c r="AM54" s="5"/>
      <c r="AN54" s="5"/>
      <c r="AO54" s="5"/>
      <c r="AP54" s="5"/>
      <c r="AQ54" s="5"/>
      <c r="AR54" s="40">
        <f t="array" ref="AR54">MIN(100, MAX(0,
  IFERROR(_xlfn.XLOOKUP(AJ54,'Lookup Tables'!$A$2:$A$7,'Lookup Tables'!$B$2:$B$7,0),0)
  + IF(Z54="Yes", IF(IFERROR(_xlfn.XLOOKUP(AJ54,'Lookup Tables'!$A$2:$A$7,'Lookup Tables'!$B$2:$B$7,0),0)&lt;20, 5, 0), 0)
  + _xlfn.IFS(AB54="Yes", IF(ISNUMBER(AC54)*AND(AC54&lt;=2030),15,10), AB54="Long-term Only", 5, AB54="No", 0, TRUE, 0)
  + _xlfn.IFS(AF54="Full",10, AF54="Partial",5, AF54="Scope 2 Only",3, TRUE,0)
  + _xlfn.IFS(AG54="Yes", IF(ISNUMBER(AH54)*AND(AH54&gt;=5),10,6), AG54="Partial",4, TRUE,0)
  + _xlfn.IFS(AI54="Yes",5, AI54="Partial (material categories only)",3, TRUE,0)
  + _xlfn.IFS(AL54="Yes — Detailed",10, AL54="Yes — High Level",5, TRUE,0)
  + _xlfn.IFS(AM54="Yes — Quantified",15, AM54="Yes — Directional Only",7, TRUE,0)
  + _xlfn.IFS(AP54="Formal",5, AP54="Referenced",2, TRUE,0)
  + _xlfn.IFS(AQ54="No Issues Found",5, AQ54="Concern Identified",-5, AQ54="Severe Contradiction",-15, TRUE,0)
  + _xlfn.IFS(BC54="Reasonable Assurance",5, BC54="Limited Assurance",3, TRUE,0)
  - IF(AND(Z54="Yes", AI54="No"), 10, 0)
  - IF(AND(Z54="Yes", AM54="No"), 10, 0)
))</f>
        <v>0</v>
      </c>
      <c r="AS54" s="5"/>
      <c r="AT54" s="5"/>
      <c r="AU54" s="5"/>
      <c r="AV54" s="5"/>
      <c r="AW54" s="5"/>
      <c r="AX54" s="5"/>
      <c r="AY54" s="5"/>
      <c r="AZ54" s="5"/>
      <c r="BA54" s="5"/>
      <c r="BB54" s="5"/>
      <c r="BC54" s="5"/>
      <c r="BD54" s="5"/>
      <c r="BE54" s="39">
        <f t="array" ref="BE54">MIN(100, MAX(0,
  IFERROR(_xlfn.XLOOKUP(AT54,'Lookup Tables'!$D$2:$D$6,'Lookup Tables'!$E$2:$E$6,0),0)
  + IFERROR(_xlfn.XLOOKUP(AV54,'Lookup Tables'!$G$2:$G$5,'Lookup Tables'!$H$2:$H$5,0),0)
  + IFERROR(_xlfn.XLOOKUP(AW54,'Lookup Tables'!$J$2:$J$5,'Lookup Tables'!$K$2:$K$5,0),0)
  + _xlfn.IFS(AX54="No Issues",10, AX54="Complaint Filed",3, AX54="Confirmed Breach",-15, TRUE,0)
  + IFERROR(_xlfn.XLOOKUP(AY54,'Lookup Tables'!$M$2:$M$6,'Lookup Tables'!$N$2:$N$6,0),0)
  + IFERROR(_xlfn.XLOOKUP(AZ54,'Lookup Tables'!$P$2:$P$6,'Lookup Tables'!$Q$2:$Q$6,0),0)
  + _xlfn.IFS(BA54="Formal Board Committee",5, BA54="Board Oversight Mentioned",2, TRUE,0)
  + _xlfn.IFS(BB54="Yes — Quantified Targets",5, BB54="Yes — Discretionary Only",2, TRUE,0)
  + _xlfn.IFS(BC54="Reasonable Assurance",5, BC54="Limited Assurance",3, BC54="Management Review Only",1, TRUE,0)
))</f>
        <v>0</v>
      </c>
      <c r="BF54" s="5"/>
      <c r="BG54" s="5"/>
      <c r="BH54" s="5"/>
      <c r="BI54" s="5"/>
      <c r="BJ54" s="5"/>
      <c r="BK54" s="5"/>
      <c r="BL54" s="5"/>
      <c r="BM54" s="5"/>
      <c r="BN54" s="5"/>
      <c r="BO54" s="5"/>
      <c r="BP54" s="5"/>
      <c r="BQ54" s="5"/>
      <c r="BR54" s="5"/>
      <c r="BS54" s="41">
        <f t="array" ref="BS54">MIN(100, MAX(0,
  IFERROR(_xlfn.XLOOKUP(BG54,'Lookup Tables'!$A$11:$A$16,'Lookup Tables'!$B$11:$B$16,0),0)
  + IFERROR(_xlfn.XLOOKUP(BR54,'Lookup Tables'!$M$11:$M$14,'Lookup Tables'!$N$11:$N$14,0),0)
  + IFERROR(_xlfn.XLOOKUP(BQ54,'Lookup Tables'!$J$11:$J$15,'Lookup Tables'!$K$11:$K$15,0),0)
  + IFERROR(_xlfn.XLOOKUP(BH54,'Lookup Tables'!$D$11:$D$15,'Lookup Tables'!$E$11:$E$15,0),0)
  + IFERROR(_xlfn.XLOOKUP(BJ54,'Lookup Tables'!$G$11:$G$16,'Lookup Tables'!$H$11:$H$16,0),0)
  + IFERROR(_xlfn.XLOOKUP(BN54,'Lookup Tables'!$P$11:$P$15,'Lookup Tables'!$Q$11:$Q$15,0),0)
  + _xlfn.IFS(BM54="No Evidence",10, BM54="Unknown",3, BM54="Likely",0, BM54="Confirmed",-10, TRUE,3)
  + IFERROR(_xlfn.XLOOKUP(BP54,'Lookup Tables'!$J$21:$J$24,'Lookup Tables'!$K$21:$K$24,0),0)
))</f>
        <v>3</v>
      </c>
      <c r="BT54" s="5"/>
      <c r="BU54" s="5"/>
      <c r="BV54" s="5"/>
      <c r="BW54" s="5"/>
      <c r="BX54" s="5"/>
      <c r="BY54" s="5"/>
      <c r="BZ54" s="5"/>
      <c r="CA54" s="5"/>
      <c r="CB54" s="5"/>
      <c r="CC54" s="5"/>
      <c r="CD54" s="5"/>
      <c r="CE54" s="43">
        <f t="array" ref="CE54">MIN(100, MAX(0,
  IF(ISNUMBER(BV54)*AND(BV54&gt;0), 10, 0)
  + _xlfn.IFS(BY54="Independently Verified",25, BY54="Yes",15, TRUE,0)
  + IFERROR(_xlfn.XLOOKUP(BZ54,'Lookup Tables'!$A$21:$A$24,'Lookup Tables'!$B$21:$B$24,0),0)
  + IFERROR(_xlfn.XLOOKUP(CA54,'Lookup Tables'!$D$21:$D$24,'Lookup Tables'!$E$21:$E$24,0),0)
  + _xlfn.IFS(ISNUMBER(CB54)*AND(CB54&gt;=11),15, ISNUMBER(CB54)*AND(CB54&gt;=6),10, ISNUMBER(CB54)*AND(CB54&gt;=1),5, TRUE,0)
  + IFERROR(_xlfn.XLOOKUP(CC54,'Lookup Tables'!$G$21:$G$25,'Lookup Tables'!$H$21:$H$25,0),0)
  - IF(ISNUMBER(BW54)*AND(ISNUMBER(BV54))*AND(BW54&gt;BV54), 20, 0)
  - IF(AND(BY54="Yes", ISNUMBER(BW54), BW54&gt;60), 10, 0)
))</f>
        <v>0</v>
      </c>
      <c r="CF54" s="5"/>
      <c r="CG54" s="5"/>
      <c r="CH54" s="5"/>
      <c r="CI54" s="5"/>
      <c r="CJ54" s="5"/>
      <c r="CK54" s="5"/>
      <c r="CL54" s="5"/>
      <c r="CM54" s="5"/>
      <c r="CN54" s="5"/>
      <c r="CO54" s="5"/>
      <c r="CP54" s="5"/>
      <c r="CQ54" s="5"/>
      <c r="CR54" s="5">
        <f t="shared" si="51"/>
        <v>0</v>
      </c>
      <c r="CS54" s="5">
        <f t="shared" si="52"/>
        <v>0</v>
      </c>
      <c r="CT54" s="5">
        <f t="shared" si="53"/>
        <v>0</v>
      </c>
      <c r="CU54" s="5">
        <f>MIN(100,
  CR54*15
  + CS54*6
  + CT54*3
  + IFERROR(_xlfn.XLOOKUP(CW54,'Lookup Tables'!$M$21:$M$25,'Lookup Tables'!$N$21:$N$25,0),0)
)</f>
        <v>0</v>
      </c>
      <c r="CV54" s="5" t="str">
        <f t="shared" si="61"/>
        <v>No failures</v>
      </c>
      <c r="CW54" s="5"/>
      <c r="CX54" s="5"/>
      <c r="CY54" s="5"/>
      <c r="CZ54" s="5"/>
      <c r="DA54" s="5" t="str">
        <f t="shared" si="54"/>
        <v>Yes</v>
      </c>
      <c r="DB54" s="5" t="str">
        <f t="shared" si="55"/>
        <v>No</v>
      </c>
      <c r="DC54" s="5"/>
      <c r="DD54" s="5"/>
      <c r="DE54" s="5"/>
      <c r="DF54" s="5"/>
      <c r="DG54" s="5"/>
      <c r="DH54" s="5"/>
      <c r="DI54" s="5"/>
      <c r="DJ54" s="5"/>
      <c r="DK54" s="5"/>
      <c r="DL54" s="5" t="str">
        <f t="shared" si="56"/>
        <v>Clear</v>
      </c>
      <c r="DM54" s="5" t="str">
        <f t="shared" si="57"/>
        <v>Yes</v>
      </c>
      <c r="DN54" s="5">
        <f t="array" ref="DN54">MIN(100,
  IF(ISNUMBER(V54), _xlfn.IFS(V54&gt;=3,25, V54=2,15, V54=1,5, TRUE,0), 0)
  + IFERROR(_xlfn.IFS(VALUE(LEFT(DF54,1))=5,25, VALUE(LEFT(DF54,1))=4,20, VALUE(LEFT(DF54,1))=3,15, VALUE(LEFT(DF54,1))=2,8, TRUE,0), 15)
  + IFERROR(_xlfn.IFS(VALUE(LEFT(DG54,1))=5,25, VALUE(LEFT(DG54,1))=4,20, VALUE(LEFT(DG54,1))=3,15, VALUE(LEFT(DG54,1))=2,8, TRUE,0), 15)
  + _xlfn.IFS(DH54="Fully Verified",25, DH54="Partially Verified",12, TRUE,0)
)</f>
        <v>30</v>
      </c>
      <c r="DO54" s="5" t="str">
        <f t="array" ref="DO54">_xlfn.IFS(
  ISBLANK(AR54), "Insufficient Evidence",
  AND(AR54&gt;=65, AJ54="Approved"), "Strong",
  AR54&gt;=65, "Adequate",
  AR54&gt;=40, "Adequate",
  AR54&gt;=20, "Weak",
  TRUE, "Insufficient Evidence"
)</f>
        <v>Insufficient Evidence</v>
      </c>
      <c r="DP54" s="5" t="str">
        <f t="array" ref="DP54">_xlfn.IFS(
  ISBLANK(BS54), "Insufficient Evidence",
  BS54&gt;=65, "Strong",
  BS54&gt;=40, "Adequate",
  BS54&gt;=20, "Weak",
  TRUE, "Insufficient Evidence"
)</f>
        <v>Insufficient Evidence</v>
      </c>
      <c r="DQ54" s="5" t="str">
        <f t="array" ref="DQ54">_xlfn.IFS(
  ISBLANK(BE54), "Insufficient Evidence",
  OR(AW54="Confirmed Violation", AX54="Confirmed Breach"), "Severe — Hard Trigger",
  BE54&gt;=65, "Strong",
  BE54&gt;=40, "Adequate",
  BE54&gt;=20, "Weak",
  TRUE, "Insufficient Evidence"
)</f>
        <v>Insufficient Evidence</v>
      </c>
      <c r="DR54" s="5" t="str">
        <f t="array" ref="DR54">_xlfn.IFS(
  ISBLANK(CU54), "Insufficient Evidence",
  CU54&lt;=20, "Low Risk",
  CU54&lt;=50, "Moderate Risk",
  CU54&lt;=75, "High Risk",
  TRUE, "Very High Risk"
)</f>
        <v>Low Risk</v>
      </c>
      <c r="DS54" s="5" t="str">
        <f t="array" ref="DS54">_xlfn.IFS(
  ISBLANK(CE54), "Insufficient Evidence",
  AND(ISNUMBER(BW54),ISNUMBER(BV54),BW54&gt;BV54), "Overclaiming Risk",
  CE54&gt;=65, "Strong",
  CE54&gt;=40, "Adequate",
  TRUE, "Weak"
)</f>
        <v>Weak</v>
      </c>
      <c r="DT54" s="5">
        <f t="shared" si="58"/>
        <v>11.7</v>
      </c>
      <c r="DU54" s="5" t="str">
        <f t="array" ref="DU54">_xlfn.IFS(
  DV54="Upgraded to Clear", "Clear",
  DV54="Downgraded to Watchlist", "Watchlist",
  DV54="Downgraded to Exclusion", "Exclusion Risk",
  DB54="Yes — Automatic", "Exclusion Risk",
  OR(AW54="Confirmed Violation", AX54="Confirmed Breach"), "Exclusion Risk",
  OR(V54=0, ISBLANK(V54), DN54&lt;20), "Insufficient Evidence",
  AND(DT54&gt;=65, DA54="No", DB54="No"), "Clear",
  OR(DT54&gt;=40, DA54="Yes"), "Watchlist",
  TRUE, "Exclusion Risk"
)</f>
        <v>Insufficient Evidence</v>
      </c>
      <c r="DV54" s="5"/>
      <c r="DW54" s="5" t="str">
        <f t="array" ref="DW54">_xlfn.IFS(
  DU54="Exclusion Risk", "Exclude — Hard Trigger",
  DU54="Insufficient Evidence", "Watchlist — Further Evidence Needed",
  DU54="Watchlist", "Watchlist — Further Evidence Needed",
  AND(DU54="Clear", DT54&gt;=80), "Include — No Conditions",
  DU54="Clear", "Include — Monitor",
  TRUE, "Watchlist — Further Evidence Needed"
)</f>
        <v>Watchlist — Further Evidence Needed</v>
      </c>
      <c r="DX54" s="5"/>
      <c r="DY54" s="5"/>
      <c r="DZ54" s="5"/>
      <c r="EA54" s="5"/>
      <c r="EB54" s="5" t="str">
        <f t="shared" si="59"/>
        <v>MISSING — No sources reviewed</v>
      </c>
      <c r="EC54" s="5" t="str">
        <f t="shared" si="60"/>
        <v/>
      </c>
    </row>
    <row r="55" spans="1:133" ht="18" customHeight="1" x14ac:dyDescent="0.15">
      <c r="A55" s="3" t="s">
        <v>494</v>
      </c>
      <c r="B55" s="3" t="s">
        <v>495</v>
      </c>
      <c r="C55" s="3" t="str">
        <f>IF(ISBLANK('Universe Tracker'!D51),"",'Universe Tracker'!D51)</f>
        <v>CH0012221716</v>
      </c>
      <c r="D55" s="3"/>
      <c r="E55" s="3"/>
      <c r="F55" s="3" t="str">
        <f>IF(ISBLANK('Universe Tracker'!F51),"",'Universe Tracker'!F51)</f>
        <v>Industrials</v>
      </c>
      <c r="G55" s="3" t="str">
        <f>IF(ISBLANK('Universe Tracker'!G51),"",'Universe Tracker'!G51)</f>
        <v>Industrial Products</v>
      </c>
      <c r="H55" s="3"/>
      <c r="I55" s="3"/>
      <c r="J55" s="3" t="str">
        <f t="shared" si="49"/>
        <v>ABJ_CH0012221716</v>
      </c>
      <c r="K55" s="3"/>
      <c r="L55" s="3"/>
      <c r="M55" s="3"/>
      <c r="N55" s="3"/>
      <c r="O55" s="3"/>
      <c r="P55" s="3"/>
      <c r="Q55" s="3"/>
      <c r="R55" s="3"/>
      <c r="S55" s="3"/>
      <c r="T55" s="3"/>
      <c r="U55" s="3"/>
      <c r="V55" s="3"/>
      <c r="W55" s="3"/>
      <c r="X55" s="3"/>
      <c r="Y55" s="3" t="str">
        <f t="shared" si="50"/>
        <v>Insufficient</v>
      </c>
      <c r="Z55" s="3"/>
      <c r="AA55" s="3"/>
      <c r="AB55" s="3"/>
      <c r="AC55" s="3"/>
      <c r="AD55" s="3"/>
      <c r="AE55" s="3"/>
      <c r="AF55" s="3"/>
      <c r="AG55" s="3"/>
      <c r="AH55" s="3"/>
      <c r="AI55" s="3"/>
      <c r="AJ55" s="3"/>
      <c r="AK55" s="3"/>
      <c r="AL55" s="3"/>
      <c r="AM55" s="3"/>
      <c r="AN55" s="3"/>
      <c r="AO55" s="3"/>
      <c r="AP55" s="3"/>
      <c r="AQ55" s="3"/>
      <c r="AR55" s="40">
        <f t="array" ref="AR55">MIN(100, MAX(0,
  IFERROR(_xlfn.XLOOKUP(AJ55,'Lookup Tables'!$A$2:$A$7,'Lookup Tables'!$B$2:$B$7,0),0)
  + IF(Z55="Yes", IF(IFERROR(_xlfn.XLOOKUP(AJ55,'Lookup Tables'!$A$2:$A$7,'Lookup Tables'!$B$2:$B$7,0),0)&lt;20, 5, 0), 0)
  + _xlfn.IFS(AB55="Yes", IF(ISNUMBER(AC55)*AND(AC55&lt;=2030),15,10), AB55="Long-term Only", 5, AB55="No", 0, TRUE, 0)
  + _xlfn.IFS(AF55="Full",10, AF55="Partial",5, AF55="Scope 2 Only",3, TRUE,0)
  + _xlfn.IFS(AG55="Yes", IF(ISNUMBER(AH55)*AND(AH55&gt;=5),10,6), AG55="Partial",4, TRUE,0)
  + _xlfn.IFS(AI55="Yes",5, AI55="Partial (material categories only)",3, TRUE,0)
  + _xlfn.IFS(AL55="Yes — Detailed",10, AL55="Yes — High Level",5, TRUE,0)
  + _xlfn.IFS(AM55="Yes — Quantified",15, AM55="Yes — Directional Only",7, TRUE,0)
  + _xlfn.IFS(AP55="Formal",5, AP55="Referenced",2, TRUE,0)
  + _xlfn.IFS(AQ55="No Issues Found",5, AQ55="Concern Identified",-5, AQ55="Severe Contradiction",-15, TRUE,0)
  + _xlfn.IFS(BC55="Reasonable Assurance",5, BC55="Limited Assurance",3, TRUE,0)
  - IF(AND(Z55="Yes", AI55="No"), 10, 0)
  - IF(AND(Z55="Yes", AM55="No"), 10, 0)
))</f>
        <v>0</v>
      </c>
      <c r="AS55" s="3"/>
      <c r="AT55" s="3"/>
      <c r="AU55" s="3"/>
      <c r="AV55" s="3"/>
      <c r="AW55" s="3"/>
      <c r="AX55" s="3"/>
      <c r="AY55" s="3"/>
      <c r="AZ55" s="3"/>
      <c r="BA55" s="3"/>
      <c r="BB55" s="3"/>
      <c r="BC55" s="3"/>
      <c r="BD55" s="3"/>
      <c r="BE55" s="40">
        <f t="array" ref="BE55">MIN(100, MAX(0,
  IFERROR(_xlfn.XLOOKUP(AT55,'Lookup Tables'!$D$2:$D$6,'Lookup Tables'!$E$2:$E$6,0),0)
  + IFERROR(_xlfn.XLOOKUP(AV55,'Lookup Tables'!$G$2:$G$5,'Lookup Tables'!$H$2:$H$5,0),0)
  + IFERROR(_xlfn.XLOOKUP(AW55,'Lookup Tables'!$J$2:$J$5,'Lookup Tables'!$K$2:$K$5,0),0)
  + _xlfn.IFS(AX55="No Issues",10, AX55="Complaint Filed",3, AX55="Confirmed Breach",-15, TRUE,0)
  + IFERROR(_xlfn.XLOOKUP(AY55,'Lookup Tables'!$M$2:$M$6,'Lookup Tables'!$N$2:$N$6,0),0)
  + IFERROR(_xlfn.XLOOKUP(AZ55,'Lookup Tables'!$P$2:$P$6,'Lookup Tables'!$Q$2:$Q$6,0),0)
  + _xlfn.IFS(BA55="Formal Board Committee",5, BA55="Board Oversight Mentioned",2, TRUE,0)
  + _xlfn.IFS(BB55="Yes — Quantified Targets",5, BB55="Yes — Discretionary Only",2, TRUE,0)
  + _xlfn.IFS(BC55="Reasonable Assurance",5, BC55="Limited Assurance",3, BC55="Management Review Only",1, TRUE,0)
))</f>
        <v>0</v>
      </c>
      <c r="BF55" s="3"/>
      <c r="BG55" s="3"/>
      <c r="BH55" s="3"/>
      <c r="BI55" s="3"/>
      <c r="BJ55" s="3"/>
      <c r="BK55" s="3"/>
      <c r="BL55" s="3"/>
      <c r="BM55" s="3"/>
      <c r="BN55" s="3"/>
      <c r="BO55" s="3"/>
      <c r="BP55" s="3"/>
      <c r="BQ55" s="3"/>
      <c r="BR55" s="3"/>
      <c r="BS55" s="42">
        <f t="array" ref="BS55">MIN(100, MAX(0,
  IFERROR(_xlfn.XLOOKUP(BG55,'Lookup Tables'!$A$11:$A$16,'Lookup Tables'!$B$11:$B$16,0),0)
  + IFERROR(_xlfn.XLOOKUP(BR55,'Lookup Tables'!$M$11:$M$14,'Lookup Tables'!$N$11:$N$14,0),0)
  + IFERROR(_xlfn.XLOOKUP(BQ55,'Lookup Tables'!$J$11:$J$15,'Lookup Tables'!$K$11:$K$15,0),0)
  + IFERROR(_xlfn.XLOOKUP(BH55,'Lookup Tables'!$D$11:$D$15,'Lookup Tables'!$E$11:$E$15,0),0)
  + IFERROR(_xlfn.XLOOKUP(BJ55,'Lookup Tables'!$G$11:$G$16,'Lookup Tables'!$H$11:$H$16,0),0)
  + IFERROR(_xlfn.XLOOKUP(BN55,'Lookup Tables'!$P$11:$P$15,'Lookup Tables'!$Q$11:$Q$15,0),0)
  + _xlfn.IFS(BM55="No Evidence",10, BM55="Unknown",3, BM55="Likely",0, BM55="Confirmed",-10, TRUE,3)
  + IFERROR(_xlfn.XLOOKUP(BP55,'Lookup Tables'!$J$21:$J$24,'Lookup Tables'!$K$21:$K$24,0),0)
))</f>
        <v>3</v>
      </c>
      <c r="BT55" s="3"/>
      <c r="BU55" s="3"/>
      <c r="BV55" s="3"/>
      <c r="BW55" s="3"/>
      <c r="BX55" s="3"/>
      <c r="BY55" s="3"/>
      <c r="BZ55" s="3"/>
      <c r="CA55" s="3"/>
      <c r="CB55" s="3"/>
      <c r="CC55" s="3"/>
      <c r="CD55" s="3"/>
      <c r="CE55" s="44">
        <f t="array" ref="CE55">MIN(100, MAX(0,
  IF(ISNUMBER(BV55)*AND(BV55&gt;0), 10, 0)
  + _xlfn.IFS(BY55="Independently Verified",25, BY55="Yes",15, TRUE,0)
  + IFERROR(_xlfn.XLOOKUP(BZ55,'Lookup Tables'!$A$21:$A$24,'Lookup Tables'!$B$21:$B$24,0),0)
  + IFERROR(_xlfn.XLOOKUP(CA55,'Lookup Tables'!$D$21:$D$24,'Lookup Tables'!$E$21:$E$24,0),0)
  + _xlfn.IFS(ISNUMBER(CB55)*AND(CB55&gt;=11),15, ISNUMBER(CB55)*AND(CB55&gt;=6),10, ISNUMBER(CB55)*AND(CB55&gt;=1),5, TRUE,0)
  + IFERROR(_xlfn.XLOOKUP(CC55,'Lookup Tables'!$G$21:$G$25,'Lookup Tables'!$H$21:$H$25,0),0)
  - IF(ISNUMBER(BW55)*AND(ISNUMBER(BV55))*AND(BW55&gt;BV55), 20, 0)
  - IF(AND(BY55="Yes", ISNUMBER(BW55), BW55&gt;60), 10, 0)
))</f>
        <v>0</v>
      </c>
      <c r="CF55" s="3"/>
      <c r="CG55" s="3"/>
      <c r="CH55" s="3"/>
      <c r="CI55" s="3"/>
      <c r="CJ55" s="3"/>
      <c r="CK55" s="3"/>
      <c r="CL55" s="3"/>
      <c r="CM55" s="3"/>
      <c r="CN55" s="3"/>
      <c r="CO55" s="3"/>
      <c r="CP55" s="3"/>
      <c r="CQ55" s="3"/>
      <c r="CR55" s="3">
        <f t="shared" si="51"/>
        <v>0</v>
      </c>
      <c r="CS55" s="3">
        <f t="shared" si="52"/>
        <v>0</v>
      </c>
      <c r="CT55" s="3">
        <f t="shared" si="53"/>
        <v>0</v>
      </c>
      <c r="CU55" s="3">
        <f>MIN(100,
  CR55*15
  + CS55*6
  + CT55*3
  + IFERROR(_xlfn.XLOOKUP(CW55,'Lookup Tables'!$M$21:$M$25,'Lookup Tables'!$N$21:$N$25,0),0)
)</f>
        <v>0</v>
      </c>
      <c r="CV55" s="3" t="str">
        <f t="shared" si="61"/>
        <v>No failures</v>
      </c>
      <c r="CW55" s="3"/>
      <c r="CX55" s="3"/>
      <c r="CY55" s="3"/>
      <c r="CZ55" s="3"/>
      <c r="DA55" s="3" t="str">
        <f t="shared" si="54"/>
        <v>Yes</v>
      </c>
      <c r="DB55" s="3" t="str">
        <f t="shared" si="55"/>
        <v>No</v>
      </c>
      <c r="DC55" s="3"/>
      <c r="DD55" s="3"/>
      <c r="DE55" s="3"/>
      <c r="DF55" s="3"/>
      <c r="DG55" s="3"/>
      <c r="DH55" s="3"/>
      <c r="DI55" s="3"/>
      <c r="DJ55" s="3"/>
      <c r="DK55" s="3"/>
      <c r="DL55" s="3" t="str">
        <f t="shared" si="56"/>
        <v>Clear</v>
      </c>
      <c r="DM55" s="3" t="str">
        <f t="shared" si="57"/>
        <v>Yes</v>
      </c>
      <c r="DN55" s="3">
        <f t="array" ref="DN55">MIN(100,
  IF(ISNUMBER(V55), _xlfn.IFS(V55&gt;=3,25, V55=2,15, V55=1,5, TRUE,0), 0)
  + IFERROR(_xlfn.IFS(VALUE(LEFT(DF55,1))=5,25, VALUE(LEFT(DF55,1))=4,20, VALUE(LEFT(DF55,1))=3,15, VALUE(LEFT(DF55,1))=2,8, TRUE,0), 15)
  + IFERROR(_xlfn.IFS(VALUE(LEFT(DG55,1))=5,25, VALUE(LEFT(DG55,1))=4,20, VALUE(LEFT(DG55,1))=3,15, VALUE(LEFT(DG55,1))=2,8, TRUE,0), 15)
  + _xlfn.IFS(DH55="Fully Verified",25, DH55="Partially Verified",12, TRUE,0)
)</f>
        <v>30</v>
      </c>
      <c r="DO55" s="3" t="str">
        <f t="array" ref="DO55">_xlfn.IFS(
  ISBLANK(AR55), "Insufficient Evidence",
  AND(AR55&gt;=65, AJ55="Approved"), "Strong",
  AR55&gt;=65, "Adequate",
  AR55&gt;=40, "Adequate",
  AR55&gt;=20, "Weak",
  TRUE, "Insufficient Evidence"
)</f>
        <v>Insufficient Evidence</v>
      </c>
      <c r="DP55" s="3" t="str">
        <f t="array" ref="DP55">_xlfn.IFS(
  ISBLANK(BS55), "Insufficient Evidence",
  BS55&gt;=65, "Strong",
  BS55&gt;=40, "Adequate",
  BS55&gt;=20, "Weak",
  TRUE, "Insufficient Evidence"
)</f>
        <v>Insufficient Evidence</v>
      </c>
      <c r="DQ55" s="3" t="str">
        <f t="array" ref="DQ55">_xlfn.IFS(
  ISBLANK(BE55), "Insufficient Evidence",
  OR(AW55="Confirmed Violation", AX55="Confirmed Breach"), "Severe — Hard Trigger",
  BE55&gt;=65, "Strong",
  BE55&gt;=40, "Adequate",
  BE55&gt;=20, "Weak",
  TRUE, "Insufficient Evidence"
)</f>
        <v>Insufficient Evidence</v>
      </c>
      <c r="DR55" s="3" t="str">
        <f t="array" ref="DR55">_xlfn.IFS(
  ISBLANK(CU55), "Insufficient Evidence",
  CU55&lt;=20, "Low Risk",
  CU55&lt;=50, "Moderate Risk",
  CU55&lt;=75, "High Risk",
  TRUE, "Very High Risk"
)</f>
        <v>Low Risk</v>
      </c>
      <c r="DS55" s="3" t="str">
        <f t="array" ref="DS55">_xlfn.IFS(
  ISBLANK(CE55), "Insufficient Evidence",
  AND(ISNUMBER(BW55),ISNUMBER(BV55),BW55&gt;BV55), "Overclaiming Risk",
  CE55&gt;=65, "Strong",
  CE55&gt;=40, "Adequate",
  TRUE, "Weak"
)</f>
        <v>Weak</v>
      </c>
      <c r="DT55" s="3">
        <f t="shared" si="58"/>
        <v>11.7</v>
      </c>
      <c r="DU55" s="3" t="str">
        <f t="array" ref="DU55">_xlfn.IFS(
  DV55="Upgraded to Clear", "Clear",
  DV55="Downgraded to Watchlist", "Watchlist",
  DV55="Downgraded to Exclusion", "Exclusion Risk",
  DB55="Yes — Automatic", "Exclusion Risk",
  OR(AW55="Confirmed Violation", AX55="Confirmed Breach"), "Exclusion Risk",
  OR(V55=0, ISBLANK(V55), DN55&lt;20), "Insufficient Evidence",
  AND(DT55&gt;=65, DA55="No", DB55="No"), "Clear",
  OR(DT55&gt;=40, DA55="Yes"), "Watchlist",
  TRUE, "Exclusion Risk"
)</f>
        <v>Insufficient Evidence</v>
      </c>
      <c r="DV55" s="3"/>
      <c r="DW55" s="3" t="str">
        <f t="array" ref="DW55">_xlfn.IFS(
  DU55="Exclusion Risk", "Exclude — Hard Trigger",
  DU55="Insufficient Evidence", "Watchlist — Further Evidence Needed",
  DU55="Watchlist", "Watchlist — Further Evidence Needed",
  AND(DU55="Clear", DT55&gt;=80), "Include — No Conditions",
  DU55="Clear", "Include — Monitor",
  TRUE, "Watchlist — Further Evidence Needed"
)</f>
        <v>Watchlist — Further Evidence Needed</v>
      </c>
      <c r="DX55" s="3"/>
      <c r="DY55" s="3"/>
      <c r="DZ55" s="3"/>
      <c r="EA55" s="3"/>
      <c r="EB55" s="3" t="str">
        <f t="shared" si="59"/>
        <v>MISSING — No sources reviewed</v>
      </c>
      <c r="EC55" s="3" t="str">
        <f t="shared" si="60"/>
        <v/>
      </c>
    </row>
    <row r="56" spans="1:133" ht="18" customHeight="1" x14ac:dyDescent="0.15">
      <c r="A56" s="5" t="s">
        <v>498</v>
      </c>
      <c r="B56" s="5" t="s">
        <v>499</v>
      </c>
      <c r="C56" s="5" t="str">
        <f>IF(ISBLANK('Universe Tracker'!D52),"",'Universe Tracker'!D52)</f>
        <v>SE0000115420</v>
      </c>
      <c r="D56" s="5"/>
      <c r="E56" s="5"/>
      <c r="F56" s="5" t="str">
        <f>IF(ISBLANK('Universe Tracker'!F52),"",'Universe Tracker'!F52)</f>
        <v>Industrials</v>
      </c>
      <c r="G56" s="5" t="str">
        <f>IF(ISBLANK('Universe Tracker'!G52),"",'Universe Tracker'!G52)</f>
        <v>Industrial Products</v>
      </c>
      <c r="H56" s="5"/>
      <c r="I56" s="5"/>
      <c r="J56" s="5" t="str">
        <f t="shared" si="49"/>
        <v>VOL3_SE0000115420</v>
      </c>
      <c r="K56" s="5"/>
      <c r="L56" s="5"/>
      <c r="M56" s="5"/>
      <c r="N56" s="5"/>
      <c r="O56" s="5"/>
      <c r="P56" s="5"/>
      <c r="Q56" s="5"/>
      <c r="R56" s="5"/>
      <c r="S56" s="5"/>
      <c r="T56" s="5"/>
      <c r="U56" s="5"/>
      <c r="V56" s="5"/>
      <c r="W56" s="5"/>
      <c r="X56" s="5"/>
      <c r="Y56" s="5" t="str">
        <f t="shared" si="50"/>
        <v>Insufficient</v>
      </c>
      <c r="Z56" s="5"/>
      <c r="AA56" s="5"/>
      <c r="AB56" s="5"/>
      <c r="AC56" s="5"/>
      <c r="AD56" s="5"/>
      <c r="AE56" s="5"/>
      <c r="AF56" s="5"/>
      <c r="AG56" s="5"/>
      <c r="AH56" s="5"/>
      <c r="AI56" s="5"/>
      <c r="AJ56" s="5"/>
      <c r="AK56" s="5"/>
      <c r="AL56" s="5"/>
      <c r="AM56" s="5"/>
      <c r="AN56" s="5"/>
      <c r="AO56" s="5"/>
      <c r="AP56" s="5"/>
      <c r="AQ56" s="5"/>
      <c r="AR56" s="40">
        <f t="array" ref="AR56">MIN(100, MAX(0,
  IFERROR(_xlfn.XLOOKUP(AJ56,'Lookup Tables'!$A$2:$A$7,'Lookup Tables'!$B$2:$B$7,0),0)
  + IF(Z56="Yes", IF(IFERROR(_xlfn.XLOOKUP(AJ56,'Lookup Tables'!$A$2:$A$7,'Lookup Tables'!$B$2:$B$7,0),0)&lt;20, 5, 0), 0)
  + _xlfn.IFS(AB56="Yes", IF(ISNUMBER(AC56)*AND(AC56&lt;=2030),15,10), AB56="Long-term Only", 5, AB56="No", 0, TRUE, 0)
  + _xlfn.IFS(AF56="Full",10, AF56="Partial",5, AF56="Scope 2 Only",3, TRUE,0)
  + _xlfn.IFS(AG56="Yes", IF(ISNUMBER(AH56)*AND(AH56&gt;=5),10,6), AG56="Partial",4, TRUE,0)
  + _xlfn.IFS(AI56="Yes",5, AI56="Partial (material categories only)",3, TRUE,0)
  + _xlfn.IFS(AL56="Yes — Detailed",10, AL56="Yes — High Level",5, TRUE,0)
  + _xlfn.IFS(AM56="Yes — Quantified",15, AM56="Yes — Directional Only",7, TRUE,0)
  + _xlfn.IFS(AP56="Formal",5, AP56="Referenced",2, TRUE,0)
  + _xlfn.IFS(AQ56="No Issues Found",5, AQ56="Concern Identified",-5, AQ56="Severe Contradiction",-15, TRUE,0)
  + _xlfn.IFS(BC56="Reasonable Assurance",5, BC56="Limited Assurance",3, TRUE,0)
  - IF(AND(Z56="Yes", AI56="No"), 10, 0)
  - IF(AND(Z56="Yes", AM56="No"), 10, 0)
))</f>
        <v>0</v>
      </c>
      <c r="AS56" s="5"/>
      <c r="AT56" s="5"/>
      <c r="AU56" s="5"/>
      <c r="AV56" s="5"/>
      <c r="AW56" s="5"/>
      <c r="AX56" s="5"/>
      <c r="AY56" s="5"/>
      <c r="AZ56" s="5"/>
      <c r="BA56" s="5"/>
      <c r="BB56" s="5"/>
      <c r="BC56" s="5"/>
      <c r="BD56" s="5"/>
      <c r="BE56" s="39">
        <f t="array" ref="BE56">MIN(100, MAX(0,
  IFERROR(_xlfn.XLOOKUP(AT56,'Lookup Tables'!$D$2:$D$6,'Lookup Tables'!$E$2:$E$6,0),0)
  + IFERROR(_xlfn.XLOOKUP(AV56,'Lookup Tables'!$G$2:$G$5,'Lookup Tables'!$H$2:$H$5,0),0)
  + IFERROR(_xlfn.XLOOKUP(AW56,'Lookup Tables'!$J$2:$J$5,'Lookup Tables'!$K$2:$K$5,0),0)
  + _xlfn.IFS(AX56="No Issues",10, AX56="Complaint Filed",3, AX56="Confirmed Breach",-15, TRUE,0)
  + IFERROR(_xlfn.XLOOKUP(AY56,'Lookup Tables'!$M$2:$M$6,'Lookup Tables'!$N$2:$N$6,0),0)
  + IFERROR(_xlfn.XLOOKUP(AZ56,'Lookup Tables'!$P$2:$P$6,'Lookup Tables'!$Q$2:$Q$6,0),0)
  + _xlfn.IFS(BA56="Formal Board Committee",5, BA56="Board Oversight Mentioned",2, TRUE,0)
  + _xlfn.IFS(BB56="Yes — Quantified Targets",5, BB56="Yes — Discretionary Only",2, TRUE,0)
  + _xlfn.IFS(BC56="Reasonable Assurance",5, BC56="Limited Assurance",3, BC56="Management Review Only",1, TRUE,0)
))</f>
        <v>0</v>
      </c>
      <c r="BF56" s="5"/>
      <c r="BG56" s="5"/>
      <c r="BH56" s="5"/>
      <c r="BI56" s="5"/>
      <c r="BJ56" s="5"/>
      <c r="BK56" s="5"/>
      <c r="BL56" s="5"/>
      <c r="BM56" s="5"/>
      <c r="BN56" s="5"/>
      <c r="BO56" s="5"/>
      <c r="BP56" s="5"/>
      <c r="BQ56" s="5"/>
      <c r="BR56" s="5"/>
      <c r="BS56" s="41">
        <f t="array" ref="BS56">MIN(100, MAX(0,
  IFERROR(_xlfn.XLOOKUP(BG56,'Lookup Tables'!$A$11:$A$16,'Lookup Tables'!$B$11:$B$16,0),0)
  + IFERROR(_xlfn.XLOOKUP(BR56,'Lookup Tables'!$M$11:$M$14,'Lookup Tables'!$N$11:$N$14,0),0)
  + IFERROR(_xlfn.XLOOKUP(BQ56,'Lookup Tables'!$J$11:$J$15,'Lookup Tables'!$K$11:$K$15,0),0)
  + IFERROR(_xlfn.XLOOKUP(BH56,'Lookup Tables'!$D$11:$D$15,'Lookup Tables'!$E$11:$E$15,0),0)
  + IFERROR(_xlfn.XLOOKUP(BJ56,'Lookup Tables'!$G$11:$G$16,'Lookup Tables'!$H$11:$H$16,0),0)
  + IFERROR(_xlfn.XLOOKUP(BN56,'Lookup Tables'!$P$11:$P$15,'Lookup Tables'!$Q$11:$Q$15,0),0)
  + _xlfn.IFS(BM56="No Evidence",10, BM56="Unknown",3, BM56="Likely",0, BM56="Confirmed",-10, TRUE,3)
  + IFERROR(_xlfn.XLOOKUP(BP56,'Lookup Tables'!$J$21:$J$24,'Lookup Tables'!$K$21:$K$24,0),0)
))</f>
        <v>3</v>
      </c>
      <c r="BT56" s="5"/>
      <c r="BU56" s="5"/>
      <c r="BV56" s="5"/>
      <c r="BW56" s="5"/>
      <c r="BX56" s="5"/>
      <c r="BY56" s="5"/>
      <c r="BZ56" s="5"/>
      <c r="CA56" s="5"/>
      <c r="CB56" s="5"/>
      <c r="CC56" s="5"/>
      <c r="CD56" s="5"/>
      <c r="CE56" s="43">
        <f t="array" ref="CE56">MIN(100, MAX(0,
  IF(ISNUMBER(BV56)*AND(BV56&gt;0), 10, 0)
  + _xlfn.IFS(BY56="Independently Verified",25, BY56="Yes",15, TRUE,0)
  + IFERROR(_xlfn.XLOOKUP(BZ56,'Lookup Tables'!$A$21:$A$24,'Lookup Tables'!$B$21:$B$24,0),0)
  + IFERROR(_xlfn.XLOOKUP(CA56,'Lookup Tables'!$D$21:$D$24,'Lookup Tables'!$E$21:$E$24,0),0)
  + _xlfn.IFS(ISNUMBER(CB56)*AND(CB56&gt;=11),15, ISNUMBER(CB56)*AND(CB56&gt;=6),10, ISNUMBER(CB56)*AND(CB56&gt;=1),5, TRUE,0)
  + IFERROR(_xlfn.XLOOKUP(CC56,'Lookup Tables'!$G$21:$G$25,'Lookup Tables'!$H$21:$H$25,0),0)
  - IF(ISNUMBER(BW56)*AND(ISNUMBER(BV56))*AND(BW56&gt;BV56), 20, 0)
  - IF(AND(BY56="Yes", ISNUMBER(BW56), BW56&gt;60), 10, 0)
))</f>
        <v>0</v>
      </c>
      <c r="CF56" s="5"/>
      <c r="CG56" s="5"/>
      <c r="CH56" s="5"/>
      <c r="CI56" s="5"/>
      <c r="CJ56" s="5"/>
      <c r="CK56" s="5"/>
      <c r="CL56" s="5"/>
      <c r="CM56" s="5"/>
      <c r="CN56" s="5"/>
      <c r="CO56" s="5"/>
      <c r="CP56" s="5"/>
      <c r="CQ56" s="5"/>
      <c r="CR56" s="5">
        <f t="shared" si="51"/>
        <v>0</v>
      </c>
      <c r="CS56" s="5">
        <f t="shared" si="52"/>
        <v>0</v>
      </c>
      <c r="CT56" s="5">
        <f t="shared" si="53"/>
        <v>0</v>
      </c>
      <c r="CU56" s="5">
        <f>MIN(100,
  CR56*15
  + CS56*6
  + CT56*3
  + IFERROR(_xlfn.XLOOKUP(CW56,'Lookup Tables'!$M$21:$M$25,'Lookup Tables'!$N$21:$N$25,0),0)
)</f>
        <v>0</v>
      </c>
      <c r="CV56" s="5" t="str">
        <f t="shared" si="61"/>
        <v>No failures</v>
      </c>
      <c r="CW56" s="5"/>
      <c r="CX56" s="5"/>
      <c r="CY56" s="5"/>
      <c r="CZ56" s="5"/>
      <c r="DA56" s="5" t="str">
        <f t="shared" si="54"/>
        <v>Yes</v>
      </c>
      <c r="DB56" s="5" t="str">
        <f t="shared" si="55"/>
        <v>No</v>
      </c>
      <c r="DC56" s="5"/>
      <c r="DD56" s="5"/>
      <c r="DE56" s="5"/>
      <c r="DF56" s="5"/>
      <c r="DG56" s="5"/>
      <c r="DH56" s="5"/>
      <c r="DI56" s="5"/>
      <c r="DJ56" s="5"/>
      <c r="DK56" s="5"/>
      <c r="DL56" s="5" t="str">
        <f t="shared" si="56"/>
        <v>Clear</v>
      </c>
      <c r="DM56" s="5" t="str">
        <f t="shared" si="57"/>
        <v>Yes</v>
      </c>
      <c r="DN56" s="5">
        <f t="array" ref="DN56">MIN(100,
  IF(ISNUMBER(V56), _xlfn.IFS(V56&gt;=3,25, V56=2,15, V56=1,5, TRUE,0), 0)
  + IFERROR(_xlfn.IFS(VALUE(LEFT(DF56,1))=5,25, VALUE(LEFT(DF56,1))=4,20, VALUE(LEFT(DF56,1))=3,15, VALUE(LEFT(DF56,1))=2,8, TRUE,0), 15)
  + IFERROR(_xlfn.IFS(VALUE(LEFT(DG56,1))=5,25, VALUE(LEFT(DG56,1))=4,20, VALUE(LEFT(DG56,1))=3,15, VALUE(LEFT(DG56,1))=2,8, TRUE,0), 15)
  + _xlfn.IFS(DH56="Fully Verified",25, DH56="Partially Verified",12, TRUE,0)
)</f>
        <v>30</v>
      </c>
      <c r="DO56" s="5" t="str">
        <f t="array" ref="DO56">_xlfn.IFS(
  ISBLANK(AR56), "Insufficient Evidence",
  AND(AR56&gt;=65, AJ56="Approved"), "Strong",
  AR56&gt;=65, "Adequate",
  AR56&gt;=40, "Adequate",
  AR56&gt;=20, "Weak",
  TRUE, "Insufficient Evidence"
)</f>
        <v>Insufficient Evidence</v>
      </c>
      <c r="DP56" s="5" t="str">
        <f t="array" ref="DP56">_xlfn.IFS(
  ISBLANK(BS56), "Insufficient Evidence",
  BS56&gt;=65, "Strong",
  BS56&gt;=40, "Adequate",
  BS56&gt;=20, "Weak",
  TRUE, "Insufficient Evidence"
)</f>
        <v>Insufficient Evidence</v>
      </c>
      <c r="DQ56" s="5" t="str">
        <f t="array" ref="DQ56">_xlfn.IFS(
  ISBLANK(BE56), "Insufficient Evidence",
  OR(AW56="Confirmed Violation", AX56="Confirmed Breach"), "Severe — Hard Trigger",
  BE56&gt;=65, "Strong",
  BE56&gt;=40, "Adequate",
  BE56&gt;=20, "Weak",
  TRUE, "Insufficient Evidence"
)</f>
        <v>Insufficient Evidence</v>
      </c>
      <c r="DR56" s="5" t="str">
        <f t="array" ref="DR56">_xlfn.IFS(
  ISBLANK(CU56), "Insufficient Evidence",
  CU56&lt;=20, "Low Risk",
  CU56&lt;=50, "Moderate Risk",
  CU56&lt;=75, "High Risk",
  TRUE, "Very High Risk"
)</f>
        <v>Low Risk</v>
      </c>
      <c r="DS56" s="5" t="str">
        <f t="array" ref="DS56">_xlfn.IFS(
  ISBLANK(CE56), "Insufficient Evidence",
  AND(ISNUMBER(BW56),ISNUMBER(BV56),BW56&gt;BV56), "Overclaiming Risk",
  CE56&gt;=65, "Strong",
  CE56&gt;=40, "Adequate",
  TRUE, "Weak"
)</f>
        <v>Weak</v>
      </c>
      <c r="DT56" s="5">
        <f t="shared" si="58"/>
        <v>11.7</v>
      </c>
      <c r="DU56" s="5" t="str">
        <f t="array" ref="DU56">_xlfn.IFS(
  DV56="Upgraded to Clear", "Clear",
  DV56="Downgraded to Watchlist", "Watchlist",
  DV56="Downgraded to Exclusion", "Exclusion Risk",
  DB56="Yes — Automatic", "Exclusion Risk",
  OR(AW56="Confirmed Violation", AX56="Confirmed Breach"), "Exclusion Risk",
  OR(V56=0, ISBLANK(V56), DN56&lt;20), "Insufficient Evidence",
  AND(DT56&gt;=65, DA56="No", DB56="No"), "Clear",
  OR(DT56&gt;=40, DA56="Yes"), "Watchlist",
  TRUE, "Exclusion Risk"
)</f>
        <v>Insufficient Evidence</v>
      </c>
      <c r="DV56" s="5"/>
      <c r="DW56" s="5" t="str">
        <f t="array" ref="DW56">_xlfn.IFS(
  DU56="Exclusion Risk", "Exclude — Hard Trigger",
  DU56="Insufficient Evidence", "Watchlist — Further Evidence Needed",
  DU56="Watchlist", "Watchlist — Further Evidence Needed",
  AND(DU56="Clear", DT56&gt;=80), "Include — No Conditions",
  DU56="Clear", "Include — Monitor",
  TRUE, "Watchlist — Further Evidence Needed"
)</f>
        <v>Watchlist — Further Evidence Needed</v>
      </c>
      <c r="DX56" s="5"/>
      <c r="DY56" s="5"/>
      <c r="DZ56" s="5"/>
      <c r="EA56" s="5"/>
      <c r="EB56" s="5" t="str">
        <f t="shared" si="59"/>
        <v>MISSING — No sources reviewed</v>
      </c>
      <c r="EC56" s="5" t="str">
        <f t="shared" si="60"/>
        <v/>
      </c>
    </row>
    <row r="57" spans="1:133" ht="18" customHeight="1" x14ac:dyDescent="0.15">
      <c r="A57" s="3" t="s">
        <v>502</v>
      </c>
      <c r="B57" s="3" t="s">
        <v>503</v>
      </c>
      <c r="C57" s="3" t="str">
        <f>IF(ISBLANK('Universe Tracker'!D53),"",'Universe Tracker'!D53)</f>
        <v>JE00BJ1DLW90</v>
      </c>
      <c r="D57" s="3"/>
      <c r="E57" s="3"/>
      <c r="F57" s="3" t="str">
        <f>IF(ISBLANK('Universe Tracker'!F53),"",'Universe Tracker'!F53)</f>
        <v>Financials</v>
      </c>
      <c r="G57" s="3" t="str">
        <f>IF(ISBLANK('Universe Tracker'!G53),"",'Universe Tracker'!G53)</f>
        <v>Financial Services</v>
      </c>
      <c r="H57" s="3"/>
      <c r="I57" s="3"/>
      <c r="J57" s="3" t="str">
        <f t="shared" si="49"/>
        <v>M3N_JE00BJ1DLW90</v>
      </c>
      <c r="K57" s="3"/>
      <c r="L57" s="3"/>
      <c r="M57" s="3"/>
      <c r="N57" s="3"/>
      <c r="O57" s="3"/>
      <c r="P57" s="3"/>
      <c r="Q57" s="3"/>
      <c r="R57" s="3"/>
      <c r="S57" s="3"/>
      <c r="T57" s="3"/>
      <c r="U57" s="3"/>
      <c r="V57" s="3"/>
      <c r="W57" s="3"/>
      <c r="X57" s="3"/>
      <c r="Y57" s="3" t="str">
        <f t="shared" si="50"/>
        <v>Insufficient</v>
      </c>
      <c r="Z57" s="3"/>
      <c r="AA57" s="3"/>
      <c r="AB57" s="3"/>
      <c r="AC57" s="3"/>
      <c r="AD57" s="3"/>
      <c r="AE57" s="3"/>
      <c r="AF57" s="3"/>
      <c r="AG57" s="3"/>
      <c r="AH57" s="3"/>
      <c r="AI57" s="3"/>
      <c r="AJ57" s="3"/>
      <c r="AK57" s="3"/>
      <c r="AL57" s="3"/>
      <c r="AM57" s="3"/>
      <c r="AN57" s="3"/>
      <c r="AO57" s="3"/>
      <c r="AP57" s="3"/>
      <c r="AQ57" s="3"/>
      <c r="AR57" s="40">
        <f t="array" ref="AR57">MIN(100, MAX(0,
  IFERROR(_xlfn.XLOOKUP(AJ57,'Lookup Tables'!$A$2:$A$7,'Lookup Tables'!$B$2:$B$7,0),0)
  + IF(Z57="Yes", IF(IFERROR(_xlfn.XLOOKUP(AJ57,'Lookup Tables'!$A$2:$A$7,'Lookup Tables'!$B$2:$B$7,0),0)&lt;20, 5, 0), 0)
  + _xlfn.IFS(AB57="Yes", IF(ISNUMBER(AC57)*AND(AC57&lt;=2030),15,10), AB57="Long-term Only", 5, AB57="No", 0, TRUE, 0)
  + _xlfn.IFS(AF57="Full",10, AF57="Partial",5, AF57="Scope 2 Only",3, TRUE,0)
  + _xlfn.IFS(AG57="Yes", IF(ISNUMBER(AH57)*AND(AH57&gt;=5),10,6), AG57="Partial",4, TRUE,0)
  + _xlfn.IFS(AI57="Yes",5, AI57="Partial (material categories only)",3, TRUE,0)
  + _xlfn.IFS(AL57="Yes — Detailed",10, AL57="Yes — High Level",5, TRUE,0)
  + _xlfn.IFS(AM57="Yes — Quantified",15, AM57="Yes — Directional Only",7, TRUE,0)
  + _xlfn.IFS(AP57="Formal",5, AP57="Referenced",2, TRUE,0)
  + _xlfn.IFS(AQ57="No Issues Found",5, AQ57="Concern Identified",-5, AQ57="Severe Contradiction",-15, TRUE,0)
  + _xlfn.IFS(BC57="Reasonable Assurance",5, BC57="Limited Assurance",3, TRUE,0)
  - IF(AND(Z57="Yes", AI57="No"), 10, 0)
  - IF(AND(Z57="Yes", AM57="No"), 10, 0)
))</f>
        <v>0</v>
      </c>
      <c r="AS57" s="3"/>
      <c r="AT57" s="3"/>
      <c r="AU57" s="3"/>
      <c r="AV57" s="3"/>
      <c r="AW57" s="3"/>
      <c r="AX57" s="3"/>
      <c r="AY57" s="3"/>
      <c r="AZ57" s="3"/>
      <c r="BA57" s="3"/>
      <c r="BB57" s="3"/>
      <c r="BC57" s="3"/>
      <c r="BD57" s="3"/>
      <c r="BE57" s="40">
        <f t="array" ref="BE57">MIN(100, MAX(0,
  IFERROR(_xlfn.XLOOKUP(AT57,'Lookup Tables'!$D$2:$D$6,'Lookup Tables'!$E$2:$E$6,0),0)
  + IFERROR(_xlfn.XLOOKUP(AV57,'Lookup Tables'!$G$2:$G$5,'Lookup Tables'!$H$2:$H$5,0),0)
  + IFERROR(_xlfn.XLOOKUP(AW57,'Lookup Tables'!$J$2:$J$5,'Lookup Tables'!$K$2:$K$5,0),0)
  + _xlfn.IFS(AX57="No Issues",10, AX57="Complaint Filed",3, AX57="Confirmed Breach",-15, TRUE,0)
  + IFERROR(_xlfn.XLOOKUP(AY57,'Lookup Tables'!$M$2:$M$6,'Lookup Tables'!$N$2:$N$6,0),0)
  + IFERROR(_xlfn.XLOOKUP(AZ57,'Lookup Tables'!$P$2:$P$6,'Lookup Tables'!$Q$2:$Q$6,0),0)
  + _xlfn.IFS(BA57="Formal Board Committee",5, BA57="Board Oversight Mentioned",2, TRUE,0)
  + _xlfn.IFS(BB57="Yes — Quantified Targets",5, BB57="Yes — Discretionary Only",2, TRUE,0)
  + _xlfn.IFS(BC57="Reasonable Assurance",5, BC57="Limited Assurance",3, BC57="Management Review Only",1, TRUE,0)
))</f>
        <v>0</v>
      </c>
      <c r="BF57" s="3"/>
      <c r="BG57" s="3"/>
      <c r="BH57" s="3"/>
      <c r="BI57" s="3"/>
      <c r="BJ57" s="3"/>
      <c r="BK57" s="3"/>
      <c r="BL57" s="3"/>
      <c r="BM57" s="3"/>
      <c r="BN57" s="3"/>
      <c r="BO57" s="3"/>
      <c r="BP57" s="3"/>
      <c r="BQ57" s="3"/>
      <c r="BR57" s="3"/>
      <c r="BS57" s="42">
        <f t="array" ref="BS57">MIN(100, MAX(0,
  IFERROR(_xlfn.XLOOKUP(BG57,'Lookup Tables'!$A$11:$A$16,'Lookup Tables'!$B$11:$B$16,0),0)
  + IFERROR(_xlfn.XLOOKUP(BR57,'Lookup Tables'!$M$11:$M$14,'Lookup Tables'!$N$11:$N$14,0),0)
  + IFERROR(_xlfn.XLOOKUP(BQ57,'Lookup Tables'!$J$11:$J$15,'Lookup Tables'!$K$11:$K$15,0),0)
  + IFERROR(_xlfn.XLOOKUP(BH57,'Lookup Tables'!$D$11:$D$15,'Lookup Tables'!$E$11:$E$15,0),0)
  + IFERROR(_xlfn.XLOOKUP(BJ57,'Lookup Tables'!$G$11:$G$16,'Lookup Tables'!$H$11:$H$16,0),0)
  + IFERROR(_xlfn.XLOOKUP(BN57,'Lookup Tables'!$P$11:$P$15,'Lookup Tables'!$Q$11:$Q$15,0),0)
  + _xlfn.IFS(BM57="No Evidence",10, BM57="Unknown",3, BM57="Likely",0, BM57="Confirmed",-10, TRUE,3)
  + IFERROR(_xlfn.XLOOKUP(BP57,'Lookup Tables'!$J$21:$J$24,'Lookup Tables'!$K$21:$K$24,0),0)
))</f>
        <v>3</v>
      </c>
      <c r="BT57" s="3"/>
      <c r="BU57" s="3"/>
      <c r="BV57" s="3"/>
      <c r="BW57" s="3"/>
      <c r="BX57" s="3"/>
      <c r="BY57" s="3"/>
      <c r="BZ57" s="3"/>
      <c r="CA57" s="3"/>
      <c r="CB57" s="3"/>
      <c r="CC57" s="3"/>
      <c r="CD57" s="3"/>
      <c r="CE57" s="44">
        <f t="array" ref="CE57">MIN(100, MAX(0,
  IF(ISNUMBER(BV57)*AND(BV57&gt;0), 10, 0)
  + _xlfn.IFS(BY57="Independently Verified",25, BY57="Yes",15, TRUE,0)
  + IFERROR(_xlfn.XLOOKUP(BZ57,'Lookup Tables'!$A$21:$A$24,'Lookup Tables'!$B$21:$B$24,0),0)
  + IFERROR(_xlfn.XLOOKUP(CA57,'Lookup Tables'!$D$21:$D$24,'Lookup Tables'!$E$21:$E$24,0),0)
  + _xlfn.IFS(ISNUMBER(CB57)*AND(CB57&gt;=11),15, ISNUMBER(CB57)*AND(CB57&gt;=6),10, ISNUMBER(CB57)*AND(CB57&gt;=1),5, TRUE,0)
  + IFERROR(_xlfn.XLOOKUP(CC57,'Lookup Tables'!$G$21:$G$25,'Lookup Tables'!$H$21:$H$25,0),0)
  - IF(ISNUMBER(BW57)*AND(ISNUMBER(BV57))*AND(BW57&gt;BV57), 20, 0)
  - IF(AND(BY57="Yes", ISNUMBER(BW57), BW57&gt;60), 10, 0)
))</f>
        <v>0</v>
      </c>
      <c r="CF57" s="3"/>
      <c r="CG57" s="3"/>
      <c r="CH57" s="3"/>
      <c r="CI57" s="3"/>
      <c r="CJ57" s="3"/>
      <c r="CK57" s="3"/>
      <c r="CL57" s="3"/>
      <c r="CM57" s="3"/>
      <c r="CN57" s="3"/>
      <c r="CO57" s="3"/>
      <c r="CP57" s="3"/>
      <c r="CQ57" s="3"/>
      <c r="CR57" s="3">
        <f t="shared" si="51"/>
        <v>0</v>
      </c>
      <c r="CS57" s="3">
        <f t="shared" si="52"/>
        <v>0</v>
      </c>
      <c r="CT57" s="3">
        <f t="shared" si="53"/>
        <v>0</v>
      </c>
      <c r="CU57" s="3">
        <f>MIN(100,
  CR57*15
  + CS57*6
  + CT57*3
  + IFERROR(_xlfn.XLOOKUP(CW57,'Lookup Tables'!$M$21:$M$25,'Lookup Tables'!$N$21:$N$25,0),0)
)</f>
        <v>0</v>
      </c>
      <c r="CV57" s="3" t="str">
        <f t="shared" si="61"/>
        <v>No failures</v>
      </c>
      <c r="CW57" s="3"/>
      <c r="CX57" s="3"/>
      <c r="CY57" s="3"/>
      <c r="CZ57" s="3"/>
      <c r="DA57" s="3" t="str">
        <f t="shared" si="54"/>
        <v>Yes</v>
      </c>
      <c r="DB57" s="3" t="str">
        <f t="shared" si="55"/>
        <v>No</v>
      </c>
      <c r="DC57" s="3"/>
      <c r="DD57" s="3"/>
      <c r="DE57" s="3"/>
      <c r="DF57" s="3"/>
      <c r="DG57" s="3"/>
      <c r="DH57" s="3"/>
      <c r="DI57" s="3"/>
      <c r="DJ57" s="3"/>
      <c r="DK57" s="3"/>
      <c r="DL57" s="3" t="str">
        <f t="shared" si="56"/>
        <v>Clear</v>
      </c>
      <c r="DM57" s="3" t="str">
        <f t="shared" si="57"/>
        <v>Yes</v>
      </c>
      <c r="DN57" s="3">
        <f t="array" ref="DN57">MIN(100,
  IF(ISNUMBER(V57), _xlfn.IFS(V57&gt;=3,25, V57=2,15, V57=1,5, TRUE,0), 0)
  + IFERROR(_xlfn.IFS(VALUE(LEFT(DF57,1))=5,25, VALUE(LEFT(DF57,1))=4,20, VALUE(LEFT(DF57,1))=3,15, VALUE(LEFT(DF57,1))=2,8, TRUE,0), 15)
  + IFERROR(_xlfn.IFS(VALUE(LEFT(DG57,1))=5,25, VALUE(LEFT(DG57,1))=4,20, VALUE(LEFT(DG57,1))=3,15, VALUE(LEFT(DG57,1))=2,8, TRUE,0), 15)
  + _xlfn.IFS(DH57="Fully Verified",25, DH57="Partially Verified",12, TRUE,0)
)</f>
        <v>30</v>
      </c>
      <c r="DO57" s="3" t="str">
        <f t="array" ref="DO57">_xlfn.IFS(
  ISBLANK(AR57), "Insufficient Evidence",
  AND(AR57&gt;=65, AJ57="Approved"), "Strong",
  AR57&gt;=65, "Adequate",
  AR57&gt;=40, "Adequate",
  AR57&gt;=20, "Weak",
  TRUE, "Insufficient Evidence"
)</f>
        <v>Insufficient Evidence</v>
      </c>
      <c r="DP57" s="3" t="str">
        <f t="array" ref="DP57">_xlfn.IFS(
  ISBLANK(BS57), "Insufficient Evidence",
  BS57&gt;=65, "Strong",
  BS57&gt;=40, "Adequate",
  BS57&gt;=20, "Weak",
  TRUE, "Insufficient Evidence"
)</f>
        <v>Insufficient Evidence</v>
      </c>
      <c r="DQ57" s="3" t="str">
        <f t="array" ref="DQ57">_xlfn.IFS(
  ISBLANK(BE57), "Insufficient Evidence",
  OR(AW57="Confirmed Violation", AX57="Confirmed Breach"), "Severe — Hard Trigger",
  BE57&gt;=65, "Strong",
  BE57&gt;=40, "Adequate",
  BE57&gt;=20, "Weak",
  TRUE, "Insufficient Evidence"
)</f>
        <v>Insufficient Evidence</v>
      </c>
      <c r="DR57" s="3" t="str">
        <f t="array" ref="DR57">_xlfn.IFS(
  ISBLANK(CU57), "Insufficient Evidence",
  CU57&lt;=20, "Low Risk",
  CU57&lt;=50, "Moderate Risk",
  CU57&lt;=75, "High Risk",
  TRUE, "Very High Risk"
)</f>
        <v>Low Risk</v>
      </c>
      <c r="DS57" s="3" t="str">
        <f t="array" ref="DS57">_xlfn.IFS(
  ISBLANK(CE57), "Insufficient Evidence",
  AND(ISNUMBER(BW57),ISNUMBER(BV57),BW57&gt;BV57), "Overclaiming Risk",
  CE57&gt;=65, "Strong",
  CE57&gt;=40, "Adequate",
  TRUE, "Weak"
)</f>
        <v>Weak</v>
      </c>
      <c r="DT57" s="3">
        <f t="shared" si="58"/>
        <v>11.7</v>
      </c>
      <c r="DU57" s="3" t="str">
        <f t="array" ref="DU57">_xlfn.IFS(
  DV57="Upgraded to Clear", "Clear",
  DV57="Downgraded to Watchlist", "Watchlist",
  DV57="Downgraded to Exclusion", "Exclusion Risk",
  DB57="Yes — Automatic", "Exclusion Risk",
  OR(AW57="Confirmed Violation", AX57="Confirmed Breach"), "Exclusion Risk",
  OR(V57=0, ISBLANK(V57), DN57&lt;20), "Insufficient Evidence",
  AND(DT57&gt;=65, DA57="No", DB57="No"), "Clear",
  OR(DT57&gt;=40, DA57="Yes"), "Watchlist",
  TRUE, "Exclusion Risk"
)</f>
        <v>Insufficient Evidence</v>
      </c>
      <c r="DV57" s="3"/>
      <c r="DW57" s="3" t="str">
        <f t="array" ref="DW57">_xlfn.IFS(
  DU57="Exclusion Risk", "Exclude — Hard Trigger",
  DU57="Insufficient Evidence", "Watchlist — Further Evidence Needed",
  DU57="Watchlist", "Watchlist — Further Evidence Needed",
  AND(DU57="Clear", DT57&gt;=80), "Include — No Conditions",
  DU57="Clear", "Include — Monitor",
  TRUE, "Watchlist — Further Evidence Needed"
)</f>
        <v>Watchlist — Further Evidence Needed</v>
      </c>
      <c r="DX57" s="3"/>
      <c r="DY57" s="3"/>
      <c r="DZ57" s="3"/>
      <c r="EA57" s="3"/>
      <c r="EB57" s="3" t="str">
        <f t="shared" si="59"/>
        <v>MISSING — No sources reviewed</v>
      </c>
      <c r="EC57" s="3" t="str">
        <f t="shared" si="60"/>
        <v/>
      </c>
    </row>
    <row r="58" spans="1:133" ht="18" customHeight="1" x14ac:dyDescent="0.15">
      <c r="A58" s="5" t="s">
        <v>507</v>
      </c>
      <c r="B58" s="5" t="s">
        <v>508</v>
      </c>
      <c r="C58" s="5" t="str">
        <f>IF(ISBLANK('Universe Tracker'!D54),"",'Universe Tracker'!D54)</f>
        <v>NL0010273215</v>
      </c>
      <c r="D58" s="5"/>
      <c r="E58" s="5"/>
      <c r="F58" s="5" t="str">
        <f>IF(ISBLANK('Universe Tracker'!F54),"",'Universe Tracker'!F54)</f>
        <v>Technology</v>
      </c>
      <c r="G58" s="5" t="str">
        <f>IF(ISBLANK('Universe Tracker'!G54),"",'Universe Tracker'!G54)</f>
        <v>Tech Hardware &amp; Semiconductors</v>
      </c>
      <c r="H58" s="5"/>
      <c r="I58" s="5"/>
      <c r="J58" s="5" t="str">
        <f t="shared" si="49"/>
        <v>ASME_NL0010273215</v>
      </c>
      <c r="K58" s="5"/>
      <c r="L58" s="5"/>
      <c r="M58" s="5"/>
      <c r="N58" s="5"/>
      <c r="O58" s="5"/>
      <c r="P58" s="5"/>
      <c r="Q58" s="5"/>
      <c r="R58" s="5"/>
      <c r="S58" s="5"/>
      <c r="T58" s="5"/>
      <c r="U58" s="5"/>
      <c r="V58" s="5"/>
      <c r="W58" s="5"/>
      <c r="X58" s="5"/>
      <c r="Y58" s="5" t="str">
        <f t="shared" si="50"/>
        <v>Insufficient</v>
      </c>
      <c r="Z58" s="5"/>
      <c r="AA58" s="5"/>
      <c r="AB58" s="5"/>
      <c r="AC58" s="5"/>
      <c r="AD58" s="5"/>
      <c r="AE58" s="5"/>
      <c r="AF58" s="5"/>
      <c r="AG58" s="5"/>
      <c r="AH58" s="5"/>
      <c r="AI58" s="5"/>
      <c r="AJ58" s="5"/>
      <c r="AK58" s="5"/>
      <c r="AL58" s="5"/>
      <c r="AM58" s="5"/>
      <c r="AN58" s="5"/>
      <c r="AO58" s="5"/>
      <c r="AP58" s="5"/>
      <c r="AQ58" s="5"/>
      <c r="AR58" s="40">
        <f t="array" ref="AR58">MIN(100, MAX(0,
  IFERROR(_xlfn.XLOOKUP(AJ58,'Lookup Tables'!$A$2:$A$7,'Lookup Tables'!$B$2:$B$7,0),0)
  + IF(Z58="Yes", IF(IFERROR(_xlfn.XLOOKUP(AJ58,'Lookup Tables'!$A$2:$A$7,'Lookup Tables'!$B$2:$B$7,0),0)&lt;20, 5, 0), 0)
  + _xlfn.IFS(AB58="Yes", IF(ISNUMBER(AC58)*AND(AC58&lt;=2030),15,10), AB58="Long-term Only", 5, AB58="No", 0, TRUE, 0)
  + _xlfn.IFS(AF58="Full",10, AF58="Partial",5, AF58="Scope 2 Only",3, TRUE,0)
  + _xlfn.IFS(AG58="Yes", IF(ISNUMBER(AH58)*AND(AH58&gt;=5),10,6), AG58="Partial",4, TRUE,0)
  + _xlfn.IFS(AI58="Yes",5, AI58="Partial (material categories only)",3, TRUE,0)
  + _xlfn.IFS(AL58="Yes — Detailed",10, AL58="Yes — High Level",5, TRUE,0)
  + _xlfn.IFS(AM58="Yes — Quantified",15, AM58="Yes — Directional Only",7, TRUE,0)
  + _xlfn.IFS(AP58="Formal",5, AP58="Referenced",2, TRUE,0)
  + _xlfn.IFS(AQ58="No Issues Found",5, AQ58="Concern Identified",-5, AQ58="Severe Contradiction",-15, TRUE,0)
  + _xlfn.IFS(BC58="Reasonable Assurance",5, BC58="Limited Assurance",3, TRUE,0)
  - IF(AND(Z58="Yes", AI58="No"), 10, 0)
  - IF(AND(Z58="Yes", AM58="No"), 10, 0)
))</f>
        <v>0</v>
      </c>
      <c r="AS58" s="5"/>
      <c r="AT58" s="5"/>
      <c r="AU58" s="5"/>
      <c r="AV58" s="5"/>
      <c r="AW58" s="5"/>
      <c r="AX58" s="5"/>
      <c r="AY58" s="5"/>
      <c r="AZ58" s="5"/>
      <c r="BA58" s="5"/>
      <c r="BB58" s="5"/>
      <c r="BC58" s="5"/>
      <c r="BD58" s="5"/>
      <c r="BE58" s="39">
        <f t="array" ref="BE58">MIN(100, MAX(0,
  IFERROR(_xlfn.XLOOKUP(AT58,'Lookup Tables'!$D$2:$D$6,'Lookup Tables'!$E$2:$E$6,0),0)
  + IFERROR(_xlfn.XLOOKUP(AV58,'Lookup Tables'!$G$2:$G$5,'Lookup Tables'!$H$2:$H$5,0),0)
  + IFERROR(_xlfn.XLOOKUP(AW58,'Lookup Tables'!$J$2:$J$5,'Lookup Tables'!$K$2:$K$5,0),0)
  + _xlfn.IFS(AX58="No Issues",10, AX58="Complaint Filed",3, AX58="Confirmed Breach",-15, TRUE,0)
  + IFERROR(_xlfn.XLOOKUP(AY58,'Lookup Tables'!$M$2:$M$6,'Lookup Tables'!$N$2:$N$6,0),0)
  + IFERROR(_xlfn.XLOOKUP(AZ58,'Lookup Tables'!$P$2:$P$6,'Lookup Tables'!$Q$2:$Q$6,0),0)
  + _xlfn.IFS(BA58="Formal Board Committee",5, BA58="Board Oversight Mentioned",2, TRUE,0)
  + _xlfn.IFS(BB58="Yes — Quantified Targets",5, BB58="Yes — Discretionary Only",2, TRUE,0)
  + _xlfn.IFS(BC58="Reasonable Assurance",5, BC58="Limited Assurance",3, BC58="Management Review Only",1, TRUE,0)
))</f>
        <v>0</v>
      </c>
      <c r="BF58" s="5"/>
      <c r="BG58" s="5"/>
      <c r="BH58" s="5"/>
      <c r="BI58" s="5"/>
      <c r="BJ58" s="5"/>
      <c r="BK58" s="5"/>
      <c r="BL58" s="5"/>
      <c r="BM58" s="5"/>
      <c r="BN58" s="5"/>
      <c r="BO58" s="5"/>
      <c r="BP58" s="5"/>
      <c r="BQ58" s="5"/>
      <c r="BR58" s="5"/>
      <c r="BS58" s="41">
        <f t="array" ref="BS58">MIN(100, MAX(0,
  IFERROR(_xlfn.XLOOKUP(BG58,'Lookup Tables'!$A$11:$A$16,'Lookup Tables'!$B$11:$B$16,0),0)
  + IFERROR(_xlfn.XLOOKUP(BR58,'Lookup Tables'!$M$11:$M$14,'Lookup Tables'!$N$11:$N$14,0),0)
  + IFERROR(_xlfn.XLOOKUP(BQ58,'Lookup Tables'!$J$11:$J$15,'Lookup Tables'!$K$11:$K$15,0),0)
  + IFERROR(_xlfn.XLOOKUP(BH58,'Lookup Tables'!$D$11:$D$15,'Lookup Tables'!$E$11:$E$15,0),0)
  + IFERROR(_xlfn.XLOOKUP(BJ58,'Lookup Tables'!$G$11:$G$16,'Lookup Tables'!$H$11:$H$16,0),0)
  + IFERROR(_xlfn.XLOOKUP(BN58,'Lookup Tables'!$P$11:$P$15,'Lookup Tables'!$Q$11:$Q$15,0),0)
  + _xlfn.IFS(BM58="No Evidence",10, BM58="Unknown",3, BM58="Likely",0, BM58="Confirmed",-10, TRUE,3)
  + IFERROR(_xlfn.XLOOKUP(BP58,'Lookup Tables'!$J$21:$J$24,'Lookup Tables'!$K$21:$K$24,0),0)
))</f>
        <v>3</v>
      </c>
      <c r="BT58" s="5"/>
      <c r="BU58" s="5"/>
      <c r="BV58" s="5"/>
      <c r="BW58" s="5"/>
      <c r="BX58" s="5"/>
      <c r="BY58" s="5"/>
      <c r="BZ58" s="5"/>
      <c r="CA58" s="5"/>
      <c r="CB58" s="5"/>
      <c r="CC58" s="5"/>
      <c r="CD58" s="5"/>
      <c r="CE58" s="43">
        <f t="array" ref="CE58">MIN(100, MAX(0,
  IF(ISNUMBER(BV58)*AND(BV58&gt;0), 10, 0)
  + _xlfn.IFS(BY58="Independently Verified",25, BY58="Yes",15, TRUE,0)
  + IFERROR(_xlfn.XLOOKUP(BZ58,'Lookup Tables'!$A$21:$A$24,'Lookup Tables'!$B$21:$B$24,0),0)
  + IFERROR(_xlfn.XLOOKUP(CA58,'Lookup Tables'!$D$21:$D$24,'Lookup Tables'!$E$21:$E$24,0),0)
  + _xlfn.IFS(ISNUMBER(CB58)*AND(CB58&gt;=11),15, ISNUMBER(CB58)*AND(CB58&gt;=6),10, ISNUMBER(CB58)*AND(CB58&gt;=1),5, TRUE,0)
  + IFERROR(_xlfn.XLOOKUP(CC58,'Lookup Tables'!$G$21:$G$25,'Lookup Tables'!$H$21:$H$25,0),0)
  - IF(ISNUMBER(BW58)*AND(ISNUMBER(BV58))*AND(BW58&gt;BV58), 20, 0)
  - IF(AND(BY58="Yes", ISNUMBER(BW58), BW58&gt;60), 10, 0)
))</f>
        <v>0</v>
      </c>
      <c r="CF58" s="5"/>
      <c r="CG58" s="5"/>
      <c r="CH58" s="5"/>
      <c r="CI58" s="5"/>
      <c r="CJ58" s="5"/>
      <c r="CK58" s="5"/>
      <c r="CL58" s="5"/>
      <c r="CM58" s="5"/>
      <c r="CN58" s="5"/>
      <c r="CO58" s="5"/>
      <c r="CP58" s="5"/>
      <c r="CQ58" s="5"/>
      <c r="CR58" s="5">
        <f t="shared" si="51"/>
        <v>0</v>
      </c>
      <c r="CS58" s="5">
        <f t="shared" si="52"/>
        <v>0</v>
      </c>
      <c r="CT58" s="5">
        <f t="shared" si="53"/>
        <v>0</v>
      </c>
      <c r="CU58" s="5">
        <f>MIN(100,
  CR58*15
  + CS58*6
  + CT58*3
  + IFERROR(_xlfn.XLOOKUP(CW58,'Lookup Tables'!$M$21:$M$25,'Lookup Tables'!$N$21:$N$25,0),0)
)</f>
        <v>0</v>
      </c>
      <c r="CV58" s="5" t="str">
        <f t="shared" si="61"/>
        <v>No failures</v>
      </c>
      <c r="CW58" s="5"/>
      <c r="CX58" s="5"/>
      <c r="CY58" s="5"/>
      <c r="CZ58" s="5"/>
      <c r="DA58" s="5" t="str">
        <f t="shared" si="54"/>
        <v>Yes</v>
      </c>
      <c r="DB58" s="5" t="str">
        <f t="shared" si="55"/>
        <v>No</v>
      </c>
      <c r="DC58" s="5"/>
      <c r="DD58" s="5"/>
      <c r="DE58" s="5"/>
      <c r="DF58" s="5"/>
      <c r="DG58" s="5"/>
      <c r="DH58" s="5"/>
      <c r="DI58" s="5"/>
      <c r="DJ58" s="5"/>
      <c r="DK58" s="5"/>
      <c r="DL58" s="5" t="str">
        <f t="shared" si="56"/>
        <v>Clear</v>
      </c>
      <c r="DM58" s="5" t="str">
        <f t="shared" si="57"/>
        <v>Yes</v>
      </c>
      <c r="DN58" s="5">
        <f t="array" ref="DN58">MIN(100,
  IF(ISNUMBER(V58), _xlfn.IFS(V58&gt;=3,25, V58=2,15, V58=1,5, TRUE,0), 0)
  + IFERROR(_xlfn.IFS(VALUE(LEFT(DF58,1))=5,25, VALUE(LEFT(DF58,1))=4,20, VALUE(LEFT(DF58,1))=3,15, VALUE(LEFT(DF58,1))=2,8, TRUE,0), 15)
  + IFERROR(_xlfn.IFS(VALUE(LEFT(DG58,1))=5,25, VALUE(LEFT(DG58,1))=4,20, VALUE(LEFT(DG58,1))=3,15, VALUE(LEFT(DG58,1))=2,8, TRUE,0), 15)
  + _xlfn.IFS(DH58="Fully Verified",25, DH58="Partially Verified",12, TRUE,0)
)</f>
        <v>30</v>
      </c>
      <c r="DO58" s="5" t="str">
        <f t="array" ref="DO58">_xlfn.IFS(
  ISBLANK(AR58), "Insufficient Evidence",
  AND(AR58&gt;=65, AJ58="Approved"), "Strong",
  AR58&gt;=65, "Adequate",
  AR58&gt;=40, "Adequate",
  AR58&gt;=20, "Weak",
  TRUE, "Insufficient Evidence"
)</f>
        <v>Insufficient Evidence</v>
      </c>
      <c r="DP58" s="5" t="str">
        <f t="array" ref="DP58">_xlfn.IFS(
  ISBLANK(BS58), "Insufficient Evidence",
  BS58&gt;=65, "Strong",
  BS58&gt;=40, "Adequate",
  BS58&gt;=20, "Weak",
  TRUE, "Insufficient Evidence"
)</f>
        <v>Insufficient Evidence</v>
      </c>
      <c r="DQ58" s="5" t="str">
        <f t="array" ref="DQ58">_xlfn.IFS(
  ISBLANK(BE58), "Insufficient Evidence",
  OR(AW58="Confirmed Violation", AX58="Confirmed Breach"), "Severe — Hard Trigger",
  BE58&gt;=65, "Strong",
  BE58&gt;=40, "Adequate",
  BE58&gt;=20, "Weak",
  TRUE, "Insufficient Evidence"
)</f>
        <v>Insufficient Evidence</v>
      </c>
      <c r="DR58" s="5" t="str">
        <f t="array" ref="DR58">_xlfn.IFS(
  ISBLANK(CU58), "Insufficient Evidence",
  CU58&lt;=20, "Low Risk",
  CU58&lt;=50, "Moderate Risk",
  CU58&lt;=75, "High Risk",
  TRUE, "Very High Risk"
)</f>
        <v>Low Risk</v>
      </c>
      <c r="DS58" s="5" t="str">
        <f t="array" ref="DS58">_xlfn.IFS(
  ISBLANK(CE58), "Insufficient Evidence",
  AND(ISNUMBER(BW58),ISNUMBER(BV58),BW58&gt;BV58), "Overclaiming Risk",
  CE58&gt;=65, "Strong",
  CE58&gt;=40, "Adequate",
  TRUE, "Weak"
)</f>
        <v>Weak</v>
      </c>
      <c r="DT58" s="5">
        <f t="shared" si="58"/>
        <v>11.7</v>
      </c>
      <c r="DU58" s="5" t="str">
        <f t="array" ref="DU58">_xlfn.IFS(
  DV58="Upgraded to Clear", "Clear",
  DV58="Downgraded to Watchlist", "Watchlist",
  DV58="Downgraded to Exclusion", "Exclusion Risk",
  DB58="Yes — Automatic", "Exclusion Risk",
  OR(AW58="Confirmed Violation", AX58="Confirmed Breach"), "Exclusion Risk",
  OR(V58=0, ISBLANK(V58), DN58&lt;20), "Insufficient Evidence",
  AND(DT58&gt;=65, DA58="No", DB58="No"), "Clear",
  OR(DT58&gt;=40, DA58="Yes"), "Watchlist",
  TRUE, "Exclusion Risk"
)</f>
        <v>Insufficient Evidence</v>
      </c>
      <c r="DV58" s="5"/>
      <c r="DW58" s="5" t="str">
        <f t="array" ref="DW58">_xlfn.IFS(
  DU58="Exclusion Risk", "Exclude — Hard Trigger",
  DU58="Insufficient Evidence", "Watchlist — Further Evidence Needed",
  DU58="Watchlist", "Watchlist — Further Evidence Needed",
  AND(DU58="Clear", DT58&gt;=80), "Include — No Conditions",
  DU58="Clear", "Include — Monitor",
  TRUE, "Watchlist — Further Evidence Needed"
)</f>
        <v>Watchlist — Further Evidence Needed</v>
      </c>
      <c r="DX58" s="5"/>
      <c r="DY58" s="5"/>
      <c r="DZ58" s="5"/>
      <c r="EA58" s="5"/>
      <c r="EB58" s="5" t="str">
        <f t="shared" si="59"/>
        <v>MISSING — No sources reviewed</v>
      </c>
      <c r="EC58" s="5" t="str">
        <f t="shared" si="60"/>
        <v/>
      </c>
    </row>
    <row r="59" spans="1:133" ht="18" customHeight="1" x14ac:dyDescent="0.15">
      <c r="A59" s="3" t="s">
        <v>511</v>
      </c>
      <c r="B59" s="3" t="s">
        <v>512</v>
      </c>
      <c r="C59" s="3" t="str">
        <f>IF(ISBLANK('Universe Tracker'!D55),"",'Universe Tracker'!D55)</f>
        <v>DE0008404005</v>
      </c>
      <c r="D59" s="3"/>
      <c r="E59" s="3"/>
      <c r="F59" s="3" t="str">
        <f>IF(ISBLANK('Universe Tracker'!F55),"",'Universe Tracker'!F55)</f>
        <v>Financials</v>
      </c>
      <c r="G59" s="3" t="str">
        <f>IF(ISBLANK('Universe Tracker'!G55),"",'Universe Tracker'!G55)</f>
        <v>Insurance</v>
      </c>
      <c r="H59" s="3"/>
      <c r="I59" s="3"/>
      <c r="J59" s="3" t="str">
        <f t="shared" si="49"/>
        <v>ALV_DE0008404005</v>
      </c>
      <c r="K59" s="3"/>
      <c r="L59" s="3"/>
      <c r="M59" s="3"/>
      <c r="N59" s="3"/>
      <c r="O59" s="3"/>
      <c r="P59" s="3"/>
      <c r="Q59" s="3"/>
      <c r="R59" s="3"/>
      <c r="S59" s="3"/>
      <c r="T59" s="3"/>
      <c r="U59" s="3"/>
      <c r="V59" s="3"/>
      <c r="W59" s="3"/>
      <c r="X59" s="3"/>
      <c r="Y59" s="3" t="str">
        <f t="shared" si="50"/>
        <v>Insufficient</v>
      </c>
      <c r="Z59" s="3"/>
      <c r="AA59" s="3"/>
      <c r="AB59" s="3"/>
      <c r="AC59" s="3"/>
      <c r="AD59" s="3"/>
      <c r="AE59" s="3"/>
      <c r="AF59" s="3"/>
      <c r="AG59" s="3"/>
      <c r="AH59" s="3"/>
      <c r="AI59" s="3"/>
      <c r="AJ59" s="3"/>
      <c r="AK59" s="3"/>
      <c r="AL59" s="3"/>
      <c r="AM59" s="3"/>
      <c r="AN59" s="3"/>
      <c r="AO59" s="3"/>
      <c r="AP59" s="3"/>
      <c r="AQ59" s="3"/>
      <c r="AR59" s="40">
        <f t="array" ref="AR59">MIN(100, MAX(0,
  IFERROR(_xlfn.XLOOKUP(AJ59,'Lookup Tables'!$A$2:$A$7,'Lookup Tables'!$B$2:$B$7,0),0)
  + IF(Z59="Yes", IF(IFERROR(_xlfn.XLOOKUP(AJ59,'Lookup Tables'!$A$2:$A$7,'Lookup Tables'!$B$2:$B$7,0),0)&lt;20, 5, 0), 0)
  + _xlfn.IFS(AB59="Yes", IF(ISNUMBER(AC59)*AND(AC59&lt;=2030),15,10), AB59="Long-term Only", 5, AB59="No", 0, TRUE, 0)
  + _xlfn.IFS(AF59="Full",10, AF59="Partial",5, AF59="Scope 2 Only",3, TRUE,0)
  + _xlfn.IFS(AG59="Yes", IF(ISNUMBER(AH59)*AND(AH59&gt;=5),10,6), AG59="Partial",4, TRUE,0)
  + _xlfn.IFS(AI59="Yes",5, AI59="Partial (material categories only)",3, TRUE,0)
  + _xlfn.IFS(AL59="Yes — Detailed",10, AL59="Yes — High Level",5, TRUE,0)
  + _xlfn.IFS(AM59="Yes — Quantified",15, AM59="Yes — Directional Only",7, TRUE,0)
  + _xlfn.IFS(AP59="Formal",5, AP59="Referenced",2, TRUE,0)
  + _xlfn.IFS(AQ59="No Issues Found",5, AQ59="Concern Identified",-5, AQ59="Severe Contradiction",-15, TRUE,0)
  + _xlfn.IFS(BC59="Reasonable Assurance",5, BC59="Limited Assurance",3, TRUE,0)
  - IF(AND(Z59="Yes", AI59="No"), 10, 0)
  - IF(AND(Z59="Yes", AM59="No"), 10, 0)
))</f>
        <v>0</v>
      </c>
      <c r="AS59" s="3"/>
      <c r="AT59" s="3"/>
      <c r="AU59" s="3"/>
      <c r="AV59" s="3"/>
      <c r="AW59" s="3"/>
      <c r="AX59" s="3"/>
      <c r="AY59" s="3"/>
      <c r="AZ59" s="3"/>
      <c r="BA59" s="3"/>
      <c r="BB59" s="3"/>
      <c r="BC59" s="3"/>
      <c r="BD59" s="3"/>
      <c r="BE59" s="40">
        <f t="array" ref="BE59">MIN(100, MAX(0,
  IFERROR(_xlfn.XLOOKUP(AT59,'Lookup Tables'!$D$2:$D$6,'Lookup Tables'!$E$2:$E$6,0),0)
  + IFERROR(_xlfn.XLOOKUP(AV59,'Lookup Tables'!$G$2:$G$5,'Lookup Tables'!$H$2:$H$5,0),0)
  + IFERROR(_xlfn.XLOOKUP(AW59,'Lookup Tables'!$J$2:$J$5,'Lookup Tables'!$K$2:$K$5,0),0)
  + _xlfn.IFS(AX59="No Issues",10, AX59="Complaint Filed",3, AX59="Confirmed Breach",-15, TRUE,0)
  + IFERROR(_xlfn.XLOOKUP(AY59,'Lookup Tables'!$M$2:$M$6,'Lookup Tables'!$N$2:$N$6,0),0)
  + IFERROR(_xlfn.XLOOKUP(AZ59,'Lookup Tables'!$P$2:$P$6,'Lookup Tables'!$Q$2:$Q$6,0),0)
  + _xlfn.IFS(BA59="Formal Board Committee",5, BA59="Board Oversight Mentioned",2, TRUE,0)
  + _xlfn.IFS(BB59="Yes — Quantified Targets",5, BB59="Yes — Discretionary Only",2, TRUE,0)
  + _xlfn.IFS(BC59="Reasonable Assurance",5, BC59="Limited Assurance",3, BC59="Management Review Only",1, TRUE,0)
))</f>
        <v>0</v>
      </c>
      <c r="BF59" s="3"/>
      <c r="BG59" s="3"/>
      <c r="BH59" s="3"/>
      <c r="BI59" s="3"/>
      <c r="BJ59" s="3"/>
      <c r="BK59" s="3"/>
      <c r="BL59" s="3"/>
      <c r="BM59" s="3"/>
      <c r="BN59" s="3"/>
      <c r="BO59" s="3"/>
      <c r="BP59" s="3"/>
      <c r="BQ59" s="3"/>
      <c r="BR59" s="3"/>
      <c r="BS59" s="42">
        <f t="array" ref="BS59">MIN(100, MAX(0,
  IFERROR(_xlfn.XLOOKUP(BG59,'Lookup Tables'!$A$11:$A$16,'Lookup Tables'!$B$11:$B$16,0),0)
  + IFERROR(_xlfn.XLOOKUP(BR59,'Lookup Tables'!$M$11:$M$14,'Lookup Tables'!$N$11:$N$14,0),0)
  + IFERROR(_xlfn.XLOOKUP(BQ59,'Lookup Tables'!$J$11:$J$15,'Lookup Tables'!$K$11:$K$15,0),0)
  + IFERROR(_xlfn.XLOOKUP(BH59,'Lookup Tables'!$D$11:$D$15,'Lookup Tables'!$E$11:$E$15,0),0)
  + IFERROR(_xlfn.XLOOKUP(BJ59,'Lookup Tables'!$G$11:$G$16,'Lookup Tables'!$H$11:$H$16,0),0)
  + IFERROR(_xlfn.XLOOKUP(BN59,'Lookup Tables'!$P$11:$P$15,'Lookup Tables'!$Q$11:$Q$15,0),0)
  + _xlfn.IFS(BM59="No Evidence",10, BM59="Unknown",3, BM59="Likely",0, BM59="Confirmed",-10, TRUE,3)
  + IFERROR(_xlfn.XLOOKUP(BP59,'Lookup Tables'!$J$21:$J$24,'Lookup Tables'!$K$21:$K$24,0),0)
))</f>
        <v>3</v>
      </c>
      <c r="BT59" s="3"/>
      <c r="BU59" s="3"/>
      <c r="BV59" s="3"/>
      <c r="BW59" s="3"/>
      <c r="BX59" s="3"/>
      <c r="BY59" s="3"/>
      <c r="BZ59" s="3"/>
      <c r="CA59" s="3"/>
      <c r="CB59" s="3"/>
      <c r="CC59" s="3"/>
      <c r="CD59" s="3"/>
      <c r="CE59" s="44">
        <f t="array" ref="CE59">MIN(100, MAX(0,
  IF(ISNUMBER(BV59)*AND(BV59&gt;0), 10, 0)
  + _xlfn.IFS(BY59="Independently Verified",25, BY59="Yes",15, TRUE,0)
  + IFERROR(_xlfn.XLOOKUP(BZ59,'Lookup Tables'!$A$21:$A$24,'Lookup Tables'!$B$21:$B$24,0),0)
  + IFERROR(_xlfn.XLOOKUP(CA59,'Lookup Tables'!$D$21:$D$24,'Lookup Tables'!$E$21:$E$24,0),0)
  + _xlfn.IFS(ISNUMBER(CB59)*AND(CB59&gt;=11),15, ISNUMBER(CB59)*AND(CB59&gt;=6),10, ISNUMBER(CB59)*AND(CB59&gt;=1),5, TRUE,0)
  + IFERROR(_xlfn.XLOOKUP(CC59,'Lookup Tables'!$G$21:$G$25,'Lookup Tables'!$H$21:$H$25,0),0)
  - IF(ISNUMBER(BW59)*AND(ISNUMBER(BV59))*AND(BW59&gt;BV59), 20, 0)
  - IF(AND(BY59="Yes", ISNUMBER(BW59), BW59&gt;60), 10, 0)
))</f>
        <v>0</v>
      </c>
      <c r="CF59" s="3"/>
      <c r="CG59" s="3"/>
      <c r="CH59" s="3"/>
      <c r="CI59" s="3"/>
      <c r="CJ59" s="3"/>
      <c r="CK59" s="3"/>
      <c r="CL59" s="3"/>
      <c r="CM59" s="3"/>
      <c r="CN59" s="3"/>
      <c r="CO59" s="3"/>
      <c r="CP59" s="3"/>
      <c r="CQ59" s="3"/>
      <c r="CR59" s="3">
        <f t="shared" si="51"/>
        <v>0</v>
      </c>
      <c r="CS59" s="3">
        <f t="shared" si="52"/>
        <v>0</v>
      </c>
      <c r="CT59" s="3">
        <f t="shared" si="53"/>
        <v>0</v>
      </c>
      <c r="CU59" s="3">
        <f>MIN(100,
  CR59*15
  + CS59*6
  + CT59*3
  + IFERROR(_xlfn.XLOOKUP(CW59,'Lookup Tables'!$M$21:$M$25,'Lookup Tables'!$N$21:$N$25,0),0)
)</f>
        <v>0</v>
      </c>
      <c r="CV59" s="3" t="str">
        <f t="shared" si="61"/>
        <v>No failures</v>
      </c>
      <c r="CW59" s="3"/>
      <c r="CX59" s="3"/>
      <c r="CY59" s="3"/>
      <c r="CZ59" s="3"/>
      <c r="DA59" s="3" t="str">
        <f t="shared" si="54"/>
        <v>Yes</v>
      </c>
      <c r="DB59" s="3" t="str">
        <f t="shared" si="55"/>
        <v>No</v>
      </c>
      <c r="DC59" s="3"/>
      <c r="DD59" s="3"/>
      <c r="DE59" s="3"/>
      <c r="DF59" s="3"/>
      <c r="DG59" s="3"/>
      <c r="DH59" s="3"/>
      <c r="DI59" s="3"/>
      <c r="DJ59" s="3"/>
      <c r="DK59" s="3"/>
      <c r="DL59" s="3" t="str">
        <f t="shared" si="56"/>
        <v>Clear</v>
      </c>
      <c r="DM59" s="3" t="str">
        <f t="shared" si="57"/>
        <v>Yes</v>
      </c>
      <c r="DN59" s="3">
        <f t="array" ref="DN59">MIN(100,
  IF(ISNUMBER(V59), _xlfn.IFS(V59&gt;=3,25, V59=2,15, V59=1,5, TRUE,0), 0)
  + IFERROR(_xlfn.IFS(VALUE(LEFT(DF59,1))=5,25, VALUE(LEFT(DF59,1))=4,20, VALUE(LEFT(DF59,1))=3,15, VALUE(LEFT(DF59,1))=2,8, TRUE,0), 15)
  + IFERROR(_xlfn.IFS(VALUE(LEFT(DG59,1))=5,25, VALUE(LEFT(DG59,1))=4,20, VALUE(LEFT(DG59,1))=3,15, VALUE(LEFT(DG59,1))=2,8, TRUE,0), 15)
  + _xlfn.IFS(DH59="Fully Verified",25, DH59="Partially Verified",12, TRUE,0)
)</f>
        <v>30</v>
      </c>
      <c r="DO59" s="3" t="str">
        <f t="array" ref="DO59">_xlfn.IFS(
  ISBLANK(AR59), "Insufficient Evidence",
  AND(AR59&gt;=65, AJ59="Approved"), "Strong",
  AR59&gt;=65, "Adequate",
  AR59&gt;=40, "Adequate",
  AR59&gt;=20, "Weak",
  TRUE, "Insufficient Evidence"
)</f>
        <v>Insufficient Evidence</v>
      </c>
      <c r="DP59" s="3" t="str">
        <f t="array" ref="DP59">_xlfn.IFS(
  ISBLANK(BS59), "Insufficient Evidence",
  BS59&gt;=65, "Strong",
  BS59&gt;=40, "Adequate",
  BS59&gt;=20, "Weak",
  TRUE, "Insufficient Evidence"
)</f>
        <v>Insufficient Evidence</v>
      </c>
      <c r="DQ59" s="3" t="str">
        <f t="array" ref="DQ59">_xlfn.IFS(
  ISBLANK(BE59), "Insufficient Evidence",
  OR(AW59="Confirmed Violation", AX59="Confirmed Breach"), "Severe — Hard Trigger",
  BE59&gt;=65, "Strong",
  BE59&gt;=40, "Adequate",
  BE59&gt;=20, "Weak",
  TRUE, "Insufficient Evidence"
)</f>
        <v>Insufficient Evidence</v>
      </c>
      <c r="DR59" s="3" t="str">
        <f t="array" ref="DR59">_xlfn.IFS(
  ISBLANK(CU59), "Insufficient Evidence",
  CU59&lt;=20, "Low Risk",
  CU59&lt;=50, "Moderate Risk",
  CU59&lt;=75, "High Risk",
  TRUE, "Very High Risk"
)</f>
        <v>Low Risk</v>
      </c>
      <c r="DS59" s="3" t="str">
        <f t="array" ref="DS59">_xlfn.IFS(
  ISBLANK(CE59), "Insufficient Evidence",
  AND(ISNUMBER(BW59),ISNUMBER(BV59),BW59&gt;BV59), "Overclaiming Risk",
  CE59&gt;=65, "Strong",
  CE59&gt;=40, "Adequate",
  TRUE, "Weak"
)</f>
        <v>Weak</v>
      </c>
      <c r="DT59" s="3">
        <f t="shared" si="58"/>
        <v>11.7</v>
      </c>
      <c r="DU59" s="3" t="str">
        <f t="array" ref="DU59">_xlfn.IFS(
  DV59="Upgraded to Clear", "Clear",
  DV59="Downgraded to Watchlist", "Watchlist",
  DV59="Downgraded to Exclusion", "Exclusion Risk",
  DB59="Yes — Automatic", "Exclusion Risk",
  OR(AW59="Confirmed Violation", AX59="Confirmed Breach"), "Exclusion Risk",
  OR(V59=0, ISBLANK(V59), DN59&lt;20), "Insufficient Evidence",
  AND(DT59&gt;=65, DA59="No", DB59="No"), "Clear",
  OR(DT59&gt;=40, DA59="Yes"), "Watchlist",
  TRUE, "Exclusion Risk"
)</f>
        <v>Insufficient Evidence</v>
      </c>
      <c r="DV59" s="3"/>
      <c r="DW59" s="3" t="str">
        <f t="array" ref="DW59">_xlfn.IFS(
  DU59="Exclusion Risk", "Exclude — Hard Trigger",
  DU59="Insufficient Evidence", "Watchlist — Further Evidence Needed",
  DU59="Watchlist", "Watchlist — Further Evidence Needed",
  AND(DU59="Clear", DT59&gt;=80), "Include — No Conditions",
  DU59="Clear", "Include — Monitor",
  TRUE, "Watchlist — Further Evidence Needed"
)</f>
        <v>Watchlist — Further Evidence Needed</v>
      </c>
      <c r="DX59" s="3"/>
      <c r="DY59" s="3"/>
      <c r="DZ59" s="3"/>
      <c r="EA59" s="3"/>
      <c r="EB59" s="3" t="str">
        <f t="shared" si="59"/>
        <v>MISSING — No sources reviewed</v>
      </c>
      <c r="EC59" s="3" t="str">
        <f t="shared" si="60"/>
        <v/>
      </c>
    </row>
    <row r="60" spans="1:133" ht="18" customHeight="1" x14ac:dyDescent="0.15">
      <c r="A60" s="5" t="s">
        <v>515</v>
      </c>
      <c r="B60" s="5" t="s">
        <v>516</v>
      </c>
      <c r="C60" s="5" t="str">
        <f>IF(ISBLANK('Universe Tracker'!D56),"",'Universe Tracker'!D56)</f>
        <v>CH0531751755</v>
      </c>
      <c r="D60" s="5"/>
      <c r="E60" s="5"/>
      <c r="F60" s="5" t="str">
        <f>IF(ISBLANK('Universe Tracker'!F56),"",'Universe Tracker'!F56)</f>
        <v>Financials</v>
      </c>
      <c r="G60" s="5" t="str">
        <f>IF(ISBLANK('Universe Tracker'!G56),"",'Universe Tracker'!G56)</f>
        <v>Banking</v>
      </c>
      <c r="H60" s="5"/>
      <c r="I60" s="5"/>
      <c r="J60" s="5" t="str">
        <f t="shared" si="49"/>
        <v>B1V1_CH0531751755</v>
      </c>
      <c r="K60" s="5"/>
      <c r="L60" s="5"/>
      <c r="M60" s="5"/>
      <c r="N60" s="5"/>
      <c r="O60" s="5"/>
      <c r="P60" s="5"/>
      <c r="Q60" s="5"/>
      <c r="R60" s="5"/>
      <c r="S60" s="5"/>
      <c r="T60" s="5"/>
      <c r="U60" s="5"/>
      <c r="V60" s="5"/>
      <c r="W60" s="5"/>
      <c r="X60" s="5"/>
      <c r="Y60" s="5" t="str">
        <f t="shared" si="50"/>
        <v>Insufficient</v>
      </c>
      <c r="Z60" s="5"/>
      <c r="AA60" s="5"/>
      <c r="AB60" s="5"/>
      <c r="AC60" s="5"/>
      <c r="AD60" s="5"/>
      <c r="AE60" s="5"/>
      <c r="AF60" s="5"/>
      <c r="AG60" s="5"/>
      <c r="AH60" s="5"/>
      <c r="AI60" s="5"/>
      <c r="AJ60" s="5"/>
      <c r="AK60" s="5"/>
      <c r="AL60" s="5"/>
      <c r="AM60" s="5"/>
      <c r="AN60" s="5"/>
      <c r="AO60" s="5"/>
      <c r="AP60" s="5"/>
      <c r="AQ60" s="5"/>
      <c r="AR60" s="40">
        <f t="array" ref="AR60">MIN(100, MAX(0,
  IFERROR(_xlfn.XLOOKUP(AJ60,'Lookup Tables'!$A$2:$A$7,'Lookup Tables'!$B$2:$B$7,0),0)
  + IF(Z60="Yes", IF(IFERROR(_xlfn.XLOOKUP(AJ60,'Lookup Tables'!$A$2:$A$7,'Lookup Tables'!$B$2:$B$7,0),0)&lt;20, 5, 0), 0)
  + _xlfn.IFS(AB60="Yes", IF(ISNUMBER(AC60)*AND(AC60&lt;=2030),15,10), AB60="Long-term Only", 5, AB60="No", 0, TRUE, 0)
  + _xlfn.IFS(AF60="Full",10, AF60="Partial",5, AF60="Scope 2 Only",3, TRUE,0)
  + _xlfn.IFS(AG60="Yes", IF(ISNUMBER(AH60)*AND(AH60&gt;=5),10,6), AG60="Partial",4, TRUE,0)
  + _xlfn.IFS(AI60="Yes",5, AI60="Partial (material categories only)",3, TRUE,0)
  + _xlfn.IFS(AL60="Yes — Detailed",10, AL60="Yes — High Level",5, TRUE,0)
  + _xlfn.IFS(AM60="Yes — Quantified",15, AM60="Yes — Directional Only",7, TRUE,0)
  + _xlfn.IFS(AP60="Formal",5, AP60="Referenced",2, TRUE,0)
  + _xlfn.IFS(AQ60="No Issues Found",5, AQ60="Concern Identified",-5, AQ60="Severe Contradiction",-15, TRUE,0)
  + _xlfn.IFS(BC60="Reasonable Assurance",5, BC60="Limited Assurance",3, TRUE,0)
  - IF(AND(Z60="Yes", AI60="No"), 10, 0)
  - IF(AND(Z60="Yes", AM60="No"), 10, 0)
))</f>
        <v>0</v>
      </c>
      <c r="AS60" s="5"/>
      <c r="AT60" s="5"/>
      <c r="AU60" s="5"/>
      <c r="AV60" s="5"/>
      <c r="AW60" s="5"/>
      <c r="AX60" s="5"/>
      <c r="AY60" s="5"/>
      <c r="AZ60" s="5"/>
      <c r="BA60" s="5"/>
      <c r="BB60" s="5"/>
      <c r="BC60" s="5"/>
      <c r="BD60" s="5"/>
      <c r="BE60" s="39">
        <f t="array" ref="BE60">MIN(100, MAX(0,
  IFERROR(_xlfn.XLOOKUP(AT60,'Lookup Tables'!$D$2:$D$6,'Lookup Tables'!$E$2:$E$6,0),0)
  + IFERROR(_xlfn.XLOOKUP(AV60,'Lookup Tables'!$G$2:$G$5,'Lookup Tables'!$H$2:$H$5,0),0)
  + IFERROR(_xlfn.XLOOKUP(AW60,'Lookup Tables'!$J$2:$J$5,'Lookup Tables'!$K$2:$K$5,0),0)
  + _xlfn.IFS(AX60="No Issues",10, AX60="Complaint Filed",3, AX60="Confirmed Breach",-15, TRUE,0)
  + IFERROR(_xlfn.XLOOKUP(AY60,'Lookup Tables'!$M$2:$M$6,'Lookup Tables'!$N$2:$N$6,0),0)
  + IFERROR(_xlfn.XLOOKUP(AZ60,'Lookup Tables'!$P$2:$P$6,'Lookup Tables'!$Q$2:$Q$6,0),0)
  + _xlfn.IFS(BA60="Formal Board Committee",5, BA60="Board Oversight Mentioned",2, TRUE,0)
  + _xlfn.IFS(BB60="Yes — Quantified Targets",5, BB60="Yes — Discretionary Only",2, TRUE,0)
  + _xlfn.IFS(BC60="Reasonable Assurance",5, BC60="Limited Assurance",3, BC60="Management Review Only",1, TRUE,0)
))</f>
        <v>0</v>
      </c>
      <c r="BF60" s="5"/>
      <c r="BG60" s="5"/>
      <c r="BH60" s="5"/>
      <c r="BI60" s="5"/>
      <c r="BJ60" s="5"/>
      <c r="BK60" s="5"/>
      <c r="BL60" s="5"/>
      <c r="BM60" s="5"/>
      <c r="BN60" s="5"/>
      <c r="BO60" s="5"/>
      <c r="BP60" s="5"/>
      <c r="BQ60" s="5"/>
      <c r="BR60" s="5"/>
      <c r="BS60" s="41">
        <f t="array" ref="BS60">MIN(100, MAX(0,
  IFERROR(_xlfn.XLOOKUP(BG60,'Lookup Tables'!$A$11:$A$16,'Lookup Tables'!$B$11:$B$16,0),0)
  + IFERROR(_xlfn.XLOOKUP(BR60,'Lookup Tables'!$M$11:$M$14,'Lookup Tables'!$N$11:$N$14,0),0)
  + IFERROR(_xlfn.XLOOKUP(BQ60,'Lookup Tables'!$J$11:$J$15,'Lookup Tables'!$K$11:$K$15,0),0)
  + IFERROR(_xlfn.XLOOKUP(BH60,'Lookup Tables'!$D$11:$D$15,'Lookup Tables'!$E$11:$E$15,0),0)
  + IFERROR(_xlfn.XLOOKUP(BJ60,'Lookup Tables'!$G$11:$G$16,'Lookup Tables'!$H$11:$H$16,0),0)
  + IFERROR(_xlfn.XLOOKUP(BN60,'Lookup Tables'!$P$11:$P$15,'Lookup Tables'!$Q$11:$Q$15,0),0)
  + _xlfn.IFS(BM60="No Evidence",10, BM60="Unknown",3, BM60="Likely",0, BM60="Confirmed",-10, TRUE,3)
  + IFERROR(_xlfn.XLOOKUP(BP60,'Lookup Tables'!$J$21:$J$24,'Lookup Tables'!$K$21:$K$24,0),0)
))</f>
        <v>3</v>
      </c>
      <c r="BT60" s="5"/>
      <c r="BU60" s="5"/>
      <c r="BV60" s="5"/>
      <c r="BW60" s="5"/>
      <c r="BX60" s="5"/>
      <c r="BY60" s="5"/>
      <c r="BZ60" s="5"/>
      <c r="CA60" s="5"/>
      <c r="CB60" s="5"/>
      <c r="CC60" s="5"/>
      <c r="CD60" s="5"/>
      <c r="CE60" s="43">
        <f t="array" ref="CE60">MIN(100, MAX(0,
  IF(ISNUMBER(BV60)*AND(BV60&gt;0), 10, 0)
  + _xlfn.IFS(BY60="Independently Verified",25, BY60="Yes",15, TRUE,0)
  + IFERROR(_xlfn.XLOOKUP(BZ60,'Lookup Tables'!$A$21:$A$24,'Lookup Tables'!$B$21:$B$24,0),0)
  + IFERROR(_xlfn.XLOOKUP(CA60,'Lookup Tables'!$D$21:$D$24,'Lookup Tables'!$E$21:$E$24,0),0)
  + _xlfn.IFS(ISNUMBER(CB60)*AND(CB60&gt;=11),15, ISNUMBER(CB60)*AND(CB60&gt;=6),10, ISNUMBER(CB60)*AND(CB60&gt;=1),5, TRUE,0)
  + IFERROR(_xlfn.XLOOKUP(CC60,'Lookup Tables'!$G$21:$G$25,'Lookup Tables'!$H$21:$H$25,0),0)
  - IF(ISNUMBER(BW60)*AND(ISNUMBER(BV60))*AND(BW60&gt;BV60), 20, 0)
  - IF(AND(BY60="Yes", ISNUMBER(BW60), BW60&gt;60), 10, 0)
))</f>
        <v>0</v>
      </c>
      <c r="CF60" s="5"/>
      <c r="CG60" s="5"/>
      <c r="CH60" s="5"/>
      <c r="CI60" s="5"/>
      <c r="CJ60" s="5"/>
      <c r="CK60" s="5"/>
      <c r="CL60" s="5"/>
      <c r="CM60" s="5"/>
      <c r="CN60" s="5"/>
      <c r="CO60" s="5"/>
      <c r="CP60" s="5"/>
      <c r="CQ60" s="5"/>
      <c r="CR60" s="5">
        <f t="shared" si="51"/>
        <v>0</v>
      </c>
      <c r="CS60" s="5">
        <f t="shared" si="52"/>
        <v>0</v>
      </c>
      <c r="CT60" s="5">
        <f t="shared" si="53"/>
        <v>0</v>
      </c>
      <c r="CU60" s="5">
        <f>MIN(100,
  CR60*15
  + CS60*6
  + CT60*3
  + IFERROR(_xlfn.XLOOKUP(CW60,'Lookup Tables'!$M$21:$M$25,'Lookup Tables'!$N$21:$N$25,0),0)
)</f>
        <v>0</v>
      </c>
      <c r="CV60" s="5" t="str">
        <f t="shared" si="61"/>
        <v>No failures</v>
      </c>
      <c r="CW60" s="5"/>
      <c r="CX60" s="5"/>
      <c r="CY60" s="5"/>
      <c r="CZ60" s="5"/>
      <c r="DA60" s="5" t="str">
        <f t="shared" si="54"/>
        <v>Yes</v>
      </c>
      <c r="DB60" s="5" t="str">
        <f t="shared" si="55"/>
        <v>No</v>
      </c>
      <c r="DC60" s="5"/>
      <c r="DD60" s="5"/>
      <c r="DE60" s="5"/>
      <c r="DF60" s="5"/>
      <c r="DG60" s="5"/>
      <c r="DH60" s="5"/>
      <c r="DI60" s="5"/>
      <c r="DJ60" s="5"/>
      <c r="DK60" s="5"/>
      <c r="DL60" s="5" t="str">
        <f t="shared" si="56"/>
        <v>Clear</v>
      </c>
      <c r="DM60" s="5" t="str">
        <f t="shared" si="57"/>
        <v>Yes</v>
      </c>
      <c r="DN60" s="5">
        <f t="array" ref="DN60">MIN(100,
  IF(ISNUMBER(V60), _xlfn.IFS(V60&gt;=3,25, V60=2,15, V60=1,5, TRUE,0), 0)
  + IFERROR(_xlfn.IFS(VALUE(LEFT(DF60,1))=5,25, VALUE(LEFT(DF60,1))=4,20, VALUE(LEFT(DF60,1))=3,15, VALUE(LEFT(DF60,1))=2,8, TRUE,0), 15)
  + IFERROR(_xlfn.IFS(VALUE(LEFT(DG60,1))=5,25, VALUE(LEFT(DG60,1))=4,20, VALUE(LEFT(DG60,1))=3,15, VALUE(LEFT(DG60,1))=2,8, TRUE,0), 15)
  + _xlfn.IFS(DH60="Fully Verified",25, DH60="Partially Verified",12, TRUE,0)
)</f>
        <v>30</v>
      </c>
      <c r="DO60" s="5" t="str">
        <f t="array" ref="DO60">_xlfn.IFS(
  ISBLANK(AR60), "Insufficient Evidence",
  AND(AR60&gt;=65, AJ60="Approved"), "Strong",
  AR60&gt;=65, "Adequate",
  AR60&gt;=40, "Adequate",
  AR60&gt;=20, "Weak",
  TRUE, "Insufficient Evidence"
)</f>
        <v>Insufficient Evidence</v>
      </c>
      <c r="DP60" s="5" t="str">
        <f t="array" ref="DP60">_xlfn.IFS(
  ISBLANK(BS60), "Insufficient Evidence",
  BS60&gt;=65, "Strong",
  BS60&gt;=40, "Adequate",
  BS60&gt;=20, "Weak",
  TRUE, "Insufficient Evidence"
)</f>
        <v>Insufficient Evidence</v>
      </c>
      <c r="DQ60" s="5" t="str">
        <f t="array" ref="DQ60">_xlfn.IFS(
  ISBLANK(BE60), "Insufficient Evidence",
  OR(AW60="Confirmed Violation", AX60="Confirmed Breach"), "Severe — Hard Trigger",
  BE60&gt;=65, "Strong",
  BE60&gt;=40, "Adequate",
  BE60&gt;=20, "Weak",
  TRUE, "Insufficient Evidence"
)</f>
        <v>Insufficient Evidence</v>
      </c>
      <c r="DR60" s="5" t="str">
        <f t="array" ref="DR60">_xlfn.IFS(
  ISBLANK(CU60), "Insufficient Evidence",
  CU60&lt;=20, "Low Risk",
  CU60&lt;=50, "Moderate Risk",
  CU60&lt;=75, "High Risk",
  TRUE, "Very High Risk"
)</f>
        <v>Low Risk</v>
      </c>
      <c r="DS60" s="5" t="str">
        <f t="array" ref="DS60">_xlfn.IFS(
  ISBLANK(CE60), "Insufficient Evidence",
  AND(ISNUMBER(BW60),ISNUMBER(BV60),BW60&gt;BV60), "Overclaiming Risk",
  CE60&gt;=65, "Strong",
  CE60&gt;=40, "Adequate",
  TRUE, "Weak"
)</f>
        <v>Weak</v>
      </c>
      <c r="DT60" s="5">
        <f t="shared" si="58"/>
        <v>11.7</v>
      </c>
      <c r="DU60" s="5" t="str">
        <f t="array" ref="DU60">_xlfn.IFS(
  DV60="Upgraded to Clear", "Clear",
  DV60="Downgraded to Watchlist", "Watchlist",
  DV60="Downgraded to Exclusion", "Exclusion Risk",
  DB60="Yes — Automatic", "Exclusion Risk",
  OR(AW60="Confirmed Violation", AX60="Confirmed Breach"), "Exclusion Risk",
  OR(V60=0, ISBLANK(V60), DN60&lt;20), "Insufficient Evidence",
  AND(DT60&gt;=65, DA60="No", DB60="No"), "Clear",
  OR(DT60&gt;=40, DA60="Yes"), "Watchlist",
  TRUE, "Exclusion Risk"
)</f>
        <v>Insufficient Evidence</v>
      </c>
      <c r="DV60" s="5"/>
      <c r="DW60" s="5" t="str">
        <f t="array" ref="DW60">_xlfn.IFS(
  DU60="Exclusion Risk", "Exclude — Hard Trigger",
  DU60="Insufficient Evidence", "Watchlist — Further Evidence Needed",
  DU60="Watchlist", "Watchlist — Further Evidence Needed",
  AND(DU60="Clear", DT60&gt;=80), "Include — No Conditions",
  DU60="Clear", "Include — Monitor",
  TRUE, "Watchlist — Further Evidence Needed"
)</f>
        <v>Watchlist — Further Evidence Needed</v>
      </c>
      <c r="DX60" s="5"/>
      <c r="DY60" s="5"/>
      <c r="DZ60" s="5"/>
      <c r="EA60" s="5"/>
      <c r="EB60" s="5" t="str">
        <f t="shared" si="59"/>
        <v>MISSING — No sources reviewed</v>
      </c>
      <c r="EC60" s="5" t="str">
        <f t="shared" si="60"/>
        <v/>
      </c>
    </row>
    <row r="61" spans="1:133" ht="18" customHeight="1" x14ac:dyDescent="0.15">
      <c r="A61" s="3" t="s">
        <v>519</v>
      </c>
      <c r="B61" s="3" t="s">
        <v>520</v>
      </c>
      <c r="C61" s="3" t="str">
        <f>IF(ISBLANK('Universe Tracker'!D57),"",'Universe Tracker'!D57)</f>
        <v>FI4000297767</v>
      </c>
      <c r="D61" s="3"/>
      <c r="E61" s="3"/>
      <c r="F61" s="3" t="str">
        <f>IF(ISBLANK('Universe Tracker'!F57),"",'Universe Tracker'!F57)</f>
        <v>Financials</v>
      </c>
      <c r="G61" s="3" t="str">
        <f>IF(ISBLANK('Universe Tracker'!G57),"",'Universe Tracker'!G57)</f>
        <v>Banking</v>
      </c>
      <c r="H61" s="3"/>
      <c r="I61" s="3"/>
      <c r="J61" s="3" t="str">
        <f t="shared" si="49"/>
        <v>04Q_FI4000297767</v>
      </c>
      <c r="K61" s="3"/>
      <c r="L61" s="3"/>
      <c r="M61" s="3"/>
      <c r="N61" s="3"/>
      <c r="O61" s="3"/>
      <c r="P61" s="3"/>
      <c r="Q61" s="3"/>
      <c r="R61" s="3"/>
      <c r="S61" s="3"/>
      <c r="T61" s="3"/>
      <c r="U61" s="3"/>
      <c r="V61" s="3"/>
      <c r="W61" s="3"/>
      <c r="X61" s="3"/>
      <c r="Y61" s="3" t="str">
        <f t="shared" si="50"/>
        <v>Insufficient</v>
      </c>
      <c r="Z61" s="3"/>
      <c r="AA61" s="3"/>
      <c r="AB61" s="3"/>
      <c r="AC61" s="3"/>
      <c r="AD61" s="3"/>
      <c r="AE61" s="3"/>
      <c r="AF61" s="3"/>
      <c r="AG61" s="3"/>
      <c r="AH61" s="3"/>
      <c r="AI61" s="3"/>
      <c r="AJ61" s="3"/>
      <c r="AK61" s="3"/>
      <c r="AL61" s="3"/>
      <c r="AM61" s="3"/>
      <c r="AN61" s="3"/>
      <c r="AO61" s="3"/>
      <c r="AP61" s="3"/>
      <c r="AQ61" s="3"/>
      <c r="AR61" s="40">
        <f t="array" ref="AR61">MIN(100, MAX(0,
  IFERROR(_xlfn.XLOOKUP(AJ61,'Lookup Tables'!$A$2:$A$7,'Lookup Tables'!$B$2:$B$7,0),0)
  + IF(Z61="Yes", IF(IFERROR(_xlfn.XLOOKUP(AJ61,'Lookup Tables'!$A$2:$A$7,'Lookup Tables'!$B$2:$B$7,0),0)&lt;20, 5, 0), 0)
  + _xlfn.IFS(AB61="Yes", IF(ISNUMBER(AC61)*AND(AC61&lt;=2030),15,10), AB61="Long-term Only", 5, AB61="No", 0, TRUE, 0)
  + _xlfn.IFS(AF61="Full",10, AF61="Partial",5, AF61="Scope 2 Only",3, TRUE,0)
  + _xlfn.IFS(AG61="Yes", IF(ISNUMBER(AH61)*AND(AH61&gt;=5),10,6), AG61="Partial",4, TRUE,0)
  + _xlfn.IFS(AI61="Yes",5, AI61="Partial (material categories only)",3, TRUE,0)
  + _xlfn.IFS(AL61="Yes — Detailed",10, AL61="Yes — High Level",5, TRUE,0)
  + _xlfn.IFS(AM61="Yes — Quantified",15, AM61="Yes — Directional Only",7, TRUE,0)
  + _xlfn.IFS(AP61="Formal",5, AP61="Referenced",2, TRUE,0)
  + _xlfn.IFS(AQ61="No Issues Found",5, AQ61="Concern Identified",-5, AQ61="Severe Contradiction",-15, TRUE,0)
  + _xlfn.IFS(BC61="Reasonable Assurance",5, BC61="Limited Assurance",3, TRUE,0)
  - IF(AND(Z61="Yes", AI61="No"), 10, 0)
  - IF(AND(Z61="Yes", AM61="No"), 10, 0)
))</f>
        <v>0</v>
      </c>
      <c r="AS61" s="3"/>
      <c r="AT61" s="3"/>
      <c r="AU61" s="3"/>
      <c r="AV61" s="3"/>
      <c r="AW61" s="3"/>
      <c r="AX61" s="3"/>
      <c r="AY61" s="3"/>
      <c r="AZ61" s="3"/>
      <c r="BA61" s="3"/>
      <c r="BB61" s="3"/>
      <c r="BC61" s="3"/>
      <c r="BD61" s="3"/>
      <c r="BE61" s="40">
        <f t="array" ref="BE61">MIN(100, MAX(0,
  IFERROR(_xlfn.XLOOKUP(AT61,'Lookup Tables'!$D$2:$D$6,'Lookup Tables'!$E$2:$E$6,0),0)
  + IFERROR(_xlfn.XLOOKUP(AV61,'Lookup Tables'!$G$2:$G$5,'Lookup Tables'!$H$2:$H$5,0),0)
  + IFERROR(_xlfn.XLOOKUP(AW61,'Lookup Tables'!$J$2:$J$5,'Lookup Tables'!$K$2:$K$5,0),0)
  + _xlfn.IFS(AX61="No Issues",10, AX61="Complaint Filed",3, AX61="Confirmed Breach",-15, TRUE,0)
  + IFERROR(_xlfn.XLOOKUP(AY61,'Lookup Tables'!$M$2:$M$6,'Lookup Tables'!$N$2:$N$6,0),0)
  + IFERROR(_xlfn.XLOOKUP(AZ61,'Lookup Tables'!$P$2:$P$6,'Lookup Tables'!$Q$2:$Q$6,0),0)
  + _xlfn.IFS(BA61="Formal Board Committee",5, BA61="Board Oversight Mentioned",2, TRUE,0)
  + _xlfn.IFS(BB61="Yes — Quantified Targets",5, BB61="Yes — Discretionary Only",2, TRUE,0)
  + _xlfn.IFS(BC61="Reasonable Assurance",5, BC61="Limited Assurance",3, BC61="Management Review Only",1, TRUE,0)
))</f>
        <v>0</v>
      </c>
      <c r="BF61" s="3"/>
      <c r="BG61" s="3"/>
      <c r="BH61" s="3"/>
      <c r="BI61" s="3"/>
      <c r="BJ61" s="3"/>
      <c r="BK61" s="3"/>
      <c r="BL61" s="3"/>
      <c r="BM61" s="3"/>
      <c r="BN61" s="3"/>
      <c r="BO61" s="3"/>
      <c r="BP61" s="3"/>
      <c r="BQ61" s="3"/>
      <c r="BR61" s="3"/>
      <c r="BS61" s="42">
        <f t="array" ref="BS61">MIN(100, MAX(0,
  IFERROR(_xlfn.XLOOKUP(BG61,'Lookup Tables'!$A$11:$A$16,'Lookup Tables'!$B$11:$B$16,0),0)
  + IFERROR(_xlfn.XLOOKUP(BR61,'Lookup Tables'!$M$11:$M$14,'Lookup Tables'!$N$11:$N$14,0),0)
  + IFERROR(_xlfn.XLOOKUP(BQ61,'Lookup Tables'!$J$11:$J$15,'Lookup Tables'!$K$11:$K$15,0),0)
  + IFERROR(_xlfn.XLOOKUP(BH61,'Lookup Tables'!$D$11:$D$15,'Lookup Tables'!$E$11:$E$15,0),0)
  + IFERROR(_xlfn.XLOOKUP(BJ61,'Lookup Tables'!$G$11:$G$16,'Lookup Tables'!$H$11:$H$16,0),0)
  + IFERROR(_xlfn.XLOOKUP(BN61,'Lookup Tables'!$P$11:$P$15,'Lookup Tables'!$Q$11:$Q$15,0),0)
  + _xlfn.IFS(BM61="No Evidence",10, BM61="Unknown",3, BM61="Likely",0, BM61="Confirmed",-10, TRUE,3)
  + IFERROR(_xlfn.XLOOKUP(BP61,'Lookup Tables'!$J$21:$J$24,'Lookup Tables'!$K$21:$K$24,0),0)
))</f>
        <v>3</v>
      </c>
      <c r="BT61" s="3"/>
      <c r="BU61" s="3"/>
      <c r="BV61" s="3"/>
      <c r="BW61" s="3"/>
      <c r="BX61" s="3"/>
      <c r="BY61" s="3"/>
      <c r="BZ61" s="3"/>
      <c r="CA61" s="3"/>
      <c r="CB61" s="3"/>
      <c r="CC61" s="3"/>
      <c r="CD61" s="3"/>
      <c r="CE61" s="44">
        <f t="array" ref="CE61">MIN(100, MAX(0,
  IF(ISNUMBER(BV61)*AND(BV61&gt;0), 10, 0)
  + _xlfn.IFS(BY61="Independently Verified",25, BY61="Yes",15, TRUE,0)
  + IFERROR(_xlfn.XLOOKUP(BZ61,'Lookup Tables'!$A$21:$A$24,'Lookup Tables'!$B$21:$B$24,0),0)
  + IFERROR(_xlfn.XLOOKUP(CA61,'Lookup Tables'!$D$21:$D$24,'Lookup Tables'!$E$21:$E$24,0),0)
  + _xlfn.IFS(ISNUMBER(CB61)*AND(CB61&gt;=11),15, ISNUMBER(CB61)*AND(CB61&gt;=6),10, ISNUMBER(CB61)*AND(CB61&gt;=1),5, TRUE,0)
  + IFERROR(_xlfn.XLOOKUP(CC61,'Lookup Tables'!$G$21:$G$25,'Lookup Tables'!$H$21:$H$25,0),0)
  - IF(ISNUMBER(BW61)*AND(ISNUMBER(BV61))*AND(BW61&gt;BV61), 20, 0)
  - IF(AND(BY61="Yes", ISNUMBER(BW61), BW61&gt;60), 10, 0)
))</f>
        <v>0</v>
      </c>
      <c r="CF61" s="3"/>
      <c r="CG61" s="3"/>
      <c r="CH61" s="3"/>
      <c r="CI61" s="3"/>
      <c r="CJ61" s="3"/>
      <c r="CK61" s="3"/>
      <c r="CL61" s="3"/>
      <c r="CM61" s="3"/>
      <c r="CN61" s="3"/>
      <c r="CO61" s="3"/>
      <c r="CP61" s="3"/>
      <c r="CQ61" s="3"/>
      <c r="CR61" s="3">
        <f t="shared" si="51"/>
        <v>0</v>
      </c>
      <c r="CS61" s="3">
        <f t="shared" si="52"/>
        <v>0</v>
      </c>
      <c r="CT61" s="3">
        <f t="shared" si="53"/>
        <v>0</v>
      </c>
      <c r="CU61" s="3">
        <f>MIN(100,
  CR61*15
  + CS61*6
  + CT61*3
  + IFERROR(_xlfn.XLOOKUP(CW61,'Lookup Tables'!$M$21:$M$25,'Lookup Tables'!$N$21:$N$25,0),0)
)</f>
        <v>0</v>
      </c>
      <c r="CV61" s="3" t="str">
        <f t="shared" si="61"/>
        <v>No failures</v>
      </c>
      <c r="CW61" s="3"/>
      <c r="CX61" s="3"/>
      <c r="CY61" s="3"/>
      <c r="CZ61" s="3"/>
      <c r="DA61" s="3" t="str">
        <f t="shared" si="54"/>
        <v>Yes</v>
      </c>
      <c r="DB61" s="3" t="str">
        <f t="shared" si="55"/>
        <v>No</v>
      </c>
      <c r="DC61" s="3"/>
      <c r="DD61" s="3"/>
      <c r="DE61" s="3"/>
      <c r="DF61" s="3"/>
      <c r="DG61" s="3"/>
      <c r="DH61" s="3"/>
      <c r="DI61" s="3"/>
      <c r="DJ61" s="3"/>
      <c r="DK61" s="3"/>
      <c r="DL61" s="3" t="str">
        <f t="shared" si="56"/>
        <v>Clear</v>
      </c>
      <c r="DM61" s="3" t="str">
        <f t="shared" si="57"/>
        <v>Yes</v>
      </c>
      <c r="DN61" s="3">
        <f t="array" ref="DN61">MIN(100,
  IF(ISNUMBER(V61), _xlfn.IFS(V61&gt;=3,25, V61=2,15, V61=1,5, TRUE,0), 0)
  + IFERROR(_xlfn.IFS(VALUE(LEFT(DF61,1))=5,25, VALUE(LEFT(DF61,1))=4,20, VALUE(LEFT(DF61,1))=3,15, VALUE(LEFT(DF61,1))=2,8, TRUE,0), 15)
  + IFERROR(_xlfn.IFS(VALUE(LEFT(DG61,1))=5,25, VALUE(LEFT(DG61,1))=4,20, VALUE(LEFT(DG61,1))=3,15, VALUE(LEFT(DG61,1))=2,8, TRUE,0), 15)
  + _xlfn.IFS(DH61="Fully Verified",25, DH61="Partially Verified",12, TRUE,0)
)</f>
        <v>30</v>
      </c>
      <c r="DO61" s="3" t="str">
        <f t="array" ref="DO61">_xlfn.IFS(
  ISBLANK(AR61), "Insufficient Evidence",
  AND(AR61&gt;=65, AJ61="Approved"), "Strong",
  AR61&gt;=65, "Adequate",
  AR61&gt;=40, "Adequate",
  AR61&gt;=20, "Weak",
  TRUE, "Insufficient Evidence"
)</f>
        <v>Insufficient Evidence</v>
      </c>
      <c r="DP61" s="3" t="str">
        <f t="array" ref="DP61">_xlfn.IFS(
  ISBLANK(BS61), "Insufficient Evidence",
  BS61&gt;=65, "Strong",
  BS61&gt;=40, "Adequate",
  BS61&gt;=20, "Weak",
  TRUE, "Insufficient Evidence"
)</f>
        <v>Insufficient Evidence</v>
      </c>
      <c r="DQ61" s="3" t="str">
        <f t="array" ref="DQ61">_xlfn.IFS(
  ISBLANK(BE61), "Insufficient Evidence",
  OR(AW61="Confirmed Violation", AX61="Confirmed Breach"), "Severe — Hard Trigger",
  BE61&gt;=65, "Strong",
  BE61&gt;=40, "Adequate",
  BE61&gt;=20, "Weak",
  TRUE, "Insufficient Evidence"
)</f>
        <v>Insufficient Evidence</v>
      </c>
      <c r="DR61" s="3" t="str">
        <f t="array" ref="DR61">_xlfn.IFS(
  ISBLANK(CU61), "Insufficient Evidence",
  CU61&lt;=20, "Low Risk",
  CU61&lt;=50, "Moderate Risk",
  CU61&lt;=75, "High Risk",
  TRUE, "Very High Risk"
)</f>
        <v>Low Risk</v>
      </c>
      <c r="DS61" s="3" t="str">
        <f t="array" ref="DS61">_xlfn.IFS(
  ISBLANK(CE61), "Insufficient Evidence",
  AND(ISNUMBER(BW61),ISNUMBER(BV61),BW61&gt;BV61), "Overclaiming Risk",
  CE61&gt;=65, "Strong",
  CE61&gt;=40, "Adequate",
  TRUE, "Weak"
)</f>
        <v>Weak</v>
      </c>
      <c r="DT61" s="3">
        <f t="shared" si="58"/>
        <v>11.7</v>
      </c>
      <c r="DU61" s="3" t="str">
        <f t="array" ref="DU61">_xlfn.IFS(
  DV61="Upgraded to Clear", "Clear",
  DV61="Downgraded to Watchlist", "Watchlist",
  DV61="Downgraded to Exclusion", "Exclusion Risk",
  DB61="Yes — Automatic", "Exclusion Risk",
  OR(AW61="Confirmed Violation", AX61="Confirmed Breach"), "Exclusion Risk",
  OR(V61=0, ISBLANK(V61), DN61&lt;20), "Insufficient Evidence",
  AND(DT61&gt;=65, DA61="No", DB61="No"), "Clear",
  OR(DT61&gt;=40, DA61="Yes"), "Watchlist",
  TRUE, "Exclusion Risk"
)</f>
        <v>Insufficient Evidence</v>
      </c>
      <c r="DV61" s="3"/>
      <c r="DW61" s="3" t="str">
        <f t="array" ref="DW61">_xlfn.IFS(
  DU61="Exclusion Risk", "Exclude — Hard Trigger",
  DU61="Insufficient Evidence", "Watchlist — Further Evidence Needed",
  DU61="Watchlist", "Watchlist — Further Evidence Needed",
  AND(DU61="Clear", DT61&gt;=80), "Include — No Conditions",
  DU61="Clear", "Include — Monitor",
  TRUE, "Watchlist — Further Evidence Needed"
)</f>
        <v>Watchlist — Further Evidence Needed</v>
      </c>
      <c r="DX61" s="3"/>
      <c r="DY61" s="3"/>
      <c r="DZ61" s="3"/>
      <c r="EA61" s="3"/>
      <c r="EB61" s="3" t="str">
        <f t="shared" si="59"/>
        <v>MISSING — No sources reviewed</v>
      </c>
      <c r="EC61" s="3" t="str">
        <f t="shared" si="60"/>
        <v/>
      </c>
    </row>
    <row r="62" spans="1:133" ht="18" customHeight="1" x14ac:dyDescent="0.15">
      <c r="A62" s="5" t="s">
        <v>523</v>
      </c>
      <c r="B62" s="5" t="s">
        <v>524</v>
      </c>
      <c r="C62" s="5" t="str">
        <f>IF(ISBLANK('Universe Tracker'!D58),"",'Universe Tracker'!D58)</f>
        <v>FR0000131104</v>
      </c>
      <c r="D62" s="5"/>
      <c r="E62" s="5"/>
      <c r="F62" s="5" t="str">
        <f>IF(ISBLANK('Universe Tracker'!F58),"",'Universe Tracker'!F58)</f>
        <v>Financials</v>
      </c>
      <c r="G62" s="5" t="str">
        <f>IF(ISBLANK('Universe Tracker'!G58),"",'Universe Tracker'!G58)</f>
        <v>Banking</v>
      </c>
      <c r="H62" s="5"/>
      <c r="I62" s="5"/>
      <c r="J62" s="5" t="str">
        <f t="shared" si="49"/>
        <v>BNP_FR0000131104</v>
      </c>
      <c r="K62" s="5"/>
      <c r="L62" s="5"/>
      <c r="M62" s="5"/>
      <c r="N62" s="5"/>
      <c r="O62" s="5"/>
      <c r="P62" s="5"/>
      <c r="Q62" s="5"/>
      <c r="R62" s="5"/>
      <c r="S62" s="5"/>
      <c r="T62" s="5"/>
      <c r="U62" s="5"/>
      <c r="V62" s="5"/>
      <c r="W62" s="5"/>
      <c r="X62" s="5"/>
      <c r="Y62" s="5" t="str">
        <f t="shared" si="50"/>
        <v>Insufficient</v>
      </c>
      <c r="Z62" s="5"/>
      <c r="AA62" s="5"/>
      <c r="AB62" s="5"/>
      <c r="AC62" s="5"/>
      <c r="AD62" s="5"/>
      <c r="AE62" s="5"/>
      <c r="AF62" s="5"/>
      <c r="AG62" s="5"/>
      <c r="AH62" s="5"/>
      <c r="AI62" s="5"/>
      <c r="AJ62" s="5"/>
      <c r="AK62" s="5"/>
      <c r="AL62" s="5"/>
      <c r="AM62" s="5"/>
      <c r="AN62" s="5"/>
      <c r="AO62" s="5"/>
      <c r="AP62" s="5"/>
      <c r="AQ62" s="5"/>
      <c r="AR62" s="40">
        <f t="array" ref="AR62">MIN(100, MAX(0,
  IFERROR(_xlfn.XLOOKUP(AJ62,'Lookup Tables'!$A$2:$A$7,'Lookup Tables'!$B$2:$B$7,0),0)
  + IF(Z62="Yes", IF(IFERROR(_xlfn.XLOOKUP(AJ62,'Lookup Tables'!$A$2:$A$7,'Lookup Tables'!$B$2:$B$7,0),0)&lt;20, 5, 0), 0)
  + _xlfn.IFS(AB62="Yes", IF(ISNUMBER(AC62)*AND(AC62&lt;=2030),15,10), AB62="Long-term Only", 5, AB62="No", 0, TRUE, 0)
  + _xlfn.IFS(AF62="Full",10, AF62="Partial",5, AF62="Scope 2 Only",3, TRUE,0)
  + _xlfn.IFS(AG62="Yes", IF(ISNUMBER(AH62)*AND(AH62&gt;=5),10,6), AG62="Partial",4, TRUE,0)
  + _xlfn.IFS(AI62="Yes",5, AI62="Partial (material categories only)",3, TRUE,0)
  + _xlfn.IFS(AL62="Yes — Detailed",10, AL62="Yes — High Level",5, TRUE,0)
  + _xlfn.IFS(AM62="Yes — Quantified",15, AM62="Yes — Directional Only",7, TRUE,0)
  + _xlfn.IFS(AP62="Formal",5, AP62="Referenced",2, TRUE,0)
  + _xlfn.IFS(AQ62="No Issues Found",5, AQ62="Concern Identified",-5, AQ62="Severe Contradiction",-15, TRUE,0)
  + _xlfn.IFS(BC62="Reasonable Assurance",5, BC62="Limited Assurance",3, TRUE,0)
  - IF(AND(Z62="Yes", AI62="No"), 10, 0)
  - IF(AND(Z62="Yes", AM62="No"), 10, 0)
))</f>
        <v>0</v>
      </c>
      <c r="AS62" s="5"/>
      <c r="AT62" s="5"/>
      <c r="AU62" s="5"/>
      <c r="AV62" s="5"/>
      <c r="AW62" s="5"/>
      <c r="AX62" s="5"/>
      <c r="AY62" s="5"/>
      <c r="AZ62" s="5"/>
      <c r="BA62" s="5"/>
      <c r="BB62" s="5"/>
      <c r="BC62" s="5"/>
      <c r="BD62" s="5"/>
      <c r="BE62" s="39">
        <f t="array" ref="BE62">MIN(100, MAX(0,
  IFERROR(_xlfn.XLOOKUP(AT62,'Lookup Tables'!$D$2:$D$6,'Lookup Tables'!$E$2:$E$6,0),0)
  + IFERROR(_xlfn.XLOOKUP(AV62,'Lookup Tables'!$G$2:$G$5,'Lookup Tables'!$H$2:$H$5,0),0)
  + IFERROR(_xlfn.XLOOKUP(AW62,'Lookup Tables'!$J$2:$J$5,'Lookup Tables'!$K$2:$K$5,0),0)
  + _xlfn.IFS(AX62="No Issues",10, AX62="Complaint Filed",3, AX62="Confirmed Breach",-15, TRUE,0)
  + IFERROR(_xlfn.XLOOKUP(AY62,'Lookup Tables'!$M$2:$M$6,'Lookup Tables'!$N$2:$N$6,0),0)
  + IFERROR(_xlfn.XLOOKUP(AZ62,'Lookup Tables'!$P$2:$P$6,'Lookup Tables'!$Q$2:$Q$6,0),0)
  + _xlfn.IFS(BA62="Formal Board Committee",5, BA62="Board Oversight Mentioned",2, TRUE,0)
  + _xlfn.IFS(BB62="Yes — Quantified Targets",5, BB62="Yes — Discretionary Only",2, TRUE,0)
  + _xlfn.IFS(BC62="Reasonable Assurance",5, BC62="Limited Assurance",3, BC62="Management Review Only",1, TRUE,0)
))</f>
        <v>0</v>
      </c>
      <c r="BF62" s="5"/>
      <c r="BG62" s="5"/>
      <c r="BH62" s="5"/>
      <c r="BI62" s="5"/>
      <c r="BJ62" s="5"/>
      <c r="BK62" s="5"/>
      <c r="BL62" s="5"/>
      <c r="BM62" s="5"/>
      <c r="BN62" s="5"/>
      <c r="BO62" s="5"/>
      <c r="BP62" s="5"/>
      <c r="BQ62" s="5"/>
      <c r="BR62" s="5"/>
      <c r="BS62" s="41">
        <f t="array" ref="BS62">MIN(100, MAX(0,
  IFERROR(_xlfn.XLOOKUP(BG62,'Lookup Tables'!$A$11:$A$16,'Lookup Tables'!$B$11:$B$16,0),0)
  + IFERROR(_xlfn.XLOOKUP(BR62,'Lookup Tables'!$M$11:$M$14,'Lookup Tables'!$N$11:$N$14,0),0)
  + IFERROR(_xlfn.XLOOKUP(BQ62,'Lookup Tables'!$J$11:$J$15,'Lookup Tables'!$K$11:$K$15,0),0)
  + IFERROR(_xlfn.XLOOKUP(BH62,'Lookup Tables'!$D$11:$D$15,'Lookup Tables'!$E$11:$E$15,0),0)
  + IFERROR(_xlfn.XLOOKUP(BJ62,'Lookup Tables'!$G$11:$G$16,'Lookup Tables'!$H$11:$H$16,0),0)
  + IFERROR(_xlfn.XLOOKUP(BN62,'Lookup Tables'!$P$11:$P$15,'Lookup Tables'!$Q$11:$Q$15,0),0)
  + _xlfn.IFS(BM62="No Evidence",10, BM62="Unknown",3, BM62="Likely",0, BM62="Confirmed",-10, TRUE,3)
  + IFERROR(_xlfn.XLOOKUP(BP62,'Lookup Tables'!$J$21:$J$24,'Lookup Tables'!$K$21:$K$24,0),0)
))</f>
        <v>3</v>
      </c>
      <c r="BT62" s="5"/>
      <c r="BU62" s="5"/>
      <c r="BV62" s="5"/>
      <c r="BW62" s="5"/>
      <c r="BX62" s="5"/>
      <c r="BY62" s="5"/>
      <c r="BZ62" s="5"/>
      <c r="CA62" s="5"/>
      <c r="CB62" s="5"/>
      <c r="CC62" s="5"/>
      <c r="CD62" s="5"/>
      <c r="CE62" s="43">
        <f t="array" ref="CE62">MIN(100, MAX(0,
  IF(ISNUMBER(BV62)*AND(BV62&gt;0), 10, 0)
  + _xlfn.IFS(BY62="Independently Verified",25, BY62="Yes",15, TRUE,0)
  + IFERROR(_xlfn.XLOOKUP(BZ62,'Lookup Tables'!$A$21:$A$24,'Lookup Tables'!$B$21:$B$24,0),0)
  + IFERROR(_xlfn.XLOOKUP(CA62,'Lookup Tables'!$D$21:$D$24,'Lookup Tables'!$E$21:$E$24,0),0)
  + _xlfn.IFS(ISNUMBER(CB62)*AND(CB62&gt;=11),15, ISNUMBER(CB62)*AND(CB62&gt;=6),10, ISNUMBER(CB62)*AND(CB62&gt;=1),5, TRUE,0)
  + IFERROR(_xlfn.XLOOKUP(CC62,'Lookup Tables'!$G$21:$G$25,'Lookup Tables'!$H$21:$H$25,0),0)
  - IF(ISNUMBER(BW62)*AND(ISNUMBER(BV62))*AND(BW62&gt;BV62), 20, 0)
  - IF(AND(BY62="Yes", ISNUMBER(BW62), BW62&gt;60), 10, 0)
))</f>
        <v>0</v>
      </c>
      <c r="CF62" s="5"/>
      <c r="CG62" s="5"/>
      <c r="CH62" s="5"/>
      <c r="CI62" s="5"/>
      <c r="CJ62" s="5"/>
      <c r="CK62" s="5"/>
      <c r="CL62" s="5"/>
      <c r="CM62" s="5"/>
      <c r="CN62" s="5"/>
      <c r="CO62" s="5"/>
      <c r="CP62" s="5"/>
      <c r="CQ62" s="5"/>
      <c r="CR62" s="5">
        <f t="shared" si="51"/>
        <v>0</v>
      </c>
      <c r="CS62" s="5">
        <f t="shared" si="52"/>
        <v>0</v>
      </c>
      <c r="CT62" s="5">
        <f t="shared" si="53"/>
        <v>0</v>
      </c>
      <c r="CU62" s="5">
        <f>MIN(100,
  CR62*15
  + CS62*6
  + CT62*3
  + IFERROR(_xlfn.XLOOKUP(CW62,'Lookup Tables'!$M$21:$M$25,'Lookup Tables'!$N$21:$N$25,0),0)
)</f>
        <v>0</v>
      </c>
      <c r="CV62" s="5" t="str">
        <f t="shared" si="61"/>
        <v>No failures</v>
      </c>
      <c r="CW62" s="5"/>
      <c r="CX62" s="5"/>
      <c r="CY62" s="5"/>
      <c r="CZ62" s="5"/>
      <c r="DA62" s="5" t="str">
        <f t="shared" si="54"/>
        <v>Yes</v>
      </c>
      <c r="DB62" s="5" t="str">
        <f t="shared" si="55"/>
        <v>No</v>
      </c>
      <c r="DC62" s="5"/>
      <c r="DD62" s="5"/>
      <c r="DE62" s="5"/>
      <c r="DF62" s="5"/>
      <c r="DG62" s="5"/>
      <c r="DH62" s="5"/>
      <c r="DI62" s="5"/>
      <c r="DJ62" s="5"/>
      <c r="DK62" s="5"/>
      <c r="DL62" s="5" t="str">
        <f t="shared" si="56"/>
        <v>Clear</v>
      </c>
      <c r="DM62" s="5" t="str">
        <f t="shared" si="57"/>
        <v>Yes</v>
      </c>
      <c r="DN62" s="5">
        <f t="array" ref="DN62">MIN(100,
  IF(ISNUMBER(V62), _xlfn.IFS(V62&gt;=3,25, V62=2,15, V62=1,5, TRUE,0), 0)
  + IFERROR(_xlfn.IFS(VALUE(LEFT(DF62,1))=5,25, VALUE(LEFT(DF62,1))=4,20, VALUE(LEFT(DF62,1))=3,15, VALUE(LEFT(DF62,1))=2,8, TRUE,0), 15)
  + IFERROR(_xlfn.IFS(VALUE(LEFT(DG62,1))=5,25, VALUE(LEFT(DG62,1))=4,20, VALUE(LEFT(DG62,1))=3,15, VALUE(LEFT(DG62,1))=2,8, TRUE,0), 15)
  + _xlfn.IFS(DH62="Fully Verified",25, DH62="Partially Verified",12, TRUE,0)
)</f>
        <v>30</v>
      </c>
      <c r="DO62" s="5" t="str">
        <f t="array" ref="DO62">_xlfn.IFS(
  ISBLANK(AR62), "Insufficient Evidence",
  AND(AR62&gt;=65, AJ62="Approved"), "Strong",
  AR62&gt;=65, "Adequate",
  AR62&gt;=40, "Adequate",
  AR62&gt;=20, "Weak",
  TRUE, "Insufficient Evidence"
)</f>
        <v>Insufficient Evidence</v>
      </c>
      <c r="DP62" s="5" t="str">
        <f t="array" ref="DP62">_xlfn.IFS(
  ISBLANK(BS62), "Insufficient Evidence",
  BS62&gt;=65, "Strong",
  BS62&gt;=40, "Adequate",
  BS62&gt;=20, "Weak",
  TRUE, "Insufficient Evidence"
)</f>
        <v>Insufficient Evidence</v>
      </c>
      <c r="DQ62" s="5" t="str">
        <f t="array" ref="DQ62">_xlfn.IFS(
  ISBLANK(BE62), "Insufficient Evidence",
  OR(AW62="Confirmed Violation", AX62="Confirmed Breach"), "Severe — Hard Trigger",
  BE62&gt;=65, "Strong",
  BE62&gt;=40, "Adequate",
  BE62&gt;=20, "Weak",
  TRUE, "Insufficient Evidence"
)</f>
        <v>Insufficient Evidence</v>
      </c>
      <c r="DR62" s="5" t="str">
        <f t="array" ref="DR62">_xlfn.IFS(
  ISBLANK(CU62), "Insufficient Evidence",
  CU62&lt;=20, "Low Risk",
  CU62&lt;=50, "Moderate Risk",
  CU62&lt;=75, "High Risk",
  TRUE, "Very High Risk"
)</f>
        <v>Low Risk</v>
      </c>
      <c r="DS62" s="5" t="str">
        <f t="array" ref="DS62">_xlfn.IFS(
  ISBLANK(CE62), "Insufficient Evidence",
  AND(ISNUMBER(BW62),ISNUMBER(BV62),BW62&gt;BV62), "Overclaiming Risk",
  CE62&gt;=65, "Strong",
  CE62&gt;=40, "Adequate",
  TRUE, "Weak"
)</f>
        <v>Weak</v>
      </c>
      <c r="DT62" s="5">
        <f t="shared" si="58"/>
        <v>11.7</v>
      </c>
      <c r="DU62" s="5" t="str">
        <f t="array" ref="DU62">_xlfn.IFS(
  DV62="Upgraded to Clear", "Clear",
  DV62="Downgraded to Watchlist", "Watchlist",
  DV62="Downgraded to Exclusion", "Exclusion Risk",
  DB62="Yes — Automatic", "Exclusion Risk",
  OR(AW62="Confirmed Violation", AX62="Confirmed Breach"), "Exclusion Risk",
  OR(V62=0, ISBLANK(V62), DN62&lt;20), "Insufficient Evidence",
  AND(DT62&gt;=65, DA62="No", DB62="No"), "Clear",
  OR(DT62&gt;=40, DA62="Yes"), "Watchlist",
  TRUE, "Exclusion Risk"
)</f>
        <v>Insufficient Evidence</v>
      </c>
      <c r="DV62" s="5"/>
      <c r="DW62" s="5" t="str">
        <f t="array" ref="DW62">_xlfn.IFS(
  DU62="Exclusion Risk", "Exclude — Hard Trigger",
  DU62="Insufficient Evidence", "Watchlist — Further Evidence Needed",
  DU62="Watchlist", "Watchlist — Further Evidence Needed",
  AND(DU62="Clear", DT62&gt;=80), "Include — No Conditions",
  DU62="Clear", "Include — Monitor",
  TRUE, "Watchlist — Further Evidence Needed"
)</f>
        <v>Watchlist — Further Evidence Needed</v>
      </c>
      <c r="DX62" s="5"/>
      <c r="DY62" s="5"/>
      <c r="DZ62" s="5"/>
      <c r="EA62" s="5"/>
      <c r="EB62" s="5" t="str">
        <f t="shared" si="59"/>
        <v>MISSING — No sources reviewed</v>
      </c>
      <c r="EC62" s="5" t="str">
        <f t="shared" si="60"/>
        <v/>
      </c>
    </row>
    <row r="63" spans="1:133" ht="18" customHeight="1" x14ac:dyDescent="0.15">
      <c r="A63" s="3" t="s">
        <v>527</v>
      </c>
      <c r="B63" s="3" t="s">
        <v>528</v>
      </c>
      <c r="C63" s="3" t="str">
        <f>IF(ISBLANK('Universe Tracker'!D59),"",'Universe Tracker'!D59)</f>
        <v>LU0075646355</v>
      </c>
      <c r="D63" s="3"/>
      <c r="E63" s="3"/>
      <c r="F63" s="3" t="str">
        <f>IF(ISBLANK('Universe Tracker'!F59),"",'Universe Tracker'!F59)</f>
        <v>Energy</v>
      </c>
      <c r="G63" s="3" t="str">
        <f>IF(ISBLANK('Universe Tracker'!G59),"",'Universe Tracker'!G59)</f>
        <v>Oil &amp; Gas</v>
      </c>
      <c r="H63" s="3"/>
      <c r="I63" s="3"/>
      <c r="J63" s="3" t="str">
        <f t="shared" si="49"/>
        <v>SOC_LU0075646355</v>
      </c>
      <c r="K63" s="3"/>
      <c r="L63" s="3"/>
      <c r="M63" s="3"/>
      <c r="N63" s="3"/>
      <c r="O63" s="3"/>
      <c r="P63" s="3"/>
      <c r="Q63" s="3"/>
      <c r="R63" s="3"/>
      <c r="S63" s="3"/>
      <c r="T63" s="3"/>
      <c r="U63" s="3"/>
      <c r="V63" s="3"/>
      <c r="W63" s="3"/>
      <c r="X63" s="3"/>
      <c r="Y63" s="3" t="str">
        <f t="shared" si="50"/>
        <v>Insufficient</v>
      </c>
      <c r="Z63" s="3"/>
      <c r="AA63" s="3"/>
      <c r="AB63" s="3"/>
      <c r="AC63" s="3"/>
      <c r="AD63" s="3"/>
      <c r="AE63" s="3"/>
      <c r="AF63" s="3"/>
      <c r="AG63" s="3"/>
      <c r="AH63" s="3"/>
      <c r="AI63" s="3"/>
      <c r="AJ63" s="3"/>
      <c r="AK63" s="3"/>
      <c r="AL63" s="3"/>
      <c r="AM63" s="3"/>
      <c r="AN63" s="3"/>
      <c r="AO63" s="3"/>
      <c r="AP63" s="3"/>
      <c r="AQ63" s="3"/>
      <c r="AR63" s="40">
        <f t="array" ref="AR63">MIN(100, MAX(0,
  IFERROR(_xlfn.XLOOKUP(AJ63,'Lookup Tables'!$A$2:$A$7,'Lookup Tables'!$B$2:$B$7,0),0)
  + IF(Z63="Yes", IF(IFERROR(_xlfn.XLOOKUP(AJ63,'Lookup Tables'!$A$2:$A$7,'Lookup Tables'!$B$2:$B$7,0),0)&lt;20, 5, 0), 0)
  + _xlfn.IFS(AB63="Yes", IF(ISNUMBER(AC63)*AND(AC63&lt;=2030),15,10), AB63="Long-term Only", 5, AB63="No", 0, TRUE, 0)
  + _xlfn.IFS(AF63="Full",10, AF63="Partial",5, AF63="Scope 2 Only",3, TRUE,0)
  + _xlfn.IFS(AG63="Yes", IF(ISNUMBER(AH63)*AND(AH63&gt;=5),10,6), AG63="Partial",4, TRUE,0)
  + _xlfn.IFS(AI63="Yes",5, AI63="Partial (material categories only)",3, TRUE,0)
  + _xlfn.IFS(AL63="Yes — Detailed",10, AL63="Yes — High Level",5, TRUE,0)
  + _xlfn.IFS(AM63="Yes — Quantified",15, AM63="Yes — Directional Only",7, TRUE,0)
  + _xlfn.IFS(AP63="Formal",5, AP63="Referenced",2, TRUE,0)
  + _xlfn.IFS(AQ63="No Issues Found",5, AQ63="Concern Identified",-5, AQ63="Severe Contradiction",-15, TRUE,0)
  + _xlfn.IFS(BC63="Reasonable Assurance",5, BC63="Limited Assurance",3, TRUE,0)
  - IF(AND(Z63="Yes", AI63="No"), 10, 0)
  - IF(AND(Z63="Yes", AM63="No"), 10, 0)
))</f>
        <v>0</v>
      </c>
      <c r="AS63" s="3"/>
      <c r="AT63" s="3"/>
      <c r="AU63" s="3"/>
      <c r="AV63" s="3"/>
      <c r="AW63" s="3"/>
      <c r="AX63" s="3"/>
      <c r="AY63" s="3"/>
      <c r="AZ63" s="3"/>
      <c r="BA63" s="3"/>
      <c r="BB63" s="3"/>
      <c r="BC63" s="3"/>
      <c r="BD63" s="3"/>
      <c r="BE63" s="40">
        <f t="array" ref="BE63">MIN(100, MAX(0,
  IFERROR(_xlfn.XLOOKUP(AT63,'Lookup Tables'!$D$2:$D$6,'Lookup Tables'!$E$2:$E$6,0),0)
  + IFERROR(_xlfn.XLOOKUP(AV63,'Lookup Tables'!$G$2:$G$5,'Lookup Tables'!$H$2:$H$5,0),0)
  + IFERROR(_xlfn.XLOOKUP(AW63,'Lookup Tables'!$J$2:$J$5,'Lookup Tables'!$K$2:$K$5,0),0)
  + _xlfn.IFS(AX63="No Issues",10, AX63="Complaint Filed",3, AX63="Confirmed Breach",-15, TRUE,0)
  + IFERROR(_xlfn.XLOOKUP(AY63,'Lookup Tables'!$M$2:$M$6,'Lookup Tables'!$N$2:$N$6,0),0)
  + IFERROR(_xlfn.XLOOKUP(AZ63,'Lookup Tables'!$P$2:$P$6,'Lookup Tables'!$Q$2:$Q$6,0),0)
  + _xlfn.IFS(BA63="Formal Board Committee",5, BA63="Board Oversight Mentioned",2, TRUE,0)
  + _xlfn.IFS(BB63="Yes — Quantified Targets",5, BB63="Yes — Discretionary Only",2, TRUE,0)
  + _xlfn.IFS(BC63="Reasonable Assurance",5, BC63="Limited Assurance",3, BC63="Management Review Only",1, TRUE,0)
))</f>
        <v>0</v>
      </c>
      <c r="BF63" s="3"/>
      <c r="BG63" s="3"/>
      <c r="BH63" s="3"/>
      <c r="BI63" s="3"/>
      <c r="BJ63" s="3"/>
      <c r="BK63" s="3"/>
      <c r="BL63" s="3"/>
      <c r="BM63" s="3"/>
      <c r="BN63" s="3"/>
      <c r="BO63" s="3"/>
      <c r="BP63" s="3"/>
      <c r="BQ63" s="3"/>
      <c r="BR63" s="3"/>
      <c r="BS63" s="42">
        <f t="array" ref="BS63">MIN(100, MAX(0,
  IFERROR(_xlfn.XLOOKUP(BG63,'Lookup Tables'!$A$11:$A$16,'Lookup Tables'!$B$11:$B$16,0),0)
  + IFERROR(_xlfn.XLOOKUP(BR63,'Lookup Tables'!$M$11:$M$14,'Lookup Tables'!$N$11:$N$14,0),0)
  + IFERROR(_xlfn.XLOOKUP(BQ63,'Lookup Tables'!$J$11:$J$15,'Lookup Tables'!$K$11:$K$15,0),0)
  + IFERROR(_xlfn.XLOOKUP(BH63,'Lookup Tables'!$D$11:$D$15,'Lookup Tables'!$E$11:$E$15,0),0)
  + IFERROR(_xlfn.XLOOKUP(BJ63,'Lookup Tables'!$G$11:$G$16,'Lookup Tables'!$H$11:$H$16,0),0)
  + IFERROR(_xlfn.XLOOKUP(BN63,'Lookup Tables'!$P$11:$P$15,'Lookup Tables'!$Q$11:$Q$15,0),0)
  + _xlfn.IFS(BM63="No Evidence",10, BM63="Unknown",3, BM63="Likely",0, BM63="Confirmed",-10, TRUE,3)
  + IFERROR(_xlfn.XLOOKUP(BP63,'Lookup Tables'!$J$21:$J$24,'Lookup Tables'!$K$21:$K$24,0),0)
))</f>
        <v>3</v>
      </c>
      <c r="BT63" s="3"/>
      <c r="BU63" s="3"/>
      <c r="BV63" s="3"/>
      <c r="BW63" s="3"/>
      <c r="BX63" s="3"/>
      <c r="BY63" s="3"/>
      <c r="BZ63" s="3"/>
      <c r="CA63" s="3"/>
      <c r="CB63" s="3"/>
      <c r="CC63" s="3"/>
      <c r="CD63" s="3"/>
      <c r="CE63" s="44">
        <f t="array" ref="CE63">MIN(100, MAX(0,
  IF(ISNUMBER(BV63)*AND(BV63&gt;0), 10, 0)
  + _xlfn.IFS(BY63="Independently Verified",25, BY63="Yes",15, TRUE,0)
  + IFERROR(_xlfn.XLOOKUP(BZ63,'Lookup Tables'!$A$21:$A$24,'Lookup Tables'!$B$21:$B$24,0),0)
  + IFERROR(_xlfn.XLOOKUP(CA63,'Lookup Tables'!$D$21:$D$24,'Lookup Tables'!$E$21:$E$24,0),0)
  + _xlfn.IFS(ISNUMBER(CB63)*AND(CB63&gt;=11),15, ISNUMBER(CB63)*AND(CB63&gt;=6),10, ISNUMBER(CB63)*AND(CB63&gt;=1),5, TRUE,0)
  + IFERROR(_xlfn.XLOOKUP(CC63,'Lookup Tables'!$G$21:$G$25,'Lookup Tables'!$H$21:$H$25,0),0)
  - IF(ISNUMBER(BW63)*AND(ISNUMBER(BV63))*AND(BW63&gt;BV63), 20, 0)
  - IF(AND(BY63="Yes", ISNUMBER(BW63), BW63&gt;60), 10, 0)
))</f>
        <v>0</v>
      </c>
      <c r="CF63" s="3"/>
      <c r="CG63" s="3"/>
      <c r="CH63" s="3"/>
      <c r="CI63" s="3"/>
      <c r="CJ63" s="3"/>
      <c r="CK63" s="3"/>
      <c r="CL63" s="3"/>
      <c r="CM63" s="3"/>
      <c r="CN63" s="3"/>
      <c r="CO63" s="3"/>
      <c r="CP63" s="3"/>
      <c r="CQ63" s="3"/>
      <c r="CR63" s="3">
        <f t="shared" si="51"/>
        <v>0</v>
      </c>
      <c r="CS63" s="3">
        <f t="shared" si="52"/>
        <v>0</v>
      </c>
      <c r="CT63" s="3">
        <f t="shared" si="53"/>
        <v>0</v>
      </c>
      <c r="CU63" s="3">
        <f>MIN(100,
  CR63*15
  + CS63*6
  + CT63*3
  + IFERROR(_xlfn.XLOOKUP(CW63,'Lookup Tables'!$M$21:$M$25,'Lookup Tables'!$N$21:$N$25,0),0)
)</f>
        <v>0</v>
      </c>
      <c r="CV63" s="3" t="str">
        <f t="shared" si="61"/>
        <v>No failures</v>
      </c>
      <c r="CW63" s="3"/>
      <c r="CX63" s="3"/>
      <c r="CY63" s="3"/>
      <c r="CZ63" s="3"/>
      <c r="DA63" s="3" t="str">
        <f t="shared" si="54"/>
        <v>Yes</v>
      </c>
      <c r="DB63" s="3" t="str">
        <f t="shared" si="55"/>
        <v>No</v>
      </c>
      <c r="DC63" s="3"/>
      <c r="DD63" s="3"/>
      <c r="DE63" s="3"/>
      <c r="DF63" s="3"/>
      <c r="DG63" s="3"/>
      <c r="DH63" s="3"/>
      <c r="DI63" s="3"/>
      <c r="DJ63" s="3"/>
      <c r="DK63" s="3"/>
      <c r="DL63" s="3" t="str">
        <f t="shared" si="56"/>
        <v>Clear</v>
      </c>
      <c r="DM63" s="3" t="str">
        <f t="shared" si="57"/>
        <v>Yes</v>
      </c>
      <c r="DN63" s="3">
        <f t="array" ref="DN63">MIN(100,
  IF(ISNUMBER(V63), _xlfn.IFS(V63&gt;=3,25, V63=2,15, V63=1,5, TRUE,0), 0)
  + IFERROR(_xlfn.IFS(VALUE(LEFT(DF63,1))=5,25, VALUE(LEFT(DF63,1))=4,20, VALUE(LEFT(DF63,1))=3,15, VALUE(LEFT(DF63,1))=2,8, TRUE,0), 15)
  + IFERROR(_xlfn.IFS(VALUE(LEFT(DG63,1))=5,25, VALUE(LEFT(DG63,1))=4,20, VALUE(LEFT(DG63,1))=3,15, VALUE(LEFT(DG63,1))=2,8, TRUE,0), 15)
  + _xlfn.IFS(DH63="Fully Verified",25, DH63="Partially Verified",12, TRUE,0)
)</f>
        <v>30</v>
      </c>
      <c r="DO63" s="3" t="str">
        <f t="array" ref="DO63">_xlfn.IFS(
  ISBLANK(AR63), "Insufficient Evidence",
  AND(AR63&gt;=65, AJ63="Approved"), "Strong",
  AR63&gt;=65, "Adequate",
  AR63&gt;=40, "Adequate",
  AR63&gt;=20, "Weak",
  TRUE, "Insufficient Evidence"
)</f>
        <v>Insufficient Evidence</v>
      </c>
      <c r="DP63" s="3" t="str">
        <f t="array" ref="DP63">_xlfn.IFS(
  ISBLANK(BS63), "Insufficient Evidence",
  BS63&gt;=65, "Strong",
  BS63&gt;=40, "Adequate",
  BS63&gt;=20, "Weak",
  TRUE, "Insufficient Evidence"
)</f>
        <v>Insufficient Evidence</v>
      </c>
      <c r="DQ63" s="3" t="str">
        <f t="array" ref="DQ63">_xlfn.IFS(
  ISBLANK(BE63), "Insufficient Evidence",
  OR(AW63="Confirmed Violation", AX63="Confirmed Breach"), "Severe — Hard Trigger",
  BE63&gt;=65, "Strong",
  BE63&gt;=40, "Adequate",
  BE63&gt;=20, "Weak",
  TRUE, "Insufficient Evidence"
)</f>
        <v>Insufficient Evidence</v>
      </c>
      <c r="DR63" s="3" t="str">
        <f t="array" ref="DR63">_xlfn.IFS(
  ISBLANK(CU63), "Insufficient Evidence",
  CU63&lt;=20, "Low Risk",
  CU63&lt;=50, "Moderate Risk",
  CU63&lt;=75, "High Risk",
  TRUE, "Very High Risk"
)</f>
        <v>Low Risk</v>
      </c>
      <c r="DS63" s="3" t="str">
        <f t="array" ref="DS63">_xlfn.IFS(
  ISBLANK(CE63), "Insufficient Evidence",
  AND(ISNUMBER(BW63),ISNUMBER(BV63),BW63&gt;BV63), "Overclaiming Risk",
  CE63&gt;=65, "Strong",
  CE63&gt;=40, "Adequate",
  TRUE, "Weak"
)</f>
        <v>Weak</v>
      </c>
      <c r="DT63" s="3">
        <f t="shared" si="58"/>
        <v>11.7</v>
      </c>
      <c r="DU63" s="3" t="str">
        <f t="array" ref="DU63">_xlfn.IFS(
  DV63="Upgraded to Clear", "Clear",
  DV63="Downgraded to Watchlist", "Watchlist",
  DV63="Downgraded to Exclusion", "Exclusion Risk",
  DB63="Yes — Automatic", "Exclusion Risk",
  OR(AW63="Confirmed Violation", AX63="Confirmed Breach"), "Exclusion Risk",
  OR(V63=0, ISBLANK(V63), DN63&lt;20), "Insufficient Evidence",
  AND(DT63&gt;=65, DA63="No", DB63="No"), "Clear",
  OR(DT63&gt;=40, DA63="Yes"), "Watchlist",
  TRUE, "Exclusion Risk"
)</f>
        <v>Insufficient Evidence</v>
      </c>
      <c r="DV63" s="3"/>
      <c r="DW63" s="3" t="str">
        <f t="array" ref="DW63">_xlfn.IFS(
  DU63="Exclusion Risk", "Exclude — Hard Trigger",
  DU63="Insufficient Evidence", "Watchlist — Further Evidence Needed",
  DU63="Watchlist", "Watchlist — Further Evidence Needed",
  AND(DU63="Clear", DT63&gt;=80), "Include — No Conditions",
  DU63="Clear", "Include — Monitor",
  TRUE, "Watchlist — Further Evidence Needed"
)</f>
        <v>Watchlist — Further Evidence Needed</v>
      </c>
      <c r="DX63" s="3"/>
      <c r="DY63" s="3"/>
      <c r="DZ63" s="3"/>
      <c r="EA63" s="3"/>
      <c r="EB63" s="3" t="str">
        <f t="shared" si="59"/>
        <v>MISSING — No sources reviewed</v>
      </c>
      <c r="EC63" s="3" t="str">
        <f t="shared" si="60"/>
        <v/>
      </c>
    </row>
    <row r="64" spans="1:133" ht="18" customHeight="1" x14ac:dyDescent="0.15">
      <c r="A64" s="5" t="s">
        <v>531</v>
      </c>
      <c r="B64" s="5" t="s">
        <v>532</v>
      </c>
      <c r="C64" s="5" t="str">
        <f>IF(ISBLANK('Universe Tracker'!D60),"",'Universe Tracker'!D60)</f>
        <v>IT0003796171</v>
      </c>
      <c r="D64" s="5"/>
      <c r="E64" s="5"/>
      <c r="F64" s="5" t="str">
        <f>IF(ISBLANK('Universe Tracker'!F60),"",'Universe Tracker'!F60)</f>
        <v>Industrials</v>
      </c>
      <c r="G64" s="5" t="str">
        <f>IF(ISBLANK('Universe Tracker'!G60),"",'Universe Tracker'!G60)</f>
        <v>Industrial Services</v>
      </c>
      <c r="H64" s="5"/>
      <c r="I64" s="5"/>
      <c r="J64" s="5" t="str">
        <f t="shared" si="49"/>
        <v>7PI_IT0003796171</v>
      </c>
      <c r="K64" s="5"/>
      <c r="L64" s="5"/>
      <c r="M64" s="5"/>
      <c r="N64" s="5"/>
      <c r="O64" s="5"/>
      <c r="P64" s="5"/>
      <c r="Q64" s="5"/>
      <c r="R64" s="5"/>
      <c r="S64" s="5"/>
      <c r="T64" s="5"/>
      <c r="U64" s="5"/>
      <c r="V64" s="5"/>
      <c r="W64" s="5"/>
      <c r="X64" s="5"/>
      <c r="Y64" s="5" t="str">
        <f t="shared" si="50"/>
        <v>Insufficient</v>
      </c>
      <c r="Z64" s="5"/>
      <c r="AA64" s="5"/>
      <c r="AB64" s="5"/>
      <c r="AC64" s="5"/>
      <c r="AD64" s="5"/>
      <c r="AE64" s="5"/>
      <c r="AF64" s="5"/>
      <c r="AG64" s="5"/>
      <c r="AH64" s="5"/>
      <c r="AI64" s="5"/>
      <c r="AJ64" s="5"/>
      <c r="AK64" s="5"/>
      <c r="AL64" s="5"/>
      <c r="AM64" s="5"/>
      <c r="AN64" s="5"/>
      <c r="AO64" s="5"/>
      <c r="AP64" s="5"/>
      <c r="AQ64" s="5"/>
      <c r="AR64" s="40">
        <f t="array" ref="AR64">MIN(100, MAX(0,
  IFERROR(_xlfn.XLOOKUP(AJ64,'Lookup Tables'!$A$2:$A$7,'Lookup Tables'!$B$2:$B$7,0),0)
  + IF(Z64="Yes", IF(IFERROR(_xlfn.XLOOKUP(AJ64,'Lookup Tables'!$A$2:$A$7,'Lookup Tables'!$B$2:$B$7,0),0)&lt;20, 5, 0), 0)
  + _xlfn.IFS(AB64="Yes", IF(ISNUMBER(AC64)*AND(AC64&lt;=2030),15,10), AB64="Long-term Only", 5, AB64="No", 0, TRUE, 0)
  + _xlfn.IFS(AF64="Full",10, AF64="Partial",5, AF64="Scope 2 Only",3, TRUE,0)
  + _xlfn.IFS(AG64="Yes", IF(ISNUMBER(AH64)*AND(AH64&gt;=5),10,6), AG64="Partial",4, TRUE,0)
  + _xlfn.IFS(AI64="Yes",5, AI64="Partial (material categories only)",3, TRUE,0)
  + _xlfn.IFS(AL64="Yes — Detailed",10, AL64="Yes — High Level",5, TRUE,0)
  + _xlfn.IFS(AM64="Yes — Quantified",15, AM64="Yes — Directional Only",7, TRUE,0)
  + _xlfn.IFS(AP64="Formal",5, AP64="Referenced",2, TRUE,0)
  + _xlfn.IFS(AQ64="No Issues Found",5, AQ64="Concern Identified",-5, AQ64="Severe Contradiction",-15, TRUE,0)
  + _xlfn.IFS(BC64="Reasonable Assurance",5, BC64="Limited Assurance",3, TRUE,0)
  - IF(AND(Z64="Yes", AI64="No"), 10, 0)
  - IF(AND(Z64="Yes", AM64="No"), 10, 0)
))</f>
        <v>0</v>
      </c>
      <c r="AS64" s="5"/>
      <c r="AT64" s="5"/>
      <c r="AU64" s="5"/>
      <c r="AV64" s="5"/>
      <c r="AW64" s="5"/>
      <c r="AX64" s="5"/>
      <c r="AY64" s="5"/>
      <c r="AZ64" s="5"/>
      <c r="BA64" s="5"/>
      <c r="BB64" s="5"/>
      <c r="BC64" s="5"/>
      <c r="BD64" s="5"/>
      <c r="BE64" s="39">
        <f t="array" ref="BE64">MIN(100, MAX(0,
  IFERROR(_xlfn.XLOOKUP(AT64,'Lookup Tables'!$D$2:$D$6,'Lookup Tables'!$E$2:$E$6,0),0)
  + IFERROR(_xlfn.XLOOKUP(AV64,'Lookup Tables'!$G$2:$G$5,'Lookup Tables'!$H$2:$H$5,0),0)
  + IFERROR(_xlfn.XLOOKUP(AW64,'Lookup Tables'!$J$2:$J$5,'Lookup Tables'!$K$2:$K$5,0),0)
  + _xlfn.IFS(AX64="No Issues",10, AX64="Complaint Filed",3, AX64="Confirmed Breach",-15, TRUE,0)
  + IFERROR(_xlfn.XLOOKUP(AY64,'Lookup Tables'!$M$2:$M$6,'Lookup Tables'!$N$2:$N$6,0),0)
  + IFERROR(_xlfn.XLOOKUP(AZ64,'Lookup Tables'!$P$2:$P$6,'Lookup Tables'!$Q$2:$Q$6,0),0)
  + _xlfn.IFS(BA64="Formal Board Committee",5, BA64="Board Oversight Mentioned",2, TRUE,0)
  + _xlfn.IFS(BB64="Yes — Quantified Targets",5, BB64="Yes — Discretionary Only",2, TRUE,0)
  + _xlfn.IFS(BC64="Reasonable Assurance",5, BC64="Limited Assurance",3, BC64="Management Review Only",1, TRUE,0)
))</f>
        <v>0</v>
      </c>
      <c r="BF64" s="5"/>
      <c r="BG64" s="5"/>
      <c r="BH64" s="5"/>
      <c r="BI64" s="5"/>
      <c r="BJ64" s="5"/>
      <c r="BK64" s="5"/>
      <c r="BL64" s="5"/>
      <c r="BM64" s="5"/>
      <c r="BN64" s="5"/>
      <c r="BO64" s="5"/>
      <c r="BP64" s="5"/>
      <c r="BQ64" s="5"/>
      <c r="BR64" s="5"/>
      <c r="BS64" s="41">
        <f t="array" ref="BS64">MIN(100, MAX(0,
  IFERROR(_xlfn.XLOOKUP(BG64,'Lookup Tables'!$A$11:$A$16,'Lookup Tables'!$B$11:$B$16,0),0)
  + IFERROR(_xlfn.XLOOKUP(BR64,'Lookup Tables'!$M$11:$M$14,'Lookup Tables'!$N$11:$N$14,0),0)
  + IFERROR(_xlfn.XLOOKUP(BQ64,'Lookup Tables'!$J$11:$J$15,'Lookup Tables'!$K$11:$K$15,0),0)
  + IFERROR(_xlfn.XLOOKUP(BH64,'Lookup Tables'!$D$11:$D$15,'Lookup Tables'!$E$11:$E$15,0),0)
  + IFERROR(_xlfn.XLOOKUP(BJ64,'Lookup Tables'!$G$11:$G$16,'Lookup Tables'!$H$11:$H$16,0),0)
  + IFERROR(_xlfn.XLOOKUP(BN64,'Lookup Tables'!$P$11:$P$15,'Lookup Tables'!$Q$11:$Q$15,0),0)
  + _xlfn.IFS(BM64="No Evidence",10, BM64="Unknown",3, BM64="Likely",0, BM64="Confirmed",-10, TRUE,3)
  + IFERROR(_xlfn.XLOOKUP(BP64,'Lookup Tables'!$J$21:$J$24,'Lookup Tables'!$K$21:$K$24,0),0)
))</f>
        <v>3</v>
      </c>
      <c r="BT64" s="5"/>
      <c r="BU64" s="5"/>
      <c r="BV64" s="5"/>
      <c r="BW64" s="5"/>
      <c r="BX64" s="5"/>
      <c r="BY64" s="5"/>
      <c r="BZ64" s="5"/>
      <c r="CA64" s="5"/>
      <c r="CB64" s="5"/>
      <c r="CC64" s="5"/>
      <c r="CD64" s="5"/>
      <c r="CE64" s="43">
        <f t="array" ref="CE64">MIN(100, MAX(0,
  IF(ISNUMBER(BV64)*AND(BV64&gt;0), 10, 0)
  + _xlfn.IFS(BY64="Independently Verified",25, BY64="Yes",15, TRUE,0)
  + IFERROR(_xlfn.XLOOKUP(BZ64,'Lookup Tables'!$A$21:$A$24,'Lookup Tables'!$B$21:$B$24,0),0)
  + IFERROR(_xlfn.XLOOKUP(CA64,'Lookup Tables'!$D$21:$D$24,'Lookup Tables'!$E$21:$E$24,0),0)
  + _xlfn.IFS(ISNUMBER(CB64)*AND(CB64&gt;=11),15, ISNUMBER(CB64)*AND(CB64&gt;=6),10, ISNUMBER(CB64)*AND(CB64&gt;=1),5, TRUE,0)
  + IFERROR(_xlfn.XLOOKUP(CC64,'Lookup Tables'!$G$21:$G$25,'Lookup Tables'!$H$21:$H$25,0),0)
  - IF(ISNUMBER(BW64)*AND(ISNUMBER(BV64))*AND(BW64&gt;BV64), 20, 0)
  - IF(AND(BY64="Yes", ISNUMBER(BW64), BW64&gt;60), 10, 0)
))</f>
        <v>0</v>
      </c>
      <c r="CF64" s="5"/>
      <c r="CG64" s="5"/>
      <c r="CH64" s="5"/>
      <c r="CI64" s="5"/>
      <c r="CJ64" s="5"/>
      <c r="CK64" s="5"/>
      <c r="CL64" s="5"/>
      <c r="CM64" s="5"/>
      <c r="CN64" s="5"/>
      <c r="CO64" s="5"/>
      <c r="CP64" s="5"/>
      <c r="CQ64" s="5"/>
      <c r="CR64" s="5">
        <f t="shared" si="51"/>
        <v>0</v>
      </c>
      <c r="CS64" s="5">
        <f t="shared" si="52"/>
        <v>0</v>
      </c>
      <c r="CT64" s="5">
        <f t="shared" si="53"/>
        <v>0</v>
      </c>
      <c r="CU64" s="5">
        <f>MIN(100,
  CR64*15
  + CS64*6
  + CT64*3
  + IFERROR(_xlfn.XLOOKUP(CW64,'Lookup Tables'!$M$21:$M$25,'Lookup Tables'!$N$21:$N$25,0),0)
)</f>
        <v>0</v>
      </c>
      <c r="CV64" s="5" t="str">
        <f t="shared" si="61"/>
        <v>No failures</v>
      </c>
      <c r="CW64" s="5"/>
      <c r="CX64" s="5"/>
      <c r="CY64" s="5"/>
      <c r="CZ64" s="5"/>
      <c r="DA64" s="5" t="str">
        <f t="shared" si="54"/>
        <v>Yes</v>
      </c>
      <c r="DB64" s="5" t="str">
        <f t="shared" si="55"/>
        <v>No</v>
      </c>
      <c r="DC64" s="5"/>
      <c r="DD64" s="5"/>
      <c r="DE64" s="5"/>
      <c r="DF64" s="5"/>
      <c r="DG64" s="5"/>
      <c r="DH64" s="5"/>
      <c r="DI64" s="5"/>
      <c r="DJ64" s="5"/>
      <c r="DK64" s="5"/>
      <c r="DL64" s="5" t="str">
        <f t="shared" si="56"/>
        <v>Clear</v>
      </c>
      <c r="DM64" s="5" t="str">
        <f t="shared" si="57"/>
        <v>Yes</v>
      </c>
      <c r="DN64" s="5">
        <f t="array" ref="DN64">MIN(100,
  IF(ISNUMBER(V64), _xlfn.IFS(V64&gt;=3,25, V64=2,15, V64=1,5, TRUE,0), 0)
  + IFERROR(_xlfn.IFS(VALUE(LEFT(DF64,1))=5,25, VALUE(LEFT(DF64,1))=4,20, VALUE(LEFT(DF64,1))=3,15, VALUE(LEFT(DF64,1))=2,8, TRUE,0), 15)
  + IFERROR(_xlfn.IFS(VALUE(LEFT(DG64,1))=5,25, VALUE(LEFT(DG64,1))=4,20, VALUE(LEFT(DG64,1))=3,15, VALUE(LEFT(DG64,1))=2,8, TRUE,0), 15)
  + _xlfn.IFS(DH64="Fully Verified",25, DH64="Partially Verified",12, TRUE,0)
)</f>
        <v>30</v>
      </c>
      <c r="DO64" s="5" t="str">
        <f t="array" ref="DO64">_xlfn.IFS(
  ISBLANK(AR64), "Insufficient Evidence",
  AND(AR64&gt;=65, AJ64="Approved"), "Strong",
  AR64&gt;=65, "Adequate",
  AR64&gt;=40, "Adequate",
  AR64&gt;=20, "Weak",
  TRUE, "Insufficient Evidence"
)</f>
        <v>Insufficient Evidence</v>
      </c>
      <c r="DP64" s="5" t="str">
        <f t="array" ref="DP64">_xlfn.IFS(
  ISBLANK(BS64), "Insufficient Evidence",
  BS64&gt;=65, "Strong",
  BS64&gt;=40, "Adequate",
  BS64&gt;=20, "Weak",
  TRUE, "Insufficient Evidence"
)</f>
        <v>Insufficient Evidence</v>
      </c>
      <c r="DQ64" s="5" t="str">
        <f t="array" ref="DQ64">_xlfn.IFS(
  ISBLANK(BE64), "Insufficient Evidence",
  OR(AW64="Confirmed Violation", AX64="Confirmed Breach"), "Severe — Hard Trigger",
  BE64&gt;=65, "Strong",
  BE64&gt;=40, "Adequate",
  BE64&gt;=20, "Weak",
  TRUE, "Insufficient Evidence"
)</f>
        <v>Insufficient Evidence</v>
      </c>
      <c r="DR64" s="5" t="str">
        <f t="array" ref="DR64">_xlfn.IFS(
  ISBLANK(CU64), "Insufficient Evidence",
  CU64&lt;=20, "Low Risk",
  CU64&lt;=50, "Moderate Risk",
  CU64&lt;=75, "High Risk",
  TRUE, "Very High Risk"
)</f>
        <v>Low Risk</v>
      </c>
      <c r="DS64" s="5" t="str">
        <f t="array" ref="DS64">_xlfn.IFS(
  ISBLANK(CE64), "Insufficient Evidence",
  AND(ISNUMBER(BW64),ISNUMBER(BV64),BW64&gt;BV64), "Overclaiming Risk",
  CE64&gt;=65, "Strong",
  CE64&gt;=40, "Adequate",
  TRUE, "Weak"
)</f>
        <v>Weak</v>
      </c>
      <c r="DT64" s="5">
        <f t="shared" si="58"/>
        <v>11.7</v>
      </c>
      <c r="DU64" s="5" t="str">
        <f t="array" ref="DU64">_xlfn.IFS(
  DV64="Upgraded to Clear", "Clear",
  DV64="Downgraded to Watchlist", "Watchlist",
  DV64="Downgraded to Exclusion", "Exclusion Risk",
  DB64="Yes — Automatic", "Exclusion Risk",
  OR(AW64="Confirmed Violation", AX64="Confirmed Breach"), "Exclusion Risk",
  OR(V64=0, ISBLANK(V64), DN64&lt;20), "Insufficient Evidence",
  AND(DT64&gt;=65, DA64="No", DB64="No"), "Clear",
  OR(DT64&gt;=40, DA64="Yes"), "Watchlist",
  TRUE, "Exclusion Risk"
)</f>
        <v>Insufficient Evidence</v>
      </c>
      <c r="DV64" s="5"/>
      <c r="DW64" s="5" t="str">
        <f t="array" ref="DW64">_xlfn.IFS(
  DU64="Exclusion Risk", "Exclude — Hard Trigger",
  DU64="Insufficient Evidence", "Watchlist — Further Evidence Needed",
  DU64="Watchlist", "Watchlist — Further Evidence Needed",
  AND(DU64="Clear", DT64&gt;=80), "Include — No Conditions",
  DU64="Clear", "Include — Monitor",
  TRUE, "Watchlist — Further Evidence Needed"
)</f>
        <v>Watchlist — Further Evidence Needed</v>
      </c>
      <c r="DX64" s="5"/>
      <c r="DY64" s="5"/>
      <c r="DZ64" s="5"/>
      <c r="EA64" s="5"/>
      <c r="EB64" s="5" t="str">
        <f t="shared" si="59"/>
        <v>MISSING — No sources reviewed</v>
      </c>
      <c r="EC64" s="5" t="str">
        <f t="shared" si="60"/>
        <v/>
      </c>
    </row>
    <row r="65" spans="1:133" ht="18" customHeight="1" x14ac:dyDescent="0.15">
      <c r="A65" s="3" t="s">
        <v>535</v>
      </c>
      <c r="B65" s="3" t="s">
        <v>536</v>
      </c>
      <c r="C65" s="3" t="str">
        <f>IF(ISBLANK('Universe Tracker'!D61),"",'Universe Tracker'!D61)</f>
        <v>ES0125220311</v>
      </c>
      <c r="D65" s="3"/>
      <c r="E65" s="3"/>
      <c r="F65" s="3" t="str">
        <f>IF(ISBLANK('Universe Tracker'!F61),"",'Universe Tracker'!F61)</f>
        <v>Industrials</v>
      </c>
      <c r="G65" s="3" t="str">
        <f>IF(ISBLANK('Universe Tracker'!G61),"",'Universe Tracker'!G61)</f>
        <v>Industrial Services</v>
      </c>
      <c r="H65" s="3"/>
      <c r="I65" s="3"/>
      <c r="J65" s="3" t="str">
        <f t="shared" si="49"/>
        <v>AJ3_ES0125220311</v>
      </c>
      <c r="K65" s="3"/>
      <c r="L65" s="3"/>
      <c r="M65" s="3"/>
      <c r="N65" s="3"/>
      <c r="O65" s="3"/>
      <c r="P65" s="3"/>
      <c r="Q65" s="3"/>
      <c r="R65" s="3"/>
      <c r="S65" s="3"/>
      <c r="T65" s="3"/>
      <c r="U65" s="3"/>
      <c r="V65" s="3"/>
      <c r="W65" s="3"/>
      <c r="X65" s="3"/>
      <c r="Y65" s="3" t="str">
        <f t="shared" si="50"/>
        <v>Insufficient</v>
      </c>
      <c r="Z65" s="3"/>
      <c r="AA65" s="3"/>
      <c r="AB65" s="3"/>
      <c r="AC65" s="3"/>
      <c r="AD65" s="3"/>
      <c r="AE65" s="3"/>
      <c r="AF65" s="3"/>
      <c r="AG65" s="3"/>
      <c r="AH65" s="3"/>
      <c r="AI65" s="3"/>
      <c r="AJ65" s="3"/>
      <c r="AK65" s="3"/>
      <c r="AL65" s="3"/>
      <c r="AM65" s="3"/>
      <c r="AN65" s="3"/>
      <c r="AO65" s="3"/>
      <c r="AP65" s="3"/>
      <c r="AQ65" s="3"/>
      <c r="AR65" s="40">
        <f t="array" ref="AR65">MIN(100, MAX(0,
  IFERROR(_xlfn.XLOOKUP(AJ65,'Lookup Tables'!$A$2:$A$7,'Lookup Tables'!$B$2:$B$7,0),0)
  + IF(Z65="Yes", IF(IFERROR(_xlfn.XLOOKUP(AJ65,'Lookup Tables'!$A$2:$A$7,'Lookup Tables'!$B$2:$B$7,0),0)&lt;20, 5, 0), 0)
  + _xlfn.IFS(AB65="Yes", IF(ISNUMBER(AC65)*AND(AC65&lt;=2030),15,10), AB65="Long-term Only", 5, AB65="No", 0, TRUE, 0)
  + _xlfn.IFS(AF65="Full",10, AF65="Partial",5, AF65="Scope 2 Only",3, TRUE,0)
  + _xlfn.IFS(AG65="Yes", IF(ISNUMBER(AH65)*AND(AH65&gt;=5),10,6), AG65="Partial",4, TRUE,0)
  + _xlfn.IFS(AI65="Yes",5, AI65="Partial (material categories only)",3, TRUE,0)
  + _xlfn.IFS(AL65="Yes — Detailed",10, AL65="Yes — High Level",5, TRUE,0)
  + _xlfn.IFS(AM65="Yes — Quantified",15, AM65="Yes — Directional Only",7, TRUE,0)
  + _xlfn.IFS(AP65="Formal",5, AP65="Referenced",2, TRUE,0)
  + _xlfn.IFS(AQ65="No Issues Found",5, AQ65="Concern Identified",-5, AQ65="Severe Contradiction",-15, TRUE,0)
  + _xlfn.IFS(BC65="Reasonable Assurance",5, BC65="Limited Assurance",3, TRUE,0)
  - IF(AND(Z65="Yes", AI65="No"), 10, 0)
  - IF(AND(Z65="Yes", AM65="No"), 10, 0)
))</f>
        <v>0</v>
      </c>
      <c r="AS65" s="3"/>
      <c r="AT65" s="3"/>
      <c r="AU65" s="3"/>
      <c r="AV65" s="3"/>
      <c r="AW65" s="3"/>
      <c r="AX65" s="3"/>
      <c r="AY65" s="3"/>
      <c r="AZ65" s="3"/>
      <c r="BA65" s="3"/>
      <c r="BB65" s="3"/>
      <c r="BC65" s="3"/>
      <c r="BD65" s="3"/>
      <c r="BE65" s="40">
        <f t="array" ref="BE65">MIN(100, MAX(0,
  IFERROR(_xlfn.XLOOKUP(AT65,'Lookup Tables'!$D$2:$D$6,'Lookup Tables'!$E$2:$E$6,0),0)
  + IFERROR(_xlfn.XLOOKUP(AV65,'Lookup Tables'!$G$2:$G$5,'Lookup Tables'!$H$2:$H$5,0),0)
  + IFERROR(_xlfn.XLOOKUP(AW65,'Lookup Tables'!$J$2:$J$5,'Lookup Tables'!$K$2:$K$5,0),0)
  + _xlfn.IFS(AX65="No Issues",10, AX65="Complaint Filed",3, AX65="Confirmed Breach",-15, TRUE,0)
  + IFERROR(_xlfn.XLOOKUP(AY65,'Lookup Tables'!$M$2:$M$6,'Lookup Tables'!$N$2:$N$6,0),0)
  + IFERROR(_xlfn.XLOOKUP(AZ65,'Lookup Tables'!$P$2:$P$6,'Lookup Tables'!$Q$2:$Q$6,0),0)
  + _xlfn.IFS(BA65="Formal Board Committee",5, BA65="Board Oversight Mentioned",2, TRUE,0)
  + _xlfn.IFS(BB65="Yes — Quantified Targets",5, BB65="Yes — Discretionary Only",2, TRUE,0)
  + _xlfn.IFS(BC65="Reasonable Assurance",5, BC65="Limited Assurance",3, BC65="Management Review Only",1, TRUE,0)
))</f>
        <v>0</v>
      </c>
      <c r="BF65" s="3"/>
      <c r="BG65" s="3"/>
      <c r="BH65" s="3"/>
      <c r="BI65" s="3"/>
      <c r="BJ65" s="3"/>
      <c r="BK65" s="3"/>
      <c r="BL65" s="3"/>
      <c r="BM65" s="3"/>
      <c r="BN65" s="3"/>
      <c r="BO65" s="3"/>
      <c r="BP65" s="3"/>
      <c r="BQ65" s="3"/>
      <c r="BR65" s="3"/>
      <c r="BS65" s="42">
        <f t="array" ref="BS65">MIN(100, MAX(0,
  IFERROR(_xlfn.XLOOKUP(BG65,'Lookup Tables'!$A$11:$A$16,'Lookup Tables'!$B$11:$B$16,0),0)
  + IFERROR(_xlfn.XLOOKUP(BR65,'Lookup Tables'!$M$11:$M$14,'Lookup Tables'!$N$11:$N$14,0),0)
  + IFERROR(_xlfn.XLOOKUP(BQ65,'Lookup Tables'!$J$11:$J$15,'Lookup Tables'!$K$11:$K$15,0),0)
  + IFERROR(_xlfn.XLOOKUP(BH65,'Lookup Tables'!$D$11:$D$15,'Lookup Tables'!$E$11:$E$15,0),0)
  + IFERROR(_xlfn.XLOOKUP(BJ65,'Lookup Tables'!$G$11:$G$16,'Lookup Tables'!$H$11:$H$16,0),0)
  + IFERROR(_xlfn.XLOOKUP(BN65,'Lookup Tables'!$P$11:$P$15,'Lookup Tables'!$Q$11:$Q$15,0),0)
  + _xlfn.IFS(BM65="No Evidence",10, BM65="Unknown",3, BM65="Likely",0, BM65="Confirmed",-10, TRUE,3)
  + IFERROR(_xlfn.XLOOKUP(BP65,'Lookup Tables'!$J$21:$J$24,'Lookup Tables'!$K$21:$K$24,0),0)
))</f>
        <v>3</v>
      </c>
      <c r="BT65" s="3"/>
      <c r="BU65" s="3"/>
      <c r="BV65" s="3"/>
      <c r="BW65" s="3"/>
      <c r="BX65" s="3"/>
      <c r="BY65" s="3"/>
      <c r="BZ65" s="3"/>
      <c r="CA65" s="3"/>
      <c r="CB65" s="3"/>
      <c r="CC65" s="3"/>
      <c r="CD65" s="3"/>
      <c r="CE65" s="44">
        <f t="array" ref="CE65">MIN(100, MAX(0,
  IF(ISNUMBER(BV65)*AND(BV65&gt;0), 10, 0)
  + _xlfn.IFS(BY65="Independently Verified",25, BY65="Yes",15, TRUE,0)
  + IFERROR(_xlfn.XLOOKUP(BZ65,'Lookup Tables'!$A$21:$A$24,'Lookup Tables'!$B$21:$B$24,0),0)
  + IFERROR(_xlfn.XLOOKUP(CA65,'Lookup Tables'!$D$21:$D$24,'Lookup Tables'!$E$21:$E$24,0),0)
  + _xlfn.IFS(ISNUMBER(CB65)*AND(CB65&gt;=11),15, ISNUMBER(CB65)*AND(CB65&gt;=6),10, ISNUMBER(CB65)*AND(CB65&gt;=1),5, TRUE,0)
  + IFERROR(_xlfn.XLOOKUP(CC65,'Lookup Tables'!$G$21:$G$25,'Lookup Tables'!$H$21:$H$25,0),0)
  - IF(ISNUMBER(BW65)*AND(ISNUMBER(BV65))*AND(BW65&gt;BV65), 20, 0)
  - IF(AND(BY65="Yes", ISNUMBER(BW65), BW65&gt;60), 10, 0)
))</f>
        <v>0</v>
      </c>
      <c r="CF65" s="3"/>
      <c r="CG65" s="3"/>
      <c r="CH65" s="3"/>
      <c r="CI65" s="3"/>
      <c r="CJ65" s="3"/>
      <c r="CK65" s="3"/>
      <c r="CL65" s="3"/>
      <c r="CM65" s="3"/>
      <c r="CN65" s="3"/>
      <c r="CO65" s="3"/>
      <c r="CP65" s="3"/>
      <c r="CQ65" s="3"/>
      <c r="CR65" s="3">
        <f t="shared" si="51"/>
        <v>0</v>
      </c>
      <c r="CS65" s="3">
        <f t="shared" si="52"/>
        <v>0</v>
      </c>
      <c r="CT65" s="3">
        <f t="shared" si="53"/>
        <v>0</v>
      </c>
      <c r="CU65" s="3">
        <f>MIN(100,
  CR65*15
  + CS65*6
  + CT65*3
  + IFERROR(_xlfn.XLOOKUP(CW65,'Lookup Tables'!$M$21:$M$25,'Lookup Tables'!$N$21:$N$25,0),0)
)</f>
        <v>0</v>
      </c>
      <c r="CV65" s="3" t="str">
        <f t="shared" si="61"/>
        <v>No failures</v>
      </c>
      <c r="CW65" s="3"/>
      <c r="CX65" s="3"/>
      <c r="CY65" s="3"/>
      <c r="CZ65" s="3"/>
      <c r="DA65" s="3" t="str">
        <f t="shared" si="54"/>
        <v>Yes</v>
      </c>
      <c r="DB65" s="3" t="str">
        <f t="shared" si="55"/>
        <v>No</v>
      </c>
      <c r="DC65" s="3"/>
      <c r="DD65" s="3"/>
      <c r="DE65" s="3"/>
      <c r="DF65" s="3"/>
      <c r="DG65" s="3"/>
      <c r="DH65" s="3"/>
      <c r="DI65" s="3"/>
      <c r="DJ65" s="3"/>
      <c r="DK65" s="3"/>
      <c r="DL65" s="3" t="str">
        <f t="shared" si="56"/>
        <v>Clear</v>
      </c>
      <c r="DM65" s="3" t="str">
        <f t="shared" si="57"/>
        <v>Yes</v>
      </c>
      <c r="DN65" s="3">
        <f t="array" ref="DN65">MIN(100,
  IF(ISNUMBER(V65), _xlfn.IFS(V65&gt;=3,25, V65=2,15, V65=1,5, TRUE,0), 0)
  + IFERROR(_xlfn.IFS(VALUE(LEFT(DF65,1))=5,25, VALUE(LEFT(DF65,1))=4,20, VALUE(LEFT(DF65,1))=3,15, VALUE(LEFT(DF65,1))=2,8, TRUE,0), 15)
  + IFERROR(_xlfn.IFS(VALUE(LEFT(DG65,1))=5,25, VALUE(LEFT(DG65,1))=4,20, VALUE(LEFT(DG65,1))=3,15, VALUE(LEFT(DG65,1))=2,8, TRUE,0), 15)
  + _xlfn.IFS(DH65="Fully Verified",25, DH65="Partially Verified",12, TRUE,0)
)</f>
        <v>30</v>
      </c>
      <c r="DO65" s="3" t="str">
        <f t="array" ref="DO65">_xlfn.IFS(
  ISBLANK(AR65), "Insufficient Evidence",
  AND(AR65&gt;=65, AJ65="Approved"), "Strong",
  AR65&gt;=65, "Adequate",
  AR65&gt;=40, "Adequate",
  AR65&gt;=20, "Weak",
  TRUE, "Insufficient Evidence"
)</f>
        <v>Insufficient Evidence</v>
      </c>
      <c r="DP65" s="3" t="str">
        <f t="array" ref="DP65">_xlfn.IFS(
  ISBLANK(BS65), "Insufficient Evidence",
  BS65&gt;=65, "Strong",
  BS65&gt;=40, "Adequate",
  BS65&gt;=20, "Weak",
  TRUE, "Insufficient Evidence"
)</f>
        <v>Insufficient Evidence</v>
      </c>
      <c r="DQ65" s="3" t="str">
        <f t="array" ref="DQ65">_xlfn.IFS(
  ISBLANK(BE65), "Insufficient Evidence",
  OR(AW65="Confirmed Violation", AX65="Confirmed Breach"), "Severe — Hard Trigger",
  BE65&gt;=65, "Strong",
  BE65&gt;=40, "Adequate",
  BE65&gt;=20, "Weak",
  TRUE, "Insufficient Evidence"
)</f>
        <v>Insufficient Evidence</v>
      </c>
      <c r="DR65" s="3" t="str">
        <f t="array" ref="DR65">_xlfn.IFS(
  ISBLANK(CU65), "Insufficient Evidence",
  CU65&lt;=20, "Low Risk",
  CU65&lt;=50, "Moderate Risk",
  CU65&lt;=75, "High Risk",
  TRUE, "Very High Risk"
)</f>
        <v>Low Risk</v>
      </c>
      <c r="DS65" s="3" t="str">
        <f t="array" ref="DS65">_xlfn.IFS(
  ISBLANK(CE65), "Insufficient Evidence",
  AND(ISNUMBER(BW65),ISNUMBER(BV65),BW65&gt;BV65), "Overclaiming Risk",
  CE65&gt;=65, "Strong",
  CE65&gt;=40, "Adequate",
  TRUE, "Weak"
)</f>
        <v>Weak</v>
      </c>
      <c r="DT65" s="3">
        <f t="shared" si="58"/>
        <v>11.7</v>
      </c>
      <c r="DU65" s="3" t="str">
        <f t="array" ref="DU65">_xlfn.IFS(
  DV65="Upgraded to Clear", "Clear",
  DV65="Downgraded to Watchlist", "Watchlist",
  DV65="Downgraded to Exclusion", "Exclusion Risk",
  DB65="Yes — Automatic", "Exclusion Risk",
  OR(AW65="Confirmed Violation", AX65="Confirmed Breach"), "Exclusion Risk",
  OR(V65=0, ISBLANK(V65), DN65&lt;20), "Insufficient Evidence",
  AND(DT65&gt;=65, DA65="No", DB65="No"), "Clear",
  OR(DT65&gt;=40, DA65="Yes"), "Watchlist",
  TRUE, "Exclusion Risk"
)</f>
        <v>Insufficient Evidence</v>
      </c>
      <c r="DV65" s="3"/>
      <c r="DW65" s="3" t="str">
        <f t="array" ref="DW65">_xlfn.IFS(
  DU65="Exclusion Risk", "Exclude — Hard Trigger",
  DU65="Insufficient Evidence", "Watchlist — Further Evidence Needed",
  DU65="Watchlist", "Watchlist — Further Evidence Needed",
  AND(DU65="Clear", DT65&gt;=80), "Include — No Conditions",
  DU65="Clear", "Include — Monitor",
  TRUE, "Watchlist — Further Evidence Needed"
)</f>
        <v>Watchlist — Further Evidence Needed</v>
      </c>
      <c r="DX65" s="3"/>
      <c r="DY65" s="3"/>
      <c r="DZ65" s="3"/>
      <c r="EA65" s="3"/>
      <c r="EB65" s="3" t="str">
        <f t="shared" si="59"/>
        <v>MISSING — No sources reviewed</v>
      </c>
      <c r="EC65" s="3" t="str">
        <f t="shared" si="60"/>
        <v/>
      </c>
    </row>
    <row r="66" spans="1:133" ht="18" customHeight="1" x14ac:dyDescent="0.15">
      <c r="A66" s="5" t="s">
        <v>539</v>
      </c>
      <c r="B66" s="5" t="s">
        <v>540</v>
      </c>
      <c r="C66" s="5" t="str">
        <f>IF(ISBLANK('Universe Tracker'!D62),"",'Universe Tracker'!D62)</f>
        <v>FR0000121972</v>
      </c>
      <c r="D66" s="5"/>
      <c r="E66" s="5"/>
      <c r="F66" s="5" t="str">
        <f>IF(ISBLANK('Universe Tracker'!F62),"",'Universe Tracker'!F62)</f>
        <v>Industrials</v>
      </c>
      <c r="G66" s="5" t="str">
        <f>IF(ISBLANK('Universe Tracker'!G62),"",'Universe Tracker'!G62)</f>
        <v>Industrial Products</v>
      </c>
      <c r="H66" s="5"/>
      <c r="I66" s="5"/>
      <c r="J66" s="5" t="str">
        <f t="shared" si="49"/>
        <v>SND_FR0000121972</v>
      </c>
      <c r="K66" s="5"/>
      <c r="L66" s="5"/>
      <c r="M66" s="5"/>
      <c r="N66" s="5"/>
      <c r="O66" s="5"/>
      <c r="P66" s="5"/>
      <c r="Q66" s="5"/>
      <c r="R66" s="5"/>
      <c r="S66" s="5"/>
      <c r="T66" s="5"/>
      <c r="U66" s="5"/>
      <c r="V66" s="5"/>
      <c r="W66" s="5"/>
      <c r="X66" s="5"/>
      <c r="Y66" s="5" t="str">
        <f t="shared" si="50"/>
        <v>Insufficient</v>
      </c>
      <c r="Z66" s="5"/>
      <c r="AA66" s="5"/>
      <c r="AB66" s="5"/>
      <c r="AC66" s="5"/>
      <c r="AD66" s="5"/>
      <c r="AE66" s="5"/>
      <c r="AF66" s="5"/>
      <c r="AG66" s="5"/>
      <c r="AH66" s="5"/>
      <c r="AI66" s="5"/>
      <c r="AJ66" s="5"/>
      <c r="AK66" s="5"/>
      <c r="AL66" s="5"/>
      <c r="AM66" s="5"/>
      <c r="AN66" s="5"/>
      <c r="AO66" s="5"/>
      <c r="AP66" s="5"/>
      <c r="AQ66" s="5"/>
      <c r="AR66" s="40">
        <f t="array" ref="AR66">MIN(100, MAX(0,
  IFERROR(_xlfn.XLOOKUP(AJ66,'Lookup Tables'!$A$2:$A$7,'Lookup Tables'!$B$2:$B$7,0),0)
  + IF(Z66="Yes", IF(IFERROR(_xlfn.XLOOKUP(AJ66,'Lookup Tables'!$A$2:$A$7,'Lookup Tables'!$B$2:$B$7,0),0)&lt;20, 5, 0), 0)
  + _xlfn.IFS(AB66="Yes", IF(ISNUMBER(AC66)*AND(AC66&lt;=2030),15,10), AB66="Long-term Only", 5, AB66="No", 0, TRUE, 0)
  + _xlfn.IFS(AF66="Full",10, AF66="Partial",5, AF66="Scope 2 Only",3, TRUE,0)
  + _xlfn.IFS(AG66="Yes", IF(ISNUMBER(AH66)*AND(AH66&gt;=5),10,6), AG66="Partial",4, TRUE,0)
  + _xlfn.IFS(AI66="Yes",5, AI66="Partial (material categories only)",3, TRUE,0)
  + _xlfn.IFS(AL66="Yes — Detailed",10, AL66="Yes — High Level",5, TRUE,0)
  + _xlfn.IFS(AM66="Yes — Quantified",15, AM66="Yes — Directional Only",7, TRUE,0)
  + _xlfn.IFS(AP66="Formal",5, AP66="Referenced",2, TRUE,0)
  + _xlfn.IFS(AQ66="No Issues Found",5, AQ66="Concern Identified",-5, AQ66="Severe Contradiction",-15, TRUE,0)
  + _xlfn.IFS(BC66="Reasonable Assurance",5, BC66="Limited Assurance",3, TRUE,0)
  - IF(AND(Z66="Yes", AI66="No"), 10, 0)
  - IF(AND(Z66="Yes", AM66="No"), 10, 0)
))</f>
        <v>0</v>
      </c>
      <c r="AS66" s="5"/>
      <c r="AT66" s="5"/>
      <c r="AU66" s="5"/>
      <c r="AV66" s="5"/>
      <c r="AW66" s="5"/>
      <c r="AX66" s="5"/>
      <c r="AY66" s="5"/>
      <c r="AZ66" s="5"/>
      <c r="BA66" s="5"/>
      <c r="BB66" s="5"/>
      <c r="BC66" s="5"/>
      <c r="BD66" s="5"/>
      <c r="BE66" s="39">
        <f t="array" ref="BE66">MIN(100, MAX(0,
  IFERROR(_xlfn.XLOOKUP(AT66,'Lookup Tables'!$D$2:$D$6,'Lookup Tables'!$E$2:$E$6,0),0)
  + IFERROR(_xlfn.XLOOKUP(AV66,'Lookup Tables'!$G$2:$G$5,'Lookup Tables'!$H$2:$H$5,0),0)
  + IFERROR(_xlfn.XLOOKUP(AW66,'Lookup Tables'!$J$2:$J$5,'Lookup Tables'!$K$2:$K$5,0),0)
  + _xlfn.IFS(AX66="No Issues",10, AX66="Complaint Filed",3, AX66="Confirmed Breach",-15, TRUE,0)
  + IFERROR(_xlfn.XLOOKUP(AY66,'Lookup Tables'!$M$2:$M$6,'Lookup Tables'!$N$2:$N$6,0),0)
  + IFERROR(_xlfn.XLOOKUP(AZ66,'Lookup Tables'!$P$2:$P$6,'Lookup Tables'!$Q$2:$Q$6,0),0)
  + _xlfn.IFS(BA66="Formal Board Committee",5, BA66="Board Oversight Mentioned",2, TRUE,0)
  + _xlfn.IFS(BB66="Yes — Quantified Targets",5, BB66="Yes — Discretionary Only",2, TRUE,0)
  + _xlfn.IFS(BC66="Reasonable Assurance",5, BC66="Limited Assurance",3, BC66="Management Review Only",1, TRUE,0)
))</f>
        <v>0</v>
      </c>
      <c r="BF66" s="5"/>
      <c r="BG66" s="5"/>
      <c r="BH66" s="5"/>
      <c r="BI66" s="5"/>
      <c r="BJ66" s="5"/>
      <c r="BK66" s="5"/>
      <c r="BL66" s="5"/>
      <c r="BM66" s="5"/>
      <c r="BN66" s="5"/>
      <c r="BO66" s="5"/>
      <c r="BP66" s="5"/>
      <c r="BQ66" s="5"/>
      <c r="BR66" s="5"/>
      <c r="BS66" s="41">
        <f t="array" ref="BS66">MIN(100, MAX(0,
  IFERROR(_xlfn.XLOOKUP(BG66,'Lookup Tables'!$A$11:$A$16,'Lookup Tables'!$B$11:$B$16,0),0)
  + IFERROR(_xlfn.XLOOKUP(BR66,'Lookup Tables'!$M$11:$M$14,'Lookup Tables'!$N$11:$N$14,0),0)
  + IFERROR(_xlfn.XLOOKUP(BQ66,'Lookup Tables'!$J$11:$J$15,'Lookup Tables'!$K$11:$K$15,0),0)
  + IFERROR(_xlfn.XLOOKUP(BH66,'Lookup Tables'!$D$11:$D$15,'Lookup Tables'!$E$11:$E$15,0),0)
  + IFERROR(_xlfn.XLOOKUP(BJ66,'Lookup Tables'!$G$11:$G$16,'Lookup Tables'!$H$11:$H$16,0),0)
  + IFERROR(_xlfn.XLOOKUP(BN66,'Lookup Tables'!$P$11:$P$15,'Lookup Tables'!$Q$11:$Q$15,0),0)
  + _xlfn.IFS(BM66="No Evidence",10, BM66="Unknown",3, BM66="Likely",0, BM66="Confirmed",-10, TRUE,3)
  + IFERROR(_xlfn.XLOOKUP(BP66,'Lookup Tables'!$J$21:$J$24,'Lookup Tables'!$K$21:$K$24,0),0)
))</f>
        <v>3</v>
      </c>
      <c r="BT66" s="5"/>
      <c r="BU66" s="5"/>
      <c r="BV66" s="5"/>
      <c r="BW66" s="5"/>
      <c r="BX66" s="5"/>
      <c r="BY66" s="5"/>
      <c r="BZ66" s="5"/>
      <c r="CA66" s="5"/>
      <c r="CB66" s="5"/>
      <c r="CC66" s="5"/>
      <c r="CD66" s="5"/>
      <c r="CE66" s="43">
        <f t="array" ref="CE66">MIN(100, MAX(0,
  IF(ISNUMBER(BV66)*AND(BV66&gt;0), 10, 0)
  + _xlfn.IFS(BY66="Independently Verified",25, BY66="Yes",15, TRUE,0)
  + IFERROR(_xlfn.XLOOKUP(BZ66,'Lookup Tables'!$A$21:$A$24,'Lookup Tables'!$B$21:$B$24,0),0)
  + IFERROR(_xlfn.XLOOKUP(CA66,'Lookup Tables'!$D$21:$D$24,'Lookup Tables'!$E$21:$E$24,0),0)
  + _xlfn.IFS(ISNUMBER(CB66)*AND(CB66&gt;=11),15, ISNUMBER(CB66)*AND(CB66&gt;=6),10, ISNUMBER(CB66)*AND(CB66&gt;=1),5, TRUE,0)
  + IFERROR(_xlfn.XLOOKUP(CC66,'Lookup Tables'!$G$21:$G$25,'Lookup Tables'!$H$21:$H$25,0),0)
  - IF(ISNUMBER(BW66)*AND(ISNUMBER(BV66))*AND(BW66&gt;BV66), 20, 0)
  - IF(AND(BY66="Yes", ISNUMBER(BW66), BW66&gt;60), 10, 0)
))</f>
        <v>0</v>
      </c>
      <c r="CF66" s="5"/>
      <c r="CG66" s="5"/>
      <c r="CH66" s="5"/>
      <c r="CI66" s="5"/>
      <c r="CJ66" s="5"/>
      <c r="CK66" s="5"/>
      <c r="CL66" s="5"/>
      <c r="CM66" s="5"/>
      <c r="CN66" s="5"/>
      <c r="CO66" s="5"/>
      <c r="CP66" s="5"/>
      <c r="CQ66" s="5"/>
      <c r="CR66" s="5">
        <f t="shared" si="51"/>
        <v>0</v>
      </c>
      <c r="CS66" s="5">
        <f t="shared" si="52"/>
        <v>0</v>
      </c>
      <c r="CT66" s="5">
        <f t="shared" si="53"/>
        <v>0</v>
      </c>
      <c r="CU66" s="5">
        <f>MIN(100,
  CR66*15
  + CS66*6
  + CT66*3
  + IFERROR(_xlfn.XLOOKUP(CW66,'Lookup Tables'!$M$21:$M$25,'Lookup Tables'!$N$21:$N$25,0),0)
)</f>
        <v>0</v>
      </c>
      <c r="CV66" s="5" t="str">
        <f t="shared" si="61"/>
        <v>No failures</v>
      </c>
      <c r="CW66" s="5"/>
      <c r="CX66" s="5"/>
      <c r="CY66" s="5"/>
      <c r="CZ66" s="5"/>
      <c r="DA66" s="5" t="str">
        <f t="shared" si="54"/>
        <v>Yes</v>
      </c>
      <c r="DB66" s="5" t="str">
        <f t="shared" si="55"/>
        <v>No</v>
      </c>
      <c r="DC66" s="5"/>
      <c r="DD66" s="5"/>
      <c r="DE66" s="5"/>
      <c r="DF66" s="5"/>
      <c r="DG66" s="5"/>
      <c r="DH66" s="5"/>
      <c r="DI66" s="5"/>
      <c r="DJ66" s="5"/>
      <c r="DK66" s="5"/>
      <c r="DL66" s="5" t="str">
        <f t="shared" si="56"/>
        <v>Clear</v>
      </c>
      <c r="DM66" s="5" t="str">
        <f t="shared" si="57"/>
        <v>Yes</v>
      </c>
      <c r="DN66" s="5">
        <f t="array" ref="DN66">MIN(100,
  IF(ISNUMBER(V66), _xlfn.IFS(V66&gt;=3,25, V66=2,15, V66=1,5, TRUE,0), 0)
  + IFERROR(_xlfn.IFS(VALUE(LEFT(DF66,1))=5,25, VALUE(LEFT(DF66,1))=4,20, VALUE(LEFT(DF66,1))=3,15, VALUE(LEFT(DF66,1))=2,8, TRUE,0), 15)
  + IFERROR(_xlfn.IFS(VALUE(LEFT(DG66,1))=5,25, VALUE(LEFT(DG66,1))=4,20, VALUE(LEFT(DG66,1))=3,15, VALUE(LEFT(DG66,1))=2,8, TRUE,0), 15)
  + _xlfn.IFS(DH66="Fully Verified",25, DH66="Partially Verified",12, TRUE,0)
)</f>
        <v>30</v>
      </c>
      <c r="DO66" s="5" t="str">
        <f t="array" ref="DO66">_xlfn.IFS(
  ISBLANK(AR66), "Insufficient Evidence",
  AND(AR66&gt;=65, AJ66="Approved"), "Strong",
  AR66&gt;=65, "Adequate",
  AR66&gt;=40, "Adequate",
  AR66&gt;=20, "Weak",
  TRUE, "Insufficient Evidence"
)</f>
        <v>Insufficient Evidence</v>
      </c>
      <c r="DP66" s="5" t="str">
        <f t="array" ref="DP66">_xlfn.IFS(
  ISBLANK(BS66), "Insufficient Evidence",
  BS66&gt;=65, "Strong",
  BS66&gt;=40, "Adequate",
  BS66&gt;=20, "Weak",
  TRUE, "Insufficient Evidence"
)</f>
        <v>Insufficient Evidence</v>
      </c>
      <c r="DQ66" s="5" t="str">
        <f t="array" ref="DQ66">_xlfn.IFS(
  ISBLANK(BE66), "Insufficient Evidence",
  OR(AW66="Confirmed Violation", AX66="Confirmed Breach"), "Severe — Hard Trigger",
  BE66&gt;=65, "Strong",
  BE66&gt;=40, "Adequate",
  BE66&gt;=20, "Weak",
  TRUE, "Insufficient Evidence"
)</f>
        <v>Insufficient Evidence</v>
      </c>
      <c r="DR66" s="5" t="str">
        <f t="array" ref="DR66">_xlfn.IFS(
  ISBLANK(CU66), "Insufficient Evidence",
  CU66&lt;=20, "Low Risk",
  CU66&lt;=50, "Moderate Risk",
  CU66&lt;=75, "High Risk",
  TRUE, "Very High Risk"
)</f>
        <v>Low Risk</v>
      </c>
      <c r="DS66" s="5" t="str">
        <f t="array" ref="DS66">_xlfn.IFS(
  ISBLANK(CE66), "Insufficient Evidence",
  AND(ISNUMBER(BW66),ISNUMBER(BV66),BW66&gt;BV66), "Overclaiming Risk",
  CE66&gt;=65, "Strong",
  CE66&gt;=40, "Adequate",
  TRUE, "Weak"
)</f>
        <v>Weak</v>
      </c>
      <c r="DT66" s="5">
        <f t="shared" si="58"/>
        <v>11.7</v>
      </c>
      <c r="DU66" s="5" t="str">
        <f t="array" ref="DU66">_xlfn.IFS(
  DV66="Upgraded to Clear", "Clear",
  DV66="Downgraded to Watchlist", "Watchlist",
  DV66="Downgraded to Exclusion", "Exclusion Risk",
  DB66="Yes — Automatic", "Exclusion Risk",
  OR(AW66="Confirmed Violation", AX66="Confirmed Breach"), "Exclusion Risk",
  OR(V66=0, ISBLANK(V66), DN66&lt;20), "Insufficient Evidence",
  AND(DT66&gt;=65, DA66="No", DB66="No"), "Clear",
  OR(DT66&gt;=40, DA66="Yes"), "Watchlist",
  TRUE, "Exclusion Risk"
)</f>
        <v>Insufficient Evidence</v>
      </c>
      <c r="DV66" s="5"/>
      <c r="DW66" s="5" t="str">
        <f t="array" ref="DW66">_xlfn.IFS(
  DU66="Exclusion Risk", "Exclude — Hard Trigger",
  DU66="Insufficient Evidence", "Watchlist — Further Evidence Needed",
  DU66="Watchlist", "Watchlist — Further Evidence Needed",
  AND(DU66="Clear", DT66&gt;=80), "Include — No Conditions",
  DU66="Clear", "Include — Monitor",
  TRUE, "Watchlist — Further Evidence Needed"
)</f>
        <v>Watchlist — Further Evidence Needed</v>
      </c>
      <c r="DX66" s="5"/>
      <c r="DY66" s="5"/>
      <c r="DZ66" s="5"/>
      <c r="EA66" s="5"/>
      <c r="EB66" s="5" t="str">
        <f t="shared" si="59"/>
        <v>MISSING — No sources reviewed</v>
      </c>
      <c r="EC66" s="5" t="str">
        <f t="shared" si="60"/>
        <v/>
      </c>
    </row>
    <row r="67" spans="1:133" ht="18" customHeight="1" x14ac:dyDescent="0.15">
      <c r="A67" s="3" t="s">
        <v>543</v>
      </c>
      <c r="B67" s="3" t="s">
        <v>544</v>
      </c>
      <c r="C67" s="3" t="str">
        <f>IF(ISBLANK('Universe Tracker'!D63),"",'Universe Tracker'!D63)</f>
        <v>GB0004082847</v>
      </c>
      <c r="D67" s="3"/>
      <c r="E67" s="3"/>
      <c r="F67" s="3" t="str">
        <f>IF(ISBLANK('Universe Tracker'!F63),"",'Universe Tracker'!F63)</f>
        <v>Financials</v>
      </c>
      <c r="G67" s="3" t="str">
        <f>IF(ISBLANK('Universe Tracker'!G63),"",'Universe Tracker'!G63)</f>
        <v>Banking</v>
      </c>
      <c r="H67" s="3"/>
      <c r="I67" s="3"/>
      <c r="J67" s="3" t="str">
        <f t="shared" si="49"/>
        <v>STD_GB0004082847</v>
      </c>
      <c r="K67" s="3"/>
      <c r="L67" s="3"/>
      <c r="M67" s="3"/>
      <c r="N67" s="3"/>
      <c r="O67" s="3"/>
      <c r="P67" s="3"/>
      <c r="Q67" s="3"/>
      <c r="R67" s="3"/>
      <c r="S67" s="3"/>
      <c r="T67" s="3"/>
      <c r="U67" s="3"/>
      <c r="V67" s="3"/>
      <c r="W67" s="3"/>
      <c r="X67" s="3"/>
      <c r="Y67" s="3" t="str">
        <f t="shared" si="50"/>
        <v>Insufficient</v>
      </c>
      <c r="Z67" s="3"/>
      <c r="AA67" s="3"/>
      <c r="AB67" s="3"/>
      <c r="AC67" s="3"/>
      <c r="AD67" s="3"/>
      <c r="AE67" s="3"/>
      <c r="AF67" s="3"/>
      <c r="AG67" s="3"/>
      <c r="AH67" s="3"/>
      <c r="AI67" s="3"/>
      <c r="AJ67" s="3"/>
      <c r="AK67" s="3"/>
      <c r="AL67" s="3"/>
      <c r="AM67" s="3"/>
      <c r="AN67" s="3"/>
      <c r="AO67" s="3"/>
      <c r="AP67" s="3"/>
      <c r="AQ67" s="3"/>
      <c r="AR67" s="40">
        <f t="array" ref="AR67">MIN(100, MAX(0,
  IFERROR(_xlfn.XLOOKUP(AJ67,'Lookup Tables'!$A$2:$A$7,'Lookup Tables'!$B$2:$B$7,0),0)
  + IF(Z67="Yes", IF(IFERROR(_xlfn.XLOOKUP(AJ67,'Lookup Tables'!$A$2:$A$7,'Lookup Tables'!$B$2:$B$7,0),0)&lt;20, 5, 0), 0)
  + _xlfn.IFS(AB67="Yes", IF(ISNUMBER(AC67)*AND(AC67&lt;=2030),15,10), AB67="Long-term Only", 5, AB67="No", 0, TRUE, 0)
  + _xlfn.IFS(AF67="Full",10, AF67="Partial",5, AF67="Scope 2 Only",3, TRUE,0)
  + _xlfn.IFS(AG67="Yes", IF(ISNUMBER(AH67)*AND(AH67&gt;=5),10,6), AG67="Partial",4, TRUE,0)
  + _xlfn.IFS(AI67="Yes",5, AI67="Partial (material categories only)",3, TRUE,0)
  + _xlfn.IFS(AL67="Yes — Detailed",10, AL67="Yes — High Level",5, TRUE,0)
  + _xlfn.IFS(AM67="Yes — Quantified",15, AM67="Yes — Directional Only",7, TRUE,0)
  + _xlfn.IFS(AP67="Formal",5, AP67="Referenced",2, TRUE,0)
  + _xlfn.IFS(AQ67="No Issues Found",5, AQ67="Concern Identified",-5, AQ67="Severe Contradiction",-15, TRUE,0)
  + _xlfn.IFS(BC67="Reasonable Assurance",5, BC67="Limited Assurance",3, TRUE,0)
  - IF(AND(Z67="Yes", AI67="No"), 10, 0)
  - IF(AND(Z67="Yes", AM67="No"), 10, 0)
))</f>
        <v>0</v>
      </c>
      <c r="AS67" s="3"/>
      <c r="AT67" s="3"/>
      <c r="AU67" s="3"/>
      <c r="AV67" s="3"/>
      <c r="AW67" s="3"/>
      <c r="AX67" s="3"/>
      <c r="AY67" s="3"/>
      <c r="AZ67" s="3"/>
      <c r="BA67" s="3"/>
      <c r="BB67" s="3"/>
      <c r="BC67" s="3"/>
      <c r="BD67" s="3"/>
      <c r="BE67" s="40">
        <f t="array" ref="BE67">MIN(100, MAX(0,
  IFERROR(_xlfn.XLOOKUP(AT67,'Lookup Tables'!$D$2:$D$6,'Lookup Tables'!$E$2:$E$6,0),0)
  + IFERROR(_xlfn.XLOOKUP(AV67,'Lookup Tables'!$G$2:$G$5,'Lookup Tables'!$H$2:$H$5,0),0)
  + IFERROR(_xlfn.XLOOKUP(AW67,'Lookup Tables'!$J$2:$J$5,'Lookup Tables'!$K$2:$K$5,0),0)
  + _xlfn.IFS(AX67="No Issues",10, AX67="Complaint Filed",3, AX67="Confirmed Breach",-15, TRUE,0)
  + IFERROR(_xlfn.XLOOKUP(AY67,'Lookup Tables'!$M$2:$M$6,'Lookup Tables'!$N$2:$N$6,0),0)
  + IFERROR(_xlfn.XLOOKUP(AZ67,'Lookup Tables'!$P$2:$P$6,'Lookup Tables'!$Q$2:$Q$6,0),0)
  + _xlfn.IFS(BA67="Formal Board Committee",5, BA67="Board Oversight Mentioned",2, TRUE,0)
  + _xlfn.IFS(BB67="Yes — Quantified Targets",5, BB67="Yes — Discretionary Only",2, TRUE,0)
  + _xlfn.IFS(BC67="Reasonable Assurance",5, BC67="Limited Assurance",3, BC67="Management Review Only",1, TRUE,0)
))</f>
        <v>0</v>
      </c>
      <c r="BF67" s="3"/>
      <c r="BG67" s="3"/>
      <c r="BH67" s="3"/>
      <c r="BI67" s="3"/>
      <c r="BJ67" s="3"/>
      <c r="BK67" s="3"/>
      <c r="BL67" s="3"/>
      <c r="BM67" s="3"/>
      <c r="BN67" s="3"/>
      <c r="BO67" s="3"/>
      <c r="BP67" s="3"/>
      <c r="BQ67" s="3"/>
      <c r="BR67" s="3"/>
      <c r="BS67" s="42">
        <f t="array" ref="BS67">MIN(100, MAX(0,
  IFERROR(_xlfn.XLOOKUP(BG67,'Lookup Tables'!$A$11:$A$16,'Lookup Tables'!$B$11:$B$16,0),0)
  + IFERROR(_xlfn.XLOOKUP(BR67,'Lookup Tables'!$M$11:$M$14,'Lookup Tables'!$N$11:$N$14,0),0)
  + IFERROR(_xlfn.XLOOKUP(BQ67,'Lookup Tables'!$J$11:$J$15,'Lookup Tables'!$K$11:$K$15,0),0)
  + IFERROR(_xlfn.XLOOKUP(BH67,'Lookup Tables'!$D$11:$D$15,'Lookup Tables'!$E$11:$E$15,0),0)
  + IFERROR(_xlfn.XLOOKUP(BJ67,'Lookup Tables'!$G$11:$G$16,'Lookup Tables'!$H$11:$H$16,0),0)
  + IFERROR(_xlfn.XLOOKUP(BN67,'Lookup Tables'!$P$11:$P$15,'Lookup Tables'!$Q$11:$Q$15,0),0)
  + _xlfn.IFS(BM67="No Evidence",10, BM67="Unknown",3, BM67="Likely",0, BM67="Confirmed",-10, TRUE,3)
  + IFERROR(_xlfn.XLOOKUP(BP67,'Lookup Tables'!$J$21:$J$24,'Lookup Tables'!$K$21:$K$24,0),0)
))</f>
        <v>3</v>
      </c>
      <c r="BT67" s="3"/>
      <c r="BU67" s="3"/>
      <c r="BV67" s="3"/>
      <c r="BW67" s="3"/>
      <c r="BX67" s="3"/>
      <c r="BY67" s="3"/>
      <c r="BZ67" s="3"/>
      <c r="CA67" s="3"/>
      <c r="CB67" s="3"/>
      <c r="CC67" s="3"/>
      <c r="CD67" s="3"/>
      <c r="CE67" s="44">
        <f t="array" ref="CE67">MIN(100, MAX(0,
  IF(ISNUMBER(BV67)*AND(BV67&gt;0), 10, 0)
  + _xlfn.IFS(BY67="Independently Verified",25, BY67="Yes",15, TRUE,0)
  + IFERROR(_xlfn.XLOOKUP(BZ67,'Lookup Tables'!$A$21:$A$24,'Lookup Tables'!$B$21:$B$24,0),0)
  + IFERROR(_xlfn.XLOOKUP(CA67,'Lookup Tables'!$D$21:$D$24,'Lookup Tables'!$E$21:$E$24,0),0)
  + _xlfn.IFS(ISNUMBER(CB67)*AND(CB67&gt;=11),15, ISNUMBER(CB67)*AND(CB67&gt;=6),10, ISNUMBER(CB67)*AND(CB67&gt;=1),5, TRUE,0)
  + IFERROR(_xlfn.XLOOKUP(CC67,'Lookup Tables'!$G$21:$G$25,'Lookup Tables'!$H$21:$H$25,0),0)
  - IF(ISNUMBER(BW67)*AND(ISNUMBER(BV67))*AND(BW67&gt;BV67), 20, 0)
  - IF(AND(BY67="Yes", ISNUMBER(BW67), BW67&gt;60), 10, 0)
))</f>
        <v>0</v>
      </c>
      <c r="CF67" s="3"/>
      <c r="CG67" s="3"/>
      <c r="CH67" s="3"/>
      <c r="CI67" s="3"/>
      <c r="CJ67" s="3"/>
      <c r="CK67" s="3"/>
      <c r="CL67" s="3"/>
      <c r="CM67" s="3"/>
      <c r="CN67" s="3"/>
      <c r="CO67" s="3"/>
      <c r="CP67" s="3"/>
      <c r="CQ67" s="3"/>
      <c r="CR67" s="3">
        <f t="shared" si="51"/>
        <v>0</v>
      </c>
      <c r="CS67" s="3">
        <f t="shared" si="52"/>
        <v>0</v>
      </c>
      <c r="CT67" s="3">
        <f t="shared" si="53"/>
        <v>0</v>
      </c>
      <c r="CU67" s="3">
        <f>MIN(100,
  CR67*15
  + CS67*6
  + CT67*3
  + IFERROR(_xlfn.XLOOKUP(CW67,'Lookup Tables'!$M$21:$M$25,'Lookup Tables'!$N$21:$N$25,0),0)
)</f>
        <v>0</v>
      </c>
      <c r="CV67" s="3" t="str">
        <f t="shared" si="61"/>
        <v>No failures</v>
      </c>
      <c r="CW67" s="3"/>
      <c r="CX67" s="3"/>
      <c r="CY67" s="3"/>
      <c r="CZ67" s="3"/>
      <c r="DA67" s="3" t="str">
        <f t="shared" si="54"/>
        <v>Yes</v>
      </c>
      <c r="DB67" s="3" t="str">
        <f t="shared" si="55"/>
        <v>No</v>
      </c>
      <c r="DC67" s="3"/>
      <c r="DD67" s="3"/>
      <c r="DE67" s="3"/>
      <c r="DF67" s="3"/>
      <c r="DG67" s="3"/>
      <c r="DH67" s="3"/>
      <c r="DI67" s="3"/>
      <c r="DJ67" s="3"/>
      <c r="DK67" s="3"/>
      <c r="DL67" s="3" t="str">
        <f t="shared" si="56"/>
        <v>Clear</v>
      </c>
      <c r="DM67" s="3" t="str">
        <f t="shared" si="57"/>
        <v>Yes</v>
      </c>
      <c r="DN67" s="3">
        <f t="array" ref="DN67">MIN(100,
  IF(ISNUMBER(V67), _xlfn.IFS(V67&gt;=3,25, V67=2,15, V67=1,5, TRUE,0), 0)
  + IFERROR(_xlfn.IFS(VALUE(LEFT(DF67,1))=5,25, VALUE(LEFT(DF67,1))=4,20, VALUE(LEFT(DF67,1))=3,15, VALUE(LEFT(DF67,1))=2,8, TRUE,0), 15)
  + IFERROR(_xlfn.IFS(VALUE(LEFT(DG67,1))=5,25, VALUE(LEFT(DG67,1))=4,20, VALUE(LEFT(DG67,1))=3,15, VALUE(LEFT(DG67,1))=2,8, TRUE,0), 15)
  + _xlfn.IFS(DH67="Fully Verified",25, DH67="Partially Verified",12, TRUE,0)
)</f>
        <v>30</v>
      </c>
      <c r="DO67" s="3" t="str">
        <f t="array" ref="DO67">_xlfn.IFS(
  ISBLANK(AR67), "Insufficient Evidence",
  AND(AR67&gt;=65, AJ67="Approved"), "Strong",
  AR67&gt;=65, "Adequate",
  AR67&gt;=40, "Adequate",
  AR67&gt;=20, "Weak",
  TRUE, "Insufficient Evidence"
)</f>
        <v>Insufficient Evidence</v>
      </c>
      <c r="DP67" s="3" t="str">
        <f t="array" ref="DP67">_xlfn.IFS(
  ISBLANK(BS67), "Insufficient Evidence",
  BS67&gt;=65, "Strong",
  BS67&gt;=40, "Adequate",
  BS67&gt;=20, "Weak",
  TRUE, "Insufficient Evidence"
)</f>
        <v>Insufficient Evidence</v>
      </c>
      <c r="DQ67" s="3" t="str">
        <f t="array" ref="DQ67">_xlfn.IFS(
  ISBLANK(BE67), "Insufficient Evidence",
  OR(AW67="Confirmed Violation", AX67="Confirmed Breach"), "Severe — Hard Trigger",
  BE67&gt;=65, "Strong",
  BE67&gt;=40, "Adequate",
  BE67&gt;=20, "Weak",
  TRUE, "Insufficient Evidence"
)</f>
        <v>Insufficient Evidence</v>
      </c>
      <c r="DR67" s="3" t="str">
        <f t="array" ref="DR67">_xlfn.IFS(
  ISBLANK(CU67), "Insufficient Evidence",
  CU67&lt;=20, "Low Risk",
  CU67&lt;=50, "Moderate Risk",
  CU67&lt;=75, "High Risk",
  TRUE, "Very High Risk"
)</f>
        <v>Low Risk</v>
      </c>
      <c r="DS67" s="3" t="str">
        <f t="array" ref="DS67">_xlfn.IFS(
  ISBLANK(CE67), "Insufficient Evidence",
  AND(ISNUMBER(BW67),ISNUMBER(BV67),BW67&gt;BV67), "Overclaiming Risk",
  CE67&gt;=65, "Strong",
  CE67&gt;=40, "Adequate",
  TRUE, "Weak"
)</f>
        <v>Weak</v>
      </c>
      <c r="DT67" s="3">
        <f t="shared" si="58"/>
        <v>11.7</v>
      </c>
      <c r="DU67" s="3" t="str">
        <f t="array" ref="DU67">_xlfn.IFS(
  DV67="Upgraded to Clear", "Clear",
  DV67="Downgraded to Watchlist", "Watchlist",
  DV67="Downgraded to Exclusion", "Exclusion Risk",
  DB67="Yes — Automatic", "Exclusion Risk",
  OR(AW67="Confirmed Violation", AX67="Confirmed Breach"), "Exclusion Risk",
  OR(V67=0, ISBLANK(V67), DN67&lt;20), "Insufficient Evidence",
  AND(DT67&gt;=65, DA67="No", DB67="No"), "Clear",
  OR(DT67&gt;=40, DA67="Yes"), "Watchlist",
  TRUE, "Exclusion Risk"
)</f>
        <v>Insufficient Evidence</v>
      </c>
      <c r="DV67" s="3"/>
      <c r="DW67" s="3" t="str">
        <f t="array" ref="DW67">_xlfn.IFS(
  DU67="Exclusion Risk", "Exclude — Hard Trigger",
  DU67="Insufficient Evidence", "Watchlist — Further Evidence Needed",
  DU67="Watchlist", "Watchlist — Further Evidence Needed",
  AND(DU67="Clear", DT67&gt;=80), "Include — No Conditions",
  DU67="Clear", "Include — Monitor",
  TRUE, "Watchlist — Further Evidence Needed"
)</f>
        <v>Watchlist — Further Evidence Needed</v>
      </c>
      <c r="DX67" s="3"/>
      <c r="DY67" s="3"/>
      <c r="DZ67" s="3"/>
      <c r="EA67" s="3"/>
      <c r="EB67" s="3" t="str">
        <f t="shared" si="59"/>
        <v>MISSING — No sources reviewed</v>
      </c>
      <c r="EC67" s="3" t="str">
        <f t="shared" si="60"/>
        <v/>
      </c>
    </row>
    <row r="68" spans="1:133" ht="18" customHeight="1" x14ac:dyDescent="0.15">
      <c r="A68" s="5" t="s">
        <v>547</v>
      </c>
      <c r="B68" s="5" t="s">
        <v>548</v>
      </c>
      <c r="C68" s="5" t="str">
        <f>IF(ISBLANK('Universe Tracker'!D64),"",'Universe Tracker'!D64)</f>
        <v>SE0000667891</v>
      </c>
      <c r="D68" s="5"/>
      <c r="E68" s="5"/>
      <c r="F68" s="5" t="str">
        <f>IF(ISBLANK('Universe Tracker'!F64),"",'Universe Tracker'!F64)</f>
        <v>Industrials</v>
      </c>
      <c r="G68" s="5" t="str">
        <f>IF(ISBLANK('Universe Tracker'!G64),"",'Universe Tracker'!G64)</f>
        <v>Industrial Products</v>
      </c>
      <c r="H68" s="5"/>
      <c r="I68" s="5"/>
      <c r="J68" s="5" t="str">
        <f t="shared" si="49"/>
        <v>SVKB_SE0000667891</v>
      </c>
      <c r="K68" s="5"/>
      <c r="L68" s="5"/>
      <c r="M68" s="5"/>
      <c r="N68" s="5"/>
      <c r="O68" s="5"/>
      <c r="P68" s="5"/>
      <c r="Q68" s="5"/>
      <c r="R68" s="5"/>
      <c r="S68" s="5"/>
      <c r="T68" s="5"/>
      <c r="U68" s="5"/>
      <c r="V68" s="5"/>
      <c r="W68" s="5"/>
      <c r="X68" s="5"/>
      <c r="Y68" s="5" t="str">
        <f t="shared" si="50"/>
        <v>Insufficient</v>
      </c>
      <c r="Z68" s="5"/>
      <c r="AA68" s="5"/>
      <c r="AB68" s="5"/>
      <c r="AC68" s="5"/>
      <c r="AD68" s="5"/>
      <c r="AE68" s="5"/>
      <c r="AF68" s="5"/>
      <c r="AG68" s="5"/>
      <c r="AH68" s="5"/>
      <c r="AI68" s="5"/>
      <c r="AJ68" s="5"/>
      <c r="AK68" s="5"/>
      <c r="AL68" s="5"/>
      <c r="AM68" s="5"/>
      <c r="AN68" s="5"/>
      <c r="AO68" s="5"/>
      <c r="AP68" s="5"/>
      <c r="AQ68" s="5"/>
      <c r="AR68" s="40">
        <f t="array" ref="AR68">MIN(100, MAX(0,
  IFERROR(_xlfn.XLOOKUP(AJ68,'Lookup Tables'!$A$2:$A$7,'Lookup Tables'!$B$2:$B$7,0),0)
  + IF(Z68="Yes", IF(IFERROR(_xlfn.XLOOKUP(AJ68,'Lookup Tables'!$A$2:$A$7,'Lookup Tables'!$B$2:$B$7,0),0)&lt;20, 5, 0), 0)
  + _xlfn.IFS(AB68="Yes", IF(ISNUMBER(AC68)*AND(AC68&lt;=2030),15,10), AB68="Long-term Only", 5, AB68="No", 0, TRUE, 0)
  + _xlfn.IFS(AF68="Full",10, AF68="Partial",5, AF68="Scope 2 Only",3, TRUE,0)
  + _xlfn.IFS(AG68="Yes", IF(ISNUMBER(AH68)*AND(AH68&gt;=5),10,6), AG68="Partial",4, TRUE,0)
  + _xlfn.IFS(AI68="Yes",5, AI68="Partial (material categories only)",3, TRUE,0)
  + _xlfn.IFS(AL68="Yes — Detailed",10, AL68="Yes — High Level",5, TRUE,0)
  + _xlfn.IFS(AM68="Yes — Quantified",15, AM68="Yes — Directional Only",7, TRUE,0)
  + _xlfn.IFS(AP68="Formal",5, AP68="Referenced",2, TRUE,0)
  + _xlfn.IFS(AQ68="No Issues Found",5, AQ68="Concern Identified",-5, AQ68="Severe Contradiction",-15, TRUE,0)
  + _xlfn.IFS(BC68="Reasonable Assurance",5, BC68="Limited Assurance",3, TRUE,0)
  - IF(AND(Z68="Yes", AI68="No"), 10, 0)
  - IF(AND(Z68="Yes", AM68="No"), 10, 0)
))</f>
        <v>0</v>
      </c>
      <c r="AS68" s="5"/>
      <c r="AT68" s="5"/>
      <c r="AU68" s="5"/>
      <c r="AV68" s="5"/>
      <c r="AW68" s="5"/>
      <c r="AX68" s="5"/>
      <c r="AY68" s="5"/>
      <c r="AZ68" s="5"/>
      <c r="BA68" s="5"/>
      <c r="BB68" s="5"/>
      <c r="BC68" s="5"/>
      <c r="BD68" s="5"/>
      <c r="BE68" s="39">
        <f t="array" ref="BE68">MIN(100, MAX(0,
  IFERROR(_xlfn.XLOOKUP(AT68,'Lookup Tables'!$D$2:$D$6,'Lookup Tables'!$E$2:$E$6,0),0)
  + IFERROR(_xlfn.XLOOKUP(AV68,'Lookup Tables'!$G$2:$G$5,'Lookup Tables'!$H$2:$H$5,0),0)
  + IFERROR(_xlfn.XLOOKUP(AW68,'Lookup Tables'!$J$2:$J$5,'Lookup Tables'!$K$2:$K$5,0),0)
  + _xlfn.IFS(AX68="No Issues",10, AX68="Complaint Filed",3, AX68="Confirmed Breach",-15, TRUE,0)
  + IFERROR(_xlfn.XLOOKUP(AY68,'Lookup Tables'!$M$2:$M$6,'Lookup Tables'!$N$2:$N$6,0),0)
  + IFERROR(_xlfn.XLOOKUP(AZ68,'Lookup Tables'!$P$2:$P$6,'Lookup Tables'!$Q$2:$Q$6,0),0)
  + _xlfn.IFS(BA68="Formal Board Committee",5, BA68="Board Oversight Mentioned",2, TRUE,0)
  + _xlfn.IFS(BB68="Yes — Quantified Targets",5, BB68="Yes — Discretionary Only",2, TRUE,0)
  + _xlfn.IFS(BC68="Reasonable Assurance",5, BC68="Limited Assurance",3, BC68="Management Review Only",1, TRUE,0)
))</f>
        <v>0</v>
      </c>
      <c r="BF68" s="5"/>
      <c r="BG68" s="5"/>
      <c r="BH68" s="5"/>
      <c r="BI68" s="5"/>
      <c r="BJ68" s="5"/>
      <c r="BK68" s="5"/>
      <c r="BL68" s="5"/>
      <c r="BM68" s="5"/>
      <c r="BN68" s="5"/>
      <c r="BO68" s="5"/>
      <c r="BP68" s="5"/>
      <c r="BQ68" s="5"/>
      <c r="BR68" s="5"/>
      <c r="BS68" s="41">
        <f t="array" ref="BS68">MIN(100, MAX(0,
  IFERROR(_xlfn.XLOOKUP(BG68,'Lookup Tables'!$A$11:$A$16,'Lookup Tables'!$B$11:$B$16,0),0)
  + IFERROR(_xlfn.XLOOKUP(BR68,'Lookup Tables'!$M$11:$M$14,'Lookup Tables'!$N$11:$N$14,0),0)
  + IFERROR(_xlfn.XLOOKUP(BQ68,'Lookup Tables'!$J$11:$J$15,'Lookup Tables'!$K$11:$K$15,0),0)
  + IFERROR(_xlfn.XLOOKUP(BH68,'Lookup Tables'!$D$11:$D$15,'Lookup Tables'!$E$11:$E$15,0),0)
  + IFERROR(_xlfn.XLOOKUP(BJ68,'Lookup Tables'!$G$11:$G$16,'Lookup Tables'!$H$11:$H$16,0),0)
  + IFERROR(_xlfn.XLOOKUP(BN68,'Lookup Tables'!$P$11:$P$15,'Lookup Tables'!$Q$11:$Q$15,0),0)
  + _xlfn.IFS(BM68="No Evidence",10, BM68="Unknown",3, BM68="Likely",0, BM68="Confirmed",-10, TRUE,3)
  + IFERROR(_xlfn.XLOOKUP(BP68,'Lookup Tables'!$J$21:$J$24,'Lookup Tables'!$K$21:$K$24,0),0)
))</f>
        <v>3</v>
      </c>
      <c r="BT68" s="5"/>
      <c r="BU68" s="5"/>
      <c r="BV68" s="5"/>
      <c r="BW68" s="5"/>
      <c r="BX68" s="5"/>
      <c r="BY68" s="5"/>
      <c r="BZ68" s="5"/>
      <c r="CA68" s="5"/>
      <c r="CB68" s="5"/>
      <c r="CC68" s="5"/>
      <c r="CD68" s="5"/>
      <c r="CE68" s="43">
        <f t="array" ref="CE68">MIN(100, MAX(0,
  IF(ISNUMBER(BV68)*AND(BV68&gt;0), 10, 0)
  + _xlfn.IFS(BY68="Independently Verified",25, BY68="Yes",15, TRUE,0)
  + IFERROR(_xlfn.XLOOKUP(BZ68,'Lookup Tables'!$A$21:$A$24,'Lookup Tables'!$B$21:$B$24,0),0)
  + IFERROR(_xlfn.XLOOKUP(CA68,'Lookup Tables'!$D$21:$D$24,'Lookup Tables'!$E$21:$E$24,0),0)
  + _xlfn.IFS(ISNUMBER(CB68)*AND(CB68&gt;=11),15, ISNUMBER(CB68)*AND(CB68&gt;=6),10, ISNUMBER(CB68)*AND(CB68&gt;=1),5, TRUE,0)
  + IFERROR(_xlfn.XLOOKUP(CC68,'Lookup Tables'!$G$21:$G$25,'Lookup Tables'!$H$21:$H$25,0),0)
  - IF(ISNUMBER(BW68)*AND(ISNUMBER(BV68))*AND(BW68&gt;BV68), 20, 0)
  - IF(AND(BY68="Yes", ISNUMBER(BW68), BW68&gt;60), 10, 0)
))</f>
        <v>0</v>
      </c>
      <c r="CF68" s="5"/>
      <c r="CG68" s="5"/>
      <c r="CH68" s="5"/>
      <c r="CI68" s="5"/>
      <c r="CJ68" s="5"/>
      <c r="CK68" s="5"/>
      <c r="CL68" s="5"/>
      <c r="CM68" s="5"/>
      <c r="CN68" s="5"/>
      <c r="CO68" s="5"/>
      <c r="CP68" s="5"/>
      <c r="CQ68" s="5"/>
      <c r="CR68" s="5">
        <f t="shared" si="51"/>
        <v>0</v>
      </c>
      <c r="CS68" s="5">
        <f t="shared" si="52"/>
        <v>0</v>
      </c>
      <c r="CT68" s="5">
        <f t="shared" si="53"/>
        <v>0</v>
      </c>
      <c r="CU68" s="5">
        <f>MIN(100,
  CR68*15
  + CS68*6
  + CT68*3
  + IFERROR(_xlfn.XLOOKUP(CW68,'Lookup Tables'!$M$21:$M$25,'Lookup Tables'!$N$21:$N$25,0),0)
)</f>
        <v>0</v>
      </c>
      <c r="CV68" s="5" t="str">
        <f t="shared" si="61"/>
        <v>No failures</v>
      </c>
      <c r="CW68" s="5"/>
      <c r="CX68" s="5"/>
      <c r="CY68" s="5"/>
      <c r="CZ68" s="5"/>
      <c r="DA68" s="5" t="str">
        <f t="shared" si="54"/>
        <v>Yes</v>
      </c>
      <c r="DB68" s="5" t="str">
        <f t="shared" si="55"/>
        <v>No</v>
      </c>
      <c r="DC68" s="5"/>
      <c r="DD68" s="5"/>
      <c r="DE68" s="5"/>
      <c r="DF68" s="5"/>
      <c r="DG68" s="5"/>
      <c r="DH68" s="5"/>
      <c r="DI68" s="5"/>
      <c r="DJ68" s="5"/>
      <c r="DK68" s="5"/>
      <c r="DL68" s="5" t="str">
        <f t="shared" si="56"/>
        <v>Clear</v>
      </c>
      <c r="DM68" s="5" t="str">
        <f t="shared" si="57"/>
        <v>Yes</v>
      </c>
      <c r="DN68" s="5">
        <f t="array" ref="DN68">MIN(100,
  IF(ISNUMBER(V68), _xlfn.IFS(V68&gt;=3,25, V68=2,15, V68=1,5, TRUE,0), 0)
  + IFERROR(_xlfn.IFS(VALUE(LEFT(DF68,1))=5,25, VALUE(LEFT(DF68,1))=4,20, VALUE(LEFT(DF68,1))=3,15, VALUE(LEFT(DF68,1))=2,8, TRUE,0), 15)
  + IFERROR(_xlfn.IFS(VALUE(LEFT(DG68,1))=5,25, VALUE(LEFT(DG68,1))=4,20, VALUE(LEFT(DG68,1))=3,15, VALUE(LEFT(DG68,1))=2,8, TRUE,0), 15)
  + _xlfn.IFS(DH68="Fully Verified",25, DH68="Partially Verified",12, TRUE,0)
)</f>
        <v>30</v>
      </c>
      <c r="DO68" s="5" t="str">
        <f t="array" ref="DO68">_xlfn.IFS(
  ISBLANK(AR68), "Insufficient Evidence",
  AND(AR68&gt;=65, AJ68="Approved"), "Strong",
  AR68&gt;=65, "Adequate",
  AR68&gt;=40, "Adequate",
  AR68&gt;=20, "Weak",
  TRUE, "Insufficient Evidence"
)</f>
        <v>Insufficient Evidence</v>
      </c>
      <c r="DP68" s="5" t="str">
        <f t="array" ref="DP68">_xlfn.IFS(
  ISBLANK(BS68), "Insufficient Evidence",
  BS68&gt;=65, "Strong",
  BS68&gt;=40, "Adequate",
  BS68&gt;=20, "Weak",
  TRUE, "Insufficient Evidence"
)</f>
        <v>Insufficient Evidence</v>
      </c>
      <c r="DQ68" s="5" t="str">
        <f t="array" ref="DQ68">_xlfn.IFS(
  ISBLANK(BE68), "Insufficient Evidence",
  OR(AW68="Confirmed Violation", AX68="Confirmed Breach"), "Severe — Hard Trigger",
  BE68&gt;=65, "Strong",
  BE68&gt;=40, "Adequate",
  BE68&gt;=20, "Weak",
  TRUE, "Insufficient Evidence"
)</f>
        <v>Insufficient Evidence</v>
      </c>
      <c r="DR68" s="5" t="str">
        <f t="array" ref="DR68">_xlfn.IFS(
  ISBLANK(CU68), "Insufficient Evidence",
  CU68&lt;=20, "Low Risk",
  CU68&lt;=50, "Moderate Risk",
  CU68&lt;=75, "High Risk",
  TRUE, "Very High Risk"
)</f>
        <v>Low Risk</v>
      </c>
      <c r="DS68" s="5" t="str">
        <f t="array" ref="DS68">_xlfn.IFS(
  ISBLANK(CE68), "Insufficient Evidence",
  AND(ISNUMBER(BW68),ISNUMBER(BV68),BW68&gt;BV68), "Overclaiming Risk",
  CE68&gt;=65, "Strong",
  CE68&gt;=40, "Adequate",
  TRUE, "Weak"
)</f>
        <v>Weak</v>
      </c>
      <c r="DT68" s="5">
        <f t="shared" si="58"/>
        <v>11.7</v>
      </c>
      <c r="DU68" s="5" t="str">
        <f t="array" ref="DU68">_xlfn.IFS(
  DV68="Upgraded to Clear", "Clear",
  DV68="Downgraded to Watchlist", "Watchlist",
  DV68="Downgraded to Exclusion", "Exclusion Risk",
  DB68="Yes — Automatic", "Exclusion Risk",
  OR(AW68="Confirmed Violation", AX68="Confirmed Breach"), "Exclusion Risk",
  OR(V68=0, ISBLANK(V68), DN68&lt;20), "Insufficient Evidence",
  AND(DT68&gt;=65, DA68="No", DB68="No"), "Clear",
  OR(DT68&gt;=40, DA68="Yes"), "Watchlist",
  TRUE, "Exclusion Risk"
)</f>
        <v>Insufficient Evidence</v>
      </c>
      <c r="DV68" s="5"/>
      <c r="DW68" s="5" t="str">
        <f t="array" ref="DW68">_xlfn.IFS(
  DU68="Exclusion Risk", "Exclude — Hard Trigger",
  DU68="Insufficient Evidence", "Watchlist — Further Evidence Needed",
  DU68="Watchlist", "Watchlist — Further Evidence Needed",
  AND(DU68="Clear", DT68&gt;=80), "Include — No Conditions",
  DU68="Clear", "Include — Monitor",
  TRUE, "Watchlist — Further Evidence Needed"
)</f>
        <v>Watchlist — Further Evidence Needed</v>
      </c>
      <c r="DX68" s="5"/>
      <c r="DY68" s="5"/>
      <c r="DZ68" s="5"/>
      <c r="EA68" s="5"/>
      <c r="EB68" s="5" t="str">
        <f t="shared" si="59"/>
        <v>MISSING — No sources reviewed</v>
      </c>
      <c r="EC68" s="5" t="str">
        <f t="shared" si="60"/>
        <v/>
      </c>
    </row>
    <row r="69" spans="1:133" ht="18" customHeight="1" x14ac:dyDescent="0.15">
      <c r="A69" s="3" t="s">
        <v>551</v>
      </c>
      <c r="B69" s="3" t="s">
        <v>552</v>
      </c>
      <c r="C69" s="3" t="str">
        <f>IF(ISBLANK('Universe Tracker'!D65),"",'Universe Tracker'!D65)</f>
        <v>CH0011075394</v>
      </c>
      <c r="D69" s="3"/>
      <c r="E69" s="3"/>
      <c r="F69" s="3" t="str">
        <f>IF(ISBLANK('Universe Tracker'!F65),"",'Universe Tracker'!F65)</f>
        <v>Financials</v>
      </c>
      <c r="G69" s="3" t="str">
        <f>IF(ISBLANK('Universe Tracker'!G65),"",'Universe Tracker'!G65)</f>
        <v>Insurance</v>
      </c>
      <c r="H69" s="3"/>
      <c r="I69" s="3"/>
      <c r="J69" s="3" t="str">
        <f t="shared" si="49"/>
        <v>ZFIN_CH0011075394</v>
      </c>
      <c r="K69" s="3"/>
      <c r="L69" s="3"/>
      <c r="M69" s="3"/>
      <c r="N69" s="3"/>
      <c r="O69" s="3"/>
      <c r="P69" s="3"/>
      <c r="Q69" s="3"/>
      <c r="R69" s="3"/>
      <c r="S69" s="3"/>
      <c r="T69" s="3"/>
      <c r="U69" s="3"/>
      <c r="V69" s="3"/>
      <c r="W69" s="3"/>
      <c r="X69" s="3"/>
      <c r="Y69" s="3" t="str">
        <f t="shared" si="50"/>
        <v>Insufficient</v>
      </c>
      <c r="Z69" s="3"/>
      <c r="AA69" s="3"/>
      <c r="AB69" s="3"/>
      <c r="AC69" s="3"/>
      <c r="AD69" s="3"/>
      <c r="AE69" s="3"/>
      <c r="AF69" s="3"/>
      <c r="AG69" s="3"/>
      <c r="AH69" s="3"/>
      <c r="AI69" s="3"/>
      <c r="AJ69" s="3"/>
      <c r="AK69" s="3"/>
      <c r="AL69" s="3"/>
      <c r="AM69" s="3"/>
      <c r="AN69" s="3"/>
      <c r="AO69" s="3"/>
      <c r="AP69" s="3"/>
      <c r="AQ69" s="3"/>
      <c r="AR69" s="40">
        <f t="array" ref="AR69">MIN(100, MAX(0,
  IFERROR(_xlfn.XLOOKUP(AJ69,'Lookup Tables'!$A$2:$A$7,'Lookup Tables'!$B$2:$B$7,0),0)
  + IF(Z69="Yes", IF(IFERROR(_xlfn.XLOOKUP(AJ69,'Lookup Tables'!$A$2:$A$7,'Lookup Tables'!$B$2:$B$7,0),0)&lt;20, 5, 0), 0)
  + _xlfn.IFS(AB69="Yes", IF(ISNUMBER(AC69)*AND(AC69&lt;=2030),15,10), AB69="Long-term Only", 5, AB69="No", 0, TRUE, 0)
  + _xlfn.IFS(AF69="Full",10, AF69="Partial",5, AF69="Scope 2 Only",3, TRUE,0)
  + _xlfn.IFS(AG69="Yes", IF(ISNUMBER(AH69)*AND(AH69&gt;=5),10,6), AG69="Partial",4, TRUE,0)
  + _xlfn.IFS(AI69="Yes",5, AI69="Partial (material categories only)",3, TRUE,0)
  + _xlfn.IFS(AL69="Yes — Detailed",10, AL69="Yes — High Level",5, TRUE,0)
  + _xlfn.IFS(AM69="Yes — Quantified",15, AM69="Yes — Directional Only",7, TRUE,0)
  + _xlfn.IFS(AP69="Formal",5, AP69="Referenced",2, TRUE,0)
  + _xlfn.IFS(AQ69="No Issues Found",5, AQ69="Concern Identified",-5, AQ69="Severe Contradiction",-15, TRUE,0)
  + _xlfn.IFS(BC69="Reasonable Assurance",5, BC69="Limited Assurance",3, TRUE,0)
  - IF(AND(Z69="Yes", AI69="No"), 10, 0)
  - IF(AND(Z69="Yes", AM69="No"), 10, 0)
))</f>
        <v>0</v>
      </c>
      <c r="AS69" s="3"/>
      <c r="AT69" s="3"/>
      <c r="AU69" s="3"/>
      <c r="AV69" s="3"/>
      <c r="AW69" s="3"/>
      <c r="AX69" s="3"/>
      <c r="AY69" s="3"/>
      <c r="AZ69" s="3"/>
      <c r="BA69" s="3"/>
      <c r="BB69" s="3"/>
      <c r="BC69" s="3"/>
      <c r="BD69" s="3"/>
      <c r="BE69" s="40">
        <f t="array" ref="BE69">MIN(100, MAX(0,
  IFERROR(_xlfn.XLOOKUP(AT69,'Lookup Tables'!$D$2:$D$6,'Lookup Tables'!$E$2:$E$6,0),0)
  + IFERROR(_xlfn.XLOOKUP(AV69,'Lookup Tables'!$G$2:$G$5,'Lookup Tables'!$H$2:$H$5,0),0)
  + IFERROR(_xlfn.XLOOKUP(AW69,'Lookup Tables'!$J$2:$J$5,'Lookup Tables'!$K$2:$K$5,0),0)
  + _xlfn.IFS(AX69="No Issues",10, AX69="Complaint Filed",3, AX69="Confirmed Breach",-15, TRUE,0)
  + IFERROR(_xlfn.XLOOKUP(AY69,'Lookup Tables'!$M$2:$M$6,'Lookup Tables'!$N$2:$N$6,0),0)
  + IFERROR(_xlfn.XLOOKUP(AZ69,'Lookup Tables'!$P$2:$P$6,'Lookup Tables'!$Q$2:$Q$6,0),0)
  + _xlfn.IFS(BA69="Formal Board Committee",5, BA69="Board Oversight Mentioned",2, TRUE,0)
  + _xlfn.IFS(BB69="Yes — Quantified Targets",5, BB69="Yes — Discretionary Only",2, TRUE,0)
  + _xlfn.IFS(BC69="Reasonable Assurance",5, BC69="Limited Assurance",3, BC69="Management Review Only",1, TRUE,0)
))</f>
        <v>0</v>
      </c>
      <c r="BF69" s="3"/>
      <c r="BG69" s="3"/>
      <c r="BH69" s="3"/>
      <c r="BI69" s="3"/>
      <c r="BJ69" s="3"/>
      <c r="BK69" s="3"/>
      <c r="BL69" s="3"/>
      <c r="BM69" s="3"/>
      <c r="BN69" s="3"/>
      <c r="BO69" s="3"/>
      <c r="BP69" s="3"/>
      <c r="BQ69" s="3"/>
      <c r="BR69" s="3"/>
      <c r="BS69" s="42">
        <f t="array" ref="BS69">MIN(100, MAX(0,
  IFERROR(_xlfn.XLOOKUP(BG69,'Lookup Tables'!$A$11:$A$16,'Lookup Tables'!$B$11:$B$16,0),0)
  + IFERROR(_xlfn.XLOOKUP(BR69,'Lookup Tables'!$M$11:$M$14,'Lookup Tables'!$N$11:$N$14,0),0)
  + IFERROR(_xlfn.XLOOKUP(BQ69,'Lookup Tables'!$J$11:$J$15,'Lookup Tables'!$K$11:$K$15,0),0)
  + IFERROR(_xlfn.XLOOKUP(BH69,'Lookup Tables'!$D$11:$D$15,'Lookup Tables'!$E$11:$E$15,0),0)
  + IFERROR(_xlfn.XLOOKUP(BJ69,'Lookup Tables'!$G$11:$G$16,'Lookup Tables'!$H$11:$H$16,0),0)
  + IFERROR(_xlfn.XLOOKUP(BN69,'Lookup Tables'!$P$11:$P$15,'Lookup Tables'!$Q$11:$Q$15,0),0)
  + _xlfn.IFS(BM69="No Evidence",10, BM69="Unknown",3, BM69="Likely",0, BM69="Confirmed",-10, TRUE,3)
  + IFERROR(_xlfn.XLOOKUP(BP69,'Lookup Tables'!$J$21:$J$24,'Lookup Tables'!$K$21:$K$24,0),0)
))</f>
        <v>3</v>
      </c>
      <c r="BT69" s="3"/>
      <c r="BU69" s="3"/>
      <c r="BV69" s="3"/>
      <c r="BW69" s="3"/>
      <c r="BX69" s="3"/>
      <c r="BY69" s="3"/>
      <c r="BZ69" s="3"/>
      <c r="CA69" s="3"/>
      <c r="CB69" s="3"/>
      <c r="CC69" s="3"/>
      <c r="CD69" s="3"/>
      <c r="CE69" s="44">
        <f t="array" ref="CE69">MIN(100, MAX(0,
  IF(ISNUMBER(BV69)*AND(BV69&gt;0), 10, 0)
  + _xlfn.IFS(BY69="Independently Verified",25, BY69="Yes",15, TRUE,0)
  + IFERROR(_xlfn.XLOOKUP(BZ69,'Lookup Tables'!$A$21:$A$24,'Lookup Tables'!$B$21:$B$24,0),0)
  + IFERROR(_xlfn.XLOOKUP(CA69,'Lookup Tables'!$D$21:$D$24,'Lookup Tables'!$E$21:$E$24,0),0)
  + _xlfn.IFS(ISNUMBER(CB69)*AND(CB69&gt;=11),15, ISNUMBER(CB69)*AND(CB69&gt;=6),10, ISNUMBER(CB69)*AND(CB69&gt;=1),5, TRUE,0)
  + IFERROR(_xlfn.XLOOKUP(CC69,'Lookup Tables'!$G$21:$G$25,'Lookup Tables'!$H$21:$H$25,0),0)
  - IF(ISNUMBER(BW69)*AND(ISNUMBER(BV69))*AND(BW69&gt;BV69), 20, 0)
  - IF(AND(BY69="Yes", ISNUMBER(BW69), BW69&gt;60), 10, 0)
))</f>
        <v>0</v>
      </c>
      <c r="CF69" s="3"/>
      <c r="CG69" s="3"/>
      <c r="CH69" s="3"/>
      <c r="CI69" s="3"/>
      <c r="CJ69" s="3"/>
      <c r="CK69" s="3"/>
      <c r="CL69" s="3"/>
      <c r="CM69" s="3"/>
      <c r="CN69" s="3"/>
      <c r="CO69" s="3"/>
      <c r="CP69" s="3"/>
      <c r="CQ69" s="3"/>
      <c r="CR69" s="3">
        <f t="shared" si="51"/>
        <v>0</v>
      </c>
      <c r="CS69" s="3">
        <f t="shared" si="52"/>
        <v>0</v>
      </c>
      <c r="CT69" s="3">
        <f t="shared" si="53"/>
        <v>0</v>
      </c>
      <c r="CU69" s="3">
        <f>MIN(100,
  CR69*15
  + CS69*6
  + CT69*3
  + IFERROR(_xlfn.XLOOKUP(CW69,'Lookup Tables'!$M$21:$M$25,'Lookup Tables'!$N$21:$N$25,0),0)
)</f>
        <v>0</v>
      </c>
      <c r="CV69" s="3" t="str">
        <f t="shared" si="61"/>
        <v>No failures</v>
      </c>
      <c r="CW69" s="3"/>
      <c r="CX69" s="3"/>
      <c r="CY69" s="3"/>
      <c r="CZ69" s="3"/>
      <c r="DA69" s="3" t="str">
        <f t="shared" si="54"/>
        <v>Yes</v>
      </c>
      <c r="DB69" s="3" t="str">
        <f t="shared" si="55"/>
        <v>No</v>
      </c>
      <c r="DC69" s="3"/>
      <c r="DD69" s="3"/>
      <c r="DE69" s="3"/>
      <c r="DF69" s="3"/>
      <c r="DG69" s="3"/>
      <c r="DH69" s="3"/>
      <c r="DI69" s="3"/>
      <c r="DJ69" s="3"/>
      <c r="DK69" s="3"/>
      <c r="DL69" s="3" t="str">
        <f t="shared" si="56"/>
        <v>Clear</v>
      </c>
      <c r="DM69" s="3" t="str">
        <f t="shared" si="57"/>
        <v>Yes</v>
      </c>
      <c r="DN69" s="3">
        <f t="array" ref="DN69">MIN(100,
  IF(ISNUMBER(V69), _xlfn.IFS(V69&gt;=3,25, V69=2,15, V69=1,5, TRUE,0), 0)
  + IFERROR(_xlfn.IFS(VALUE(LEFT(DF69,1))=5,25, VALUE(LEFT(DF69,1))=4,20, VALUE(LEFT(DF69,1))=3,15, VALUE(LEFT(DF69,1))=2,8, TRUE,0), 15)
  + IFERROR(_xlfn.IFS(VALUE(LEFT(DG69,1))=5,25, VALUE(LEFT(DG69,1))=4,20, VALUE(LEFT(DG69,1))=3,15, VALUE(LEFT(DG69,1))=2,8, TRUE,0), 15)
  + _xlfn.IFS(DH69="Fully Verified",25, DH69="Partially Verified",12, TRUE,0)
)</f>
        <v>30</v>
      </c>
      <c r="DO69" s="3" t="str">
        <f t="array" ref="DO69">_xlfn.IFS(
  ISBLANK(AR69), "Insufficient Evidence",
  AND(AR69&gt;=65, AJ69="Approved"), "Strong",
  AR69&gt;=65, "Adequate",
  AR69&gt;=40, "Adequate",
  AR69&gt;=20, "Weak",
  TRUE, "Insufficient Evidence"
)</f>
        <v>Insufficient Evidence</v>
      </c>
      <c r="DP69" s="3" t="str">
        <f t="array" ref="DP69">_xlfn.IFS(
  ISBLANK(BS69), "Insufficient Evidence",
  BS69&gt;=65, "Strong",
  BS69&gt;=40, "Adequate",
  BS69&gt;=20, "Weak",
  TRUE, "Insufficient Evidence"
)</f>
        <v>Insufficient Evidence</v>
      </c>
      <c r="DQ69" s="3" t="str">
        <f t="array" ref="DQ69">_xlfn.IFS(
  ISBLANK(BE69), "Insufficient Evidence",
  OR(AW69="Confirmed Violation", AX69="Confirmed Breach"), "Severe — Hard Trigger",
  BE69&gt;=65, "Strong",
  BE69&gt;=40, "Adequate",
  BE69&gt;=20, "Weak",
  TRUE, "Insufficient Evidence"
)</f>
        <v>Insufficient Evidence</v>
      </c>
      <c r="DR69" s="3" t="str">
        <f t="array" ref="DR69">_xlfn.IFS(
  ISBLANK(CU69), "Insufficient Evidence",
  CU69&lt;=20, "Low Risk",
  CU69&lt;=50, "Moderate Risk",
  CU69&lt;=75, "High Risk",
  TRUE, "Very High Risk"
)</f>
        <v>Low Risk</v>
      </c>
      <c r="DS69" s="3" t="str">
        <f t="array" ref="DS69">_xlfn.IFS(
  ISBLANK(CE69), "Insufficient Evidence",
  AND(ISNUMBER(BW69),ISNUMBER(BV69),BW69&gt;BV69), "Overclaiming Risk",
  CE69&gt;=65, "Strong",
  CE69&gt;=40, "Adequate",
  TRUE, "Weak"
)</f>
        <v>Weak</v>
      </c>
      <c r="DT69" s="3">
        <f t="shared" si="58"/>
        <v>11.7</v>
      </c>
      <c r="DU69" s="3" t="str">
        <f t="array" ref="DU69">_xlfn.IFS(
  DV69="Upgraded to Clear", "Clear",
  DV69="Downgraded to Watchlist", "Watchlist",
  DV69="Downgraded to Exclusion", "Exclusion Risk",
  DB69="Yes — Automatic", "Exclusion Risk",
  OR(AW69="Confirmed Violation", AX69="Confirmed Breach"), "Exclusion Risk",
  OR(V69=0, ISBLANK(V69), DN69&lt;20), "Insufficient Evidence",
  AND(DT69&gt;=65, DA69="No", DB69="No"), "Clear",
  OR(DT69&gt;=40, DA69="Yes"), "Watchlist",
  TRUE, "Exclusion Risk"
)</f>
        <v>Insufficient Evidence</v>
      </c>
      <c r="DV69" s="3"/>
      <c r="DW69" s="3" t="str">
        <f t="array" ref="DW69">_xlfn.IFS(
  DU69="Exclusion Risk", "Exclude — Hard Trigger",
  DU69="Insufficient Evidence", "Watchlist — Further Evidence Needed",
  DU69="Watchlist", "Watchlist — Further Evidence Needed",
  AND(DU69="Clear", DT69&gt;=80), "Include — No Conditions",
  DU69="Clear", "Include — Monitor",
  TRUE, "Watchlist — Further Evidence Needed"
)</f>
        <v>Watchlist — Further Evidence Needed</v>
      </c>
      <c r="DX69" s="3"/>
      <c r="DY69" s="3"/>
      <c r="DZ69" s="3"/>
      <c r="EA69" s="3"/>
      <c r="EB69" s="3" t="str">
        <f t="shared" si="59"/>
        <v>MISSING — No sources reviewed</v>
      </c>
      <c r="EC69" s="3" t="str">
        <f t="shared" si="60"/>
        <v/>
      </c>
    </row>
    <row r="70" spans="1:133" ht="18" customHeight="1" x14ac:dyDescent="0.15">
      <c r="A70" s="5" t="s">
        <v>555</v>
      </c>
      <c r="B70" s="5" t="s">
        <v>556</v>
      </c>
      <c r="C70" s="5" t="str">
        <f>IF(ISBLANK('Universe Tracker'!D66),"",'Universe Tracker'!D66)</f>
        <v>NO0012483207</v>
      </c>
      <c r="D70" s="5"/>
      <c r="E70" s="5"/>
      <c r="F70" s="5" t="str">
        <f>IF(ISBLANK('Universe Tracker'!F66),"",'Universe Tracker'!F66)</f>
        <v>Financials</v>
      </c>
      <c r="G70" s="5" t="str">
        <f>IF(ISBLANK('Universe Tracker'!G66),"",'Universe Tracker'!G66)</f>
        <v>Banking</v>
      </c>
      <c r="H70" s="5"/>
      <c r="I70" s="5"/>
      <c r="J70" s="5" t="str">
        <f t="shared" si="49"/>
        <v>K5X_NO0012483207</v>
      </c>
      <c r="K70" s="5"/>
      <c r="L70" s="5"/>
      <c r="M70" s="5"/>
      <c r="N70" s="5"/>
      <c r="O70" s="5"/>
      <c r="P70" s="5"/>
      <c r="Q70" s="5"/>
      <c r="R70" s="5"/>
      <c r="S70" s="5"/>
      <c r="T70" s="5"/>
      <c r="U70" s="5"/>
      <c r="V70" s="5"/>
      <c r="W70" s="5"/>
      <c r="X70" s="5"/>
      <c r="Y70" s="5" t="str">
        <f t="shared" si="50"/>
        <v>Insufficient</v>
      </c>
      <c r="Z70" s="5"/>
      <c r="AA70" s="5"/>
      <c r="AB70" s="5"/>
      <c r="AC70" s="5"/>
      <c r="AD70" s="5"/>
      <c r="AE70" s="5"/>
      <c r="AF70" s="5"/>
      <c r="AG70" s="5"/>
      <c r="AH70" s="5"/>
      <c r="AI70" s="5"/>
      <c r="AJ70" s="5"/>
      <c r="AK70" s="5"/>
      <c r="AL70" s="5"/>
      <c r="AM70" s="5"/>
      <c r="AN70" s="5"/>
      <c r="AO70" s="5"/>
      <c r="AP70" s="5"/>
      <c r="AQ70" s="5"/>
      <c r="AR70" s="40">
        <f t="array" ref="AR70">MIN(100, MAX(0,
  IFERROR(_xlfn.XLOOKUP(AJ70,'Lookup Tables'!$A$2:$A$7,'Lookup Tables'!$B$2:$B$7,0),0)
  + IF(Z70="Yes", IF(IFERROR(_xlfn.XLOOKUP(AJ70,'Lookup Tables'!$A$2:$A$7,'Lookup Tables'!$B$2:$B$7,0),0)&lt;20, 5, 0), 0)
  + _xlfn.IFS(AB70="Yes", IF(ISNUMBER(AC70)*AND(AC70&lt;=2030),15,10), AB70="Long-term Only", 5, AB70="No", 0, TRUE, 0)
  + _xlfn.IFS(AF70="Full",10, AF70="Partial",5, AF70="Scope 2 Only",3, TRUE,0)
  + _xlfn.IFS(AG70="Yes", IF(ISNUMBER(AH70)*AND(AH70&gt;=5),10,6), AG70="Partial",4, TRUE,0)
  + _xlfn.IFS(AI70="Yes",5, AI70="Partial (material categories only)",3, TRUE,0)
  + _xlfn.IFS(AL70="Yes — Detailed",10, AL70="Yes — High Level",5, TRUE,0)
  + _xlfn.IFS(AM70="Yes — Quantified",15, AM70="Yes — Directional Only",7, TRUE,0)
  + _xlfn.IFS(AP70="Formal",5, AP70="Referenced",2, TRUE,0)
  + _xlfn.IFS(AQ70="No Issues Found",5, AQ70="Concern Identified",-5, AQ70="Severe Contradiction",-15, TRUE,0)
  + _xlfn.IFS(BC70="Reasonable Assurance",5, BC70="Limited Assurance",3, TRUE,0)
  - IF(AND(Z70="Yes", AI70="No"), 10, 0)
  - IF(AND(Z70="Yes", AM70="No"), 10, 0)
))</f>
        <v>0</v>
      </c>
      <c r="AS70" s="5"/>
      <c r="AT70" s="5"/>
      <c r="AU70" s="5"/>
      <c r="AV70" s="5"/>
      <c r="AW70" s="5"/>
      <c r="AX70" s="5"/>
      <c r="AY70" s="5"/>
      <c r="AZ70" s="5"/>
      <c r="BA70" s="5"/>
      <c r="BB70" s="5"/>
      <c r="BC70" s="5"/>
      <c r="BD70" s="5"/>
      <c r="BE70" s="39">
        <f t="array" ref="BE70">MIN(100, MAX(0,
  IFERROR(_xlfn.XLOOKUP(AT70,'Lookup Tables'!$D$2:$D$6,'Lookup Tables'!$E$2:$E$6,0),0)
  + IFERROR(_xlfn.XLOOKUP(AV70,'Lookup Tables'!$G$2:$G$5,'Lookup Tables'!$H$2:$H$5,0),0)
  + IFERROR(_xlfn.XLOOKUP(AW70,'Lookup Tables'!$J$2:$J$5,'Lookup Tables'!$K$2:$K$5,0),0)
  + _xlfn.IFS(AX70="No Issues",10, AX70="Complaint Filed",3, AX70="Confirmed Breach",-15, TRUE,0)
  + IFERROR(_xlfn.XLOOKUP(AY70,'Lookup Tables'!$M$2:$M$6,'Lookup Tables'!$N$2:$N$6,0),0)
  + IFERROR(_xlfn.XLOOKUP(AZ70,'Lookup Tables'!$P$2:$P$6,'Lookup Tables'!$Q$2:$Q$6,0),0)
  + _xlfn.IFS(BA70="Formal Board Committee",5, BA70="Board Oversight Mentioned",2, TRUE,0)
  + _xlfn.IFS(BB70="Yes — Quantified Targets",5, BB70="Yes — Discretionary Only",2, TRUE,0)
  + _xlfn.IFS(BC70="Reasonable Assurance",5, BC70="Limited Assurance",3, BC70="Management Review Only",1, TRUE,0)
))</f>
        <v>0</v>
      </c>
      <c r="BF70" s="5"/>
      <c r="BG70" s="5"/>
      <c r="BH70" s="5"/>
      <c r="BI70" s="5"/>
      <c r="BJ70" s="5"/>
      <c r="BK70" s="5"/>
      <c r="BL70" s="5"/>
      <c r="BM70" s="5"/>
      <c r="BN70" s="5"/>
      <c r="BO70" s="5"/>
      <c r="BP70" s="5"/>
      <c r="BQ70" s="5"/>
      <c r="BR70" s="5"/>
      <c r="BS70" s="41">
        <f t="array" ref="BS70">MIN(100, MAX(0,
  IFERROR(_xlfn.XLOOKUP(BG70,'Lookup Tables'!$A$11:$A$16,'Lookup Tables'!$B$11:$B$16,0),0)
  + IFERROR(_xlfn.XLOOKUP(BR70,'Lookup Tables'!$M$11:$M$14,'Lookup Tables'!$N$11:$N$14,0),0)
  + IFERROR(_xlfn.XLOOKUP(BQ70,'Lookup Tables'!$J$11:$J$15,'Lookup Tables'!$K$11:$K$15,0),0)
  + IFERROR(_xlfn.XLOOKUP(BH70,'Lookup Tables'!$D$11:$D$15,'Lookup Tables'!$E$11:$E$15,0),0)
  + IFERROR(_xlfn.XLOOKUP(BJ70,'Lookup Tables'!$G$11:$G$16,'Lookup Tables'!$H$11:$H$16,0),0)
  + IFERROR(_xlfn.XLOOKUP(BN70,'Lookup Tables'!$P$11:$P$15,'Lookup Tables'!$Q$11:$Q$15,0),0)
  + _xlfn.IFS(BM70="No Evidence",10, BM70="Unknown",3, BM70="Likely",0, BM70="Confirmed",-10, TRUE,3)
  + IFERROR(_xlfn.XLOOKUP(BP70,'Lookup Tables'!$J$21:$J$24,'Lookup Tables'!$K$21:$K$24,0),0)
))</f>
        <v>3</v>
      </c>
      <c r="BT70" s="5"/>
      <c r="BU70" s="5"/>
      <c r="BV70" s="5"/>
      <c r="BW70" s="5"/>
      <c r="BX70" s="5"/>
      <c r="BY70" s="5"/>
      <c r="BZ70" s="5"/>
      <c r="CA70" s="5"/>
      <c r="CB70" s="5"/>
      <c r="CC70" s="5"/>
      <c r="CD70" s="5"/>
      <c r="CE70" s="43">
        <f t="array" ref="CE70">MIN(100, MAX(0,
  IF(ISNUMBER(BV70)*AND(BV70&gt;0), 10, 0)
  + _xlfn.IFS(BY70="Independently Verified",25, BY70="Yes",15, TRUE,0)
  + IFERROR(_xlfn.XLOOKUP(BZ70,'Lookup Tables'!$A$21:$A$24,'Lookup Tables'!$B$21:$B$24,0),0)
  + IFERROR(_xlfn.XLOOKUP(CA70,'Lookup Tables'!$D$21:$D$24,'Lookup Tables'!$E$21:$E$24,0),0)
  + _xlfn.IFS(ISNUMBER(CB70)*AND(CB70&gt;=11),15, ISNUMBER(CB70)*AND(CB70&gt;=6),10, ISNUMBER(CB70)*AND(CB70&gt;=1),5, TRUE,0)
  + IFERROR(_xlfn.XLOOKUP(CC70,'Lookup Tables'!$G$21:$G$25,'Lookup Tables'!$H$21:$H$25,0),0)
  - IF(ISNUMBER(BW70)*AND(ISNUMBER(BV70))*AND(BW70&gt;BV70), 20, 0)
  - IF(AND(BY70="Yes", ISNUMBER(BW70), BW70&gt;60), 10, 0)
))</f>
        <v>0</v>
      </c>
      <c r="CF70" s="5"/>
      <c r="CG70" s="5"/>
      <c r="CH70" s="5"/>
      <c r="CI70" s="5"/>
      <c r="CJ70" s="5"/>
      <c r="CK70" s="5"/>
      <c r="CL70" s="5"/>
      <c r="CM70" s="5"/>
      <c r="CN70" s="5"/>
      <c r="CO70" s="5"/>
      <c r="CP70" s="5"/>
      <c r="CQ70" s="5"/>
      <c r="CR70" s="5">
        <f t="shared" si="51"/>
        <v>0</v>
      </c>
      <c r="CS70" s="5">
        <f t="shared" si="52"/>
        <v>0</v>
      </c>
      <c r="CT70" s="5">
        <f t="shared" si="53"/>
        <v>0</v>
      </c>
      <c r="CU70" s="5">
        <f>MIN(100,
  CR70*15
  + CS70*6
  + CT70*3
  + IFERROR(_xlfn.XLOOKUP(CW70,'Lookup Tables'!$M$21:$M$25,'Lookup Tables'!$N$21:$N$25,0),0)
)</f>
        <v>0</v>
      </c>
      <c r="CV70" s="5" t="str">
        <f t="shared" si="61"/>
        <v>No failures</v>
      </c>
      <c r="CW70" s="5"/>
      <c r="CX70" s="5"/>
      <c r="CY70" s="5"/>
      <c r="CZ70" s="5"/>
      <c r="DA70" s="5" t="str">
        <f t="shared" si="54"/>
        <v>Yes</v>
      </c>
      <c r="DB70" s="5" t="str">
        <f t="shared" si="55"/>
        <v>No</v>
      </c>
      <c r="DC70" s="5"/>
      <c r="DD70" s="5"/>
      <c r="DE70" s="5"/>
      <c r="DF70" s="5"/>
      <c r="DG70" s="5"/>
      <c r="DH70" s="5"/>
      <c r="DI70" s="5"/>
      <c r="DJ70" s="5"/>
      <c r="DK70" s="5"/>
      <c r="DL70" s="5" t="str">
        <f t="shared" si="56"/>
        <v>Clear</v>
      </c>
      <c r="DM70" s="5" t="str">
        <f t="shared" si="57"/>
        <v>Yes</v>
      </c>
      <c r="DN70" s="5">
        <f t="array" ref="DN70">MIN(100,
  IF(ISNUMBER(V70), _xlfn.IFS(V70&gt;=3,25, V70=2,15, V70=1,5, TRUE,0), 0)
  + IFERROR(_xlfn.IFS(VALUE(LEFT(DF70,1))=5,25, VALUE(LEFT(DF70,1))=4,20, VALUE(LEFT(DF70,1))=3,15, VALUE(LEFT(DF70,1))=2,8, TRUE,0), 15)
  + IFERROR(_xlfn.IFS(VALUE(LEFT(DG70,1))=5,25, VALUE(LEFT(DG70,1))=4,20, VALUE(LEFT(DG70,1))=3,15, VALUE(LEFT(DG70,1))=2,8, TRUE,0), 15)
  + _xlfn.IFS(DH70="Fully Verified",25, DH70="Partially Verified",12, TRUE,0)
)</f>
        <v>30</v>
      </c>
      <c r="DO70" s="5" t="str">
        <f t="array" ref="DO70">_xlfn.IFS(
  ISBLANK(AR70), "Insufficient Evidence",
  AND(AR70&gt;=65, AJ70="Approved"), "Strong",
  AR70&gt;=65, "Adequate",
  AR70&gt;=40, "Adequate",
  AR70&gt;=20, "Weak",
  TRUE, "Insufficient Evidence"
)</f>
        <v>Insufficient Evidence</v>
      </c>
      <c r="DP70" s="5" t="str">
        <f t="array" ref="DP70">_xlfn.IFS(
  ISBLANK(BS70), "Insufficient Evidence",
  BS70&gt;=65, "Strong",
  BS70&gt;=40, "Adequate",
  BS70&gt;=20, "Weak",
  TRUE, "Insufficient Evidence"
)</f>
        <v>Insufficient Evidence</v>
      </c>
      <c r="DQ70" s="5" t="str">
        <f t="array" ref="DQ70">_xlfn.IFS(
  ISBLANK(BE70), "Insufficient Evidence",
  OR(AW70="Confirmed Violation", AX70="Confirmed Breach"), "Severe — Hard Trigger",
  BE70&gt;=65, "Strong",
  BE70&gt;=40, "Adequate",
  BE70&gt;=20, "Weak",
  TRUE, "Insufficient Evidence"
)</f>
        <v>Insufficient Evidence</v>
      </c>
      <c r="DR70" s="5" t="str">
        <f t="array" ref="DR70">_xlfn.IFS(
  ISBLANK(CU70), "Insufficient Evidence",
  CU70&lt;=20, "Low Risk",
  CU70&lt;=50, "Moderate Risk",
  CU70&lt;=75, "High Risk",
  TRUE, "Very High Risk"
)</f>
        <v>Low Risk</v>
      </c>
      <c r="DS70" s="5" t="str">
        <f t="array" ref="DS70">_xlfn.IFS(
  ISBLANK(CE70), "Insufficient Evidence",
  AND(ISNUMBER(BW70),ISNUMBER(BV70),BW70&gt;BV70), "Overclaiming Risk",
  CE70&gt;=65, "Strong",
  CE70&gt;=40, "Adequate",
  TRUE, "Weak"
)</f>
        <v>Weak</v>
      </c>
      <c r="DT70" s="5">
        <f t="shared" si="58"/>
        <v>11.7</v>
      </c>
      <c r="DU70" s="5" t="str">
        <f t="array" ref="DU70">_xlfn.IFS(
  DV70="Upgraded to Clear", "Clear",
  DV70="Downgraded to Watchlist", "Watchlist",
  DV70="Downgraded to Exclusion", "Exclusion Risk",
  DB70="Yes — Automatic", "Exclusion Risk",
  OR(AW70="Confirmed Violation", AX70="Confirmed Breach"), "Exclusion Risk",
  OR(V70=0, ISBLANK(V70), DN70&lt;20), "Insufficient Evidence",
  AND(DT70&gt;=65, DA70="No", DB70="No"), "Clear",
  OR(DT70&gt;=40, DA70="Yes"), "Watchlist",
  TRUE, "Exclusion Risk"
)</f>
        <v>Insufficient Evidence</v>
      </c>
      <c r="DV70" s="5"/>
      <c r="DW70" s="5" t="str">
        <f t="array" ref="DW70">_xlfn.IFS(
  DU70="Exclusion Risk", "Exclude — Hard Trigger",
  DU70="Insufficient Evidence", "Watchlist — Further Evidence Needed",
  DU70="Watchlist", "Watchlist — Further Evidence Needed",
  AND(DU70="Clear", DT70&gt;=80), "Include — No Conditions",
  DU70="Clear", "Include — Monitor",
  TRUE, "Watchlist — Further Evidence Needed"
)</f>
        <v>Watchlist — Further Evidence Needed</v>
      </c>
      <c r="DX70" s="5"/>
      <c r="DY70" s="5"/>
      <c r="DZ70" s="5"/>
      <c r="EA70" s="5"/>
      <c r="EB70" s="5" t="str">
        <f t="shared" si="59"/>
        <v>MISSING — No sources reviewed</v>
      </c>
      <c r="EC70" s="5" t="str">
        <f t="shared" si="60"/>
        <v/>
      </c>
    </row>
    <row r="71" spans="1:133" ht="18" customHeight="1" x14ac:dyDescent="0.15">
      <c r="A71" s="3" t="s">
        <v>559</v>
      </c>
      <c r="B71" s="3" t="s">
        <v>560</v>
      </c>
      <c r="C71" s="3" t="str">
        <f>IF(ISBLANK('Universe Tracker'!D67),"",'Universe Tracker'!D67)</f>
        <v>BE0003822393</v>
      </c>
      <c r="D71" s="3"/>
      <c r="E71" s="3"/>
      <c r="F71" s="3" t="str">
        <f>IF(ISBLANK('Universe Tracker'!F67),"",'Universe Tracker'!F67)</f>
        <v>Utilities</v>
      </c>
      <c r="G71" s="3" t="str">
        <f>IF(ISBLANK('Universe Tracker'!G67),"",'Universe Tracker'!G67)</f>
        <v>Utilities</v>
      </c>
      <c r="H71" s="3"/>
      <c r="I71" s="3"/>
      <c r="J71" s="3" t="str">
        <f t="shared" ref="J71:J87" si="62">IF(ISBLANK(B71),"",B71&amp;"_"&amp;C71)</f>
        <v>E4S_BE0003822393</v>
      </c>
      <c r="K71" s="3"/>
      <c r="L71" s="3"/>
      <c r="M71" s="3"/>
      <c r="N71" s="3"/>
      <c r="O71" s="3"/>
      <c r="P71" s="3"/>
      <c r="Q71" s="3"/>
      <c r="R71" s="3"/>
      <c r="S71" s="3"/>
      <c r="T71" s="3"/>
      <c r="U71" s="3"/>
      <c r="V71" s="3"/>
      <c r="W71" s="3"/>
      <c r="X71" s="3"/>
      <c r="Y71" s="3" t="str">
        <f t="shared" ref="Y71:Y87" si="63">IF(AND(V71&gt;=2,K71="Yes",L71="Yes"),"Sufficient",IF(AND(V71&gt;=1,OR(K71="Yes",L71="Yes")),"Thin","Insufficient"))</f>
        <v>Insufficient</v>
      </c>
      <c r="Z71" s="3"/>
      <c r="AA71" s="3"/>
      <c r="AB71" s="3"/>
      <c r="AC71" s="3"/>
      <c r="AD71" s="3"/>
      <c r="AE71" s="3"/>
      <c r="AF71" s="3"/>
      <c r="AG71" s="3"/>
      <c r="AH71" s="3"/>
      <c r="AI71" s="3"/>
      <c r="AJ71" s="3"/>
      <c r="AK71" s="3"/>
      <c r="AL71" s="3"/>
      <c r="AM71" s="3"/>
      <c r="AN71" s="3"/>
      <c r="AO71" s="3"/>
      <c r="AP71" s="3"/>
      <c r="AQ71" s="3"/>
      <c r="AR71" s="40">
        <f t="array" ref="AR71">MIN(100, MAX(0,
  IFERROR(_xlfn.XLOOKUP(AJ71,'Lookup Tables'!$A$2:$A$7,'Lookup Tables'!$B$2:$B$7,0),0)
  + IF(Z71="Yes", IF(IFERROR(_xlfn.XLOOKUP(AJ71,'Lookup Tables'!$A$2:$A$7,'Lookup Tables'!$B$2:$B$7,0),0)&lt;20, 5, 0), 0)
  + _xlfn.IFS(AB71="Yes", IF(ISNUMBER(AC71)*AND(AC71&lt;=2030),15,10), AB71="Long-term Only", 5, AB71="No", 0, TRUE, 0)
  + _xlfn.IFS(AF71="Full",10, AF71="Partial",5, AF71="Scope 2 Only",3, TRUE,0)
  + _xlfn.IFS(AG71="Yes", IF(ISNUMBER(AH71)*AND(AH71&gt;=5),10,6), AG71="Partial",4, TRUE,0)
  + _xlfn.IFS(AI71="Yes",5, AI71="Partial (material categories only)",3, TRUE,0)
  + _xlfn.IFS(AL71="Yes — Detailed",10, AL71="Yes — High Level",5, TRUE,0)
  + _xlfn.IFS(AM71="Yes — Quantified",15, AM71="Yes — Directional Only",7, TRUE,0)
  + _xlfn.IFS(AP71="Formal",5, AP71="Referenced",2, TRUE,0)
  + _xlfn.IFS(AQ71="No Issues Found",5, AQ71="Concern Identified",-5, AQ71="Severe Contradiction",-15, TRUE,0)
  + _xlfn.IFS(BC71="Reasonable Assurance",5, BC71="Limited Assurance",3, TRUE,0)
  - IF(AND(Z71="Yes", AI71="No"), 10, 0)
  - IF(AND(Z71="Yes", AM71="No"), 10, 0)
))</f>
        <v>0</v>
      </c>
      <c r="AS71" s="3"/>
      <c r="AT71" s="3"/>
      <c r="AU71" s="3"/>
      <c r="AV71" s="3"/>
      <c r="AW71" s="3"/>
      <c r="AX71" s="3"/>
      <c r="AY71" s="3"/>
      <c r="AZ71" s="3"/>
      <c r="BA71" s="3"/>
      <c r="BB71" s="3"/>
      <c r="BC71" s="3"/>
      <c r="BD71" s="3"/>
      <c r="BE71" s="40">
        <f t="array" ref="BE71">MIN(100, MAX(0,
  IFERROR(_xlfn.XLOOKUP(AT71,'Lookup Tables'!$D$2:$D$6,'Lookup Tables'!$E$2:$E$6,0),0)
  + IFERROR(_xlfn.XLOOKUP(AV71,'Lookup Tables'!$G$2:$G$5,'Lookup Tables'!$H$2:$H$5,0),0)
  + IFERROR(_xlfn.XLOOKUP(AW71,'Lookup Tables'!$J$2:$J$5,'Lookup Tables'!$K$2:$K$5,0),0)
  + _xlfn.IFS(AX71="No Issues",10, AX71="Complaint Filed",3, AX71="Confirmed Breach",-15, TRUE,0)
  + IFERROR(_xlfn.XLOOKUP(AY71,'Lookup Tables'!$M$2:$M$6,'Lookup Tables'!$N$2:$N$6,0),0)
  + IFERROR(_xlfn.XLOOKUP(AZ71,'Lookup Tables'!$P$2:$P$6,'Lookup Tables'!$Q$2:$Q$6,0),0)
  + _xlfn.IFS(BA71="Formal Board Committee",5, BA71="Board Oversight Mentioned",2, TRUE,0)
  + _xlfn.IFS(BB71="Yes — Quantified Targets",5, BB71="Yes — Discretionary Only",2, TRUE,0)
  + _xlfn.IFS(BC71="Reasonable Assurance",5, BC71="Limited Assurance",3, BC71="Management Review Only",1, TRUE,0)
))</f>
        <v>0</v>
      </c>
      <c r="BF71" s="3"/>
      <c r="BG71" s="3"/>
      <c r="BH71" s="3"/>
      <c r="BI71" s="3"/>
      <c r="BJ71" s="3"/>
      <c r="BK71" s="3"/>
      <c r="BL71" s="3"/>
      <c r="BM71" s="3"/>
      <c r="BN71" s="3"/>
      <c r="BO71" s="3"/>
      <c r="BP71" s="3"/>
      <c r="BQ71" s="3"/>
      <c r="BR71" s="3"/>
      <c r="BS71" s="42">
        <f t="array" ref="BS71">MIN(100, MAX(0,
  IFERROR(_xlfn.XLOOKUP(BG71,'Lookup Tables'!$A$11:$A$16,'Lookup Tables'!$B$11:$B$16,0),0)
  + IFERROR(_xlfn.XLOOKUP(BR71,'Lookup Tables'!$M$11:$M$14,'Lookup Tables'!$N$11:$N$14,0),0)
  + IFERROR(_xlfn.XLOOKUP(BQ71,'Lookup Tables'!$J$11:$J$15,'Lookup Tables'!$K$11:$K$15,0),0)
  + IFERROR(_xlfn.XLOOKUP(BH71,'Lookup Tables'!$D$11:$D$15,'Lookup Tables'!$E$11:$E$15,0),0)
  + IFERROR(_xlfn.XLOOKUP(BJ71,'Lookup Tables'!$G$11:$G$16,'Lookup Tables'!$H$11:$H$16,0),0)
  + IFERROR(_xlfn.XLOOKUP(BN71,'Lookup Tables'!$P$11:$P$15,'Lookup Tables'!$Q$11:$Q$15,0),0)
  + _xlfn.IFS(BM71="No Evidence",10, BM71="Unknown",3, BM71="Likely",0, BM71="Confirmed",-10, TRUE,3)
  + IFERROR(_xlfn.XLOOKUP(BP71,'Lookup Tables'!$J$21:$J$24,'Lookup Tables'!$K$21:$K$24,0),0)
))</f>
        <v>3</v>
      </c>
      <c r="BT71" s="3"/>
      <c r="BU71" s="3"/>
      <c r="BV71" s="3"/>
      <c r="BW71" s="3"/>
      <c r="BX71" s="3"/>
      <c r="BY71" s="3"/>
      <c r="BZ71" s="3"/>
      <c r="CA71" s="3"/>
      <c r="CB71" s="3"/>
      <c r="CC71" s="3"/>
      <c r="CD71" s="3"/>
      <c r="CE71" s="44">
        <f t="array" ref="CE71">MIN(100, MAX(0,
  IF(ISNUMBER(BV71)*AND(BV71&gt;0), 10, 0)
  + _xlfn.IFS(BY71="Independently Verified",25, BY71="Yes",15, TRUE,0)
  + IFERROR(_xlfn.XLOOKUP(BZ71,'Lookup Tables'!$A$21:$A$24,'Lookup Tables'!$B$21:$B$24,0),0)
  + IFERROR(_xlfn.XLOOKUP(CA71,'Lookup Tables'!$D$21:$D$24,'Lookup Tables'!$E$21:$E$24,0),0)
  + _xlfn.IFS(ISNUMBER(CB71)*AND(CB71&gt;=11),15, ISNUMBER(CB71)*AND(CB71&gt;=6),10, ISNUMBER(CB71)*AND(CB71&gt;=1),5, TRUE,0)
  + IFERROR(_xlfn.XLOOKUP(CC71,'Lookup Tables'!$G$21:$G$25,'Lookup Tables'!$H$21:$H$25,0),0)
  - IF(ISNUMBER(BW71)*AND(ISNUMBER(BV71))*AND(BW71&gt;BV71), 20, 0)
  - IF(AND(BY71="Yes", ISNUMBER(BW71), BW71&gt;60), 10, 0)
))</f>
        <v>0</v>
      </c>
      <c r="CF71" s="3"/>
      <c r="CG71" s="3"/>
      <c r="CH71" s="3"/>
      <c r="CI71" s="3"/>
      <c r="CJ71" s="3"/>
      <c r="CK71" s="3"/>
      <c r="CL71" s="3"/>
      <c r="CM71" s="3"/>
      <c r="CN71" s="3"/>
      <c r="CO71" s="3"/>
      <c r="CP71" s="3"/>
      <c r="CQ71" s="3"/>
      <c r="CR71" s="3">
        <f t="shared" ref="CR71:CR87" si="64">COUNTIF(CJ71:CQ71,"FAIL")</f>
        <v>0</v>
      </c>
      <c r="CS71" s="3">
        <f t="shared" ref="CS71:CS87" si="65">COUNTIF(CJ71:CQ71,"PARTIAL")</f>
        <v>0</v>
      </c>
      <c r="CT71" s="3">
        <f t="shared" ref="CT71:CT87" si="66">COUNTIF(CJ71:CQ71,"MISSING")</f>
        <v>0</v>
      </c>
      <c r="CU71" s="3">
        <f>MIN(100,
  CR71*15
  + CS71*6
  + CT71*3
  + IFERROR(_xlfn.XLOOKUP(CW71,'Lookup Tables'!$M$21:$M$25,'Lookup Tables'!$N$21:$N$25,0),0)
)</f>
        <v>0</v>
      </c>
      <c r="CV71" s="3" t="str">
        <f t="shared" si="61"/>
        <v>No failures</v>
      </c>
      <c r="CW71" s="3"/>
      <c r="CX71" s="3"/>
      <c r="CY71" s="3"/>
      <c r="CZ71" s="3"/>
      <c r="DA71" s="3" t="str">
        <f t="shared" ref="DA71:DA87" si="67">IF(OR(CU71&gt;=50,CW71="Material",CW71="Severe",AS71="Material",AS71="Severe",BF71="Material",BF71="Severe — Exclusion Trigger",AND(ISNUMBER(BS71),BS71&lt;30)),"Yes","No")</f>
        <v>Yes</v>
      </c>
      <c r="DB71" s="3" t="str">
        <f t="shared" ref="DB71:DB87" si="68">IF(OR(CR71&gt;=6,AW71="Confirmed Violation",AX71="Confirmed Breach"),"Yes — Automatic",IF(CW71="Severe","Yes — Requires Captain Confirmation","No"))</f>
        <v>No</v>
      </c>
      <c r="DC71" s="3"/>
      <c r="DD71" s="3"/>
      <c r="DE71" s="3"/>
      <c r="DF71" s="3"/>
      <c r="DG71" s="3"/>
      <c r="DH71" s="3"/>
      <c r="DI71" s="3"/>
      <c r="DJ71" s="3"/>
      <c r="DK71" s="3"/>
      <c r="DL71" s="3" t="str">
        <f t="shared" ref="DL71:DL87" si="69">IF(OR(IFERROR(VALUE(LEFT(DF71,1)),99)&lt;=2,IFERROR(VALUE(LEFT(DG71,1)),99)&lt;=2),"Flagged","Clear")</f>
        <v>Clear</v>
      </c>
      <c r="DM71" s="3" t="str">
        <f t="shared" ref="DM71:DM87" si="70">IF(OR(DA71="Yes",DB71&lt;&gt;"No",DH71="Unverified",DL71="Flagged"),"Yes","No")</f>
        <v>Yes</v>
      </c>
      <c r="DN71" s="3">
        <f t="array" ref="DN71">MIN(100,
  IF(ISNUMBER(V71), _xlfn.IFS(V71&gt;=3,25, V71=2,15, V71=1,5, TRUE,0), 0)
  + IFERROR(_xlfn.IFS(VALUE(LEFT(DF71,1))=5,25, VALUE(LEFT(DF71,1))=4,20, VALUE(LEFT(DF71,1))=3,15, VALUE(LEFT(DF71,1))=2,8, TRUE,0), 15)
  + IFERROR(_xlfn.IFS(VALUE(LEFT(DG71,1))=5,25, VALUE(LEFT(DG71,1))=4,20, VALUE(LEFT(DG71,1))=3,15, VALUE(LEFT(DG71,1))=2,8, TRUE,0), 15)
  + _xlfn.IFS(DH71="Fully Verified",25, DH71="Partially Verified",12, TRUE,0)
)</f>
        <v>30</v>
      </c>
      <c r="DO71" s="3" t="str">
        <f t="array" ref="DO71">_xlfn.IFS(
  ISBLANK(AR71), "Insufficient Evidence",
  AND(AR71&gt;=65, AJ71="Approved"), "Strong",
  AR71&gt;=65, "Adequate",
  AR71&gt;=40, "Adequate",
  AR71&gt;=20, "Weak",
  TRUE, "Insufficient Evidence"
)</f>
        <v>Insufficient Evidence</v>
      </c>
      <c r="DP71" s="3" t="str">
        <f t="array" ref="DP71">_xlfn.IFS(
  ISBLANK(BS71), "Insufficient Evidence",
  BS71&gt;=65, "Strong",
  BS71&gt;=40, "Adequate",
  BS71&gt;=20, "Weak",
  TRUE, "Insufficient Evidence"
)</f>
        <v>Insufficient Evidence</v>
      </c>
      <c r="DQ71" s="3" t="str">
        <f t="array" ref="DQ71">_xlfn.IFS(
  ISBLANK(BE71), "Insufficient Evidence",
  OR(AW71="Confirmed Violation", AX71="Confirmed Breach"), "Severe — Hard Trigger",
  BE71&gt;=65, "Strong",
  BE71&gt;=40, "Adequate",
  BE71&gt;=20, "Weak",
  TRUE, "Insufficient Evidence"
)</f>
        <v>Insufficient Evidence</v>
      </c>
      <c r="DR71" s="3" t="str">
        <f t="array" ref="DR71">_xlfn.IFS(
  ISBLANK(CU71), "Insufficient Evidence",
  CU71&lt;=20, "Low Risk",
  CU71&lt;=50, "Moderate Risk",
  CU71&lt;=75, "High Risk",
  TRUE, "Very High Risk"
)</f>
        <v>Low Risk</v>
      </c>
      <c r="DS71" s="3" t="str">
        <f t="array" ref="DS71">_xlfn.IFS(
  ISBLANK(CE71), "Insufficient Evidence",
  AND(ISNUMBER(BW71),ISNUMBER(BV71),BW71&gt;BV71), "Overclaiming Risk",
  CE71&gt;=65, "Strong",
  CE71&gt;=40, "Adequate",
  TRUE, "Weak"
)</f>
        <v>Weak</v>
      </c>
      <c r="DT71" s="3">
        <f t="shared" ref="DT71:DT87" si="71">IF(DB71="Yes — Automatic",0,ROUND((IF(ISNUMBER(AR71),AR71,0)*0.3+IF(ISNUMBER(BS71),BS71,0)*0.2+IF(ISNUMBER(BE71),BE71,0)*0.2+IF(ISNUMBER(CE71),CE71,0)*0.15+(100-IF(ISNUMBER(CU71),CU71,50))*0.15)*IF(DN71&gt;=75,1,IF(DN71&gt;=50,0.9,IF(DN71&gt;=25,0.75,0.6))),1))</f>
        <v>11.7</v>
      </c>
      <c r="DU71" s="3" t="str">
        <f t="array" ref="DU71">_xlfn.IFS(
  DV71="Upgraded to Clear", "Clear",
  DV71="Downgraded to Watchlist", "Watchlist",
  DV71="Downgraded to Exclusion", "Exclusion Risk",
  DB71="Yes — Automatic", "Exclusion Risk",
  OR(AW71="Confirmed Violation", AX71="Confirmed Breach"), "Exclusion Risk",
  OR(V71=0, ISBLANK(V71), DN71&lt;20), "Insufficient Evidence",
  AND(DT71&gt;=65, DA71="No", DB71="No"), "Clear",
  OR(DT71&gt;=40, DA71="Yes"), "Watchlist",
  TRUE, "Exclusion Risk"
)</f>
        <v>Insufficient Evidence</v>
      </c>
      <c r="DV71" s="3"/>
      <c r="DW71" s="3" t="str">
        <f t="array" ref="DW71">_xlfn.IFS(
  DU71="Exclusion Risk", "Exclude — Hard Trigger",
  DU71="Insufficient Evidence", "Watchlist — Further Evidence Needed",
  DU71="Watchlist", "Watchlist — Further Evidence Needed",
  AND(DU71="Clear", DT71&gt;=80), "Include — No Conditions",
  DU71="Clear", "Include — Monitor",
  TRUE, "Watchlist — Further Evidence Needed"
)</f>
        <v>Watchlist — Further Evidence Needed</v>
      </c>
      <c r="DX71" s="3"/>
      <c r="DY71" s="3"/>
      <c r="DZ71" s="3"/>
      <c r="EA71" s="3"/>
      <c r="EB71" s="3" t="str">
        <f t="shared" ref="EB71:EB87" si="72">IF(OR(V71=0, ISBLANK(V71)), "MISSING — No sources reviewed", "")</f>
        <v>MISSING — No sources reviewed</v>
      </c>
      <c r="EC71" s="3" t="str">
        <f t="shared" ref="EC71:EC87" si="73">IF(AND(NOT(ISBLANK(DC71)), ISBLANK(DE71)), "PAGE REF MISSING", "")</f>
        <v/>
      </c>
    </row>
    <row r="72" spans="1:133" ht="18" customHeight="1" x14ac:dyDescent="0.15">
      <c r="A72" s="5" t="s">
        <v>563</v>
      </c>
      <c r="B72" s="5" t="s">
        <v>564</v>
      </c>
      <c r="C72" s="5" t="str">
        <f>IF(ISBLANK('Universe Tracker'!D68),"",'Universe Tracker'!D68)</f>
        <v>SE0000872095</v>
      </c>
      <c r="D72" s="5"/>
      <c r="E72" s="5"/>
      <c r="F72" s="5" t="str">
        <f>IF(ISBLANK('Universe Tracker'!F68),"",'Universe Tracker'!F68)</f>
        <v>Health Care</v>
      </c>
      <c r="G72" s="5" t="str">
        <f>IF(ISBLANK('Universe Tracker'!G68),"",'Universe Tracker'!G68)</f>
        <v>Health Care</v>
      </c>
      <c r="H72" s="5"/>
      <c r="I72" s="5"/>
      <c r="J72" s="5" t="str">
        <f t="shared" si="62"/>
        <v>B6E_SE0000872095</v>
      </c>
      <c r="K72" s="5"/>
      <c r="L72" s="5"/>
      <c r="M72" s="5"/>
      <c r="N72" s="5"/>
      <c r="O72" s="5"/>
      <c r="P72" s="5"/>
      <c r="Q72" s="5"/>
      <c r="R72" s="5"/>
      <c r="S72" s="5"/>
      <c r="T72" s="5"/>
      <c r="U72" s="5"/>
      <c r="V72" s="5"/>
      <c r="W72" s="5"/>
      <c r="X72" s="5"/>
      <c r="Y72" s="5" t="str">
        <f t="shared" si="63"/>
        <v>Insufficient</v>
      </c>
      <c r="Z72" s="5"/>
      <c r="AA72" s="5"/>
      <c r="AB72" s="5"/>
      <c r="AC72" s="5"/>
      <c r="AD72" s="5"/>
      <c r="AE72" s="5"/>
      <c r="AF72" s="5"/>
      <c r="AG72" s="5"/>
      <c r="AH72" s="5"/>
      <c r="AI72" s="5"/>
      <c r="AJ72" s="5"/>
      <c r="AK72" s="5"/>
      <c r="AL72" s="5"/>
      <c r="AM72" s="5"/>
      <c r="AN72" s="5"/>
      <c r="AO72" s="5"/>
      <c r="AP72" s="5"/>
      <c r="AQ72" s="5"/>
      <c r="AR72" s="40">
        <f t="array" ref="AR72">MIN(100, MAX(0,
  IFERROR(_xlfn.XLOOKUP(AJ72,'Lookup Tables'!$A$2:$A$7,'Lookup Tables'!$B$2:$B$7,0),0)
  + IF(Z72="Yes", IF(IFERROR(_xlfn.XLOOKUP(AJ72,'Lookup Tables'!$A$2:$A$7,'Lookup Tables'!$B$2:$B$7,0),0)&lt;20, 5, 0), 0)
  + _xlfn.IFS(AB72="Yes", IF(ISNUMBER(AC72)*AND(AC72&lt;=2030),15,10), AB72="Long-term Only", 5, AB72="No", 0, TRUE, 0)
  + _xlfn.IFS(AF72="Full",10, AF72="Partial",5, AF72="Scope 2 Only",3, TRUE,0)
  + _xlfn.IFS(AG72="Yes", IF(ISNUMBER(AH72)*AND(AH72&gt;=5),10,6), AG72="Partial",4, TRUE,0)
  + _xlfn.IFS(AI72="Yes",5, AI72="Partial (material categories only)",3, TRUE,0)
  + _xlfn.IFS(AL72="Yes — Detailed",10, AL72="Yes — High Level",5, TRUE,0)
  + _xlfn.IFS(AM72="Yes — Quantified",15, AM72="Yes — Directional Only",7, TRUE,0)
  + _xlfn.IFS(AP72="Formal",5, AP72="Referenced",2, TRUE,0)
  + _xlfn.IFS(AQ72="No Issues Found",5, AQ72="Concern Identified",-5, AQ72="Severe Contradiction",-15, TRUE,0)
  + _xlfn.IFS(BC72="Reasonable Assurance",5, BC72="Limited Assurance",3, TRUE,0)
  - IF(AND(Z72="Yes", AI72="No"), 10, 0)
  - IF(AND(Z72="Yes", AM72="No"), 10, 0)
))</f>
        <v>0</v>
      </c>
      <c r="AS72" s="5"/>
      <c r="AT72" s="5"/>
      <c r="AU72" s="5"/>
      <c r="AV72" s="5"/>
      <c r="AW72" s="5"/>
      <c r="AX72" s="5"/>
      <c r="AY72" s="5"/>
      <c r="AZ72" s="5"/>
      <c r="BA72" s="5"/>
      <c r="BB72" s="5"/>
      <c r="BC72" s="5"/>
      <c r="BD72" s="5"/>
      <c r="BE72" s="39">
        <f t="array" ref="BE72">MIN(100, MAX(0,
  IFERROR(_xlfn.XLOOKUP(AT72,'Lookup Tables'!$D$2:$D$6,'Lookup Tables'!$E$2:$E$6,0),0)
  + IFERROR(_xlfn.XLOOKUP(AV72,'Lookup Tables'!$G$2:$G$5,'Lookup Tables'!$H$2:$H$5,0),0)
  + IFERROR(_xlfn.XLOOKUP(AW72,'Lookup Tables'!$J$2:$J$5,'Lookup Tables'!$K$2:$K$5,0),0)
  + _xlfn.IFS(AX72="No Issues",10, AX72="Complaint Filed",3, AX72="Confirmed Breach",-15, TRUE,0)
  + IFERROR(_xlfn.XLOOKUP(AY72,'Lookup Tables'!$M$2:$M$6,'Lookup Tables'!$N$2:$N$6,0),0)
  + IFERROR(_xlfn.XLOOKUP(AZ72,'Lookup Tables'!$P$2:$P$6,'Lookup Tables'!$Q$2:$Q$6,0),0)
  + _xlfn.IFS(BA72="Formal Board Committee",5, BA72="Board Oversight Mentioned",2, TRUE,0)
  + _xlfn.IFS(BB72="Yes — Quantified Targets",5, BB72="Yes — Discretionary Only",2, TRUE,0)
  + _xlfn.IFS(BC72="Reasonable Assurance",5, BC72="Limited Assurance",3, BC72="Management Review Only",1, TRUE,0)
))</f>
        <v>0</v>
      </c>
      <c r="BF72" s="5"/>
      <c r="BG72" s="5"/>
      <c r="BH72" s="5"/>
      <c r="BI72" s="5"/>
      <c r="BJ72" s="5"/>
      <c r="BK72" s="5"/>
      <c r="BL72" s="5"/>
      <c r="BM72" s="5"/>
      <c r="BN72" s="5"/>
      <c r="BO72" s="5"/>
      <c r="BP72" s="5"/>
      <c r="BQ72" s="5"/>
      <c r="BR72" s="5"/>
      <c r="BS72" s="41">
        <f t="array" ref="BS72">MIN(100, MAX(0,
  IFERROR(_xlfn.XLOOKUP(BG72,'Lookup Tables'!$A$11:$A$16,'Lookup Tables'!$B$11:$B$16,0),0)
  + IFERROR(_xlfn.XLOOKUP(BR72,'Lookup Tables'!$M$11:$M$14,'Lookup Tables'!$N$11:$N$14,0),0)
  + IFERROR(_xlfn.XLOOKUP(BQ72,'Lookup Tables'!$J$11:$J$15,'Lookup Tables'!$K$11:$K$15,0),0)
  + IFERROR(_xlfn.XLOOKUP(BH72,'Lookup Tables'!$D$11:$D$15,'Lookup Tables'!$E$11:$E$15,0),0)
  + IFERROR(_xlfn.XLOOKUP(BJ72,'Lookup Tables'!$G$11:$G$16,'Lookup Tables'!$H$11:$H$16,0),0)
  + IFERROR(_xlfn.XLOOKUP(BN72,'Lookup Tables'!$P$11:$P$15,'Lookup Tables'!$Q$11:$Q$15,0),0)
  + _xlfn.IFS(BM72="No Evidence",10, BM72="Unknown",3, BM72="Likely",0, BM72="Confirmed",-10, TRUE,3)
  + IFERROR(_xlfn.XLOOKUP(BP72,'Lookup Tables'!$J$21:$J$24,'Lookup Tables'!$K$21:$K$24,0),0)
))</f>
        <v>3</v>
      </c>
      <c r="BT72" s="5"/>
      <c r="BU72" s="5"/>
      <c r="BV72" s="5"/>
      <c r="BW72" s="5"/>
      <c r="BX72" s="5"/>
      <c r="BY72" s="5"/>
      <c r="BZ72" s="5"/>
      <c r="CA72" s="5"/>
      <c r="CB72" s="5"/>
      <c r="CC72" s="5"/>
      <c r="CD72" s="5"/>
      <c r="CE72" s="43">
        <f t="array" ref="CE72">MIN(100, MAX(0,
  IF(ISNUMBER(BV72)*AND(BV72&gt;0), 10, 0)
  + _xlfn.IFS(BY72="Independently Verified",25, BY72="Yes",15, TRUE,0)
  + IFERROR(_xlfn.XLOOKUP(BZ72,'Lookup Tables'!$A$21:$A$24,'Lookup Tables'!$B$21:$B$24,0),0)
  + IFERROR(_xlfn.XLOOKUP(CA72,'Lookup Tables'!$D$21:$D$24,'Lookup Tables'!$E$21:$E$24,0),0)
  + _xlfn.IFS(ISNUMBER(CB72)*AND(CB72&gt;=11),15, ISNUMBER(CB72)*AND(CB72&gt;=6),10, ISNUMBER(CB72)*AND(CB72&gt;=1),5, TRUE,0)
  + IFERROR(_xlfn.XLOOKUP(CC72,'Lookup Tables'!$G$21:$G$25,'Lookup Tables'!$H$21:$H$25,0),0)
  - IF(ISNUMBER(BW72)*AND(ISNUMBER(BV72))*AND(BW72&gt;BV72), 20, 0)
  - IF(AND(BY72="Yes", ISNUMBER(BW72), BW72&gt;60), 10, 0)
))</f>
        <v>0</v>
      </c>
      <c r="CF72" s="5"/>
      <c r="CG72" s="5"/>
      <c r="CH72" s="5"/>
      <c r="CI72" s="5"/>
      <c r="CJ72" s="5"/>
      <c r="CK72" s="5"/>
      <c r="CL72" s="5"/>
      <c r="CM72" s="5"/>
      <c r="CN72" s="5"/>
      <c r="CO72" s="5"/>
      <c r="CP72" s="5"/>
      <c r="CQ72" s="5"/>
      <c r="CR72" s="5">
        <f t="shared" si="64"/>
        <v>0</v>
      </c>
      <c r="CS72" s="5">
        <f t="shared" si="65"/>
        <v>0</v>
      </c>
      <c r="CT72" s="5">
        <f t="shared" si="66"/>
        <v>0</v>
      </c>
      <c r="CU72" s="5">
        <f>MIN(100,
  CR72*15
  + CS72*6
  + CT72*3
  + IFERROR(_xlfn.XLOOKUP(CW72,'Lookup Tables'!$M$21:$M$25,'Lookup Tables'!$N$21:$N$25,0),0)
)</f>
        <v>0</v>
      </c>
      <c r="CV72" s="5" t="str">
        <f>IFERROR(
  CHOOSE(
    MATCH("FAIL",CJ72:CQ72,0),
    "1-Specificity","2-Metric","3-Baseline","4-Target",
    "5-Time Horizon","6-Scope","7-Verification","8-Consistency"
  ),
  IFERROR(
    CHOOSE(
      MATCH("PARTIAL",CJ72:CQ72,0),
      "1-Specificity","2-Metric","3-Baseline","4-Target",
      "5-Time Horizon","6-Scope","7-Verification","8-Consistency"
    ),
    "No failures"
  )
)</f>
        <v>No failures</v>
      </c>
      <c r="CW72" s="5"/>
      <c r="CX72" s="5"/>
      <c r="CY72" s="5"/>
      <c r="CZ72" s="5"/>
      <c r="DA72" s="5" t="str">
        <f t="shared" si="67"/>
        <v>Yes</v>
      </c>
      <c r="DB72" s="5" t="str">
        <f t="shared" si="68"/>
        <v>No</v>
      </c>
      <c r="DC72" s="5"/>
      <c r="DD72" s="5"/>
      <c r="DE72" s="5"/>
      <c r="DF72" s="5"/>
      <c r="DG72" s="5"/>
      <c r="DH72" s="5"/>
      <c r="DI72" s="5"/>
      <c r="DJ72" s="5"/>
      <c r="DK72" s="5"/>
      <c r="DL72" s="5" t="str">
        <f t="shared" si="69"/>
        <v>Clear</v>
      </c>
      <c r="DM72" s="5" t="str">
        <f t="shared" si="70"/>
        <v>Yes</v>
      </c>
      <c r="DN72" s="5">
        <f t="array" ref="DN72">MIN(100,
  IF(ISNUMBER(V72), _xlfn.IFS(V72&gt;=3,25, V72=2,15, V72=1,5, TRUE,0), 0)
  + IFERROR(_xlfn.IFS(VALUE(LEFT(DF72,1))=5,25, VALUE(LEFT(DF72,1))=4,20, VALUE(LEFT(DF72,1))=3,15, VALUE(LEFT(DF72,1))=2,8, TRUE,0), 15)
  + IFERROR(_xlfn.IFS(VALUE(LEFT(DG72,1))=5,25, VALUE(LEFT(DG72,1))=4,20, VALUE(LEFT(DG72,1))=3,15, VALUE(LEFT(DG72,1))=2,8, TRUE,0), 15)
  + _xlfn.IFS(DH72="Fully Verified",25, DH72="Partially Verified",12, TRUE,0)
)</f>
        <v>30</v>
      </c>
      <c r="DO72" s="5" t="str">
        <f t="array" ref="DO72">_xlfn.IFS(
  ISBLANK(AR72), "Insufficient Evidence",
  AND(AR72&gt;=65, AJ72="Approved"), "Strong",
  AR72&gt;=65, "Adequate",
  AR72&gt;=40, "Adequate",
  AR72&gt;=20, "Weak",
  TRUE, "Insufficient Evidence"
)</f>
        <v>Insufficient Evidence</v>
      </c>
      <c r="DP72" s="5" t="str">
        <f t="array" ref="DP72">_xlfn.IFS(
  ISBLANK(BS72), "Insufficient Evidence",
  BS72&gt;=65, "Strong",
  BS72&gt;=40, "Adequate",
  BS72&gt;=20, "Weak",
  TRUE, "Insufficient Evidence"
)</f>
        <v>Insufficient Evidence</v>
      </c>
      <c r="DQ72" s="5" t="str">
        <f t="array" ref="DQ72">_xlfn.IFS(
  ISBLANK(BE72), "Insufficient Evidence",
  OR(AW72="Confirmed Violation", AX72="Confirmed Breach"), "Severe — Hard Trigger",
  BE72&gt;=65, "Strong",
  BE72&gt;=40, "Adequate",
  BE72&gt;=20, "Weak",
  TRUE, "Insufficient Evidence"
)</f>
        <v>Insufficient Evidence</v>
      </c>
      <c r="DR72" s="5" t="str">
        <f t="array" ref="DR72">_xlfn.IFS(
  ISBLANK(CU72), "Insufficient Evidence",
  CU72&lt;=20, "Low Risk",
  CU72&lt;=50, "Moderate Risk",
  CU72&lt;=75, "High Risk",
  TRUE, "Very High Risk"
)</f>
        <v>Low Risk</v>
      </c>
      <c r="DS72" s="5" t="str">
        <f t="array" ref="DS72">_xlfn.IFS(
  ISBLANK(CE72), "Insufficient Evidence",
  AND(ISNUMBER(BW72),ISNUMBER(BV72),BW72&gt;BV72), "Overclaiming Risk",
  CE72&gt;=65, "Strong",
  CE72&gt;=40, "Adequate",
  TRUE, "Weak"
)</f>
        <v>Weak</v>
      </c>
      <c r="DT72" s="5">
        <f t="shared" si="71"/>
        <v>11.7</v>
      </c>
      <c r="DU72" s="5" t="str">
        <f t="array" ref="DU72">_xlfn.IFS(
  DV72="Upgraded to Clear", "Clear",
  DV72="Downgraded to Watchlist", "Watchlist",
  DV72="Downgraded to Exclusion", "Exclusion Risk",
  DB72="Yes — Automatic", "Exclusion Risk",
  OR(AW72="Confirmed Violation", AX72="Confirmed Breach"), "Exclusion Risk",
  OR(V72=0, ISBLANK(V72), DN72&lt;20), "Insufficient Evidence",
  AND(DT72&gt;=65, DA72="No", DB72="No"), "Clear",
  OR(DT72&gt;=40, DA72="Yes"), "Watchlist",
  TRUE, "Exclusion Risk"
)</f>
        <v>Insufficient Evidence</v>
      </c>
      <c r="DV72" s="5"/>
      <c r="DW72" s="5" t="str">
        <f t="array" ref="DW72">_xlfn.IFS(
  DU72="Exclusion Risk", "Exclude — Hard Trigger",
  DU72="Insufficient Evidence", "Watchlist — Further Evidence Needed",
  DU72="Watchlist", "Watchlist — Further Evidence Needed",
  AND(DU72="Clear", DT72&gt;=80), "Include — No Conditions",
  DU72="Clear", "Include — Monitor",
  TRUE, "Watchlist — Further Evidence Needed"
)</f>
        <v>Watchlist — Further Evidence Needed</v>
      </c>
      <c r="DX72" s="5"/>
      <c r="DY72" s="5"/>
      <c r="DZ72" s="5"/>
      <c r="EA72" s="5"/>
      <c r="EB72" s="5" t="str">
        <f t="shared" si="72"/>
        <v>MISSING — No sources reviewed</v>
      </c>
      <c r="EC72" s="5" t="str">
        <f t="shared" si="73"/>
        <v/>
      </c>
    </row>
    <row r="73" spans="1:133" ht="18" customHeight="1" x14ac:dyDescent="0.15">
      <c r="A73" s="3" t="s">
        <v>567</v>
      </c>
      <c r="B73" s="3" t="s">
        <v>568</v>
      </c>
      <c r="C73" s="3" t="str">
        <f>IF(ISBLANK('Universe Tracker'!D69),"",'Universe Tracker'!D69)</f>
        <v>DE0007236101</v>
      </c>
      <c r="D73" s="3"/>
      <c r="E73" s="3"/>
      <c r="F73" s="3" t="str">
        <f>IF(ISBLANK('Universe Tracker'!F69),"",'Universe Tracker'!F69)</f>
        <v>Industrials</v>
      </c>
      <c r="G73" s="3" t="str">
        <f>IF(ISBLANK('Universe Tracker'!G69),"",'Universe Tracker'!G69)</f>
        <v>Industrial Products</v>
      </c>
      <c r="H73" s="3"/>
      <c r="I73" s="3"/>
      <c r="J73" s="3" t="str">
        <f t="shared" si="62"/>
        <v>SIE_DE0007236101</v>
      </c>
      <c r="K73" s="3"/>
      <c r="L73" s="3"/>
      <c r="M73" s="3"/>
      <c r="N73" s="3"/>
      <c r="O73" s="3"/>
      <c r="P73" s="3"/>
      <c r="Q73" s="3"/>
      <c r="R73" s="3"/>
      <c r="S73" s="3"/>
      <c r="T73" s="3"/>
      <c r="U73" s="3"/>
      <c r="V73" s="3"/>
      <c r="W73" s="3"/>
      <c r="X73" s="3"/>
      <c r="Y73" s="3" t="str">
        <f t="shared" si="63"/>
        <v>Insufficient</v>
      </c>
      <c r="Z73" s="3"/>
      <c r="AA73" s="3"/>
      <c r="AB73" s="3"/>
      <c r="AC73" s="3"/>
      <c r="AD73" s="3"/>
      <c r="AE73" s="3"/>
      <c r="AF73" s="3"/>
      <c r="AG73" s="3"/>
      <c r="AH73" s="3"/>
      <c r="AI73" s="3"/>
      <c r="AJ73" s="3"/>
      <c r="AK73" s="3"/>
      <c r="AL73" s="3"/>
      <c r="AM73" s="3"/>
      <c r="AN73" s="3"/>
      <c r="AO73" s="3"/>
      <c r="AP73" s="3"/>
      <c r="AQ73" s="3"/>
      <c r="AR73" s="40">
        <f t="array" ref="AR73">MIN(100, MAX(0,
  IFERROR(_xlfn.XLOOKUP(AJ73,'Lookup Tables'!$A$2:$A$7,'Lookup Tables'!$B$2:$B$7,0),0)
  + IF(Z73="Yes", IF(IFERROR(_xlfn.XLOOKUP(AJ73,'Lookup Tables'!$A$2:$A$7,'Lookup Tables'!$B$2:$B$7,0),0)&lt;20, 5, 0), 0)
  + _xlfn.IFS(AB73="Yes", IF(ISNUMBER(AC73)*AND(AC73&lt;=2030),15,10), AB73="Long-term Only", 5, AB73="No", 0, TRUE, 0)
  + _xlfn.IFS(AF73="Full",10, AF73="Partial",5, AF73="Scope 2 Only",3, TRUE,0)
  + _xlfn.IFS(AG73="Yes", IF(ISNUMBER(AH73)*AND(AH73&gt;=5),10,6), AG73="Partial",4, TRUE,0)
  + _xlfn.IFS(AI73="Yes",5, AI73="Partial (material categories only)",3, TRUE,0)
  + _xlfn.IFS(AL73="Yes — Detailed",10, AL73="Yes — High Level",5, TRUE,0)
  + _xlfn.IFS(AM73="Yes — Quantified",15, AM73="Yes — Directional Only",7, TRUE,0)
  + _xlfn.IFS(AP73="Formal",5, AP73="Referenced",2, TRUE,0)
  + _xlfn.IFS(AQ73="No Issues Found",5, AQ73="Concern Identified",-5, AQ73="Severe Contradiction",-15, TRUE,0)
  + _xlfn.IFS(BC73="Reasonable Assurance",5, BC73="Limited Assurance",3, TRUE,0)
  - IF(AND(Z73="Yes", AI73="No"), 10, 0)
  - IF(AND(Z73="Yes", AM73="No"), 10, 0)
))</f>
        <v>0</v>
      </c>
      <c r="AS73" s="3"/>
      <c r="AT73" s="3"/>
      <c r="AU73" s="3"/>
      <c r="AV73" s="3"/>
      <c r="AW73" s="3"/>
      <c r="AX73" s="3"/>
      <c r="AY73" s="3"/>
      <c r="AZ73" s="3"/>
      <c r="BA73" s="3"/>
      <c r="BB73" s="3"/>
      <c r="BC73" s="3"/>
      <c r="BD73" s="3"/>
      <c r="BE73" s="40">
        <f t="array" ref="BE73">MIN(100, MAX(0,
  IFERROR(_xlfn.XLOOKUP(AT73,'Lookup Tables'!$D$2:$D$6,'Lookup Tables'!$E$2:$E$6,0),0)
  + IFERROR(_xlfn.XLOOKUP(AV73,'Lookup Tables'!$G$2:$G$5,'Lookup Tables'!$H$2:$H$5,0),0)
  + IFERROR(_xlfn.XLOOKUP(AW73,'Lookup Tables'!$J$2:$J$5,'Lookup Tables'!$K$2:$K$5,0),0)
  + _xlfn.IFS(AX73="No Issues",10, AX73="Complaint Filed",3, AX73="Confirmed Breach",-15, TRUE,0)
  + IFERROR(_xlfn.XLOOKUP(AY73,'Lookup Tables'!$M$2:$M$6,'Lookup Tables'!$N$2:$N$6,0),0)
  + IFERROR(_xlfn.XLOOKUP(AZ73,'Lookup Tables'!$P$2:$P$6,'Lookup Tables'!$Q$2:$Q$6,0),0)
  + _xlfn.IFS(BA73="Formal Board Committee",5, BA73="Board Oversight Mentioned",2, TRUE,0)
  + _xlfn.IFS(BB73="Yes — Quantified Targets",5, BB73="Yes — Discretionary Only",2, TRUE,0)
  + _xlfn.IFS(BC73="Reasonable Assurance",5, BC73="Limited Assurance",3, BC73="Management Review Only",1, TRUE,0)
))</f>
        <v>0</v>
      </c>
      <c r="BF73" s="3"/>
      <c r="BG73" s="3"/>
      <c r="BH73" s="3"/>
      <c r="BI73" s="3"/>
      <c r="BJ73" s="3"/>
      <c r="BK73" s="3"/>
      <c r="BL73" s="3"/>
      <c r="BM73" s="3"/>
      <c r="BN73" s="3"/>
      <c r="BO73" s="3"/>
      <c r="BP73" s="3"/>
      <c r="BQ73" s="3"/>
      <c r="BR73" s="3"/>
      <c r="BS73" s="42">
        <f t="array" ref="BS73">MIN(100, MAX(0,
  IFERROR(_xlfn.XLOOKUP(BG73,'Lookup Tables'!$A$11:$A$16,'Lookup Tables'!$B$11:$B$16,0),0)
  + IFERROR(_xlfn.XLOOKUP(BR73,'Lookup Tables'!$M$11:$M$14,'Lookup Tables'!$N$11:$N$14,0),0)
  + IFERROR(_xlfn.XLOOKUP(BQ73,'Lookup Tables'!$J$11:$J$15,'Lookup Tables'!$K$11:$K$15,0),0)
  + IFERROR(_xlfn.XLOOKUP(BH73,'Lookup Tables'!$D$11:$D$15,'Lookup Tables'!$E$11:$E$15,0),0)
  + IFERROR(_xlfn.XLOOKUP(BJ73,'Lookup Tables'!$G$11:$G$16,'Lookup Tables'!$H$11:$H$16,0),0)
  + IFERROR(_xlfn.XLOOKUP(BN73,'Lookup Tables'!$P$11:$P$15,'Lookup Tables'!$Q$11:$Q$15,0),0)
  + _xlfn.IFS(BM73="No Evidence",10, BM73="Unknown",3, BM73="Likely",0, BM73="Confirmed",-10, TRUE,3)
  + IFERROR(_xlfn.XLOOKUP(BP73,'Lookup Tables'!$J$21:$J$24,'Lookup Tables'!$K$21:$K$24,0),0)
))</f>
        <v>3</v>
      </c>
      <c r="BT73" s="3"/>
      <c r="BU73" s="3"/>
      <c r="BV73" s="3"/>
      <c r="BW73" s="3"/>
      <c r="BX73" s="3"/>
      <c r="BY73" s="3"/>
      <c r="BZ73" s="3"/>
      <c r="CA73" s="3"/>
      <c r="CB73" s="3"/>
      <c r="CC73" s="3"/>
      <c r="CD73" s="3"/>
      <c r="CE73" s="44">
        <f t="array" ref="CE73">MIN(100, MAX(0,
  IF(ISNUMBER(BV73)*AND(BV73&gt;0), 10, 0)
  + _xlfn.IFS(BY73="Independently Verified",25, BY73="Yes",15, TRUE,0)
  + IFERROR(_xlfn.XLOOKUP(BZ73,'Lookup Tables'!$A$21:$A$24,'Lookup Tables'!$B$21:$B$24,0),0)
  + IFERROR(_xlfn.XLOOKUP(CA73,'Lookup Tables'!$D$21:$D$24,'Lookup Tables'!$E$21:$E$24,0),0)
  + _xlfn.IFS(ISNUMBER(CB73)*AND(CB73&gt;=11),15, ISNUMBER(CB73)*AND(CB73&gt;=6),10, ISNUMBER(CB73)*AND(CB73&gt;=1),5, TRUE,0)
  + IFERROR(_xlfn.XLOOKUP(CC73,'Lookup Tables'!$G$21:$G$25,'Lookup Tables'!$H$21:$H$25,0),0)
  - IF(ISNUMBER(BW73)*AND(ISNUMBER(BV73))*AND(BW73&gt;BV73), 20, 0)
  - IF(AND(BY73="Yes", ISNUMBER(BW73), BW73&gt;60), 10, 0)
))</f>
        <v>0</v>
      </c>
      <c r="CF73" s="3"/>
      <c r="CG73" s="3"/>
      <c r="CH73" s="3"/>
      <c r="CI73" s="3"/>
      <c r="CJ73" s="3"/>
      <c r="CK73" s="3"/>
      <c r="CL73" s="3"/>
      <c r="CM73" s="3"/>
      <c r="CN73" s="3"/>
      <c r="CO73" s="3"/>
      <c r="CP73" s="3"/>
      <c r="CQ73" s="3"/>
      <c r="CR73" s="3">
        <f t="shared" si="64"/>
        <v>0</v>
      </c>
      <c r="CS73" s="3">
        <f t="shared" si="65"/>
        <v>0</v>
      </c>
      <c r="CT73" s="3">
        <f t="shared" si="66"/>
        <v>0</v>
      </c>
      <c r="CU73" s="3">
        <f>MIN(100,
  CR73*15
  + CS73*6
  + CT73*3
  + IFERROR(_xlfn.XLOOKUP(CW73,'Lookup Tables'!$M$21:$M$25,'Lookup Tables'!$N$21:$N$25,0),0)
)</f>
        <v>0</v>
      </c>
      <c r="CV73" s="3" t="str">
        <f t="shared" ref="CV73:CV87" si="74">IFERROR(
CHOOSE(
MATCH("FAIL",CJ73:CQ73,0),
"1-Specificity","2-Metric","3-Baseline","4-Target",
"5-Time Horizon","6-Scope","7-Verification","8-Consistency"
),
IFERROR(
CHOOSE(
MATCH("PARTIAL",CJ73:CQ73,0),
"1-Specificity","2-Metric","3-Baseline","4-Target",
"5-Time Horizon","6-Scope","7-Verification","8-Consistency"
),
"No failures"
)
)</f>
        <v>No failures</v>
      </c>
      <c r="CW73" s="3"/>
      <c r="CX73" s="3"/>
      <c r="CY73" s="3"/>
      <c r="CZ73" s="3"/>
      <c r="DA73" s="3" t="str">
        <f t="shared" si="67"/>
        <v>Yes</v>
      </c>
      <c r="DB73" s="3" t="str">
        <f t="shared" si="68"/>
        <v>No</v>
      </c>
      <c r="DC73" s="3"/>
      <c r="DD73" s="3"/>
      <c r="DE73" s="3"/>
      <c r="DF73" s="3"/>
      <c r="DG73" s="3"/>
      <c r="DH73" s="3"/>
      <c r="DI73" s="3"/>
      <c r="DJ73" s="3"/>
      <c r="DK73" s="3"/>
      <c r="DL73" s="3" t="str">
        <f t="shared" si="69"/>
        <v>Clear</v>
      </c>
      <c r="DM73" s="3" t="str">
        <f t="shared" si="70"/>
        <v>Yes</v>
      </c>
      <c r="DN73" s="3">
        <f t="array" ref="DN73">MIN(100,
  IF(ISNUMBER(V73), _xlfn.IFS(V73&gt;=3,25, V73=2,15, V73=1,5, TRUE,0), 0)
  + IFERROR(_xlfn.IFS(VALUE(LEFT(DF73,1))=5,25, VALUE(LEFT(DF73,1))=4,20, VALUE(LEFT(DF73,1))=3,15, VALUE(LEFT(DF73,1))=2,8, TRUE,0), 15)
  + IFERROR(_xlfn.IFS(VALUE(LEFT(DG73,1))=5,25, VALUE(LEFT(DG73,1))=4,20, VALUE(LEFT(DG73,1))=3,15, VALUE(LEFT(DG73,1))=2,8, TRUE,0), 15)
  + _xlfn.IFS(DH73="Fully Verified",25, DH73="Partially Verified",12, TRUE,0)
)</f>
        <v>30</v>
      </c>
      <c r="DO73" s="3" t="str">
        <f t="array" ref="DO73">_xlfn.IFS(
  ISBLANK(AR73), "Insufficient Evidence",
  AND(AR73&gt;=65, AJ73="Approved"), "Strong",
  AR73&gt;=65, "Adequate",
  AR73&gt;=40, "Adequate",
  AR73&gt;=20, "Weak",
  TRUE, "Insufficient Evidence"
)</f>
        <v>Insufficient Evidence</v>
      </c>
      <c r="DP73" s="3" t="str">
        <f t="array" ref="DP73">_xlfn.IFS(
  ISBLANK(BS73), "Insufficient Evidence",
  BS73&gt;=65, "Strong",
  BS73&gt;=40, "Adequate",
  BS73&gt;=20, "Weak",
  TRUE, "Insufficient Evidence"
)</f>
        <v>Insufficient Evidence</v>
      </c>
      <c r="DQ73" s="3" t="str">
        <f t="array" ref="DQ73">_xlfn.IFS(
  ISBLANK(BE73), "Insufficient Evidence",
  OR(AW73="Confirmed Violation", AX73="Confirmed Breach"), "Severe — Hard Trigger",
  BE73&gt;=65, "Strong",
  BE73&gt;=40, "Adequate",
  BE73&gt;=20, "Weak",
  TRUE, "Insufficient Evidence"
)</f>
        <v>Insufficient Evidence</v>
      </c>
      <c r="DR73" s="3" t="str">
        <f t="array" ref="DR73">_xlfn.IFS(
  ISBLANK(CU73), "Insufficient Evidence",
  CU73&lt;=20, "Low Risk",
  CU73&lt;=50, "Moderate Risk",
  CU73&lt;=75, "High Risk",
  TRUE, "Very High Risk"
)</f>
        <v>Low Risk</v>
      </c>
      <c r="DS73" s="3" t="str">
        <f t="array" ref="DS73">_xlfn.IFS(
  ISBLANK(CE73), "Insufficient Evidence",
  AND(ISNUMBER(BW73),ISNUMBER(BV73),BW73&gt;BV73), "Overclaiming Risk",
  CE73&gt;=65, "Strong",
  CE73&gt;=40, "Adequate",
  TRUE, "Weak"
)</f>
        <v>Weak</v>
      </c>
      <c r="DT73" s="3">
        <f t="shared" si="71"/>
        <v>11.7</v>
      </c>
      <c r="DU73" s="3" t="str">
        <f t="array" ref="DU73">_xlfn.IFS(
  DV73="Upgraded to Clear", "Clear",
  DV73="Downgraded to Watchlist", "Watchlist",
  DV73="Downgraded to Exclusion", "Exclusion Risk",
  DB73="Yes — Automatic", "Exclusion Risk",
  OR(AW73="Confirmed Violation", AX73="Confirmed Breach"), "Exclusion Risk",
  OR(V73=0, ISBLANK(V73), DN73&lt;20), "Insufficient Evidence",
  AND(DT73&gt;=65, DA73="No", DB73="No"), "Clear",
  OR(DT73&gt;=40, DA73="Yes"), "Watchlist",
  TRUE, "Exclusion Risk"
)</f>
        <v>Insufficient Evidence</v>
      </c>
      <c r="DV73" s="3"/>
      <c r="DW73" s="3" t="str">
        <f t="array" ref="DW73">_xlfn.IFS(
  DU73="Exclusion Risk", "Exclude — Hard Trigger",
  DU73="Insufficient Evidence", "Watchlist — Further Evidence Needed",
  DU73="Watchlist", "Watchlist — Further Evidence Needed",
  AND(DU73="Clear", DT73&gt;=80), "Include — No Conditions",
  DU73="Clear", "Include — Monitor",
  TRUE, "Watchlist — Further Evidence Needed"
)</f>
        <v>Watchlist — Further Evidence Needed</v>
      </c>
      <c r="DX73" s="3"/>
      <c r="DY73" s="3"/>
      <c r="DZ73" s="3"/>
      <c r="EA73" s="3"/>
      <c r="EB73" s="3" t="str">
        <f t="shared" si="72"/>
        <v>MISSING — No sources reviewed</v>
      </c>
      <c r="EC73" s="3" t="str">
        <f t="shared" si="73"/>
        <v/>
      </c>
    </row>
    <row r="74" spans="1:133" ht="18" customHeight="1" x14ac:dyDescent="0.15">
      <c r="A74" s="5" t="s">
        <v>571</v>
      </c>
      <c r="B74" s="5" t="s">
        <v>572</v>
      </c>
      <c r="C74" s="5" t="str">
        <f>IF(ISBLANK('Universe Tracker'!D70),"",'Universe Tracker'!D70)</f>
        <v>PLBSK0000017</v>
      </c>
      <c r="D74" s="5"/>
      <c r="E74" s="5"/>
      <c r="F74" s="5" t="str">
        <f>IF(ISBLANK('Universe Tracker'!F70),"",'Universe Tracker'!F70)</f>
        <v>Financials</v>
      </c>
      <c r="G74" s="5" t="str">
        <f>IF(ISBLANK('Universe Tracker'!G70),"",'Universe Tracker'!G70)</f>
        <v>Banking</v>
      </c>
      <c r="H74" s="5"/>
      <c r="I74" s="5"/>
      <c r="J74" s="5" t="str">
        <f t="shared" si="62"/>
        <v>6GF_PLBSK0000017</v>
      </c>
      <c r="K74" s="5"/>
      <c r="L74" s="5"/>
      <c r="M74" s="5"/>
      <c r="N74" s="5"/>
      <c r="O74" s="5"/>
      <c r="P74" s="5"/>
      <c r="Q74" s="5"/>
      <c r="R74" s="5"/>
      <c r="S74" s="5"/>
      <c r="T74" s="5"/>
      <c r="U74" s="5"/>
      <c r="V74" s="5"/>
      <c r="W74" s="5"/>
      <c r="X74" s="5"/>
      <c r="Y74" s="5" t="str">
        <f t="shared" si="63"/>
        <v>Insufficient</v>
      </c>
      <c r="Z74" s="5"/>
      <c r="AA74" s="5"/>
      <c r="AB74" s="5"/>
      <c r="AC74" s="5"/>
      <c r="AD74" s="5"/>
      <c r="AE74" s="5"/>
      <c r="AF74" s="5"/>
      <c r="AG74" s="5"/>
      <c r="AH74" s="5"/>
      <c r="AI74" s="5"/>
      <c r="AJ74" s="5"/>
      <c r="AK74" s="5"/>
      <c r="AL74" s="5"/>
      <c r="AM74" s="5"/>
      <c r="AN74" s="5"/>
      <c r="AO74" s="5"/>
      <c r="AP74" s="5"/>
      <c r="AQ74" s="5"/>
      <c r="AR74" s="40">
        <f t="array" ref="AR74">MIN(100, MAX(0,
  IFERROR(_xlfn.XLOOKUP(AJ74,'Lookup Tables'!$A$2:$A$7,'Lookup Tables'!$B$2:$B$7,0),0)
  + IF(Z74="Yes", IF(IFERROR(_xlfn.XLOOKUP(AJ74,'Lookup Tables'!$A$2:$A$7,'Lookup Tables'!$B$2:$B$7,0),0)&lt;20, 5, 0), 0)
  + _xlfn.IFS(AB74="Yes", IF(ISNUMBER(AC74)*AND(AC74&lt;=2030),15,10), AB74="Long-term Only", 5, AB74="No", 0, TRUE, 0)
  + _xlfn.IFS(AF74="Full",10, AF74="Partial",5, AF74="Scope 2 Only",3, TRUE,0)
  + _xlfn.IFS(AG74="Yes", IF(ISNUMBER(AH74)*AND(AH74&gt;=5),10,6), AG74="Partial",4, TRUE,0)
  + _xlfn.IFS(AI74="Yes",5, AI74="Partial (material categories only)",3, TRUE,0)
  + _xlfn.IFS(AL74="Yes — Detailed",10, AL74="Yes — High Level",5, TRUE,0)
  + _xlfn.IFS(AM74="Yes — Quantified",15, AM74="Yes — Directional Only",7, TRUE,0)
  + _xlfn.IFS(AP74="Formal",5, AP74="Referenced",2, TRUE,0)
  + _xlfn.IFS(AQ74="No Issues Found",5, AQ74="Concern Identified",-5, AQ74="Severe Contradiction",-15, TRUE,0)
  + _xlfn.IFS(BC74="Reasonable Assurance",5, BC74="Limited Assurance",3, TRUE,0)
  - IF(AND(Z74="Yes", AI74="No"), 10, 0)
  - IF(AND(Z74="Yes", AM74="No"), 10, 0)
))</f>
        <v>0</v>
      </c>
      <c r="AS74" s="5"/>
      <c r="AT74" s="5"/>
      <c r="AU74" s="5"/>
      <c r="AV74" s="5"/>
      <c r="AW74" s="5"/>
      <c r="AX74" s="5"/>
      <c r="AY74" s="5"/>
      <c r="AZ74" s="5"/>
      <c r="BA74" s="5"/>
      <c r="BB74" s="5"/>
      <c r="BC74" s="5"/>
      <c r="BD74" s="5"/>
      <c r="BE74" s="39">
        <f t="array" ref="BE74">MIN(100, MAX(0,
  IFERROR(_xlfn.XLOOKUP(AT74,'Lookup Tables'!$D$2:$D$6,'Lookup Tables'!$E$2:$E$6,0),0)
  + IFERROR(_xlfn.XLOOKUP(AV74,'Lookup Tables'!$G$2:$G$5,'Lookup Tables'!$H$2:$H$5,0),0)
  + IFERROR(_xlfn.XLOOKUP(AW74,'Lookup Tables'!$J$2:$J$5,'Lookup Tables'!$K$2:$K$5,0),0)
  + _xlfn.IFS(AX74="No Issues",10, AX74="Complaint Filed",3, AX74="Confirmed Breach",-15, TRUE,0)
  + IFERROR(_xlfn.XLOOKUP(AY74,'Lookup Tables'!$M$2:$M$6,'Lookup Tables'!$N$2:$N$6,0),0)
  + IFERROR(_xlfn.XLOOKUP(AZ74,'Lookup Tables'!$P$2:$P$6,'Lookup Tables'!$Q$2:$Q$6,0),0)
  + _xlfn.IFS(BA74="Formal Board Committee",5, BA74="Board Oversight Mentioned",2, TRUE,0)
  + _xlfn.IFS(BB74="Yes — Quantified Targets",5, BB74="Yes — Discretionary Only",2, TRUE,0)
  + _xlfn.IFS(BC74="Reasonable Assurance",5, BC74="Limited Assurance",3, BC74="Management Review Only",1, TRUE,0)
))</f>
        <v>0</v>
      </c>
      <c r="BF74" s="5"/>
      <c r="BG74" s="5"/>
      <c r="BH74" s="5"/>
      <c r="BI74" s="5"/>
      <c r="BJ74" s="5"/>
      <c r="BK74" s="5"/>
      <c r="BL74" s="5"/>
      <c r="BM74" s="5"/>
      <c r="BN74" s="5"/>
      <c r="BO74" s="5"/>
      <c r="BP74" s="5"/>
      <c r="BQ74" s="5"/>
      <c r="BR74" s="5"/>
      <c r="BS74" s="41">
        <f t="array" ref="BS74">MIN(100, MAX(0,
  IFERROR(_xlfn.XLOOKUP(BG74,'Lookup Tables'!$A$11:$A$16,'Lookup Tables'!$B$11:$B$16,0),0)
  + IFERROR(_xlfn.XLOOKUP(BR74,'Lookup Tables'!$M$11:$M$14,'Lookup Tables'!$N$11:$N$14,0),0)
  + IFERROR(_xlfn.XLOOKUP(BQ74,'Lookup Tables'!$J$11:$J$15,'Lookup Tables'!$K$11:$K$15,0),0)
  + IFERROR(_xlfn.XLOOKUP(BH74,'Lookup Tables'!$D$11:$D$15,'Lookup Tables'!$E$11:$E$15,0),0)
  + IFERROR(_xlfn.XLOOKUP(BJ74,'Lookup Tables'!$G$11:$G$16,'Lookup Tables'!$H$11:$H$16,0),0)
  + IFERROR(_xlfn.XLOOKUP(BN74,'Lookup Tables'!$P$11:$P$15,'Lookup Tables'!$Q$11:$Q$15,0),0)
  + _xlfn.IFS(BM74="No Evidence",10, BM74="Unknown",3, BM74="Likely",0, BM74="Confirmed",-10, TRUE,3)
  + IFERROR(_xlfn.XLOOKUP(BP74,'Lookup Tables'!$J$21:$J$24,'Lookup Tables'!$K$21:$K$24,0),0)
))</f>
        <v>3</v>
      </c>
      <c r="BT74" s="5"/>
      <c r="BU74" s="5"/>
      <c r="BV74" s="5"/>
      <c r="BW74" s="5"/>
      <c r="BX74" s="5"/>
      <c r="BY74" s="5"/>
      <c r="BZ74" s="5"/>
      <c r="CA74" s="5"/>
      <c r="CB74" s="5"/>
      <c r="CC74" s="5"/>
      <c r="CD74" s="5"/>
      <c r="CE74" s="43">
        <f t="array" ref="CE74">MIN(100, MAX(0,
  IF(ISNUMBER(BV74)*AND(BV74&gt;0), 10, 0)
  + _xlfn.IFS(BY74="Independently Verified",25, BY74="Yes",15, TRUE,0)
  + IFERROR(_xlfn.XLOOKUP(BZ74,'Lookup Tables'!$A$21:$A$24,'Lookup Tables'!$B$21:$B$24,0),0)
  + IFERROR(_xlfn.XLOOKUP(CA74,'Lookup Tables'!$D$21:$D$24,'Lookup Tables'!$E$21:$E$24,0),0)
  + _xlfn.IFS(ISNUMBER(CB74)*AND(CB74&gt;=11),15, ISNUMBER(CB74)*AND(CB74&gt;=6),10, ISNUMBER(CB74)*AND(CB74&gt;=1),5, TRUE,0)
  + IFERROR(_xlfn.XLOOKUP(CC74,'Lookup Tables'!$G$21:$G$25,'Lookup Tables'!$H$21:$H$25,0),0)
  - IF(ISNUMBER(BW74)*AND(ISNUMBER(BV74))*AND(BW74&gt;BV74), 20, 0)
  - IF(AND(BY74="Yes", ISNUMBER(BW74), BW74&gt;60), 10, 0)
))</f>
        <v>0</v>
      </c>
      <c r="CF74" s="5"/>
      <c r="CG74" s="5"/>
      <c r="CH74" s="5"/>
      <c r="CI74" s="5"/>
      <c r="CJ74" s="5"/>
      <c r="CK74" s="5"/>
      <c r="CL74" s="5"/>
      <c r="CM74" s="5"/>
      <c r="CN74" s="5"/>
      <c r="CO74" s="5"/>
      <c r="CP74" s="5"/>
      <c r="CQ74" s="5"/>
      <c r="CR74" s="5">
        <f t="shared" si="64"/>
        <v>0</v>
      </c>
      <c r="CS74" s="5">
        <f t="shared" si="65"/>
        <v>0</v>
      </c>
      <c r="CT74" s="5">
        <f t="shared" si="66"/>
        <v>0</v>
      </c>
      <c r="CU74" s="5">
        <f>MIN(100,
  CR74*15
  + CS74*6
  + CT74*3
  + IFERROR(_xlfn.XLOOKUP(CW74,'Lookup Tables'!$M$21:$M$25,'Lookup Tables'!$N$21:$N$25,0),0)
)</f>
        <v>0</v>
      </c>
      <c r="CV74" s="5" t="str">
        <f t="shared" si="74"/>
        <v>No failures</v>
      </c>
      <c r="CW74" s="5"/>
      <c r="CX74" s="5"/>
      <c r="CY74" s="5"/>
      <c r="CZ74" s="5"/>
      <c r="DA74" s="5" t="str">
        <f t="shared" si="67"/>
        <v>Yes</v>
      </c>
      <c r="DB74" s="5" t="str">
        <f t="shared" si="68"/>
        <v>No</v>
      </c>
      <c r="DC74" s="5"/>
      <c r="DD74" s="5"/>
      <c r="DE74" s="5"/>
      <c r="DF74" s="5"/>
      <c r="DG74" s="5"/>
      <c r="DH74" s="5"/>
      <c r="DI74" s="5"/>
      <c r="DJ74" s="5"/>
      <c r="DK74" s="5"/>
      <c r="DL74" s="5" t="str">
        <f t="shared" si="69"/>
        <v>Clear</v>
      </c>
      <c r="DM74" s="5" t="str">
        <f t="shared" si="70"/>
        <v>Yes</v>
      </c>
      <c r="DN74" s="5">
        <f t="array" ref="DN74">MIN(100,
  IF(ISNUMBER(V74), _xlfn.IFS(V74&gt;=3,25, V74=2,15, V74=1,5, TRUE,0), 0)
  + IFERROR(_xlfn.IFS(VALUE(LEFT(DF74,1))=5,25, VALUE(LEFT(DF74,1))=4,20, VALUE(LEFT(DF74,1))=3,15, VALUE(LEFT(DF74,1))=2,8, TRUE,0), 15)
  + IFERROR(_xlfn.IFS(VALUE(LEFT(DG74,1))=5,25, VALUE(LEFT(DG74,1))=4,20, VALUE(LEFT(DG74,1))=3,15, VALUE(LEFT(DG74,1))=2,8, TRUE,0), 15)
  + _xlfn.IFS(DH74="Fully Verified",25, DH74="Partially Verified",12, TRUE,0)
)</f>
        <v>30</v>
      </c>
      <c r="DO74" s="5" t="str">
        <f t="array" ref="DO74">_xlfn.IFS(
  ISBLANK(AR74), "Insufficient Evidence",
  AND(AR74&gt;=65, AJ74="Approved"), "Strong",
  AR74&gt;=65, "Adequate",
  AR74&gt;=40, "Adequate",
  AR74&gt;=20, "Weak",
  TRUE, "Insufficient Evidence"
)</f>
        <v>Insufficient Evidence</v>
      </c>
      <c r="DP74" s="5" t="str">
        <f t="array" ref="DP74">_xlfn.IFS(
  ISBLANK(BS74), "Insufficient Evidence",
  BS74&gt;=65, "Strong",
  BS74&gt;=40, "Adequate",
  BS74&gt;=20, "Weak",
  TRUE, "Insufficient Evidence"
)</f>
        <v>Insufficient Evidence</v>
      </c>
      <c r="DQ74" s="5" t="str">
        <f t="array" ref="DQ74">_xlfn.IFS(
  ISBLANK(BE74), "Insufficient Evidence",
  OR(AW74="Confirmed Violation", AX74="Confirmed Breach"), "Severe — Hard Trigger",
  BE74&gt;=65, "Strong",
  BE74&gt;=40, "Adequate",
  BE74&gt;=20, "Weak",
  TRUE, "Insufficient Evidence"
)</f>
        <v>Insufficient Evidence</v>
      </c>
      <c r="DR74" s="5" t="str">
        <f t="array" ref="DR74">_xlfn.IFS(
  ISBLANK(CU74), "Insufficient Evidence",
  CU74&lt;=20, "Low Risk",
  CU74&lt;=50, "Moderate Risk",
  CU74&lt;=75, "High Risk",
  TRUE, "Very High Risk"
)</f>
        <v>Low Risk</v>
      </c>
      <c r="DS74" s="5" t="str">
        <f t="array" ref="DS74">_xlfn.IFS(
  ISBLANK(CE74), "Insufficient Evidence",
  AND(ISNUMBER(BW74),ISNUMBER(BV74),BW74&gt;BV74), "Overclaiming Risk",
  CE74&gt;=65, "Strong",
  CE74&gt;=40, "Adequate",
  TRUE, "Weak"
)</f>
        <v>Weak</v>
      </c>
      <c r="DT74" s="5">
        <f t="shared" si="71"/>
        <v>11.7</v>
      </c>
      <c r="DU74" s="5" t="str">
        <f t="array" ref="DU74">_xlfn.IFS(
  DV74="Upgraded to Clear", "Clear",
  DV74="Downgraded to Watchlist", "Watchlist",
  DV74="Downgraded to Exclusion", "Exclusion Risk",
  DB74="Yes — Automatic", "Exclusion Risk",
  OR(AW74="Confirmed Violation", AX74="Confirmed Breach"), "Exclusion Risk",
  OR(V74=0, ISBLANK(V74), DN74&lt;20), "Insufficient Evidence",
  AND(DT74&gt;=65, DA74="No", DB74="No"), "Clear",
  OR(DT74&gt;=40, DA74="Yes"), "Watchlist",
  TRUE, "Exclusion Risk"
)</f>
        <v>Insufficient Evidence</v>
      </c>
      <c r="DV74" s="5"/>
      <c r="DW74" s="5" t="str">
        <f t="array" ref="DW74">_xlfn.IFS(
  DU74="Exclusion Risk", "Exclude — Hard Trigger",
  DU74="Insufficient Evidence", "Watchlist — Further Evidence Needed",
  DU74="Watchlist", "Watchlist — Further Evidence Needed",
  AND(DU74="Clear", DT74&gt;=80), "Include — No Conditions",
  DU74="Clear", "Include — Monitor",
  TRUE, "Watchlist — Further Evidence Needed"
)</f>
        <v>Watchlist — Further Evidence Needed</v>
      </c>
      <c r="DX74" s="5"/>
      <c r="DY74" s="5"/>
      <c r="DZ74" s="5"/>
      <c r="EA74" s="5"/>
      <c r="EB74" s="5" t="str">
        <f t="shared" si="72"/>
        <v>MISSING — No sources reviewed</v>
      </c>
      <c r="EC74" s="5" t="str">
        <f t="shared" si="73"/>
        <v/>
      </c>
    </row>
    <row r="75" spans="1:133" ht="18" customHeight="1" x14ac:dyDescent="0.15">
      <c r="A75" s="3" t="s">
        <v>575</v>
      </c>
      <c r="B75" s="3" t="s">
        <v>576</v>
      </c>
      <c r="C75" s="3" t="str">
        <f>IF(ISBLANK('Universe Tracker'!D71),"",'Universe Tracker'!D71)</f>
        <v>SE0000375115</v>
      </c>
      <c r="D75" s="3"/>
      <c r="E75" s="3"/>
      <c r="F75" s="3" t="str">
        <f>IF(ISBLANK('Universe Tracker'!F71),"",'Universe Tracker'!F71)</f>
        <v>Technology</v>
      </c>
      <c r="G75" s="3" t="str">
        <f>IF(ISBLANK('Universe Tracker'!G71),"",'Universe Tracker'!G71)</f>
        <v>Tech Hardware &amp; Semiconductors</v>
      </c>
      <c r="H75" s="3"/>
      <c r="I75" s="3"/>
      <c r="J75" s="3" t="str">
        <f t="shared" si="62"/>
        <v>MLT_SE0000375115</v>
      </c>
      <c r="K75" s="3"/>
      <c r="L75" s="3"/>
      <c r="M75" s="3"/>
      <c r="N75" s="3"/>
      <c r="O75" s="3"/>
      <c r="P75" s="3"/>
      <c r="Q75" s="3"/>
      <c r="R75" s="3"/>
      <c r="S75" s="3"/>
      <c r="T75" s="3"/>
      <c r="U75" s="3"/>
      <c r="V75" s="3"/>
      <c r="W75" s="3"/>
      <c r="X75" s="3"/>
      <c r="Y75" s="3" t="str">
        <f t="shared" si="63"/>
        <v>Insufficient</v>
      </c>
      <c r="Z75" s="3"/>
      <c r="AA75" s="3"/>
      <c r="AB75" s="3"/>
      <c r="AC75" s="3"/>
      <c r="AD75" s="3"/>
      <c r="AE75" s="3"/>
      <c r="AF75" s="3"/>
      <c r="AG75" s="3"/>
      <c r="AH75" s="3"/>
      <c r="AI75" s="3"/>
      <c r="AJ75" s="3"/>
      <c r="AK75" s="3"/>
      <c r="AL75" s="3"/>
      <c r="AM75" s="3"/>
      <c r="AN75" s="3"/>
      <c r="AO75" s="3"/>
      <c r="AP75" s="3"/>
      <c r="AQ75" s="3"/>
      <c r="AR75" s="40">
        <f t="array" ref="AR75">MIN(100, MAX(0,
  IFERROR(_xlfn.XLOOKUP(AJ75,'Lookup Tables'!$A$2:$A$7,'Lookup Tables'!$B$2:$B$7,0),0)
  + IF(Z75="Yes", IF(IFERROR(_xlfn.XLOOKUP(AJ75,'Lookup Tables'!$A$2:$A$7,'Lookup Tables'!$B$2:$B$7,0),0)&lt;20, 5, 0), 0)
  + _xlfn.IFS(AB75="Yes", IF(ISNUMBER(AC75)*AND(AC75&lt;=2030),15,10), AB75="Long-term Only", 5, AB75="No", 0, TRUE, 0)
  + _xlfn.IFS(AF75="Full",10, AF75="Partial",5, AF75="Scope 2 Only",3, TRUE,0)
  + _xlfn.IFS(AG75="Yes", IF(ISNUMBER(AH75)*AND(AH75&gt;=5),10,6), AG75="Partial",4, TRUE,0)
  + _xlfn.IFS(AI75="Yes",5, AI75="Partial (material categories only)",3, TRUE,0)
  + _xlfn.IFS(AL75="Yes — Detailed",10, AL75="Yes — High Level",5, TRUE,0)
  + _xlfn.IFS(AM75="Yes — Quantified",15, AM75="Yes — Directional Only",7, TRUE,0)
  + _xlfn.IFS(AP75="Formal",5, AP75="Referenced",2, TRUE,0)
  + _xlfn.IFS(AQ75="No Issues Found",5, AQ75="Concern Identified",-5, AQ75="Severe Contradiction",-15, TRUE,0)
  + _xlfn.IFS(BC75="Reasonable Assurance",5, BC75="Limited Assurance",3, TRUE,0)
  - IF(AND(Z75="Yes", AI75="No"), 10, 0)
  - IF(AND(Z75="Yes", AM75="No"), 10, 0)
))</f>
        <v>0</v>
      </c>
      <c r="AS75" s="3"/>
      <c r="AT75" s="3"/>
      <c r="AU75" s="3"/>
      <c r="AV75" s="3"/>
      <c r="AW75" s="3"/>
      <c r="AX75" s="3"/>
      <c r="AY75" s="3"/>
      <c r="AZ75" s="3"/>
      <c r="BA75" s="3"/>
      <c r="BB75" s="3"/>
      <c r="BC75" s="3"/>
      <c r="BD75" s="3"/>
      <c r="BE75" s="40">
        <f t="array" ref="BE75">MIN(100, MAX(0,
  IFERROR(_xlfn.XLOOKUP(AT75,'Lookup Tables'!$D$2:$D$6,'Lookup Tables'!$E$2:$E$6,0),0)
  + IFERROR(_xlfn.XLOOKUP(AV75,'Lookup Tables'!$G$2:$G$5,'Lookup Tables'!$H$2:$H$5,0),0)
  + IFERROR(_xlfn.XLOOKUP(AW75,'Lookup Tables'!$J$2:$J$5,'Lookup Tables'!$K$2:$K$5,0),0)
  + _xlfn.IFS(AX75="No Issues",10, AX75="Complaint Filed",3, AX75="Confirmed Breach",-15, TRUE,0)
  + IFERROR(_xlfn.XLOOKUP(AY75,'Lookup Tables'!$M$2:$M$6,'Lookup Tables'!$N$2:$N$6,0),0)
  + IFERROR(_xlfn.XLOOKUP(AZ75,'Lookup Tables'!$P$2:$P$6,'Lookup Tables'!$Q$2:$Q$6,0),0)
  + _xlfn.IFS(BA75="Formal Board Committee",5, BA75="Board Oversight Mentioned",2, TRUE,0)
  + _xlfn.IFS(BB75="Yes — Quantified Targets",5, BB75="Yes — Discretionary Only",2, TRUE,0)
  + _xlfn.IFS(BC75="Reasonable Assurance",5, BC75="Limited Assurance",3, BC75="Management Review Only",1, TRUE,0)
))</f>
        <v>0</v>
      </c>
      <c r="BF75" s="3"/>
      <c r="BG75" s="3"/>
      <c r="BH75" s="3"/>
      <c r="BI75" s="3"/>
      <c r="BJ75" s="3"/>
      <c r="BK75" s="3"/>
      <c r="BL75" s="3"/>
      <c r="BM75" s="3"/>
      <c r="BN75" s="3"/>
      <c r="BO75" s="3"/>
      <c r="BP75" s="3"/>
      <c r="BQ75" s="3"/>
      <c r="BR75" s="3"/>
      <c r="BS75" s="42">
        <f t="array" ref="BS75">MIN(100, MAX(0,
  IFERROR(_xlfn.XLOOKUP(BG75,'Lookup Tables'!$A$11:$A$16,'Lookup Tables'!$B$11:$B$16,0),0)
  + IFERROR(_xlfn.XLOOKUP(BR75,'Lookup Tables'!$M$11:$M$14,'Lookup Tables'!$N$11:$N$14,0),0)
  + IFERROR(_xlfn.XLOOKUP(BQ75,'Lookup Tables'!$J$11:$J$15,'Lookup Tables'!$K$11:$K$15,0),0)
  + IFERROR(_xlfn.XLOOKUP(BH75,'Lookup Tables'!$D$11:$D$15,'Lookup Tables'!$E$11:$E$15,0),0)
  + IFERROR(_xlfn.XLOOKUP(BJ75,'Lookup Tables'!$G$11:$G$16,'Lookup Tables'!$H$11:$H$16,0),0)
  + IFERROR(_xlfn.XLOOKUP(BN75,'Lookup Tables'!$P$11:$P$15,'Lookup Tables'!$Q$11:$Q$15,0),0)
  + _xlfn.IFS(BM75="No Evidence",10, BM75="Unknown",3, BM75="Likely",0, BM75="Confirmed",-10, TRUE,3)
  + IFERROR(_xlfn.XLOOKUP(BP75,'Lookup Tables'!$J$21:$J$24,'Lookup Tables'!$K$21:$K$24,0),0)
))</f>
        <v>3</v>
      </c>
      <c r="BT75" s="3"/>
      <c r="BU75" s="3"/>
      <c r="BV75" s="3"/>
      <c r="BW75" s="3"/>
      <c r="BX75" s="3"/>
      <c r="BY75" s="3"/>
      <c r="BZ75" s="3"/>
      <c r="CA75" s="3"/>
      <c r="CB75" s="3"/>
      <c r="CC75" s="3"/>
      <c r="CD75" s="3"/>
      <c r="CE75" s="44">
        <f t="array" ref="CE75">MIN(100, MAX(0,
  IF(ISNUMBER(BV75)*AND(BV75&gt;0), 10, 0)
  + _xlfn.IFS(BY75="Independently Verified",25, BY75="Yes",15, TRUE,0)
  + IFERROR(_xlfn.XLOOKUP(BZ75,'Lookup Tables'!$A$21:$A$24,'Lookup Tables'!$B$21:$B$24,0),0)
  + IFERROR(_xlfn.XLOOKUP(CA75,'Lookup Tables'!$D$21:$D$24,'Lookup Tables'!$E$21:$E$24,0),0)
  + _xlfn.IFS(ISNUMBER(CB75)*AND(CB75&gt;=11),15, ISNUMBER(CB75)*AND(CB75&gt;=6),10, ISNUMBER(CB75)*AND(CB75&gt;=1),5, TRUE,0)
  + IFERROR(_xlfn.XLOOKUP(CC75,'Lookup Tables'!$G$21:$G$25,'Lookup Tables'!$H$21:$H$25,0),0)
  - IF(ISNUMBER(BW75)*AND(ISNUMBER(BV75))*AND(BW75&gt;BV75), 20, 0)
  - IF(AND(BY75="Yes", ISNUMBER(BW75), BW75&gt;60), 10, 0)
))</f>
        <v>0</v>
      </c>
      <c r="CF75" s="3"/>
      <c r="CG75" s="3"/>
      <c r="CH75" s="3"/>
      <c r="CI75" s="3"/>
      <c r="CJ75" s="3"/>
      <c r="CK75" s="3"/>
      <c r="CL75" s="3"/>
      <c r="CM75" s="3"/>
      <c r="CN75" s="3"/>
      <c r="CO75" s="3"/>
      <c r="CP75" s="3"/>
      <c r="CQ75" s="3"/>
      <c r="CR75" s="3">
        <f t="shared" si="64"/>
        <v>0</v>
      </c>
      <c r="CS75" s="3">
        <f t="shared" si="65"/>
        <v>0</v>
      </c>
      <c r="CT75" s="3">
        <f t="shared" si="66"/>
        <v>0</v>
      </c>
      <c r="CU75" s="3">
        <f>MIN(100,
  CR75*15
  + CS75*6
  + CT75*3
  + IFERROR(_xlfn.XLOOKUP(CW75,'Lookup Tables'!$M$21:$M$25,'Lookup Tables'!$N$21:$N$25,0),0)
)</f>
        <v>0</v>
      </c>
      <c r="CV75" s="3" t="str">
        <f t="shared" si="74"/>
        <v>No failures</v>
      </c>
      <c r="CW75" s="3"/>
      <c r="CX75" s="3"/>
      <c r="CY75" s="3"/>
      <c r="CZ75" s="3"/>
      <c r="DA75" s="3" t="str">
        <f t="shared" si="67"/>
        <v>Yes</v>
      </c>
      <c r="DB75" s="3" t="str">
        <f t="shared" si="68"/>
        <v>No</v>
      </c>
      <c r="DC75" s="3"/>
      <c r="DD75" s="3"/>
      <c r="DE75" s="3"/>
      <c r="DF75" s="3"/>
      <c r="DG75" s="3"/>
      <c r="DH75" s="3"/>
      <c r="DI75" s="3"/>
      <c r="DJ75" s="3"/>
      <c r="DK75" s="3"/>
      <c r="DL75" s="3" t="str">
        <f t="shared" si="69"/>
        <v>Clear</v>
      </c>
      <c r="DM75" s="3" t="str">
        <f t="shared" si="70"/>
        <v>Yes</v>
      </c>
      <c r="DN75" s="3">
        <f t="array" ref="DN75">MIN(100,
  IF(ISNUMBER(V75), _xlfn.IFS(V75&gt;=3,25, V75=2,15, V75=1,5, TRUE,0), 0)
  + IFERROR(_xlfn.IFS(VALUE(LEFT(DF75,1))=5,25, VALUE(LEFT(DF75,1))=4,20, VALUE(LEFT(DF75,1))=3,15, VALUE(LEFT(DF75,1))=2,8, TRUE,0), 15)
  + IFERROR(_xlfn.IFS(VALUE(LEFT(DG75,1))=5,25, VALUE(LEFT(DG75,1))=4,20, VALUE(LEFT(DG75,1))=3,15, VALUE(LEFT(DG75,1))=2,8, TRUE,0), 15)
  + _xlfn.IFS(DH75="Fully Verified",25, DH75="Partially Verified",12, TRUE,0)
)</f>
        <v>30</v>
      </c>
      <c r="DO75" s="3" t="str">
        <f t="array" ref="DO75">_xlfn.IFS(
  ISBLANK(AR75), "Insufficient Evidence",
  AND(AR75&gt;=65, AJ75="Approved"), "Strong",
  AR75&gt;=65, "Adequate",
  AR75&gt;=40, "Adequate",
  AR75&gt;=20, "Weak",
  TRUE, "Insufficient Evidence"
)</f>
        <v>Insufficient Evidence</v>
      </c>
      <c r="DP75" s="3" t="str">
        <f t="array" ref="DP75">_xlfn.IFS(
  ISBLANK(BS75), "Insufficient Evidence",
  BS75&gt;=65, "Strong",
  BS75&gt;=40, "Adequate",
  BS75&gt;=20, "Weak",
  TRUE, "Insufficient Evidence"
)</f>
        <v>Insufficient Evidence</v>
      </c>
      <c r="DQ75" s="3" t="str">
        <f t="array" ref="DQ75">_xlfn.IFS(
  ISBLANK(BE75), "Insufficient Evidence",
  OR(AW75="Confirmed Violation", AX75="Confirmed Breach"), "Severe — Hard Trigger",
  BE75&gt;=65, "Strong",
  BE75&gt;=40, "Adequate",
  BE75&gt;=20, "Weak",
  TRUE, "Insufficient Evidence"
)</f>
        <v>Insufficient Evidence</v>
      </c>
      <c r="DR75" s="3" t="str">
        <f t="array" ref="DR75">_xlfn.IFS(
  ISBLANK(CU75), "Insufficient Evidence",
  CU75&lt;=20, "Low Risk",
  CU75&lt;=50, "Moderate Risk",
  CU75&lt;=75, "High Risk",
  TRUE, "Very High Risk"
)</f>
        <v>Low Risk</v>
      </c>
      <c r="DS75" s="3" t="str">
        <f t="array" ref="DS75">_xlfn.IFS(
  ISBLANK(CE75), "Insufficient Evidence",
  AND(ISNUMBER(BW75),ISNUMBER(BV75),BW75&gt;BV75), "Overclaiming Risk",
  CE75&gt;=65, "Strong",
  CE75&gt;=40, "Adequate",
  TRUE, "Weak"
)</f>
        <v>Weak</v>
      </c>
      <c r="DT75" s="3">
        <f t="shared" si="71"/>
        <v>11.7</v>
      </c>
      <c r="DU75" s="3" t="str">
        <f t="array" ref="DU75">_xlfn.IFS(
  DV75="Upgraded to Clear", "Clear",
  DV75="Downgraded to Watchlist", "Watchlist",
  DV75="Downgraded to Exclusion", "Exclusion Risk",
  DB75="Yes — Automatic", "Exclusion Risk",
  OR(AW75="Confirmed Violation", AX75="Confirmed Breach"), "Exclusion Risk",
  OR(V75=0, ISBLANK(V75), DN75&lt;20), "Insufficient Evidence",
  AND(DT75&gt;=65, DA75="No", DB75="No"), "Clear",
  OR(DT75&gt;=40, DA75="Yes"), "Watchlist",
  TRUE, "Exclusion Risk"
)</f>
        <v>Insufficient Evidence</v>
      </c>
      <c r="DV75" s="3"/>
      <c r="DW75" s="3" t="str">
        <f t="array" ref="DW75">_xlfn.IFS(
  DU75="Exclusion Risk", "Exclude — Hard Trigger",
  DU75="Insufficient Evidence", "Watchlist — Further Evidence Needed",
  DU75="Watchlist", "Watchlist — Further Evidence Needed",
  AND(DU75="Clear", DT75&gt;=80), "Include — No Conditions",
  DU75="Clear", "Include — Monitor",
  TRUE, "Watchlist — Further Evidence Needed"
)</f>
        <v>Watchlist — Further Evidence Needed</v>
      </c>
      <c r="DX75" s="3"/>
      <c r="DY75" s="3"/>
      <c r="DZ75" s="3"/>
      <c r="EA75" s="3"/>
      <c r="EB75" s="3" t="str">
        <f t="shared" si="72"/>
        <v>MISSING — No sources reviewed</v>
      </c>
      <c r="EC75" s="3" t="str">
        <f t="shared" si="73"/>
        <v/>
      </c>
    </row>
    <row r="76" spans="1:133" ht="18" customHeight="1" x14ac:dyDescent="0.15">
      <c r="A76" s="5" t="s">
        <v>579</v>
      </c>
      <c r="B76" s="5" t="s">
        <v>580</v>
      </c>
      <c r="C76" s="5" t="str">
        <f>IF(ISBLANK('Universe Tracker'!D72),"",'Universe Tracker'!D72)</f>
        <v>NO0010161896</v>
      </c>
      <c r="D76" s="5"/>
      <c r="E76" s="5"/>
      <c r="F76" s="5" t="str">
        <f>IF(ISBLANK('Universe Tracker'!F72),"",'Universe Tracker'!F72)</f>
        <v>Financials</v>
      </c>
      <c r="G76" s="5" t="str">
        <f>IF(ISBLANK('Universe Tracker'!G72),"",'Universe Tracker'!G72)</f>
        <v>Banking</v>
      </c>
      <c r="H76" s="5"/>
      <c r="I76" s="5"/>
      <c r="J76" s="5" t="str">
        <f t="shared" si="62"/>
        <v>D1NC_NO0010161896</v>
      </c>
      <c r="K76" s="5"/>
      <c r="L76" s="5"/>
      <c r="M76" s="5"/>
      <c r="N76" s="5"/>
      <c r="O76" s="5"/>
      <c r="P76" s="5"/>
      <c r="Q76" s="5"/>
      <c r="R76" s="5"/>
      <c r="S76" s="5"/>
      <c r="T76" s="5"/>
      <c r="U76" s="5"/>
      <c r="V76" s="5"/>
      <c r="W76" s="5"/>
      <c r="X76" s="5"/>
      <c r="Y76" s="5" t="str">
        <f t="shared" si="63"/>
        <v>Insufficient</v>
      </c>
      <c r="Z76" s="5"/>
      <c r="AA76" s="5"/>
      <c r="AB76" s="5"/>
      <c r="AC76" s="5"/>
      <c r="AD76" s="5"/>
      <c r="AE76" s="5"/>
      <c r="AF76" s="5"/>
      <c r="AG76" s="5"/>
      <c r="AH76" s="5"/>
      <c r="AI76" s="5"/>
      <c r="AJ76" s="5"/>
      <c r="AK76" s="5"/>
      <c r="AL76" s="5"/>
      <c r="AM76" s="5"/>
      <c r="AN76" s="5"/>
      <c r="AO76" s="5"/>
      <c r="AP76" s="5"/>
      <c r="AQ76" s="5"/>
      <c r="AR76" s="40">
        <f t="array" ref="AR76">MIN(100, MAX(0,
  IFERROR(_xlfn.XLOOKUP(AJ76,'Lookup Tables'!$A$2:$A$7,'Lookup Tables'!$B$2:$B$7,0),0)
  + IF(Z76="Yes", IF(IFERROR(_xlfn.XLOOKUP(AJ76,'Lookup Tables'!$A$2:$A$7,'Lookup Tables'!$B$2:$B$7,0),0)&lt;20, 5, 0), 0)
  + _xlfn.IFS(AB76="Yes", IF(ISNUMBER(AC76)*AND(AC76&lt;=2030),15,10), AB76="Long-term Only", 5, AB76="No", 0, TRUE, 0)
  + _xlfn.IFS(AF76="Full",10, AF76="Partial",5, AF76="Scope 2 Only",3, TRUE,0)
  + _xlfn.IFS(AG76="Yes", IF(ISNUMBER(AH76)*AND(AH76&gt;=5),10,6), AG76="Partial",4, TRUE,0)
  + _xlfn.IFS(AI76="Yes",5, AI76="Partial (material categories only)",3, TRUE,0)
  + _xlfn.IFS(AL76="Yes — Detailed",10, AL76="Yes — High Level",5, TRUE,0)
  + _xlfn.IFS(AM76="Yes — Quantified",15, AM76="Yes — Directional Only",7, TRUE,0)
  + _xlfn.IFS(AP76="Formal",5, AP76="Referenced",2, TRUE,0)
  + _xlfn.IFS(AQ76="No Issues Found",5, AQ76="Concern Identified",-5, AQ76="Severe Contradiction",-15, TRUE,0)
  + _xlfn.IFS(BC76="Reasonable Assurance",5, BC76="Limited Assurance",3, TRUE,0)
  - IF(AND(Z76="Yes", AI76="No"), 10, 0)
  - IF(AND(Z76="Yes", AM76="No"), 10, 0)
))</f>
        <v>0</v>
      </c>
      <c r="AS76" s="5"/>
      <c r="AT76" s="5"/>
      <c r="AU76" s="5"/>
      <c r="AV76" s="5"/>
      <c r="AW76" s="5"/>
      <c r="AX76" s="5"/>
      <c r="AY76" s="5"/>
      <c r="AZ76" s="5"/>
      <c r="BA76" s="5"/>
      <c r="BB76" s="5"/>
      <c r="BC76" s="5"/>
      <c r="BD76" s="5"/>
      <c r="BE76" s="39">
        <f t="array" ref="BE76">MIN(100, MAX(0,
  IFERROR(_xlfn.XLOOKUP(AT76,'Lookup Tables'!$D$2:$D$6,'Lookup Tables'!$E$2:$E$6,0),0)
  + IFERROR(_xlfn.XLOOKUP(AV76,'Lookup Tables'!$G$2:$G$5,'Lookup Tables'!$H$2:$H$5,0),0)
  + IFERROR(_xlfn.XLOOKUP(AW76,'Lookup Tables'!$J$2:$J$5,'Lookup Tables'!$K$2:$K$5,0),0)
  + _xlfn.IFS(AX76="No Issues",10, AX76="Complaint Filed",3, AX76="Confirmed Breach",-15, TRUE,0)
  + IFERROR(_xlfn.XLOOKUP(AY76,'Lookup Tables'!$M$2:$M$6,'Lookup Tables'!$N$2:$N$6,0),0)
  + IFERROR(_xlfn.XLOOKUP(AZ76,'Lookup Tables'!$P$2:$P$6,'Lookup Tables'!$Q$2:$Q$6,0),0)
  + _xlfn.IFS(BA76="Formal Board Committee",5, BA76="Board Oversight Mentioned",2, TRUE,0)
  + _xlfn.IFS(BB76="Yes — Quantified Targets",5, BB76="Yes — Discretionary Only",2, TRUE,0)
  + _xlfn.IFS(BC76="Reasonable Assurance",5, BC76="Limited Assurance",3, BC76="Management Review Only",1, TRUE,0)
))</f>
        <v>0</v>
      </c>
      <c r="BF76" s="5"/>
      <c r="BG76" s="5"/>
      <c r="BH76" s="5"/>
      <c r="BI76" s="5"/>
      <c r="BJ76" s="5"/>
      <c r="BK76" s="5"/>
      <c r="BL76" s="5"/>
      <c r="BM76" s="5"/>
      <c r="BN76" s="5"/>
      <c r="BO76" s="5"/>
      <c r="BP76" s="5"/>
      <c r="BQ76" s="5"/>
      <c r="BR76" s="5"/>
      <c r="BS76" s="41">
        <f t="array" ref="BS76">MIN(100, MAX(0,
  IFERROR(_xlfn.XLOOKUP(BG76,'Lookup Tables'!$A$11:$A$16,'Lookup Tables'!$B$11:$B$16,0),0)
  + IFERROR(_xlfn.XLOOKUP(BR76,'Lookup Tables'!$M$11:$M$14,'Lookup Tables'!$N$11:$N$14,0),0)
  + IFERROR(_xlfn.XLOOKUP(BQ76,'Lookup Tables'!$J$11:$J$15,'Lookup Tables'!$K$11:$K$15,0),0)
  + IFERROR(_xlfn.XLOOKUP(BH76,'Lookup Tables'!$D$11:$D$15,'Lookup Tables'!$E$11:$E$15,0),0)
  + IFERROR(_xlfn.XLOOKUP(BJ76,'Lookup Tables'!$G$11:$G$16,'Lookup Tables'!$H$11:$H$16,0),0)
  + IFERROR(_xlfn.XLOOKUP(BN76,'Lookup Tables'!$P$11:$P$15,'Lookup Tables'!$Q$11:$Q$15,0),0)
  + _xlfn.IFS(BM76="No Evidence",10, BM76="Unknown",3, BM76="Likely",0, BM76="Confirmed",-10, TRUE,3)
  + IFERROR(_xlfn.XLOOKUP(BP76,'Lookup Tables'!$J$21:$J$24,'Lookup Tables'!$K$21:$K$24,0),0)
))</f>
        <v>3</v>
      </c>
      <c r="BT76" s="5"/>
      <c r="BU76" s="5"/>
      <c r="BV76" s="5"/>
      <c r="BW76" s="5"/>
      <c r="BX76" s="5"/>
      <c r="BY76" s="5"/>
      <c r="BZ76" s="5"/>
      <c r="CA76" s="5"/>
      <c r="CB76" s="5"/>
      <c r="CC76" s="5"/>
      <c r="CD76" s="5"/>
      <c r="CE76" s="43">
        <f t="array" ref="CE76">MIN(100, MAX(0,
  IF(ISNUMBER(BV76)*AND(BV76&gt;0), 10, 0)
  + _xlfn.IFS(BY76="Independently Verified",25, BY76="Yes",15, TRUE,0)
  + IFERROR(_xlfn.XLOOKUP(BZ76,'Lookup Tables'!$A$21:$A$24,'Lookup Tables'!$B$21:$B$24,0),0)
  + IFERROR(_xlfn.XLOOKUP(CA76,'Lookup Tables'!$D$21:$D$24,'Lookup Tables'!$E$21:$E$24,0),0)
  + _xlfn.IFS(ISNUMBER(CB76)*AND(CB76&gt;=11),15, ISNUMBER(CB76)*AND(CB76&gt;=6),10, ISNUMBER(CB76)*AND(CB76&gt;=1),5, TRUE,0)
  + IFERROR(_xlfn.XLOOKUP(CC76,'Lookup Tables'!$G$21:$G$25,'Lookup Tables'!$H$21:$H$25,0),0)
  - IF(ISNUMBER(BW76)*AND(ISNUMBER(BV76))*AND(BW76&gt;BV76), 20, 0)
  - IF(AND(BY76="Yes", ISNUMBER(BW76), BW76&gt;60), 10, 0)
))</f>
        <v>0</v>
      </c>
      <c r="CF76" s="5"/>
      <c r="CG76" s="5"/>
      <c r="CH76" s="5"/>
      <c r="CI76" s="5"/>
      <c r="CJ76" s="5"/>
      <c r="CK76" s="5"/>
      <c r="CL76" s="5"/>
      <c r="CM76" s="5"/>
      <c r="CN76" s="5"/>
      <c r="CO76" s="5"/>
      <c r="CP76" s="5"/>
      <c r="CQ76" s="5"/>
      <c r="CR76" s="5">
        <f t="shared" si="64"/>
        <v>0</v>
      </c>
      <c r="CS76" s="5">
        <f t="shared" si="65"/>
        <v>0</v>
      </c>
      <c r="CT76" s="5">
        <f t="shared" si="66"/>
        <v>0</v>
      </c>
      <c r="CU76" s="5">
        <f>MIN(100,
  CR76*15
  + CS76*6
  + CT76*3
  + IFERROR(_xlfn.XLOOKUP(CW76,'Lookup Tables'!$M$21:$M$25,'Lookup Tables'!$N$21:$N$25,0),0)
)</f>
        <v>0</v>
      </c>
      <c r="CV76" s="5" t="str">
        <f t="shared" si="74"/>
        <v>No failures</v>
      </c>
      <c r="CW76" s="5"/>
      <c r="CX76" s="5"/>
      <c r="CY76" s="5"/>
      <c r="CZ76" s="5"/>
      <c r="DA76" s="5" t="str">
        <f t="shared" si="67"/>
        <v>Yes</v>
      </c>
      <c r="DB76" s="5" t="str">
        <f t="shared" si="68"/>
        <v>No</v>
      </c>
      <c r="DC76" s="5"/>
      <c r="DD76" s="5"/>
      <c r="DE76" s="5"/>
      <c r="DF76" s="5"/>
      <c r="DG76" s="5"/>
      <c r="DH76" s="5"/>
      <c r="DI76" s="5"/>
      <c r="DJ76" s="5"/>
      <c r="DK76" s="5"/>
      <c r="DL76" s="5" t="str">
        <f t="shared" si="69"/>
        <v>Clear</v>
      </c>
      <c r="DM76" s="5" t="str">
        <f t="shared" si="70"/>
        <v>Yes</v>
      </c>
      <c r="DN76" s="5">
        <f t="array" ref="DN76">MIN(100,
  IF(ISNUMBER(V76), _xlfn.IFS(V76&gt;=3,25, V76=2,15, V76=1,5, TRUE,0), 0)
  + IFERROR(_xlfn.IFS(VALUE(LEFT(DF76,1))=5,25, VALUE(LEFT(DF76,1))=4,20, VALUE(LEFT(DF76,1))=3,15, VALUE(LEFT(DF76,1))=2,8, TRUE,0), 15)
  + IFERROR(_xlfn.IFS(VALUE(LEFT(DG76,1))=5,25, VALUE(LEFT(DG76,1))=4,20, VALUE(LEFT(DG76,1))=3,15, VALUE(LEFT(DG76,1))=2,8, TRUE,0), 15)
  + _xlfn.IFS(DH76="Fully Verified",25, DH76="Partially Verified",12, TRUE,0)
)</f>
        <v>30</v>
      </c>
      <c r="DO76" s="5" t="str">
        <f t="array" ref="DO76">_xlfn.IFS(
  ISBLANK(AR76), "Insufficient Evidence",
  AND(AR76&gt;=65, AJ76="Approved"), "Strong",
  AR76&gt;=65, "Adequate",
  AR76&gt;=40, "Adequate",
  AR76&gt;=20, "Weak",
  TRUE, "Insufficient Evidence"
)</f>
        <v>Insufficient Evidence</v>
      </c>
      <c r="DP76" s="5" t="str">
        <f t="array" ref="DP76">_xlfn.IFS(
  ISBLANK(BS76), "Insufficient Evidence",
  BS76&gt;=65, "Strong",
  BS76&gt;=40, "Adequate",
  BS76&gt;=20, "Weak",
  TRUE, "Insufficient Evidence"
)</f>
        <v>Insufficient Evidence</v>
      </c>
      <c r="DQ76" s="5" t="str">
        <f t="array" ref="DQ76">_xlfn.IFS(
  ISBLANK(BE76), "Insufficient Evidence",
  OR(AW76="Confirmed Violation", AX76="Confirmed Breach"), "Severe — Hard Trigger",
  BE76&gt;=65, "Strong",
  BE76&gt;=40, "Adequate",
  BE76&gt;=20, "Weak",
  TRUE, "Insufficient Evidence"
)</f>
        <v>Insufficient Evidence</v>
      </c>
      <c r="DR76" s="5" t="str">
        <f t="array" ref="DR76">_xlfn.IFS(
  ISBLANK(CU76), "Insufficient Evidence",
  CU76&lt;=20, "Low Risk",
  CU76&lt;=50, "Moderate Risk",
  CU76&lt;=75, "High Risk",
  TRUE, "Very High Risk"
)</f>
        <v>Low Risk</v>
      </c>
      <c r="DS76" s="5" t="str">
        <f t="array" ref="DS76">_xlfn.IFS(
  ISBLANK(CE76), "Insufficient Evidence",
  AND(ISNUMBER(BW76),ISNUMBER(BV76),BW76&gt;BV76), "Overclaiming Risk",
  CE76&gt;=65, "Strong",
  CE76&gt;=40, "Adequate",
  TRUE, "Weak"
)</f>
        <v>Weak</v>
      </c>
      <c r="DT76" s="5">
        <f t="shared" si="71"/>
        <v>11.7</v>
      </c>
      <c r="DU76" s="5" t="str">
        <f t="array" ref="DU76">_xlfn.IFS(
  DV76="Upgraded to Clear", "Clear",
  DV76="Downgraded to Watchlist", "Watchlist",
  DV76="Downgraded to Exclusion", "Exclusion Risk",
  DB76="Yes — Automatic", "Exclusion Risk",
  OR(AW76="Confirmed Violation", AX76="Confirmed Breach"), "Exclusion Risk",
  OR(V76=0, ISBLANK(V76), DN76&lt;20), "Insufficient Evidence",
  AND(DT76&gt;=65, DA76="No", DB76="No"), "Clear",
  OR(DT76&gt;=40, DA76="Yes"), "Watchlist",
  TRUE, "Exclusion Risk"
)</f>
        <v>Insufficient Evidence</v>
      </c>
      <c r="DV76" s="5"/>
      <c r="DW76" s="5" t="str">
        <f t="array" ref="DW76">_xlfn.IFS(
  DU76="Exclusion Risk", "Exclude — Hard Trigger",
  DU76="Insufficient Evidence", "Watchlist — Further Evidence Needed",
  DU76="Watchlist", "Watchlist — Further Evidence Needed",
  AND(DU76="Clear", DT76&gt;=80), "Include — No Conditions",
  DU76="Clear", "Include — Monitor",
  TRUE, "Watchlist — Further Evidence Needed"
)</f>
        <v>Watchlist — Further Evidence Needed</v>
      </c>
      <c r="DX76" s="5"/>
      <c r="DY76" s="5"/>
      <c r="DZ76" s="5"/>
      <c r="EA76" s="5"/>
      <c r="EB76" s="5" t="str">
        <f t="shared" si="72"/>
        <v>MISSING — No sources reviewed</v>
      </c>
      <c r="EC76" s="5" t="str">
        <f t="shared" si="73"/>
        <v/>
      </c>
    </row>
    <row r="77" spans="1:133" ht="18" customHeight="1" x14ac:dyDescent="0.15">
      <c r="A77" s="3" t="s">
        <v>583</v>
      </c>
      <c r="B77" s="3" t="s">
        <v>584</v>
      </c>
      <c r="C77" s="3" t="str">
        <f>IF(ISBLANK('Universe Tracker'!D73),"",'Universe Tracker'!D73)</f>
        <v>CH0311864901</v>
      </c>
      <c r="D77" s="3"/>
      <c r="E77" s="3"/>
      <c r="F77" s="3" t="str">
        <f>IF(ISBLANK('Universe Tracker'!F73),"",'Universe Tracker'!F73)</f>
        <v>Industrials</v>
      </c>
      <c r="G77" s="3" t="str">
        <f>IF(ISBLANK('Universe Tracker'!G73),"",'Universe Tracker'!G73)</f>
        <v>Industrial Products</v>
      </c>
      <c r="H77" s="3"/>
      <c r="I77" s="3"/>
      <c r="J77" s="3" t="str">
        <f t="shared" si="62"/>
        <v>19V_CH0311864901</v>
      </c>
      <c r="K77" s="3"/>
      <c r="L77" s="3"/>
      <c r="M77" s="3"/>
      <c r="N77" s="3"/>
      <c r="O77" s="3"/>
      <c r="P77" s="3"/>
      <c r="Q77" s="3"/>
      <c r="R77" s="3"/>
      <c r="S77" s="3"/>
      <c r="T77" s="3"/>
      <c r="U77" s="3"/>
      <c r="V77" s="3"/>
      <c r="W77" s="3"/>
      <c r="X77" s="3"/>
      <c r="Y77" s="3" t="str">
        <f t="shared" si="63"/>
        <v>Insufficient</v>
      </c>
      <c r="Z77" s="3"/>
      <c r="AA77" s="3"/>
      <c r="AB77" s="3"/>
      <c r="AC77" s="3"/>
      <c r="AD77" s="3"/>
      <c r="AE77" s="3"/>
      <c r="AF77" s="3"/>
      <c r="AG77" s="3"/>
      <c r="AH77" s="3"/>
      <c r="AI77" s="3"/>
      <c r="AJ77" s="3"/>
      <c r="AK77" s="3"/>
      <c r="AL77" s="3"/>
      <c r="AM77" s="3"/>
      <c r="AN77" s="3"/>
      <c r="AO77" s="3"/>
      <c r="AP77" s="3"/>
      <c r="AQ77" s="3"/>
      <c r="AR77" s="40">
        <f t="array" ref="AR77">MIN(100, MAX(0,
  IFERROR(_xlfn.XLOOKUP(AJ77,'Lookup Tables'!$A$2:$A$7,'Lookup Tables'!$B$2:$B$7,0),0)
  + IF(Z77="Yes", IF(IFERROR(_xlfn.XLOOKUP(AJ77,'Lookup Tables'!$A$2:$A$7,'Lookup Tables'!$B$2:$B$7,0),0)&lt;20, 5, 0), 0)
  + _xlfn.IFS(AB77="Yes", IF(ISNUMBER(AC77)*AND(AC77&lt;=2030),15,10), AB77="Long-term Only", 5, AB77="No", 0, TRUE, 0)
  + _xlfn.IFS(AF77="Full",10, AF77="Partial",5, AF77="Scope 2 Only",3, TRUE,0)
  + _xlfn.IFS(AG77="Yes", IF(ISNUMBER(AH77)*AND(AH77&gt;=5),10,6), AG77="Partial",4, TRUE,0)
  + _xlfn.IFS(AI77="Yes",5, AI77="Partial (material categories only)",3, TRUE,0)
  + _xlfn.IFS(AL77="Yes — Detailed",10, AL77="Yes — High Level",5, TRUE,0)
  + _xlfn.IFS(AM77="Yes — Quantified",15, AM77="Yes — Directional Only",7, TRUE,0)
  + _xlfn.IFS(AP77="Formal",5, AP77="Referenced",2, TRUE,0)
  + _xlfn.IFS(AQ77="No Issues Found",5, AQ77="Concern Identified",-5, AQ77="Severe Contradiction",-15, TRUE,0)
  + _xlfn.IFS(BC77="Reasonable Assurance",5, BC77="Limited Assurance",3, TRUE,0)
  - IF(AND(Z77="Yes", AI77="No"), 10, 0)
  - IF(AND(Z77="Yes", AM77="No"), 10, 0)
))</f>
        <v>0</v>
      </c>
      <c r="AS77" s="3"/>
      <c r="AT77" s="3"/>
      <c r="AU77" s="3"/>
      <c r="AV77" s="3"/>
      <c r="AW77" s="3"/>
      <c r="AX77" s="3"/>
      <c r="AY77" s="3"/>
      <c r="AZ77" s="3"/>
      <c r="BA77" s="3"/>
      <c r="BB77" s="3"/>
      <c r="BC77" s="3"/>
      <c r="BD77" s="3"/>
      <c r="BE77" s="40">
        <f t="array" ref="BE77">MIN(100, MAX(0,
  IFERROR(_xlfn.XLOOKUP(AT77,'Lookup Tables'!$D$2:$D$6,'Lookup Tables'!$E$2:$E$6,0),0)
  + IFERROR(_xlfn.XLOOKUP(AV77,'Lookup Tables'!$G$2:$G$5,'Lookup Tables'!$H$2:$H$5,0),0)
  + IFERROR(_xlfn.XLOOKUP(AW77,'Lookup Tables'!$J$2:$J$5,'Lookup Tables'!$K$2:$K$5,0),0)
  + _xlfn.IFS(AX77="No Issues",10, AX77="Complaint Filed",3, AX77="Confirmed Breach",-15, TRUE,0)
  + IFERROR(_xlfn.XLOOKUP(AY77,'Lookup Tables'!$M$2:$M$6,'Lookup Tables'!$N$2:$N$6,0),0)
  + IFERROR(_xlfn.XLOOKUP(AZ77,'Lookup Tables'!$P$2:$P$6,'Lookup Tables'!$Q$2:$Q$6,0),0)
  + _xlfn.IFS(BA77="Formal Board Committee",5, BA77="Board Oversight Mentioned",2, TRUE,0)
  + _xlfn.IFS(BB77="Yes — Quantified Targets",5, BB77="Yes — Discretionary Only",2, TRUE,0)
  + _xlfn.IFS(BC77="Reasonable Assurance",5, BC77="Limited Assurance",3, BC77="Management Review Only",1, TRUE,0)
))</f>
        <v>0</v>
      </c>
      <c r="BF77" s="3"/>
      <c r="BG77" s="3"/>
      <c r="BH77" s="3"/>
      <c r="BI77" s="3"/>
      <c r="BJ77" s="3"/>
      <c r="BK77" s="3"/>
      <c r="BL77" s="3"/>
      <c r="BM77" s="3"/>
      <c r="BN77" s="3"/>
      <c r="BO77" s="3"/>
      <c r="BP77" s="3"/>
      <c r="BQ77" s="3"/>
      <c r="BR77" s="3"/>
      <c r="BS77" s="42">
        <f t="array" ref="BS77">MIN(100, MAX(0,
  IFERROR(_xlfn.XLOOKUP(BG77,'Lookup Tables'!$A$11:$A$16,'Lookup Tables'!$B$11:$B$16,0),0)
  + IFERROR(_xlfn.XLOOKUP(BR77,'Lookup Tables'!$M$11:$M$14,'Lookup Tables'!$N$11:$N$14,0),0)
  + IFERROR(_xlfn.XLOOKUP(BQ77,'Lookup Tables'!$J$11:$J$15,'Lookup Tables'!$K$11:$K$15,0),0)
  + IFERROR(_xlfn.XLOOKUP(BH77,'Lookup Tables'!$D$11:$D$15,'Lookup Tables'!$E$11:$E$15,0),0)
  + IFERROR(_xlfn.XLOOKUP(BJ77,'Lookup Tables'!$G$11:$G$16,'Lookup Tables'!$H$11:$H$16,0),0)
  + IFERROR(_xlfn.XLOOKUP(BN77,'Lookup Tables'!$P$11:$P$15,'Lookup Tables'!$Q$11:$Q$15,0),0)
  + _xlfn.IFS(BM77="No Evidence",10, BM77="Unknown",3, BM77="Likely",0, BM77="Confirmed",-10, TRUE,3)
  + IFERROR(_xlfn.XLOOKUP(BP77,'Lookup Tables'!$J$21:$J$24,'Lookup Tables'!$K$21:$K$24,0),0)
))</f>
        <v>3</v>
      </c>
      <c r="BT77" s="3"/>
      <c r="BU77" s="3"/>
      <c r="BV77" s="3"/>
      <c r="BW77" s="3"/>
      <c r="BX77" s="3"/>
      <c r="BY77" s="3"/>
      <c r="BZ77" s="3"/>
      <c r="CA77" s="3"/>
      <c r="CB77" s="3"/>
      <c r="CC77" s="3"/>
      <c r="CD77" s="3"/>
      <c r="CE77" s="44">
        <f t="array" ref="CE77">MIN(100, MAX(0,
  IF(ISNUMBER(BV77)*AND(BV77&gt;0), 10, 0)
  + _xlfn.IFS(BY77="Independently Verified",25, BY77="Yes",15, TRUE,0)
  + IFERROR(_xlfn.XLOOKUP(BZ77,'Lookup Tables'!$A$21:$A$24,'Lookup Tables'!$B$21:$B$24,0),0)
  + IFERROR(_xlfn.XLOOKUP(CA77,'Lookup Tables'!$D$21:$D$24,'Lookup Tables'!$E$21:$E$24,0),0)
  + _xlfn.IFS(ISNUMBER(CB77)*AND(CB77&gt;=11),15, ISNUMBER(CB77)*AND(CB77&gt;=6),10, ISNUMBER(CB77)*AND(CB77&gt;=1),5, TRUE,0)
  + IFERROR(_xlfn.XLOOKUP(CC77,'Lookup Tables'!$G$21:$G$25,'Lookup Tables'!$H$21:$H$25,0),0)
  - IF(ISNUMBER(BW77)*AND(ISNUMBER(BV77))*AND(BW77&gt;BV77), 20, 0)
  - IF(AND(BY77="Yes", ISNUMBER(BW77), BW77&gt;60), 10, 0)
))</f>
        <v>0</v>
      </c>
      <c r="CF77" s="3"/>
      <c r="CG77" s="3"/>
      <c r="CH77" s="3"/>
      <c r="CI77" s="3"/>
      <c r="CJ77" s="3"/>
      <c r="CK77" s="3"/>
      <c r="CL77" s="3"/>
      <c r="CM77" s="3"/>
      <c r="CN77" s="3"/>
      <c r="CO77" s="3"/>
      <c r="CP77" s="3"/>
      <c r="CQ77" s="3"/>
      <c r="CR77" s="3">
        <f t="shared" si="64"/>
        <v>0</v>
      </c>
      <c r="CS77" s="3">
        <f t="shared" si="65"/>
        <v>0</v>
      </c>
      <c r="CT77" s="3">
        <f t="shared" si="66"/>
        <v>0</v>
      </c>
      <c r="CU77" s="3">
        <f>MIN(100,
  CR77*15
  + CS77*6
  + CT77*3
  + IFERROR(_xlfn.XLOOKUP(CW77,'Lookup Tables'!$M$21:$M$25,'Lookup Tables'!$N$21:$N$25,0),0)
)</f>
        <v>0</v>
      </c>
      <c r="CV77" s="3" t="str">
        <f t="shared" si="74"/>
        <v>No failures</v>
      </c>
      <c r="CW77" s="3"/>
      <c r="CX77" s="3"/>
      <c r="CY77" s="3"/>
      <c r="CZ77" s="3"/>
      <c r="DA77" s="3" t="str">
        <f t="shared" si="67"/>
        <v>Yes</v>
      </c>
      <c r="DB77" s="3" t="str">
        <f t="shared" si="68"/>
        <v>No</v>
      </c>
      <c r="DC77" s="3"/>
      <c r="DD77" s="3"/>
      <c r="DE77" s="3"/>
      <c r="DF77" s="3"/>
      <c r="DG77" s="3"/>
      <c r="DH77" s="3"/>
      <c r="DI77" s="3"/>
      <c r="DJ77" s="3"/>
      <c r="DK77" s="3"/>
      <c r="DL77" s="3" t="str">
        <f t="shared" si="69"/>
        <v>Clear</v>
      </c>
      <c r="DM77" s="3" t="str">
        <f t="shared" si="70"/>
        <v>Yes</v>
      </c>
      <c r="DN77" s="3">
        <f t="array" ref="DN77">MIN(100,
  IF(ISNUMBER(V77), _xlfn.IFS(V77&gt;=3,25, V77=2,15, V77=1,5, TRUE,0), 0)
  + IFERROR(_xlfn.IFS(VALUE(LEFT(DF77,1))=5,25, VALUE(LEFT(DF77,1))=4,20, VALUE(LEFT(DF77,1))=3,15, VALUE(LEFT(DF77,1))=2,8, TRUE,0), 15)
  + IFERROR(_xlfn.IFS(VALUE(LEFT(DG77,1))=5,25, VALUE(LEFT(DG77,1))=4,20, VALUE(LEFT(DG77,1))=3,15, VALUE(LEFT(DG77,1))=2,8, TRUE,0), 15)
  + _xlfn.IFS(DH77="Fully Verified",25, DH77="Partially Verified",12, TRUE,0)
)</f>
        <v>30</v>
      </c>
      <c r="DO77" s="3" t="str">
        <f t="array" ref="DO77">_xlfn.IFS(
  ISBLANK(AR77), "Insufficient Evidence",
  AND(AR77&gt;=65, AJ77="Approved"), "Strong",
  AR77&gt;=65, "Adequate",
  AR77&gt;=40, "Adequate",
  AR77&gt;=20, "Weak",
  TRUE, "Insufficient Evidence"
)</f>
        <v>Insufficient Evidence</v>
      </c>
      <c r="DP77" s="3" t="str">
        <f t="array" ref="DP77">_xlfn.IFS(
  ISBLANK(BS77), "Insufficient Evidence",
  BS77&gt;=65, "Strong",
  BS77&gt;=40, "Adequate",
  BS77&gt;=20, "Weak",
  TRUE, "Insufficient Evidence"
)</f>
        <v>Insufficient Evidence</v>
      </c>
      <c r="DQ77" s="3" t="str">
        <f t="array" ref="DQ77">_xlfn.IFS(
  ISBLANK(BE77), "Insufficient Evidence",
  OR(AW77="Confirmed Violation", AX77="Confirmed Breach"), "Severe — Hard Trigger",
  BE77&gt;=65, "Strong",
  BE77&gt;=40, "Adequate",
  BE77&gt;=20, "Weak",
  TRUE, "Insufficient Evidence"
)</f>
        <v>Insufficient Evidence</v>
      </c>
      <c r="DR77" s="3" t="str">
        <f t="array" ref="DR77">_xlfn.IFS(
  ISBLANK(CU77), "Insufficient Evidence",
  CU77&lt;=20, "Low Risk",
  CU77&lt;=50, "Moderate Risk",
  CU77&lt;=75, "High Risk",
  TRUE, "Very High Risk"
)</f>
        <v>Low Risk</v>
      </c>
      <c r="DS77" s="3" t="str">
        <f t="array" ref="DS77">_xlfn.IFS(
  ISBLANK(CE77), "Insufficient Evidence",
  AND(ISNUMBER(BW77),ISNUMBER(BV77),BW77&gt;BV77), "Overclaiming Risk",
  CE77&gt;=65, "Strong",
  CE77&gt;=40, "Adequate",
  TRUE, "Weak"
)</f>
        <v>Weak</v>
      </c>
      <c r="DT77" s="3">
        <f t="shared" si="71"/>
        <v>11.7</v>
      </c>
      <c r="DU77" s="3" t="str">
        <f t="array" ref="DU77">_xlfn.IFS(
  DV77="Upgraded to Clear", "Clear",
  DV77="Downgraded to Watchlist", "Watchlist",
  DV77="Downgraded to Exclusion", "Exclusion Risk",
  DB77="Yes — Automatic", "Exclusion Risk",
  OR(AW77="Confirmed Violation", AX77="Confirmed Breach"), "Exclusion Risk",
  OR(V77=0, ISBLANK(V77), DN77&lt;20), "Insufficient Evidence",
  AND(DT77&gt;=65, DA77="No", DB77="No"), "Clear",
  OR(DT77&gt;=40, DA77="Yes"), "Watchlist",
  TRUE, "Exclusion Risk"
)</f>
        <v>Insufficient Evidence</v>
      </c>
      <c r="DV77" s="3"/>
      <c r="DW77" s="3" t="str">
        <f t="array" ref="DW77">_xlfn.IFS(
  DU77="Exclusion Risk", "Exclude — Hard Trigger",
  DU77="Insufficient Evidence", "Watchlist — Further Evidence Needed",
  DU77="Watchlist", "Watchlist — Further Evidence Needed",
  AND(DU77="Clear", DT77&gt;=80), "Include — No Conditions",
  DU77="Clear", "Include — Monitor",
  TRUE, "Watchlist — Further Evidence Needed"
)</f>
        <v>Watchlist — Further Evidence Needed</v>
      </c>
      <c r="DX77" s="3"/>
      <c r="DY77" s="3"/>
      <c r="DZ77" s="3"/>
      <c r="EA77" s="3"/>
      <c r="EB77" s="3" t="str">
        <f t="shared" si="72"/>
        <v>MISSING — No sources reviewed</v>
      </c>
      <c r="EC77" s="3" t="str">
        <f t="shared" si="73"/>
        <v/>
      </c>
    </row>
    <row r="78" spans="1:133" ht="18" customHeight="1" x14ac:dyDescent="0.15">
      <c r="A78" s="5" t="s">
        <v>587</v>
      </c>
      <c r="B78" s="5" t="s">
        <v>588</v>
      </c>
      <c r="C78" s="5" t="str">
        <f>IF(ISBLANK('Universe Tracker'!D74),"",'Universe Tracker'!D74)</f>
        <v>ES0113900J37</v>
      </c>
      <c r="D78" s="5"/>
      <c r="E78" s="5"/>
      <c r="F78" s="5" t="str">
        <f>IF(ISBLANK('Universe Tracker'!F74),"",'Universe Tracker'!F74)</f>
        <v>Financials</v>
      </c>
      <c r="G78" s="5" t="str">
        <f>IF(ISBLANK('Universe Tracker'!G74),"",'Universe Tracker'!G74)</f>
        <v>Banking</v>
      </c>
      <c r="H78" s="5"/>
      <c r="I78" s="5"/>
      <c r="J78" s="5" t="str">
        <f t="shared" si="62"/>
        <v>BSD2_ES0113900J37</v>
      </c>
      <c r="K78" s="5"/>
      <c r="L78" s="5"/>
      <c r="M78" s="5"/>
      <c r="N78" s="5"/>
      <c r="O78" s="5"/>
      <c r="P78" s="5"/>
      <c r="Q78" s="5"/>
      <c r="R78" s="5"/>
      <c r="S78" s="5"/>
      <c r="T78" s="5"/>
      <c r="U78" s="5"/>
      <c r="V78" s="5"/>
      <c r="W78" s="5"/>
      <c r="X78" s="5"/>
      <c r="Y78" s="5" t="str">
        <f t="shared" si="63"/>
        <v>Insufficient</v>
      </c>
      <c r="Z78" s="5"/>
      <c r="AA78" s="5"/>
      <c r="AB78" s="5"/>
      <c r="AC78" s="5"/>
      <c r="AD78" s="5"/>
      <c r="AE78" s="5"/>
      <c r="AF78" s="5"/>
      <c r="AG78" s="5"/>
      <c r="AH78" s="5"/>
      <c r="AI78" s="5"/>
      <c r="AJ78" s="5"/>
      <c r="AK78" s="5"/>
      <c r="AL78" s="5"/>
      <c r="AM78" s="5"/>
      <c r="AN78" s="5"/>
      <c r="AO78" s="5"/>
      <c r="AP78" s="5"/>
      <c r="AQ78" s="5"/>
      <c r="AR78" s="40">
        <f t="array" ref="AR78">MIN(100, MAX(0,
  IFERROR(_xlfn.XLOOKUP(AJ78,'Lookup Tables'!$A$2:$A$7,'Lookup Tables'!$B$2:$B$7,0),0)
  + IF(Z78="Yes", IF(IFERROR(_xlfn.XLOOKUP(AJ78,'Lookup Tables'!$A$2:$A$7,'Lookup Tables'!$B$2:$B$7,0),0)&lt;20, 5, 0), 0)
  + _xlfn.IFS(AB78="Yes", IF(ISNUMBER(AC78)*AND(AC78&lt;=2030),15,10), AB78="Long-term Only", 5, AB78="No", 0, TRUE, 0)
  + _xlfn.IFS(AF78="Full",10, AF78="Partial",5, AF78="Scope 2 Only",3, TRUE,0)
  + _xlfn.IFS(AG78="Yes", IF(ISNUMBER(AH78)*AND(AH78&gt;=5),10,6), AG78="Partial",4, TRUE,0)
  + _xlfn.IFS(AI78="Yes",5, AI78="Partial (material categories only)",3, TRUE,0)
  + _xlfn.IFS(AL78="Yes — Detailed",10, AL78="Yes — High Level",5, TRUE,0)
  + _xlfn.IFS(AM78="Yes — Quantified",15, AM78="Yes — Directional Only",7, TRUE,0)
  + _xlfn.IFS(AP78="Formal",5, AP78="Referenced",2, TRUE,0)
  + _xlfn.IFS(AQ78="No Issues Found",5, AQ78="Concern Identified",-5, AQ78="Severe Contradiction",-15, TRUE,0)
  + _xlfn.IFS(BC78="Reasonable Assurance",5, BC78="Limited Assurance",3, TRUE,0)
  - IF(AND(Z78="Yes", AI78="No"), 10, 0)
  - IF(AND(Z78="Yes", AM78="No"), 10, 0)
))</f>
        <v>0</v>
      </c>
      <c r="AS78" s="5"/>
      <c r="AT78" s="5"/>
      <c r="AU78" s="5"/>
      <c r="AV78" s="5"/>
      <c r="AW78" s="5"/>
      <c r="AX78" s="5"/>
      <c r="AY78" s="5"/>
      <c r="AZ78" s="5"/>
      <c r="BA78" s="5"/>
      <c r="BB78" s="5"/>
      <c r="BC78" s="5"/>
      <c r="BD78" s="5"/>
      <c r="BE78" s="39">
        <f t="array" ref="BE78">MIN(100, MAX(0,
  IFERROR(_xlfn.XLOOKUP(AT78,'Lookup Tables'!$D$2:$D$6,'Lookup Tables'!$E$2:$E$6,0),0)
  + IFERROR(_xlfn.XLOOKUP(AV78,'Lookup Tables'!$G$2:$G$5,'Lookup Tables'!$H$2:$H$5,0),0)
  + IFERROR(_xlfn.XLOOKUP(AW78,'Lookup Tables'!$J$2:$J$5,'Lookup Tables'!$K$2:$K$5,0),0)
  + _xlfn.IFS(AX78="No Issues",10, AX78="Complaint Filed",3, AX78="Confirmed Breach",-15, TRUE,0)
  + IFERROR(_xlfn.XLOOKUP(AY78,'Lookup Tables'!$M$2:$M$6,'Lookup Tables'!$N$2:$N$6,0),0)
  + IFERROR(_xlfn.XLOOKUP(AZ78,'Lookup Tables'!$P$2:$P$6,'Lookup Tables'!$Q$2:$Q$6,0),0)
  + _xlfn.IFS(BA78="Formal Board Committee",5, BA78="Board Oversight Mentioned",2, TRUE,0)
  + _xlfn.IFS(BB78="Yes — Quantified Targets",5, BB78="Yes — Discretionary Only",2, TRUE,0)
  + _xlfn.IFS(BC78="Reasonable Assurance",5, BC78="Limited Assurance",3, BC78="Management Review Only",1, TRUE,0)
))</f>
        <v>0</v>
      </c>
      <c r="BF78" s="5"/>
      <c r="BG78" s="5"/>
      <c r="BH78" s="5"/>
      <c r="BI78" s="5"/>
      <c r="BJ78" s="5"/>
      <c r="BK78" s="5"/>
      <c r="BL78" s="5"/>
      <c r="BM78" s="5"/>
      <c r="BN78" s="5"/>
      <c r="BO78" s="5"/>
      <c r="BP78" s="5"/>
      <c r="BQ78" s="5"/>
      <c r="BR78" s="5"/>
      <c r="BS78" s="41">
        <f t="array" ref="BS78">MIN(100, MAX(0,
  IFERROR(_xlfn.XLOOKUP(BG78,'Lookup Tables'!$A$11:$A$16,'Lookup Tables'!$B$11:$B$16,0),0)
  + IFERROR(_xlfn.XLOOKUP(BR78,'Lookup Tables'!$M$11:$M$14,'Lookup Tables'!$N$11:$N$14,0),0)
  + IFERROR(_xlfn.XLOOKUP(BQ78,'Lookup Tables'!$J$11:$J$15,'Lookup Tables'!$K$11:$K$15,0),0)
  + IFERROR(_xlfn.XLOOKUP(BH78,'Lookup Tables'!$D$11:$D$15,'Lookup Tables'!$E$11:$E$15,0),0)
  + IFERROR(_xlfn.XLOOKUP(BJ78,'Lookup Tables'!$G$11:$G$16,'Lookup Tables'!$H$11:$H$16,0),0)
  + IFERROR(_xlfn.XLOOKUP(BN78,'Lookup Tables'!$P$11:$P$15,'Lookup Tables'!$Q$11:$Q$15,0),0)
  + _xlfn.IFS(BM78="No Evidence",10, BM78="Unknown",3, BM78="Likely",0, BM78="Confirmed",-10, TRUE,3)
  + IFERROR(_xlfn.XLOOKUP(BP78,'Lookup Tables'!$J$21:$J$24,'Lookup Tables'!$K$21:$K$24,0),0)
))</f>
        <v>3</v>
      </c>
      <c r="BT78" s="5"/>
      <c r="BU78" s="5"/>
      <c r="BV78" s="5"/>
      <c r="BW78" s="5"/>
      <c r="BX78" s="5"/>
      <c r="BY78" s="5"/>
      <c r="BZ78" s="5"/>
      <c r="CA78" s="5"/>
      <c r="CB78" s="5"/>
      <c r="CC78" s="5"/>
      <c r="CD78" s="5"/>
      <c r="CE78" s="43">
        <f t="array" ref="CE78">MIN(100, MAX(0,
  IF(ISNUMBER(BV78)*AND(BV78&gt;0), 10, 0)
  + _xlfn.IFS(BY78="Independently Verified",25, BY78="Yes",15, TRUE,0)
  + IFERROR(_xlfn.XLOOKUP(BZ78,'Lookup Tables'!$A$21:$A$24,'Lookup Tables'!$B$21:$B$24,0),0)
  + IFERROR(_xlfn.XLOOKUP(CA78,'Lookup Tables'!$D$21:$D$24,'Lookup Tables'!$E$21:$E$24,0),0)
  + _xlfn.IFS(ISNUMBER(CB78)*AND(CB78&gt;=11),15, ISNUMBER(CB78)*AND(CB78&gt;=6),10, ISNUMBER(CB78)*AND(CB78&gt;=1),5, TRUE,0)
  + IFERROR(_xlfn.XLOOKUP(CC78,'Lookup Tables'!$G$21:$G$25,'Lookup Tables'!$H$21:$H$25,0),0)
  - IF(ISNUMBER(BW78)*AND(ISNUMBER(BV78))*AND(BW78&gt;BV78), 20, 0)
  - IF(AND(BY78="Yes", ISNUMBER(BW78), BW78&gt;60), 10, 0)
))</f>
        <v>0</v>
      </c>
      <c r="CF78" s="5"/>
      <c r="CG78" s="5"/>
      <c r="CH78" s="5"/>
      <c r="CI78" s="5"/>
      <c r="CJ78" s="5"/>
      <c r="CK78" s="5"/>
      <c r="CL78" s="5"/>
      <c r="CM78" s="5"/>
      <c r="CN78" s="5"/>
      <c r="CO78" s="5"/>
      <c r="CP78" s="5"/>
      <c r="CQ78" s="5"/>
      <c r="CR78" s="5">
        <f t="shared" si="64"/>
        <v>0</v>
      </c>
      <c r="CS78" s="5">
        <f t="shared" si="65"/>
        <v>0</v>
      </c>
      <c r="CT78" s="5">
        <f t="shared" si="66"/>
        <v>0</v>
      </c>
      <c r="CU78" s="5">
        <f>MIN(100,
  CR78*15
  + CS78*6
  + CT78*3
  + IFERROR(_xlfn.XLOOKUP(CW78,'Lookup Tables'!$M$21:$M$25,'Lookup Tables'!$N$21:$N$25,0),0)
)</f>
        <v>0</v>
      </c>
      <c r="CV78" s="5" t="str">
        <f t="shared" si="74"/>
        <v>No failures</v>
      </c>
      <c r="CW78" s="5"/>
      <c r="CX78" s="5"/>
      <c r="CY78" s="5"/>
      <c r="CZ78" s="5"/>
      <c r="DA78" s="5" t="str">
        <f t="shared" si="67"/>
        <v>Yes</v>
      </c>
      <c r="DB78" s="5" t="str">
        <f t="shared" si="68"/>
        <v>No</v>
      </c>
      <c r="DC78" s="5"/>
      <c r="DD78" s="5"/>
      <c r="DE78" s="5"/>
      <c r="DF78" s="5"/>
      <c r="DG78" s="5"/>
      <c r="DH78" s="5"/>
      <c r="DI78" s="5"/>
      <c r="DJ78" s="5"/>
      <c r="DK78" s="5"/>
      <c r="DL78" s="5" t="str">
        <f t="shared" si="69"/>
        <v>Clear</v>
      </c>
      <c r="DM78" s="5" t="str">
        <f t="shared" si="70"/>
        <v>Yes</v>
      </c>
      <c r="DN78" s="5">
        <f t="array" ref="DN78">MIN(100,
  IF(ISNUMBER(V78), _xlfn.IFS(V78&gt;=3,25, V78=2,15, V78=1,5, TRUE,0), 0)
  + IFERROR(_xlfn.IFS(VALUE(LEFT(DF78,1))=5,25, VALUE(LEFT(DF78,1))=4,20, VALUE(LEFT(DF78,1))=3,15, VALUE(LEFT(DF78,1))=2,8, TRUE,0), 15)
  + IFERROR(_xlfn.IFS(VALUE(LEFT(DG78,1))=5,25, VALUE(LEFT(DG78,1))=4,20, VALUE(LEFT(DG78,1))=3,15, VALUE(LEFT(DG78,1))=2,8, TRUE,0), 15)
  + _xlfn.IFS(DH78="Fully Verified",25, DH78="Partially Verified",12, TRUE,0)
)</f>
        <v>30</v>
      </c>
      <c r="DO78" s="5" t="str">
        <f t="array" ref="DO78">_xlfn.IFS(
  ISBLANK(AR78), "Insufficient Evidence",
  AND(AR78&gt;=65, AJ78="Approved"), "Strong",
  AR78&gt;=65, "Adequate",
  AR78&gt;=40, "Adequate",
  AR78&gt;=20, "Weak",
  TRUE, "Insufficient Evidence"
)</f>
        <v>Insufficient Evidence</v>
      </c>
      <c r="DP78" s="5" t="str">
        <f t="array" ref="DP78">_xlfn.IFS(
  ISBLANK(BS78), "Insufficient Evidence",
  BS78&gt;=65, "Strong",
  BS78&gt;=40, "Adequate",
  BS78&gt;=20, "Weak",
  TRUE, "Insufficient Evidence"
)</f>
        <v>Insufficient Evidence</v>
      </c>
      <c r="DQ78" s="5" t="str">
        <f t="array" ref="DQ78">_xlfn.IFS(
  ISBLANK(BE78), "Insufficient Evidence",
  OR(AW78="Confirmed Violation", AX78="Confirmed Breach"), "Severe — Hard Trigger",
  BE78&gt;=65, "Strong",
  BE78&gt;=40, "Adequate",
  BE78&gt;=20, "Weak",
  TRUE, "Insufficient Evidence"
)</f>
        <v>Insufficient Evidence</v>
      </c>
      <c r="DR78" s="5" t="str">
        <f t="array" ref="DR78">_xlfn.IFS(
  ISBLANK(CU78), "Insufficient Evidence",
  CU78&lt;=20, "Low Risk",
  CU78&lt;=50, "Moderate Risk",
  CU78&lt;=75, "High Risk",
  TRUE, "Very High Risk"
)</f>
        <v>Low Risk</v>
      </c>
      <c r="DS78" s="5" t="str">
        <f t="array" ref="DS78">_xlfn.IFS(
  ISBLANK(CE78), "Insufficient Evidence",
  AND(ISNUMBER(BW78),ISNUMBER(BV78),BW78&gt;BV78), "Overclaiming Risk",
  CE78&gt;=65, "Strong",
  CE78&gt;=40, "Adequate",
  TRUE, "Weak"
)</f>
        <v>Weak</v>
      </c>
      <c r="DT78" s="5">
        <f t="shared" si="71"/>
        <v>11.7</v>
      </c>
      <c r="DU78" s="5" t="str">
        <f t="array" ref="DU78">_xlfn.IFS(
  DV78="Upgraded to Clear", "Clear",
  DV78="Downgraded to Watchlist", "Watchlist",
  DV78="Downgraded to Exclusion", "Exclusion Risk",
  DB78="Yes — Automatic", "Exclusion Risk",
  OR(AW78="Confirmed Violation", AX78="Confirmed Breach"), "Exclusion Risk",
  OR(V78=0, ISBLANK(V78), DN78&lt;20), "Insufficient Evidence",
  AND(DT78&gt;=65, DA78="No", DB78="No"), "Clear",
  OR(DT78&gt;=40, DA78="Yes"), "Watchlist",
  TRUE, "Exclusion Risk"
)</f>
        <v>Insufficient Evidence</v>
      </c>
      <c r="DV78" s="5"/>
      <c r="DW78" s="5" t="str">
        <f t="array" ref="DW78">_xlfn.IFS(
  DU78="Exclusion Risk", "Exclude — Hard Trigger",
  DU78="Insufficient Evidence", "Watchlist — Further Evidence Needed",
  DU78="Watchlist", "Watchlist — Further Evidence Needed",
  AND(DU78="Clear", DT78&gt;=80), "Include — No Conditions",
  DU78="Clear", "Include — Monitor",
  TRUE, "Watchlist — Further Evidence Needed"
)</f>
        <v>Watchlist — Further Evidence Needed</v>
      </c>
      <c r="DX78" s="5"/>
      <c r="DY78" s="5"/>
      <c r="DZ78" s="5"/>
      <c r="EA78" s="5"/>
      <c r="EB78" s="5" t="str">
        <f t="shared" si="72"/>
        <v>MISSING — No sources reviewed</v>
      </c>
      <c r="EC78" s="5" t="str">
        <f t="shared" si="73"/>
        <v/>
      </c>
    </row>
    <row r="79" spans="1:133" ht="18" customHeight="1" x14ac:dyDescent="0.15">
      <c r="A79" s="3" t="s">
        <v>591</v>
      </c>
      <c r="B79" s="3" t="s">
        <v>592</v>
      </c>
      <c r="C79" s="3" t="str">
        <f>IF(ISBLANK('Universe Tracker'!D75),"",'Universe Tracker'!D75)</f>
        <v>GB00BLGZ9862</v>
      </c>
      <c r="D79" s="3"/>
      <c r="E79" s="3"/>
      <c r="F79" s="3" t="str">
        <f>IF(ISBLANK('Universe Tracker'!F75),"",'Universe Tracker'!F75)</f>
        <v>Consumer Staples</v>
      </c>
      <c r="G79" s="3" t="str">
        <f>IF(ISBLANK('Universe Tracker'!G75),"",'Universe Tracker'!G75)</f>
        <v>Retail &amp; Wholesale - Staples</v>
      </c>
      <c r="H79" s="3"/>
      <c r="I79" s="3"/>
      <c r="J79" s="3" t="str">
        <f t="shared" si="62"/>
        <v>TCO0_GB00BLGZ9862</v>
      </c>
      <c r="K79" s="3"/>
      <c r="L79" s="3"/>
      <c r="M79" s="3"/>
      <c r="N79" s="3"/>
      <c r="O79" s="3"/>
      <c r="P79" s="3"/>
      <c r="Q79" s="3"/>
      <c r="R79" s="3"/>
      <c r="S79" s="3"/>
      <c r="T79" s="3"/>
      <c r="U79" s="3"/>
      <c r="V79" s="3"/>
      <c r="W79" s="3"/>
      <c r="X79" s="3"/>
      <c r="Y79" s="3" t="str">
        <f t="shared" si="63"/>
        <v>Insufficient</v>
      </c>
      <c r="Z79" s="3"/>
      <c r="AA79" s="3"/>
      <c r="AB79" s="3"/>
      <c r="AC79" s="3"/>
      <c r="AD79" s="3"/>
      <c r="AE79" s="3"/>
      <c r="AF79" s="3"/>
      <c r="AG79" s="3"/>
      <c r="AH79" s="3"/>
      <c r="AI79" s="3"/>
      <c r="AJ79" s="3"/>
      <c r="AK79" s="3"/>
      <c r="AL79" s="3"/>
      <c r="AM79" s="3"/>
      <c r="AN79" s="3"/>
      <c r="AO79" s="3"/>
      <c r="AP79" s="3"/>
      <c r="AQ79" s="3"/>
      <c r="AR79" s="40">
        <f t="array" ref="AR79">MIN(100, MAX(0,
  IFERROR(_xlfn.XLOOKUP(AJ79,'Lookup Tables'!$A$2:$A$7,'Lookup Tables'!$B$2:$B$7,0),0)
  + IF(Z79="Yes", IF(IFERROR(_xlfn.XLOOKUP(AJ79,'Lookup Tables'!$A$2:$A$7,'Lookup Tables'!$B$2:$B$7,0),0)&lt;20, 5, 0), 0)
  + _xlfn.IFS(AB79="Yes", IF(ISNUMBER(AC79)*AND(AC79&lt;=2030),15,10), AB79="Long-term Only", 5, AB79="No", 0, TRUE, 0)
  + _xlfn.IFS(AF79="Full",10, AF79="Partial",5, AF79="Scope 2 Only",3, TRUE,0)
  + _xlfn.IFS(AG79="Yes", IF(ISNUMBER(AH79)*AND(AH79&gt;=5),10,6), AG79="Partial",4, TRUE,0)
  + _xlfn.IFS(AI79="Yes",5, AI79="Partial (material categories only)",3, TRUE,0)
  + _xlfn.IFS(AL79="Yes — Detailed",10, AL79="Yes — High Level",5, TRUE,0)
  + _xlfn.IFS(AM79="Yes — Quantified",15, AM79="Yes — Directional Only",7, TRUE,0)
  + _xlfn.IFS(AP79="Formal",5, AP79="Referenced",2, TRUE,0)
  + _xlfn.IFS(AQ79="No Issues Found",5, AQ79="Concern Identified",-5, AQ79="Severe Contradiction",-15, TRUE,0)
  + _xlfn.IFS(BC79="Reasonable Assurance",5, BC79="Limited Assurance",3, TRUE,0)
  - IF(AND(Z79="Yes", AI79="No"), 10, 0)
  - IF(AND(Z79="Yes", AM79="No"), 10, 0)
))</f>
        <v>0</v>
      </c>
      <c r="AS79" s="3"/>
      <c r="AT79" s="3"/>
      <c r="AU79" s="3"/>
      <c r="AV79" s="3"/>
      <c r="AW79" s="3"/>
      <c r="AX79" s="3"/>
      <c r="AY79" s="3"/>
      <c r="AZ79" s="3"/>
      <c r="BA79" s="3"/>
      <c r="BB79" s="3"/>
      <c r="BC79" s="3"/>
      <c r="BD79" s="3"/>
      <c r="BE79" s="40">
        <f t="array" ref="BE79">MIN(100, MAX(0,
  IFERROR(_xlfn.XLOOKUP(AT79,'Lookup Tables'!$D$2:$D$6,'Lookup Tables'!$E$2:$E$6,0),0)
  + IFERROR(_xlfn.XLOOKUP(AV79,'Lookup Tables'!$G$2:$G$5,'Lookup Tables'!$H$2:$H$5,0),0)
  + IFERROR(_xlfn.XLOOKUP(AW79,'Lookup Tables'!$J$2:$J$5,'Lookup Tables'!$K$2:$K$5,0),0)
  + _xlfn.IFS(AX79="No Issues",10, AX79="Complaint Filed",3, AX79="Confirmed Breach",-15, TRUE,0)
  + IFERROR(_xlfn.XLOOKUP(AY79,'Lookup Tables'!$M$2:$M$6,'Lookup Tables'!$N$2:$N$6,0),0)
  + IFERROR(_xlfn.XLOOKUP(AZ79,'Lookup Tables'!$P$2:$P$6,'Lookup Tables'!$Q$2:$Q$6,0),0)
  + _xlfn.IFS(BA79="Formal Board Committee",5, BA79="Board Oversight Mentioned",2, TRUE,0)
  + _xlfn.IFS(BB79="Yes — Quantified Targets",5, BB79="Yes — Discretionary Only",2, TRUE,0)
  + _xlfn.IFS(BC79="Reasonable Assurance",5, BC79="Limited Assurance",3, BC79="Management Review Only",1, TRUE,0)
))</f>
        <v>0</v>
      </c>
      <c r="BF79" s="3"/>
      <c r="BG79" s="3"/>
      <c r="BH79" s="3"/>
      <c r="BI79" s="3"/>
      <c r="BJ79" s="3"/>
      <c r="BK79" s="3"/>
      <c r="BL79" s="3"/>
      <c r="BM79" s="3"/>
      <c r="BN79" s="3"/>
      <c r="BO79" s="3"/>
      <c r="BP79" s="3"/>
      <c r="BQ79" s="3"/>
      <c r="BR79" s="3"/>
      <c r="BS79" s="42">
        <f t="array" ref="BS79">MIN(100, MAX(0,
  IFERROR(_xlfn.XLOOKUP(BG79,'Lookup Tables'!$A$11:$A$16,'Lookup Tables'!$B$11:$B$16,0),0)
  + IFERROR(_xlfn.XLOOKUP(BR79,'Lookup Tables'!$M$11:$M$14,'Lookup Tables'!$N$11:$N$14,0),0)
  + IFERROR(_xlfn.XLOOKUP(BQ79,'Lookup Tables'!$J$11:$J$15,'Lookup Tables'!$K$11:$K$15,0),0)
  + IFERROR(_xlfn.XLOOKUP(BH79,'Lookup Tables'!$D$11:$D$15,'Lookup Tables'!$E$11:$E$15,0),0)
  + IFERROR(_xlfn.XLOOKUP(BJ79,'Lookup Tables'!$G$11:$G$16,'Lookup Tables'!$H$11:$H$16,0),0)
  + IFERROR(_xlfn.XLOOKUP(BN79,'Lookup Tables'!$P$11:$P$15,'Lookup Tables'!$Q$11:$Q$15,0),0)
  + _xlfn.IFS(BM79="No Evidence",10, BM79="Unknown",3, BM79="Likely",0, BM79="Confirmed",-10, TRUE,3)
  + IFERROR(_xlfn.XLOOKUP(BP79,'Lookup Tables'!$J$21:$J$24,'Lookup Tables'!$K$21:$K$24,0),0)
))</f>
        <v>3</v>
      </c>
      <c r="BT79" s="3"/>
      <c r="BU79" s="3"/>
      <c r="BV79" s="3"/>
      <c r="BW79" s="3"/>
      <c r="BX79" s="3"/>
      <c r="BY79" s="3"/>
      <c r="BZ79" s="3"/>
      <c r="CA79" s="3"/>
      <c r="CB79" s="3"/>
      <c r="CC79" s="3"/>
      <c r="CD79" s="3"/>
      <c r="CE79" s="44">
        <f t="array" ref="CE79">MIN(100, MAX(0,
  IF(ISNUMBER(BV79)*AND(BV79&gt;0), 10, 0)
  + _xlfn.IFS(BY79="Independently Verified",25, BY79="Yes",15, TRUE,0)
  + IFERROR(_xlfn.XLOOKUP(BZ79,'Lookup Tables'!$A$21:$A$24,'Lookup Tables'!$B$21:$B$24,0),0)
  + IFERROR(_xlfn.XLOOKUP(CA79,'Lookup Tables'!$D$21:$D$24,'Lookup Tables'!$E$21:$E$24,0),0)
  + _xlfn.IFS(ISNUMBER(CB79)*AND(CB79&gt;=11),15, ISNUMBER(CB79)*AND(CB79&gt;=6),10, ISNUMBER(CB79)*AND(CB79&gt;=1),5, TRUE,0)
  + IFERROR(_xlfn.XLOOKUP(CC79,'Lookup Tables'!$G$21:$G$25,'Lookup Tables'!$H$21:$H$25,0),0)
  - IF(ISNUMBER(BW79)*AND(ISNUMBER(BV79))*AND(BW79&gt;BV79), 20, 0)
  - IF(AND(BY79="Yes", ISNUMBER(BW79), BW79&gt;60), 10, 0)
))</f>
        <v>0</v>
      </c>
      <c r="CF79" s="3"/>
      <c r="CG79" s="3"/>
      <c r="CH79" s="3"/>
      <c r="CI79" s="3"/>
      <c r="CJ79" s="3"/>
      <c r="CK79" s="3"/>
      <c r="CL79" s="3"/>
      <c r="CM79" s="3"/>
      <c r="CN79" s="3"/>
      <c r="CO79" s="3"/>
      <c r="CP79" s="3"/>
      <c r="CQ79" s="3"/>
      <c r="CR79" s="3">
        <f t="shared" si="64"/>
        <v>0</v>
      </c>
      <c r="CS79" s="3">
        <f t="shared" si="65"/>
        <v>0</v>
      </c>
      <c r="CT79" s="3">
        <f t="shared" si="66"/>
        <v>0</v>
      </c>
      <c r="CU79" s="3">
        <f>MIN(100,
  CR79*15
  + CS79*6
  + CT79*3
  + IFERROR(_xlfn.XLOOKUP(CW79,'Lookup Tables'!$M$21:$M$25,'Lookup Tables'!$N$21:$N$25,0),0)
)</f>
        <v>0</v>
      </c>
      <c r="CV79" s="3" t="str">
        <f t="shared" si="74"/>
        <v>No failures</v>
      </c>
      <c r="CW79" s="3"/>
      <c r="CX79" s="3"/>
      <c r="CY79" s="3"/>
      <c r="CZ79" s="3"/>
      <c r="DA79" s="3" t="str">
        <f t="shared" si="67"/>
        <v>Yes</v>
      </c>
      <c r="DB79" s="3" t="str">
        <f t="shared" si="68"/>
        <v>No</v>
      </c>
      <c r="DC79" s="3"/>
      <c r="DD79" s="3"/>
      <c r="DE79" s="3"/>
      <c r="DF79" s="3"/>
      <c r="DG79" s="3"/>
      <c r="DH79" s="3"/>
      <c r="DI79" s="3"/>
      <c r="DJ79" s="3"/>
      <c r="DK79" s="3"/>
      <c r="DL79" s="3" t="str">
        <f t="shared" si="69"/>
        <v>Clear</v>
      </c>
      <c r="DM79" s="3" t="str">
        <f t="shared" si="70"/>
        <v>Yes</v>
      </c>
      <c r="DN79" s="3">
        <f t="array" ref="DN79">MIN(100,
  IF(ISNUMBER(V79), _xlfn.IFS(V79&gt;=3,25, V79=2,15, V79=1,5, TRUE,0), 0)
  + IFERROR(_xlfn.IFS(VALUE(LEFT(DF79,1))=5,25, VALUE(LEFT(DF79,1))=4,20, VALUE(LEFT(DF79,1))=3,15, VALUE(LEFT(DF79,1))=2,8, TRUE,0), 15)
  + IFERROR(_xlfn.IFS(VALUE(LEFT(DG79,1))=5,25, VALUE(LEFT(DG79,1))=4,20, VALUE(LEFT(DG79,1))=3,15, VALUE(LEFT(DG79,1))=2,8, TRUE,0), 15)
  + _xlfn.IFS(DH79="Fully Verified",25, DH79="Partially Verified",12, TRUE,0)
)</f>
        <v>30</v>
      </c>
      <c r="DO79" s="3" t="str">
        <f t="array" ref="DO79">_xlfn.IFS(
  ISBLANK(AR79), "Insufficient Evidence",
  AND(AR79&gt;=65, AJ79="Approved"), "Strong",
  AR79&gt;=65, "Adequate",
  AR79&gt;=40, "Adequate",
  AR79&gt;=20, "Weak",
  TRUE, "Insufficient Evidence"
)</f>
        <v>Insufficient Evidence</v>
      </c>
      <c r="DP79" s="3" t="str">
        <f t="array" ref="DP79">_xlfn.IFS(
  ISBLANK(BS79), "Insufficient Evidence",
  BS79&gt;=65, "Strong",
  BS79&gt;=40, "Adequate",
  BS79&gt;=20, "Weak",
  TRUE, "Insufficient Evidence"
)</f>
        <v>Insufficient Evidence</v>
      </c>
      <c r="DQ79" s="3" t="str">
        <f t="array" ref="DQ79">_xlfn.IFS(
  ISBLANK(BE79), "Insufficient Evidence",
  OR(AW79="Confirmed Violation", AX79="Confirmed Breach"), "Severe — Hard Trigger",
  BE79&gt;=65, "Strong",
  BE79&gt;=40, "Adequate",
  BE79&gt;=20, "Weak",
  TRUE, "Insufficient Evidence"
)</f>
        <v>Insufficient Evidence</v>
      </c>
      <c r="DR79" s="3" t="str">
        <f t="array" ref="DR79">_xlfn.IFS(
  ISBLANK(CU79), "Insufficient Evidence",
  CU79&lt;=20, "Low Risk",
  CU79&lt;=50, "Moderate Risk",
  CU79&lt;=75, "High Risk",
  TRUE, "Very High Risk"
)</f>
        <v>Low Risk</v>
      </c>
      <c r="DS79" s="3" t="str">
        <f t="array" ref="DS79">_xlfn.IFS(
  ISBLANK(CE79), "Insufficient Evidence",
  AND(ISNUMBER(BW79),ISNUMBER(BV79),BW79&gt;BV79), "Overclaiming Risk",
  CE79&gt;=65, "Strong",
  CE79&gt;=40, "Adequate",
  TRUE, "Weak"
)</f>
        <v>Weak</v>
      </c>
      <c r="DT79" s="3">
        <f t="shared" si="71"/>
        <v>11.7</v>
      </c>
      <c r="DU79" s="3" t="str">
        <f t="array" ref="DU79">_xlfn.IFS(
  DV79="Upgraded to Clear", "Clear",
  DV79="Downgraded to Watchlist", "Watchlist",
  DV79="Downgraded to Exclusion", "Exclusion Risk",
  DB79="Yes — Automatic", "Exclusion Risk",
  OR(AW79="Confirmed Violation", AX79="Confirmed Breach"), "Exclusion Risk",
  OR(V79=0, ISBLANK(V79), DN79&lt;20), "Insufficient Evidence",
  AND(DT79&gt;=65, DA79="No", DB79="No"), "Clear",
  OR(DT79&gt;=40, DA79="Yes"), "Watchlist",
  TRUE, "Exclusion Risk"
)</f>
        <v>Insufficient Evidence</v>
      </c>
      <c r="DV79" s="3"/>
      <c r="DW79" s="3" t="str">
        <f t="array" ref="DW79">_xlfn.IFS(
  DU79="Exclusion Risk", "Exclude — Hard Trigger",
  DU79="Insufficient Evidence", "Watchlist — Further Evidence Needed",
  DU79="Watchlist", "Watchlist — Further Evidence Needed",
  AND(DU79="Clear", DT79&gt;=80), "Include — No Conditions",
  DU79="Clear", "Include — Monitor",
  TRUE, "Watchlist — Further Evidence Needed"
)</f>
        <v>Watchlist — Further Evidence Needed</v>
      </c>
      <c r="DX79" s="3"/>
      <c r="DY79" s="3"/>
      <c r="DZ79" s="3"/>
      <c r="EA79" s="3"/>
      <c r="EB79" s="3" t="str">
        <f t="shared" si="72"/>
        <v>MISSING — No sources reviewed</v>
      </c>
      <c r="EC79" s="3" t="str">
        <f t="shared" si="73"/>
        <v/>
      </c>
    </row>
    <row r="80" spans="1:133" ht="18" customHeight="1" x14ac:dyDescent="0.15">
      <c r="A80" s="5" t="s">
        <v>597</v>
      </c>
      <c r="B80" s="5" t="s">
        <v>598</v>
      </c>
      <c r="C80" s="5" t="str">
        <f>IF(ISBLANK('Universe Tracker'!D76),"",'Universe Tracker'!D76)</f>
        <v>CH0198251305</v>
      </c>
      <c r="D80" s="5"/>
      <c r="E80" s="5"/>
      <c r="F80" s="5" t="str">
        <f>IF(ISBLANK('Universe Tracker'!F76),"",'Universe Tracker'!F76)</f>
        <v>Consumer Staples</v>
      </c>
      <c r="G80" s="5" t="str">
        <f>IF(ISBLANK('Universe Tracker'!G76),"",'Universe Tracker'!G76)</f>
        <v>Consumer Staple Products</v>
      </c>
      <c r="H80" s="5"/>
      <c r="I80" s="5"/>
      <c r="J80" s="5" t="str">
        <f t="shared" si="62"/>
        <v>C0Q_CH0198251305</v>
      </c>
      <c r="K80" s="5"/>
      <c r="L80" s="5"/>
      <c r="M80" s="5"/>
      <c r="N80" s="5"/>
      <c r="O80" s="5"/>
      <c r="P80" s="5"/>
      <c r="Q80" s="5"/>
      <c r="R80" s="5"/>
      <c r="S80" s="5"/>
      <c r="T80" s="5"/>
      <c r="U80" s="5"/>
      <c r="V80" s="5"/>
      <c r="W80" s="5"/>
      <c r="X80" s="5"/>
      <c r="Y80" s="5" t="str">
        <f t="shared" si="63"/>
        <v>Insufficient</v>
      </c>
      <c r="Z80" s="5"/>
      <c r="AA80" s="5"/>
      <c r="AB80" s="5"/>
      <c r="AC80" s="5"/>
      <c r="AD80" s="5"/>
      <c r="AE80" s="5"/>
      <c r="AF80" s="5"/>
      <c r="AG80" s="5"/>
      <c r="AH80" s="5"/>
      <c r="AI80" s="5"/>
      <c r="AJ80" s="5"/>
      <c r="AK80" s="5"/>
      <c r="AL80" s="5"/>
      <c r="AM80" s="5"/>
      <c r="AN80" s="5"/>
      <c r="AO80" s="5"/>
      <c r="AP80" s="5"/>
      <c r="AQ80" s="5"/>
      <c r="AR80" s="40">
        <f t="array" ref="AR80">MIN(100, MAX(0,
  IFERROR(_xlfn.XLOOKUP(AJ80,'Lookup Tables'!$A$2:$A$7,'Lookup Tables'!$B$2:$B$7,0),0)
  + IF(Z80="Yes", IF(IFERROR(_xlfn.XLOOKUP(AJ80,'Lookup Tables'!$A$2:$A$7,'Lookup Tables'!$B$2:$B$7,0),0)&lt;20, 5, 0), 0)
  + _xlfn.IFS(AB80="Yes", IF(ISNUMBER(AC80)*AND(AC80&lt;=2030),15,10), AB80="Long-term Only", 5, AB80="No", 0, TRUE, 0)
  + _xlfn.IFS(AF80="Full",10, AF80="Partial",5, AF80="Scope 2 Only",3, TRUE,0)
  + _xlfn.IFS(AG80="Yes", IF(ISNUMBER(AH80)*AND(AH80&gt;=5),10,6), AG80="Partial",4, TRUE,0)
  + _xlfn.IFS(AI80="Yes",5, AI80="Partial (material categories only)",3, TRUE,0)
  + _xlfn.IFS(AL80="Yes — Detailed",10, AL80="Yes — High Level",5, TRUE,0)
  + _xlfn.IFS(AM80="Yes — Quantified",15, AM80="Yes — Directional Only",7, TRUE,0)
  + _xlfn.IFS(AP80="Formal",5, AP80="Referenced",2, TRUE,0)
  + _xlfn.IFS(AQ80="No Issues Found",5, AQ80="Concern Identified",-5, AQ80="Severe Contradiction",-15, TRUE,0)
  + _xlfn.IFS(BC80="Reasonable Assurance",5, BC80="Limited Assurance",3, TRUE,0)
  - IF(AND(Z80="Yes", AI80="No"), 10, 0)
  - IF(AND(Z80="Yes", AM80="No"), 10, 0)
))</f>
        <v>0</v>
      </c>
      <c r="AS80" s="5"/>
      <c r="AT80" s="5"/>
      <c r="AU80" s="5"/>
      <c r="AV80" s="5"/>
      <c r="AW80" s="5"/>
      <c r="AX80" s="5"/>
      <c r="AY80" s="5"/>
      <c r="AZ80" s="5"/>
      <c r="BA80" s="5"/>
      <c r="BB80" s="5"/>
      <c r="BC80" s="5"/>
      <c r="BD80" s="5"/>
      <c r="BE80" s="39">
        <f t="array" ref="BE80">MIN(100, MAX(0,
  IFERROR(_xlfn.XLOOKUP(AT80,'Lookup Tables'!$D$2:$D$6,'Lookup Tables'!$E$2:$E$6,0),0)
  + IFERROR(_xlfn.XLOOKUP(AV80,'Lookup Tables'!$G$2:$G$5,'Lookup Tables'!$H$2:$H$5,0),0)
  + IFERROR(_xlfn.XLOOKUP(AW80,'Lookup Tables'!$J$2:$J$5,'Lookup Tables'!$K$2:$K$5,0),0)
  + _xlfn.IFS(AX80="No Issues",10, AX80="Complaint Filed",3, AX80="Confirmed Breach",-15, TRUE,0)
  + IFERROR(_xlfn.XLOOKUP(AY80,'Lookup Tables'!$M$2:$M$6,'Lookup Tables'!$N$2:$N$6,0),0)
  + IFERROR(_xlfn.XLOOKUP(AZ80,'Lookup Tables'!$P$2:$P$6,'Lookup Tables'!$Q$2:$Q$6,0),0)
  + _xlfn.IFS(BA80="Formal Board Committee",5, BA80="Board Oversight Mentioned",2, TRUE,0)
  + _xlfn.IFS(BB80="Yes — Quantified Targets",5, BB80="Yes — Discretionary Only",2, TRUE,0)
  + _xlfn.IFS(BC80="Reasonable Assurance",5, BC80="Limited Assurance",3, BC80="Management Review Only",1, TRUE,0)
))</f>
        <v>0</v>
      </c>
      <c r="BF80" s="5"/>
      <c r="BG80" s="5"/>
      <c r="BH80" s="5"/>
      <c r="BI80" s="5"/>
      <c r="BJ80" s="5"/>
      <c r="BK80" s="5"/>
      <c r="BL80" s="5"/>
      <c r="BM80" s="5"/>
      <c r="BN80" s="5"/>
      <c r="BO80" s="5"/>
      <c r="BP80" s="5"/>
      <c r="BQ80" s="5"/>
      <c r="BR80" s="5"/>
      <c r="BS80" s="41">
        <f t="array" ref="BS80">MIN(100, MAX(0,
  IFERROR(_xlfn.XLOOKUP(BG80,'Lookup Tables'!$A$11:$A$16,'Lookup Tables'!$B$11:$B$16,0),0)
  + IFERROR(_xlfn.XLOOKUP(BR80,'Lookup Tables'!$M$11:$M$14,'Lookup Tables'!$N$11:$N$14,0),0)
  + IFERROR(_xlfn.XLOOKUP(BQ80,'Lookup Tables'!$J$11:$J$15,'Lookup Tables'!$K$11:$K$15,0),0)
  + IFERROR(_xlfn.XLOOKUP(BH80,'Lookup Tables'!$D$11:$D$15,'Lookup Tables'!$E$11:$E$15,0),0)
  + IFERROR(_xlfn.XLOOKUP(BJ80,'Lookup Tables'!$G$11:$G$16,'Lookup Tables'!$H$11:$H$16,0),0)
  + IFERROR(_xlfn.XLOOKUP(BN80,'Lookup Tables'!$P$11:$P$15,'Lookup Tables'!$Q$11:$Q$15,0),0)
  + _xlfn.IFS(BM80="No Evidence",10, BM80="Unknown",3, BM80="Likely",0, BM80="Confirmed",-10, TRUE,3)
  + IFERROR(_xlfn.XLOOKUP(BP80,'Lookup Tables'!$J$21:$J$24,'Lookup Tables'!$K$21:$K$24,0),0)
))</f>
        <v>3</v>
      </c>
      <c r="BT80" s="5"/>
      <c r="BU80" s="5"/>
      <c r="BV80" s="5"/>
      <c r="BW80" s="5"/>
      <c r="BX80" s="5"/>
      <c r="BY80" s="5"/>
      <c r="BZ80" s="5"/>
      <c r="CA80" s="5"/>
      <c r="CB80" s="5"/>
      <c r="CC80" s="5"/>
      <c r="CD80" s="5"/>
      <c r="CE80" s="43">
        <f t="array" ref="CE80">MIN(100, MAX(0,
  IF(ISNUMBER(BV80)*AND(BV80&gt;0), 10, 0)
  + _xlfn.IFS(BY80="Independently Verified",25, BY80="Yes",15, TRUE,0)
  + IFERROR(_xlfn.XLOOKUP(BZ80,'Lookup Tables'!$A$21:$A$24,'Lookup Tables'!$B$21:$B$24,0),0)
  + IFERROR(_xlfn.XLOOKUP(CA80,'Lookup Tables'!$D$21:$D$24,'Lookup Tables'!$E$21:$E$24,0),0)
  + _xlfn.IFS(ISNUMBER(CB80)*AND(CB80&gt;=11),15, ISNUMBER(CB80)*AND(CB80&gt;=6),10, ISNUMBER(CB80)*AND(CB80&gt;=1),5, TRUE,0)
  + IFERROR(_xlfn.XLOOKUP(CC80,'Lookup Tables'!$G$21:$G$25,'Lookup Tables'!$H$21:$H$25,0),0)
  - IF(ISNUMBER(BW80)*AND(ISNUMBER(BV80))*AND(BW80&gt;BV80), 20, 0)
  - IF(AND(BY80="Yes", ISNUMBER(BW80), BW80&gt;60), 10, 0)
))</f>
        <v>0</v>
      </c>
      <c r="CF80" s="5"/>
      <c r="CG80" s="5"/>
      <c r="CH80" s="5"/>
      <c r="CI80" s="5"/>
      <c r="CJ80" s="5"/>
      <c r="CK80" s="5"/>
      <c r="CL80" s="5"/>
      <c r="CM80" s="5"/>
      <c r="CN80" s="5"/>
      <c r="CO80" s="5"/>
      <c r="CP80" s="5"/>
      <c r="CQ80" s="5"/>
      <c r="CR80" s="5">
        <f t="shared" si="64"/>
        <v>0</v>
      </c>
      <c r="CS80" s="5">
        <f t="shared" si="65"/>
        <v>0</v>
      </c>
      <c r="CT80" s="5">
        <f t="shared" si="66"/>
        <v>0</v>
      </c>
      <c r="CU80" s="5">
        <f>MIN(100,
  CR80*15
  + CS80*6
  + CT80*3
  + IFERROR(_xlfn.XLOOKUP(CW80,'Lookup Tables'!$M$21:$M$25,'Lookup Tables'!$N$21:$N$25,0),0)
)</f>
        <v>0</v>
      </c>
      <c r="CV80" s="5" t="str">
        <f t="shared" si="74"/>
        <v>No failures</v>
      </c>
      <c r="CW80" s="5"/>
      <c r="CX80" s="5"/>
      <c r="CY80" s="5"/>
      <c r="CZ80" s="5"/>
      <c r="DA80" s="5" t="str">
        <f t="shared" si="67"/>
        <v>Yes</v>
      </c>
      <c r="DB80" s="5" t="str">
        <f t="shared" si="68"/>
        <v>No</v>
      </c>
      <c r="DC80" s="5"/>
      <c r="DD80" s="5"/>
      <c r="DE80" s="5"/>
      <c r="DF80" s="5"/>
      <c r="DG80" s="5"/>
      <c r="DH80" s="5"/>
      <c r="DI80" s="5"/>
      <c r="DJ80" s="5"/>
      <c r="DK80" s="5"/>
      <c r="DL80" s="5" t="str">
        <f t="shared" si="69"/>
        <v>Clear</v>
      </c>
      <c r="DM80" s="5" t="str">
        <f t="shared" si="70"/>
        <v>Yes</v>
      </c>
      <c r="DN80" s="5">
        <f t="array" ref="DN80">MIN(100,
  IF(ISNUMBER(V80), _xlfn.IFS(V80&gt;=3,25, V80=2,15, V80=1,5, TRUE,0), 0)
  + IFERROR(_xlfn.IFS(VALUE(LEFT(DF80,1))=5,25, VALUE(LEFT(DF80,1))=4,20, VALUE(LEFT(DF80,1))=3,15, VALUE(LEFT(DF80,1))=2,8, TRUE,0), 15)
  + IFERROR(_xlfn.IFS(VALUE(LEFT(DG80,1))=5,25, VALUE(LEFT(DG80,1))=4,20, VALUE(LEFT(DG80,1))=3,15, VALUE(LEFT(DG80,1))=2,8, TRUE,0), 15)
  + _xlfn.IFS(DH80="Fully Verified",25, DH80="Partially Verified",12, TRUE,0)
)</f>
        <v>30</v>
      </c>
      <c r="DO80" s="5" t="str">
        <f t="array" ref="DO80">_xlfn.IFS(
  ISBLANK(AR80), "Insufficient Evidence",
  AND(AR80&gt;=65, AJ80="Approved"), "Strong",
  AR80&gt;=65, "Adequate",
  AR80&gt;=40, "Adequate",
  AR80&gt;=20, "Weak",
  TRUE, "Insufficient Evidence"
)</f>
        <v>Insufficient Evidence</v>
      </c>
      <c r="DP80" s="5" t="str">
        <f t="array" ref="DP80">_xlfn.IFS(
  ISBLANK(BS80), "Insufficient Evidence",
  BS80&gt;=65, "Strong",
  BS80&gt;=40, "Adequate",
  BS80&gt;=20, "Weak",
  TRUE, "Insufficient Evidence"
)</f>
        <v>Insufficient Evidence</v>
      </c>
      <c r="DQ80" s="5" t="str">
        <f t="array" ref="DQ80">_xlfn.IFS(
  ISBLANK(BE80), "Insufficient Evidence",
  OR(AW80="Confirmed Violation", AX80="Confirmed Breach"), "Severe — Hard Trigger",
  BE80&gt;=65, "Strong",
  BE80&gt;=40, "Adequate",
  BE80&gt;=20, "Weak",
  TRUE, "Insufficient Evidence"
)</f>
        <v>Insufficient Evidence</v>
      </c>
      <c r="DR80" s="5" t="str">
        <f t="array" ref="DR80">_xlfn.IFS(
  ISBLANK(CU80), "Insufficient Evidence",
  CU80&lt;=20, "Low Risk",
  CU80&lt;=50, "Moderate Risk",
  CU80&lt;=75, "High Risk",
  TRUE, "Very High Risk"
)</f>
        <v>Low Risk</v>
      </c>
      <c r="DS80" s="5" t="str">
        <f t="array" ref="DS80">_xlfn.IFS(
  ISBLANK(CE80), "Insufficient Evidence",
  AND(ISNUMBER(BW80),ISNUMBER(BV80),BW80&gt;BV80), "Overclaiming Risk",
  CE80&gt;=65, "Strong",
  CE80&gt;=40, "Adequate",
  TRUE, "Weak"
)</f>
        <v>Weak</v>
      </c>
      <c r="DT80" s="5">
        <f t="shared" si="71"/>
        <v>11.7</v>
      </c>
      <c r="DU80" s="5" t="str">
        <f t="array" ref="DU80">_xlfn.IFS(
  DV80="Upgraded to Clear", "Clear",
  DV80="Downgraded to Watchlist", "Watchlist",
  DV80="Downgraded to Exclusion", "Exclusion Risk",
  DB80="Yes — Automatic", "Exclusion Risk",
  OR(AW80="Confirmed Violation", AX80="Confirmed Breach"), "Exclusion Risk",
  OR(V80=0, ISBLANK(V80), DN80&lt;20), "Insufficient Evidence",
  AND(DT80&gt;=65, DA80="No", DB80="No"), "Clear",
  OR(DT80&gt;=40, DA80="Yes"), "Watchlist",
  TRUE, "Exclusion Risk"
)</f>
        <v>Insufficient Evidence</v>
      </c>
      <c r="DV80" s="5"/>
      <c r="DW80" s="5" t="str">
        <f t="array" ref="DW80">_xlfn.IFS(
  DU80="Exclusion Risk", "Exclude — Hard Trigger",
  DU80="Insufficient Evidence", "Watchlist — Further Evidence Needed",
  DU80="Watchlist", "Watchlist — Further Evidence Needed",
  AND(DU80="Clear", DT80&gt;=80), "Include — No Conditions",
  DU80="Clear", "Include — Monitor",
  TRUE, "Watchlist — Further Evidence Needed"
)</f>
        <v>Watchlist — Further Evidence Needed</v>
      </c>
      <c r="DX80" s="5"/>
      <c r="DY80" s="5"/>
      <c r="DZ80" s="5"/>
      <c r="EA80" s="5"/>
      <c r="EB80" s="5" t="str">
        <f t="shared" si="72"/>
        <v>MISSING — No sources reviewed</v>
      </c>
      <c r="EC80" s="5" t="str">
        <f t="shared" si="73"/>
        <v/>
      </c>
    </row>
    <row r="81" spans="1:133" ht="18" customHeight="1" x14ac:dyDescent="0.15">
      <c r="A81" s="3" t="s">
        <v>602</v>
      </c>
      <c r="B81" s="3" t="s">
        <v>603</v>
      </c>
      <c r="C81" s="3" t="str">
        <f>IF(ISBLANK('Universe Tracker'!D77),"",'Universe Tracker'!D77)</f>
        <v>FR0000045072</v>
      </c>
      <c r="D81" s="3"/>
      <c r="E81" s="3"/>
      <c r="F81" s="3" t="str">
        <f>IF(ISBLANK('Universe Tracker'!F77),"",'Universe Tracker'!F77)</f>
        <v>Financials</v>
      </c>
      <c r="G81" s="3" t="str">
        <f>IF(ISBLANK('Universe Tracker'!G77),"",'Universe Tracker'!G77)</f>
        <v>Banking</v>
      </c>
      <c r="H81" s="3"/>
      <c r="I81" s="3"/>
      <c r="J81" s="3" t="str">
        <f t="shared" si="62"/>
        <v>XCA_FR0000045072</v>
      </c>
      <c r="K81" s="3"/>
      <c r="L81" s="3"/>
      <c r="M81" s="3"/>
      <c r="N81" s="3"/>
      <c r="O81" s="3"/>
      <c r="P81" s="3"/>
      <c r="Q81" s="3"/>
      <c r="R81" s="3"/>
      <c r="S81" s="3"/>
      <c r="T81" s="3"/>
      <c r="U81" s="3"/>
      <c r="V81" s="3"/>
      <c r="W81" s="3"/>
      <c r="X81" s="3"/>
      <c r="Y81" s="3" t="str">
        <f t="shared" si="63"/>
        <v>Insufficient</v>
      </c>
      <c r="Z81" s="3"/>
      <c r="AA81" s="3"/>
      <c r="AB81" s="3"/>
      <c r="AC81" s="3"/>
      <c r="AD81" s="3"/>
      <c r="AE81" s="3"/>
      <c r="AF81" s="3"/>
      <c r="AG81" s="3"/>
      <c r="AH81" s="3"/>
      <c r="AI81" s="3"/>
      <c r="AJ81" s="3"/>
      <c r="AK81" s="3"/>
      <c r="AL81" s="3"/>
      <c r="AM81" s="3"/>
      <c r="AN81" s="3"/>
      <c r="AO81" s="3"/>
      <c r="AP81" s="3"/>
      <c r="AQ81" s="3"/>
      <c r="AR81" s="40">
        <f t="array" ref="AR81">MIN(100, MAX(0,
  IFERROR(_xlfn.XLOOKUP(AJ81,'Lookup Tables'!$A$2:$A$7,'Lookup Tables'!$B$2:$B$7,0),0)
  + IF(Z81="Yes", IF(IFERROR(_xlfn.XLOOKUP(AJ81,'Lookup Tables'!$A$2:$A$7,'Lookup Tables'!$B$2:$B$7,0),0)&lt;20, 5, 0), 0)
  + _xlfn.IFS(AB81="Yes", IF(ISNUMBER(AC81)*AND(AC81&lt;=2030),15,10), AB81="Long-term Only", 5, AB81="No", 0, TRUE, 0)
  + _xlfn.IFS(AF81="Full",10, AF81="Partial",5, AF81="Scope 2 Only",3, TRUE,0)
  + _xlfn.IFS(AG81="Yes", IF(ISNUMBER(AH81)*AND(AH81&gt;=5),10,6), AG81="Partial",4, TRUE,0)
  + _xlfn.IFS(AI81="Yes",5, AI81="Partial (material categories only)",3, TRUE,0)
  + _xlfn.IFS(AL81="Yes — Detailed",10, AL81="Yes — High Level",5, TRUE,0)
  + _xlfn.IFS(AM81="Yes — Quantified",15, AM81="Yes — Directional Only",7, TRUE,0)
  + _xlfn.IFS(AP81="Formal",5, AP81="Referenced",2, TRUE,0)
  + _xlfn.IFS(AQ81="No Issues Found",5, AQ81="Concern Identified",-5, AQ81="Severe Contradiction",-15, TRUE,0)
  + _xlfn.IFS(BC81="Reasonable Assurance",5, BC81="Limited Assurance",3, TRUE,0)
  - IF(AND(Z81="Yes", AI81="No"), 10, 0)
  - IF(AND(Z81="Yes", AM81="No"), 10, 0)
))</f>
        <v>0</v>
      </c>
      <c r="AS81" s="3"/>
      <c r="AT81" s="3"/>
      <c r="AU81" s="3"/>
      <c r="AV81" s="3"/>
      <c r="AW81" s="3"/>
      <c r="AX81" s="3"/>
      <c r="AY81" s="3"/>
      <c r="AZ81" s="3"/>
      <c r="BA81" s="3"/>
      <c r="BB81" s="3"/>
      <c r="BC81" s="3"/>
      <c r="BD81" s="3"/>
      <c r="BE81" s="40">
        <f t="array" ref="BE81">MIN(100, MAX(0,
  IFERROR(_xlfn.XLOOKUP(AT81,'Lookup Tables'!$D$2:$D$6,'Lookup Tables'!$E$2:$E$6,0),0)
  + IFERROR(_xlfn.XLOOKUP(AV81,'Lookup Tables'!$G$2:$G$5,'Lookup Tables'!$H$2:$H$5,0),0)
  + IFERROR(_xlfn.XLOOKUP(AW81,'Lookup Tables'!$J$2:$J$5,'Lookup Tables'!$K$2:$K$5,0),0)
  + _xlfn.IFS(AX81="No Issues",10, AX81="Complaint Filed",3, AX81="Confirmed Breach",-15, TRUE,0)
  + IFERROR(_xlfn.XLOOKUP(AY81,'Lookup Tables'!$M$2:$M$6,'Lookup Tables'!$N$2:$N$6,0),0)
  + IFERROR(_xlfn.XLOOKUP(AZ81,'Lookup Tables'!$P$2:$P$6,'Lookup Tables'!$Q$2:$Q$6,0),0)
  + _xlfn.IFS(BA81="Formal Board Committee",5, BA81="Board Oversight Mentioned",2, TRUE,0)
  + _xlfn.IFS(BB81="Yes — Quantified Targets",5, BB81="Yes — Discretionary Only",2, TRUE,0)
  + _xlfn.IFS(BC81="Reasonable Assurance",5, BC81="Limited Assurance",3, BC81="Management Review Only",1, TRUE,0)
))</f>
        <v>0</v>
      </c>
      <c r="BF81" s="3"/>
      <c r="BG81" s="3"/>
      <c r="BH81" s="3"/>
      <c r="BI81" s="3"/>
      <c r="BJ81" s="3"/>
      <c r="BK81" s="3"/>
      <c r="BL81" s="3"/>
      <c r="BM81" s="3"/>
      <c r="BN81" s="3"/>
      <c r="BO81" s="3"/>
      <c r="BP81" s="3"/>
      <c r="BQ81" s="3"/>
      <c r="BR81" s="3"/>
      <c r="BS81" s="42">
        <f t="array" ref="BS81">MIN(100, MAX(0,
  IFERROR(_xlfn.XLOOKUP(BG81,'Lookup Tables'!$A$11:$A$16,'Lookup Tables'!$B$11:$B$16,0),0)
  + IFERROR(_xlfn.XLOOKUP(BR81,'Lookup Tables'!$M$11:$M$14,'Lookup Tables'!$N$11:$N$14,0),0)
  + IFERROR(_xlfn.XLOOKUP(BQ81,'Lookup Tables'!$J$11:$J$15,'Lookup Tables'!$K$11:$K$15,0),0)
  + IFERROR(_xlfn.XLOOKUP(BH81,'Lookup Tables'!$D$11:$D$15,'Lookup Tables'!$E$11:$E$15,0),0)
  + IFERROR(_xlfn.XLOOKUP(BJ81,'Lookup Tables'!$G$11:$G$16,'Lookup Tables'!$H$11:$H$16,0),0)
  + IFERROR(_xlfn.XLOOKUP(BN81,'Lookup Tables'!$P$11:$P$15,'Lookup Tables'!$Q$11:$Q$15,0),0)
  + _xlfn.IFS(BM81="No Evidence",10, BM81="Unknown",3, BM81="Likely",0, BM81="Confirmed",-10, TRUE,3)
  + IFERROR(_xlfn.XLOOKUP(BP81,'Lookup Tables'!$J$21:$J$24,'Lookup Tables'!$K$21:$K$24,0),0)
))</f>
        <v>3</v>
      </c>
      <c r="BT81" s="3"/>
      <c r="BU81" s="3"/>
      <c r="BV81" s="3"/>
      <c r="BW81" s="3"/>
      <c r="BX81" s="3"/>
      <c r="BY81" s="3"/>
      <c r="BZ81" s="3"/>
      <c r="CA81" s="3"/>
      <c r="CB81" s="3"/>
      <c r="CC81" s="3"/>
      <c r="CD81" s="3"/>
      <c r="CE81" s="44">
        <f t="array" ref="CE81">MIN(100, MAX(0,
  IF(ISNUMBER(BV81)*AND(BV81&gt;0), 10, 0)
  + _xlfn.IFS(BY81="Independently Verified",25, BY81="Yes",15, TRUE,0)
  + IFERROR(_xlfn.XLOOKUP(BZ81,'Lookup Tables'!$A$21:$A$24,'Lookup Tables'!$B$21:$B$24,0),0)
  + IFERROR(_xlfn.XLOOKUP(CA81,'Lookup Tables'!$D$21:$D$24,'Lookup Tables'!$E$21:$E$24,0),0)
  + _xlfn.IFS(ISNUMBER(CB81)*AND(CB81&gt;=11),15, ISNUMBER(CB81)*AND(CB81&gt;=6),10, ISNUMBER(CB81)*AND(CB81&gt;=1),5, TRUE,0)
  + IFERROR(_xlfn.XLOOKUP(CC81,'Lookup Tables'!$G$21:$G$25,'Lookup Tables'!$H$21:$H$25,0),0)
  - IF(ISNUMBER(BW81)*AND(ISNUMBER(BV81))*AND(BW81&gt;BV81), 20, 0)
  - IF(AND(BY81="Yes", ISNUMBER(BW81), BW81&gt;60), 10, 0)
))</f>
        <v>0</v>
      </c>
      <c r="CF81" s="3"/>
      <c r="CG81" s="3"/>
      <c r="CH81" s="3"/>
      <c r="CI81" s="3"/>
      <c r="CJ81" s="3"/>
      <c r="CK81" s="3"/>
      <c r="CL81" s="3"/>
      <c r="CM81" s="3"/>
      <c r="CN81" s="3"/>
      <c r="CO81" s="3"/>
      <c r="CP81" s="3"/>
      <c r="CQ81" s="3"/>
      <c r="CR81" s="3">
        <f t="shared" si="64"/>
        <v>0</v>
      </c>
      <c r="CS81" s="3">
        <f t="shared" si="65"/>
        <v>0</v>
      </c>
      <c r="CT81" s="3">
        <f t="shared" si="66"/>
        <v>0</v>
      </c>
      <c r="CU81" s="3">
        <f>MIN(100,
  CR81*15
  + CS81*6
  + CT81*3
  + IFERROR(_xlfn.XLOOKUP(CW81,'Lookup Tables'!$M$21:$M$25,'Lookup Tables'!$N$21:$N$25,0),0)
)</f>
        <v>0</v>
      </c>
      <c r="CV81" s="3" t="str">
        <f t="shared" si="74"/>
        <v>No failures</v>
      </c>
      <c r="CW81" s="3"/>
      <c r="CX81" s="3"/>
      <c r="CY81" s="3"/>
      <c r="CZ81" s="3"/>
      <c r="DA81" s="3" t="str">
        <f t="shared" si="67"/>
        <v>Yes</v>
      </c>
      <c r="DB81" s="3" t="str">
        <f t="shared" si="68"/>
        <v>No</v>
      </c>
      <c r="DC81" s="3"/>
      <c r="DD81" s="3"/>
      <c r="DE81" s="3"/>
      <c r="DF81" s="3"/>
      <c r="DG81" s="3"/>
      <c r="DH81" s="3"/>
      <c r="DI81" s="3"/>
      <c r="DJ81" s="3"/>
      <c r="DK81" s="3"/>
      <c r="DL81" s="3" t="str">
        <f t="shared" si="69"/>
        <v>Clear</v>
      </c>
      <c r="DM81" s="3" t="str">
        <f t="shared" si="70"/>
        <v>Yes</v>
      </c>
      <c r="DN81" s="3">
        <f t="array" ref="DN81">MIN(100,
  IF(ISNUMBER(V81), _xlfn.IFS(V81&gt;=3,25, V81=2,15, V81=1,5, TRUE,0), 0)
  + IFERROR(_xlfn.IFS(VALUE(LEFT(DF81,1))=5,25, VALUE(LEFT(DF81,1))=4,20, VALUE(LEFT(DF81,1))=3,15, VALUE(LEFT(DF81,1))=2,8, TRUE,0), 15)
  + IFERROR(_xlfn.IFS(VALUE(LEFT(DG81,1))=5,25, VALUE(LEFT(DG81,1))=4,20, VALUE(LEFT(DG81,1))=3,15, VALUE(LEFT(DG81,1))=2,8, TRUE,0), 15)
  + _xlfn.IFS(DH81="Fully Verified",25, DH81="Partially Verified",12, TRUE,0)
)</f>
        <v>30</v>
      </c>
      <c r="DO81" s="3" t="str">
        <f t="array" ref="DO81">_xlfn.IFS(
  ISBLANK(AR81), "Insufficient Evidence",
  AND(AR81&gt;=65, AJ81="Approved"), "Strong",
  AR81&gt;=65, "Adequate",
  AR81&gt;=40, "Adequate",
  AR81&gt;=20, "Weak",
  TRUE, "Insufficient Evidence"
)</f>
        <v>Insufficient Evidence</v>
      </c>
      <c r="DP81" s="3" t="str">
        <f t="array" ref="DP81">_xlfn.IFS(
  ISBLANK(BS81), "Insufficient Evidence",
  BS81&gt;=65, "Strong",
  BS81&gt;=40, "Adequate",
  BS81&gt;=20, "Weak",
  TRUE, "Insufficient Evidence"
)</f>
        <v>Insufficient Evidence</v>
      </c>
      <c r="DQ81" s="3" t="str">
        <f t="array" ref="DQ81">_xlfn.IFS(
  ISBLANK(BE81), "Insufficient Evidence",
  OR(AW81="Confirmed Violation", AX81="Confirmed Breach"), "Severe — Hard Trigger",
  BE81&gt;=65, "Strong",
  BE81&gt;=40, "Adequate",
  BE81&gt;=20, "Weak",
  TRUE, "Insufficient Evidence"
)</f>
        <v>Insufficient Evidence</v>
      </c>
      <c r="DR81" s="3" t="str">
        <f t="array" ref="DR81">_xlfn.IFS(
  ISBLANK(CU81), "Insufficient Evidence",
  CU81&lt;=20, "Low Risk",
  CU81&lt;=50, "Moderate Risk",
  CU81&lt;=75, "High Risk",
  TRUE, "Very High Risk"
)</f>
        <v>Low Risk</v>
      </c>
      <c r="DS81" s="3" t="str">
        <f t="array" ref="DS81">_xlfn.IFS(
  ISBLANK(CE81), "Insufficient Evidence",
  AND(ISNUMBER(BW81),ISNUMBER(BV81),BW81&gt;BV81), "Overclaiming Risk",
  CE81&gt;=65, "Strong",
  CE81&gt;=40, "Adequate",
  TRUE, "Weak"
)</f>
        <v>Weak</v>
      </c>
      <c r="DT81" s="3">
        <f t="shared" si="71"/>
        <v>11.7</v>
      </c>
      <c r="DU81" s="3" t="str">
        <f t="array" ref="DU81">_xlfn.IFS(
  DV81="Upgraded to Clear", "Clear",
  DV81="Downgraded to Watchlist", "Watchlist",
  DV81="Downgraded to Exclusion", "Exclusion Risk",
  DB81="Yes — Automatic", "Exclusion Risk",
  OR(AW81="Confirmed Violation", AX81="Confirmed Breach"), "Exclusion Risk",
  OR(V81=0, ISBLANK(V81), DN81&lt;20), "Insufficient Evidence",
  AND(DT81&gt;=65, DA81="No", DB81="No"), "Clear",
  OR(DT81&gt;=40, DA81="Yes"), "Watchlist",
  TRUE, "Exclusion Risk"
)</f>
        <v>Insufficient Evidence</v>
      </c>
      <c r="DV81" s="3"/>
      <c r="DW81" s="3" t="str">
        <f t="array" ref="DW81">_xlfn.IFS(
  DU81="Exclusion Risk", "Exclude — Hard Trigger",
  DU81="Insufficient Evidence", "Watchlist — Further Evidence Needed",
  DU81="Watchlist", "Watchlist — Further Evidence Needed",
  AND(DU81="Clear", DT81&gt;=80), "Include — No Conditions",
  DU81="Clear", "Include — Monitor",
  TRUE, "Watchlist — Further Evidence Needed"
)</f>
        <v>Watchlist — Further Evidence Needed</v>
      </c>
      <c r="DX81" s="3"/>
      <c r="DY81" s="3"/>
      <c r="DZ81" s="3"/>
      <c r="EA81" s="3"/>
      <c r="EB81" s="3" t="str">
        <f t="shared" si="72"/>
        <v>MISSING — No sources reviewed</v>
      </c>
      <c r="EC81" s="3" t="str">
        <f t="shared" si="73"/>
        <v/>
      </c>
    </row>
    <row r="82" spans="1:133" ht="18" customHeight="1" x14ac:dyDescent="0.15">
      <c r="A82" s="5" t="s">
        <v>606</v>
      </c>
      <c r="B82" s="5" t="s">
        <v>607</v>
      </c>
      <c r="C82" s="5" t="str">
        <f>IF(ISBLANK('Universe Tracker'!D78),"",'Universe Tracker'!D78)</f>
        <v>ES0113211835</v>
      </c>
      <c r="D82" s="5"/>
      <c r="E82" s="5"/>
      <c r="F82" s="5" t="str">
        <f>IF(ISBLANK('Universe Tracker'!F78),"",'Universe Tracker'!F78)</f>
        <v>Financials</v>
      </c>
      <c r="G82" s="5" t="str">
        <f>IF(ISBLANK('Universe Tracker'!G78),"",'Universe Tracker'!G78)</f>
        <v>Banking</v>
      </c>
      <c r="H82" s="5"/>
      <c r="I82" s="5"/>
      <c r="J82" s="5" t="str">
        <f t="shared" si="62"/>
        <v>BOY_ES0113211835</v>
      </c>
      <c r="K82" s="5"/>
      <c r="L82" s="5"/>
      <c r="M82" s="5"/>
      <c r="N82" s="5"/>
      <c r="O82" s="5"/>
      <c r="P82" s="5"/>
      <c r="Q82" s="5"/>
      <c r="R82" s="5"/>
      <c r="S82" s="5"/>
      <c r="T82" s="5"/>
      <c r="U82" s="5"/>
      <c r="V82" s="5"/>
      <c r="W82" s="5"/>
      <c r="X82" s="5"/>
      <c r="Y82" s="5" t="str">
        <f t="shared" si="63"/>
        <v>Insufficient</v>
      </c>
      <c r="Z82" s="5"/>
      <c r="AA82" s="5"/>
      <c r="AB82" s="5"/>
      <c r="AC82" s="5"/>
      <c r="AD82" s="5"/>
      <c r="AE82" s="5"/>
      <c r="AF82" s="5"/>
      <c r="AG82" s="5"/>
      <c r="AH82" s="5"/>
      <c r="AI82" s="5"/>
      <c r="AJ82" s="5"/>
      <c r="AK82" s="5"/>
      <c r="AL82" s="5"/>
      <c r="AM82" s="5"/>
      <c r="AN82" s="5"/>
      <c r="AO82" s="5"/>
      <c r="AP82" s="5"/>
      <c r="AQ82" s="5"/>
      <c r="AR82" s="40">
        <f t="array" ref="AR82">MIN(100, MAX(0,
  IFERROR(_xlfn.XLOOKUP(AJ82,'Lookup Tables'!$A$2:$A$7,'Lookup Tables'!$B$2:$B$7,0),0)
  + IF(Z82="Yes", IF(IFERROR(_xlfn.XLOOKUP(AJ82,'Lookup Tables'!$A$2:$A$7,'Lookup Tables'!$B$2:$B$7,0),0)&lt;20, 5, 0), 0)
  + _xlfn.IFS(AB82="Yes", IF(ISNUMBER(AC82)*AND(AC82&lt;=2030),15,10), AB82="Long-term Only", 5, AB82="No", 0, TRUE, 0)
  + _xlfn.IFS(AF82="Full",10, AF82="Partial",5, AF82="Scope 2 Only",3, TRUE,0)
  + _xlfn.IFS(AG82="Yes", IF(ISNUMBER(AH82)*AND(AH82&gt;=5),10,6), AG82="Partial",4, TRUE,0)
  + _xlfn.IFS(AI82="Yes",5, AI82="Partial (material categories only)",3, TRUE,0)
  + _xlfn.IFS(AL82="Yes — Detailed",10, AL82="Yes — High Level",5, TRUE,0)
  + _xlfn.IFS(AM82="Yes — Quantified",15, AM82="Yes — Directional Only",7, TRUE,0)
  + _xlfn.IFS(AP82="Formal",5, AP82="Referenced",2, TRUE,0)
  + _xlfn.IFS(AQ82="No Issues Found",5, AQ82="Concern Identified",-5, AQ82="Severe Contradiction",-15, TRUE,0)
  + _xlfn.IFS(BC82="Reasonable Assurance",5, BC82="Limited Assurance",3, TRUE,0)
  - IF(AND(Z82="Yes", AI82="No"), 10, 0)
  - IF(AND(Z82="Yes", AM82="No"), 10, 0)
))</f>
        <v>0</v>
      </c>
      <c r="AS82" s="5"/>
      <c r="AT82" s="5"/>
      <c r="AU82" s="5"/>
      <c r="AV82" s="5"/>
      <c r="AW82" s="5"/>
      <c r="AX82" s="5"/>
      <c r="AY82" s="5"/>
      <c r="AZ82" s="5"/>
      <c r="BA82" s="5"/>
      <c r="BB82" s="5"/>
      <c r="BC82" s="5"/>
      <c r="BD82" s="5"/>
      <c r="BE82" s="39">
        <f t="array" ref="BE82">MIN(100, MAX(0,
  IFERROR(_xlfn.XLOOKUP(AT82,'Lookup Tables'!$D$2:$D$6,'Lookup Tables'!$E$2:$E$6,0),0)
  + IFERROR(_xlfn.XLOOKUP(AV82,'Lookup Tables'!$G$2:$G$5,'Lookup Tables'!$H$2:$H$5,0),0)
  + IFERROR(_xlfn.XLOOKUP(AW82,'Lookup Tables'!$J$2:$J$5,'Lookup Tables'!$K$2:$K$5,0),0)
  + _xlfn.IFS(AX82="No Issues",10, AX82="Complaint Filed",3, AX82="Confirmed Breach",-15, TRUE,0)
  + IFERROR(_xlfn.XLOOKUP(AY82,'Lookup Tables'!$M$2:$M$6,'Lookup Tables'!$N$2:$N$6,0),0)
  + IFERROR(_xlfn.XLOOKUP(AZ82,'Lookup Tables'!$P$2:$P$6,'Lookup Tables'!$Q$2:$Q$6,0),0)
  + _xlfn.IFS(BA82="Formal Board Committee",5, BA82="Board Oversight Mentioned",2, TRUE,0)
  + _xlfn.IFS(BB82="Yes — Quantified Targets",5, BB82="Yes — Discretionary Only",2, TRUE,0)
  + _xlfn.IFS(BC82="Reasonable Assurance",5, BC82="Limited Assurance",3, BC82="Management Review Only",1, TRUE,0)
))</f>
        <v>0</v>
      </c>
      <c r="BF82" s="5"/>
      <c r="BG82" s="5"/>
      <c r="BH82" s="5"/>
      <c r="BI82" s="5"/>
      <c r="BJ82" s="5"/>
      <c r="BK82" s="5"/>
      <c r="BL82" s="5"/>
      <c r="BM82" s="5"/>
      <c r="BN82" s="5"/>
      <c r="BO82" s="5"/>
      <c r="BP82" s="5"/>
      <c r="BQ82" s="5"/>
      <c r="BR82" s="5"/>
      <c r="BS82" s="41">
        <f t="array" ref="BS82">MIN(100, MAX(0,
  IFERROR(_xlfn.XLOOKUP(BG82,'Lookup Tables'!$A$11:$A$16,'Lookup Tables'!$B$11:$B$16,0),0)
  + IFERROR(_xlfn.XLOOKUP(BR82,'Lookup Tables'!$M$11:$M$14,'Lookup Tables'!$N$11:$N$14,0),0)
  + IFERROR(_xlfn.XLOOKUP(BQ82,'Lookup Tables'!$J$11:$J$15,'Lookup Tables'!$K$11:$K$15,0),0)
  + IFERROR(_xlfn.XLOOKUP(BH82,'Lookup Tables'!$D$11:$D$15,'Lookup Tables'!$E$11:$E$15,0),0)
  + IFERROR(_xlfn.XLOOKUP(BJ82,'Lookup Tables'!$G$11:$G$16,'Lookup Tables'!$H$11:$H$16,0),0)
  + IFERROR(_xlfn.XLOOKUP(BN82,'Lookup Tables'!$P$11:$P$15,'Lookup Tables'!$Q$11:$Q$15,0),0)
  + _xlfn.IFS(BM82="No Evidence",10, BM82="Unknown",3, BM82="Likely",0, BM82="Confirmed",-10, TRUE,3)
  + IFERROR(_xlfn.XLOOKUP(BP82,'Lookup Tables'!$J$21:$J$24,'Lookup Tables'!$K$21:$K$24,0),0)
))</f>
        <v>3</v>
      </c>
      <c r="BT82" s="5"/>
      <c r="BU82" s="5"/>
      <c r="BV82" s="5"/>
      <c r="BW82" s="5"/>
      <c r="BX82" s="5"/>
      <c r="BY82" s="5"/>
      <c r="BZ82" s="5"/>
      <c r="CA82" s="5"/>
      <c r="CB82" s="5"/>
      <c r="CC82" s="5"/>
      <c r="CD82" s="5"/>
      <c r="CE82" s="43">
        <f t="array" ref="CE82">MIN(100, MAX(0,
  IF(ISNUMBER(BV82)*AND(BV82&gt;0), 10, 0)
  + _xlfn.IFS(BY82="Independently Verified",25, BY82="Yes",15, TRUE,0)
  + IFERROR(_xlfn.XLOOKUP(BZ82,'Lookup Tables'!$A$21:$A$24,'Lookup Tables'!$B$21:$B$24,0),0)
  + IFERROR(_xlfn.XLOOKUP(CA82,'Lookup Tables'!$D$21:$D$24,'Lookup Tables'!$E$21:$E$24,0),0)
  + _xlfn.IFS(ISNUMBER(CB82)*AND(CB82&gt;=11),15, ISNUMBER(CB82)*AND(CB82&gt;=6),10, ISNUMBER(CB82)*AND(CB82&gt;=1),5, TRUE,0)
  + IFERROR(_xlfn.XLOOKUP(CC82,'Lookup Tables'!$G$21:$G$25,'Lookup Tables'!$H$21:$H$25,0),0)
  - IF(ISNUMBER(BW82)*AND(ISNUMBER(BV82))*AND(BW82&gt;BV82), 20, 0)
  - IF(AND(BY82="Yes", ISNUMBER(BW82), BW82&gt;60), 10, 0)
))</f>
        <v>0</v>
      </c>
      <c r="CF82" s="5"/>
      <c r="CG82" s="5"/>
      <c r="CH82" s="5"/>
      <c r="CI82" s="5"/>
      <c r="CJ82" s="5"/>
      <c r="CK82" s="5"/>
      <c r="CL82" s="5"/>
      <c r="CM82" s="5"/>
      <c r="CN82" s="5"/>
      <c r="CO82" s="5"/>
      <c r="CP82" s="5"/>
      <c r="CQ82" s="5"/>
      <c r="CR82" s="5">
        <f t="shared" si="64"/>
        <v>0</v>
      </c>
      <c r="CS82" s="5">
        <f t="shared" si="65"/>
        <v>0</v>
      </c>
      <c r="CT82" s="5">
        <f t="shared" si="66"/>
        <v>0</v>
      </c>
      <c r="CU82" s="5">
        <f>MIN(100,
  CR82*15
  + CS82*6
  + CT82*3
  + IFERROR(_xlfn.XLOOKUP(CW82,'Lookup Tables'!$M$21:$M$25,'Lookup Tables'!$N$21:$N$25,0),0)
)</f>
        <v>0</v>
      </c>
      <c r="CV82" s="5" t="str">
        <f t="shared" si="74"/>
        <v>No failures</v>
      </c>
      <c r="CW82" s="5"/>
      <c r="CX82" s="5"/>
      <c r="CY82" s="5"/>
      <c r="CZ82" s="5"/>
      <c r="DA82" s="5" t="str">
        <f t="shared" si="67"/>
        <v>Yes</v>
      </c>
      <c r="DB82" s="5" t="str">
        <f t="shared" si="68"/>
        <v>No</v>
      </c>
      <c r="DC82" s="5"/>
      <c r="DD82" s="5"/>
      <c r="DE82" s="5"/>
      <c r="DF82" s="5"/>
      <c r="DG82" s="5"/>
      <c r="DH82" s="5"/>
      <c r="DI82" s="5"/>
      <c r="DJ82" s="5"/>
      <c r="DK82" s="5"/>
      <c r="DL82" s="5" t="str">
        <f t="shared" si="69"/>
        <v>Clear</v>
      </c>
      <c r="DM82" s="5" t="str">
        <f t="shared" si="70"/>
        <v>Yes</v>
      </c>
      <c r="DN82" s="5">
        <f t="array" ref="DN82">MIN(100,
  IF(ISNUMBER(V82), _xlfn.IFS(V82&gt;=3,25, V82=2,15, V82=1,5, TRUE,0), 0)
  + IFERROR(_xlfn.IFS(VALUE(LEFT(DF82,1))=5,25, VALUE(LEFT(DF82,1))=4,20, VALUE(LEFT(DF82,1))=3,15, VALUE(LEFT(DF82,1))=2,8, TRUE,0), 15)
  + IFERROR(_xlfn.IFS(VALUE(LEFT(DG82,1))=5,25, VALUE(LEFT(DG82,1))=4,20, VALUE(LEFT(DG82,1))=3,15, VALUE(LEFT(DG82,1))=2,8, TRUE,0), 15)
  + _xlfn.IFS(DH82="Fully Verified",25, DH82="Partially Verified",12, TRUE,0)
)</f>
        <v>30</v>
      </c>
      <c r="DO82" s="5" t="str">
        <f t="array" ref="DO82">_xlfn.IFS(
  ISBLANK(AR82), "Insufficient Evidence",
  AND(AR82&gt;=65, AJ82="Approved"), "Strong",
  AR82&gt;=65, "Adequate",
  AR82&gt;=40, "Adequate",
  AR82&gt;=20, "Weak",
  TRUE, "Insufficient Evidence"
)</f>
        <v>Insufficient Evidence</v>
      </c>
      <c r="DP82" s="5" t="str">
        <f t="array" ref="DP82">_xlfn.IFS(
  ISBLANK(BS82), "Insufficient Evidence",
  BS82&gt;=65, "Strong",
  BS82&gt;=40, "Adequate",
  BS82&gt;=20, "Weak",
  TRUE, "Insufficient Evidence"
)</f>
        <v>Insufficient Evidence</v>
      </c>
      <c r="DQ82" s="5" t="str">
        <f t="array" ref="DQ82">_xlfn.IFS(
  ISBLANK(BE82), "Insufficient Evidence",
  OR(AW82="Confirmed Violation", AX82="Confirmed Breach"), "Severe — Hard Trigger",
  BE82&gt;=65, "Strong",
  BE82&gt;=40, "Adequate",
  BE82&gt;=20, "Weak",
  TRUE, "Insufficient Evidence"
)</f>
        <v>Insufficient Evidence</v>
      </c>
      <c r="DR82" s="5" t="str">
        <f t="array" ref="DR82">_xlfn.IFS(
  ISBLANK(CU82), "Insufficient Evidence",
  CU82&lt;=20, "Low Risk",
  CU82&lt;=50, "Moderate Risk",
  CU82&lt;=75, "High Risk",
  TRUE, "Very High Risk"
)</f>
        <v>Low Risk</v>
      </c>
      <c r="DS82" s="5" t="str">
        <f t="array" ref="DS82">_xlfn.IFS(
  ISBLANK(CE82), "Insufficient Evidence",
  AND(ISNUMBER(BW82),ISNUMBER(BV82),BW82&gt;BV82), "Overclaiming Risk",
  CE82&gt;=65, "Strong",
  CE82&gt;=40, "Adequate",
  TRUE, "Weak"
)</f>
        <v>Weak</v>
      </c>
      <c r="DT82" s="5">
        <f t="shared" si="71"/>
        <v>11.7</v>
      </c>
      <c r="DU82" s="5" t="str">
        <f t="array" ref="DU82">_xlfn.IFS(
  DV82="Upgraded to Clear", "Clear",
  DV82="Downgraded to Watchlist", "Watchlist",
  DV82="Downgraded to Exclusion", "Exclusion Risk",
  DB82="Yes — Automatic", "Exclusion Risk",
  OR(AW82="Confirmed Violation", AX82="Confirmed Breach"), "Exclusion Risk",
  OR(V82=0, ISBLANK(V82), DN82&lt;20), "Insufficient Evidence",
  AND(DT82&gt;=65, DA82="No", DB82="No"), "Clear",
  OR(DT82&gt;=40, DA82="Yes"), "Watchlist",
  TRUE, "Exclusion Risk"
)</f>
        <v>Insufficient Evidence</v>
      </c>
      <c r="DV82" s="5"/>
      <c r="DW82" s="5" t="str">
        <f t="array" ref="DW82">_xlfn.IFS(
  DU82="Exclusion Risk", "Exclude — Hard Trigger",
  DU82="Insufficient Evidence", "Watchlist — Further Evidence Needed",
  DU82="Watchlist", "Watchlist — Further Evidence Needed",
  AND(DU82="Clear", DT82&gt;=80), "Include — No Conditions",
  DU82="Clear", "Include — Monitor",
  TRUE, "Watchlist — Further Evidence Needed"
)</f>
        <v>Watchlist — Further Evidence Needed</v>
      </c>
      <c r="DX82" s="5"/>
      <c r="DY82" s="5"/>
      <c r="DZ82" s="5"/>
      <c r="EA82" s="5"/>
      <c r="EB82" s="5" t="str">
        <f t="shared" si="72"/>
        <v>MISSING — No sources reviewed</v>
      </c>
      <c r="EC82" s="5" t="str">
        <f t="shared" si="73"/>
        <v/>
      </c>
    </row>
    <row r="83" spans="1:133" ht="18" customHeight="1" x14ac:dyDescent="0.15">
      <c r="A83" s="3" t="s">
        <v>610</v>
      </c>
      <c r="B83" s="3" t="s">
        <v>611</v>
      </c>
      <c r="C83" s="3" t="str">
        <f>IF(ISBLANK('Universe Tracker'!D79),"",'Universe Tracker'!D79)</f>
        <v>IT0001233417</v>
      </c>
      <c r="D83" s="3"/>
      <c r="E83" s="3"/>
      <c r="F83" s="3" t="str">
        <f>IF(ISBLANK('Universe Tracker'!F79),"",'Universe Tracker'!F79)</f>
        <v>Utilities</v>
      </c>
      <c r="G83" s="3" t="str">
        <f>IF(ISBLANK('Universe Tracker'!G79),"",'Universe Tracker'!G79)</f>
        <v>Utilities</v>
      </c>
      <c r="H83" s="3"/>
      <c r="I83" s="3"/>
      <c r="J83" s="3" t="str">
        <f t="shared" si="62"/>
        <v>EAM_IT0001233417</v>
      </c>
      <c r="K83" s="3"/>
      <c r="L83" s="3"/>
      <c r="M83" s="3"/>
      <c r="N83" s="3"/>
      <c r="O83" s="3"/>
      <c r="P83" s="3"/>
      <c r="Q83" s="3"/>
      <c r="R83" s="3"/>
      <c r="S83" s="3"/>
      <c r="T83" s="3"/>
      <c r="U83" s="3"/>
      <c r="V83" s="3"/>
      <c r="W83" s="3"/>
      <c r="X83" s="3"/>
      <c r="Y83" s="3" t="str">
        <f t="shared" si="63"/>
        <v>Insufficient</v>
      </c>
      <c r="Z83" s="3"/>
      <c r="AA83" s="3"/>
      <c r="AB83" s="3"/>
      <c r="AC83" s="3"/>
      <c r="AD83" s="3"/>
      <c r="AE83" s="3"/>
      <c r="AF83" s="3"/>
      <c r="AG83" s="3"/>
      <c r="AH83" s="3"/>
      <c r="AI83" s="3"/>
      <c r="AJ83" s="3"/>
      <c r="AK83" s="3"/>
      <c r="AL83" s="3"/>
      <c r="AM83" s="3"/>
      <c r="AN83" s="3"/>
      <c r="AO83" s="3"/>
      <c r="AP83" s="3"/>
      <c r="AQ83" s="3"/>
      <c r="AR83" s="40">
        <f t="array" ref="AR83">MIN(100, MAX(0,
  IFERROR(_xlfn.XLOOKUP(AJ83,'Lookup Tables'!$A$2:$A$7,'Lookup Tables'!$B$2:$B$7,0),0)
  + IF(Z83="Yes", IF(IFERROR(_xlfn.XLOOKUP(AJ83,'Lookup Tables'!$A$2:$A$7,'Lookup Tables'!$B$2:$B$7,0),0)&lt;20, 5, 0), 0)
  + _xlfn.IFS(AB83="Yes", IF(ISNUMBER(AC83)*AND(AC83&lt;=2030),15,10), AB83="Long-term Only", 5, AB83="No", 0, TRUE, 0)
  + _xlfn.IFS(AF83="Full",10, AF83="Partial",5, AF83="Scope 2 Only",3, TRUE,0)
  + _xlfn.IFS(AG83="Yes", IF(ISNUMBER(AH83)*AND(AH83&gt;=5),10,6), AG83="Partial",4, TRUE,0)
  + _xlfn.IFS(AI83="Yes",5, AI83="Partial (material categories only)",3, TRUE,0)
  + _xlfn.IFS(AL83="Yes — Detailed",10, AL83="Yes — High Level",5, TRUE,0)
  + _xlfn.IFS(AM83="Yes — Quantified",15, AM83="Yes — Directional Only",7, TRUE,0)
  + _xlfn.IFS(AP83="Formal",5, AP83="Referenced",2, TRUE,0)
  + _xlfn.IFS(AQ83="No Issues Found",5, AQ83="Concern Identified",-5, AQ83="Severe Contradiction",-15, TRUE,0)
  + _xlfn.IFS(BC83="Reasonable Assurance",5, BC83="Limited Assurance",3, TRUE,0)
  - IF(AND(Z83="Yes", AI83="No"), 10, 0)
  - IF(AND(Z83="Yes", AM83="No"), 10, 0)
))</f>
        <v>0</v>
      </c>
      <c r="AS83" s="3"/>
      <c r="AT83" s="3"/>
      <c r="AU83" s="3"/>
      <c r="AV83" s="3"/>
      <c r="AW83" s="3"/>
      <c r="AX83" s="3"/>
      <c r="AY83" s="3"/>
      <c r="AZ83" s="3"/>
      <c r="BA83" s="3"/>
      <c r="BB83" s="3"/>
      <c r="BC83" s="3"/>
      <c r="BD83" s="3"/>
      <c r="BE83" s="40">
        <f t="array" ref="BE83">MIN(100, MAX(0,
  IFERROR(_xlfn.XLOOKUP(AT83,'Lookup Tables'!$D$2:$D$6,'Lookup Tables'!$E$2:$E$6,0),0)
  + IFERROR(_xlfn.XLOOKUP(AV83,'Lookup Tables'!$G$2:$G$5,'Lookup Tables'!$H$2:$H$5,0),0)
  + IFERROR(_xlfn.XLOOKUP(AW83,'Lookup Tables'!$J$2:$J$5,'Lookup Tables'!$K$2:$K$5,0),0)
  + _xlfn.IFS(AX83="No Issues",10, AX83="Complaint Filed",3, AX83="Confirmed Breach",-15, TRUE,0)
  + IFERROR(_xlfn.XLOOKUP(AY83,'Lookup Tables'!$M$2:$M$6,'Lookup Tables'!$N$2:$N$6,0),0)
  + IFERROR(_xlfn.XLOOKUP(AZ83,'Lookup Tables'!$P$2:$P$6,'Lookup Tables'!$Q$2:$Q$6,0),0)
  + _xlfn.IFS(BA83="Formal Board Committee",5, BA83="Board Oversight Mentioned",2, TRUE,0)
  + _xlfn.IFS(BB83="Yes — Quantified Targets",5, BB83="Yes — Discretionary Only",2, TRUE,0)
  + _xlfn.IFS(BC83="Reasonable Assurance",5, BC83="Limited Assurance",3, BC83="Management Review Only",1, TRUE,0)
))</f>
        <v>0</v>
      </c>
      <c r="BF83" s="3"/>
      <c r="BG83" s="3"/>
      <c r="BH83" s="3"/>
      <c r="BI83" s="3"/>
      <c r="BJ83" s="3"/>
      <c r="BK83" s="3"/>
      <c r="BL83" s="3"/>
      <c r="BM83" s="3"/>
      <c r="BN83" s="3"/>
      <c r="BO83" s="3"/>
      <c r="BP83" s="3"/>
      <c r="BQ83" s="3"/>
      <c r="BR83" s="3"/>
      <c r="BS83" s="42">
        <f t="array" ref="BS83">MIN(100, MAX(0,
  IFERROR(_xlfn.XLOOKUP(BG83,'Lookup Tables'!$A$11:$A$16,'Lookup Tables'!$B$11:$B$16,0),0)
  + IFERROR(_xlfn.XLOOKUP(BR83,'Lookup Tables'!$M$11:$M$14,'Lookup Tables'!$N$11:$N$14,0),0)
  + IFERROR(_xlfn.XLOOKUP(BQ83,'Lookup Tables'!$J$11:$J$15,'Lookup Tables'!$K$11:$K$15,0),0)
  + IFERROR(_xlfn.XLOOKUP(BH83,'Lookup Tables'!$D$11:$D$15,'Lookup Tables'!$E$11:$E$15,0),0)
  + IFERROR(_xlfn.XLOOKUP(BJ83,'Lookup Tables'!$G$11:$G$16,'Lookup Tables'!$H$11:$H$16,0),0)
  + IFERROR(_xlfn.XLOOKUP(BN83,'Lookup Tables'!$P$11:$P$15,'Lookup Tables'!$Q$11:$Q$15,0),0)
  + _xlfn.IFS(BM83="No Evidence",10, BM83="Unknown",3, BM83="Likely",0, BM83="Confirmed",-10, TRUE,3)
  + IFERROR(_xlfn.XLOOKUP(BP83,'Lookup Tables'!$J$21:$J$24,'Lookup Tables'!$K$21:$K$24,0),0)
))</f>
        <v>3</v>
      </c>
      <c r="BT83" s="3"/>
      <c r="BU83" s="3"/>
      <c r="BV83" s="3"/>
      <c r="BW83" s="3"/>
      <c r="BX83" s="3"/>
      <c r="BY83" s="3"/>
      <c r="BZ83" s="3"/>
      <c r="CA83" s="3"/>
      <c r="CB83" s="3"/>
      <c r="CC83" s="3"/>
      <c r="CD83" s="3"/>
      <c r="CE83" s="44">
        <f t="array" ref="CE83">MIN(100, MAX(0,
  IF(ISNUMBER(BV83)*AND(BV83&gt;0), 10, 0)
  + _xlfn.IFS(BY83="Independently Verified",25, BY83="Yes",15, TRUE,0)
  + IFERROR(_xlfn.XLOOKUP(BZ83,'Lookup Tables'!$A$21:$A$24,'Lookup Tables'!$B$21:$B$24,0),0)
  + IFERROR(_xlfn.XLOOKUP(CA83,'Lookup Tables'!$D$21:$D$24,'Lookup Tables'!$E$21:$E$24,0),0)
  + _xlfn.IFS(ISNUMBER(CB83)*AND(CB83&gt;=11),15, ISNUMBER(CB83)*AND(CB83&gt;=6),10, ISNUMBER(CB83)*AND(CB83&gt;=1),5, TRUE,0)
  + IFERROR(_xlfn.XLOOKUP(CC83,'Lookup Tables'!$G$21:$G$25,'Lookup Tables'!$H$21:$H$25,0),0)
  - IF(ISNUMBER(BW83)*AND(ISNUMBER(BV83))*AND(BW83&gt;BV83), 20, 0)
  - IF(AND(BY83="Yes", ISNUMBER(BW83), BW83&gt;60), 10, 0)
))</f>
        <v>0</v>
      </c>
      <c r="CF83" s="3"/>
      <c r="CG83" s="3"/>
      <c r="CH83" s="3"/>
      <c r="CI83" s="3"/>
      <c r="CJ83" s="3"/>
      <c r="CK83" s="3"/>
      <c r="CL83" s="3"/>
      <c r="CM83" s="3"/>
      <c r="CN83" s="3"/>
      <c r="CO83" s="3"/>
      <c r="CP83" s="3"/>
      <c r="CQ83" s="3"/>
      <c r="CR83" s="3">
        <f t="shared" si="64"/>
        <v>0</v>
      </c>
      <c r="CS83" s="3">
        <f t="shared" si="65"/>
        <v>0</v>
      </c>
      <c r="CT83" s="3">
        <f t="shared" si="66"/>
        <v>0</v>
      </c>
      <c r="CU83" s="3">
        <f>MIN(100,
  CR83*15
  + CS83*6
  + CT83*3
  + IFERROR(_xlfn.XLOOKUP(CW83,'Lookup Tables'!$M$21:$M$25,'Lookup Tables'!$N$21:$N$25,0),0)
)</f>
        <v>0</v>
      </c>
      <c r="CV83" s="3" t="str">
        <f t="shared" si="74"/>
        <v>No failures</v>
      </c>
      <c r="CW83" s="3"/>
      <c r="CX83" s="3"/>
      <c r="CY83" s="3"/>
      <c r="CZ83" s="3"/>
      <c r="DA83" s="3" t="str">
        <f t="shared" si="67"/>
        <v>Yes</v>
      </c>
      <c r="DB83" s="3" t="str">
        <f t="shared" si="68"/>
        <v>No</v>
      </c>
      <c r="DC83" s="3"/>
      <c r="DD83" s="3"/>
      <c r="DE83" s="3"/>
      <c r="DF83" s="3"/>
      <c r="DG83" s="3"/>
      <c r="DH83" s="3"/>
      <c r="DI83" s="3"/>
      <c r="DJ83" s="3"/>
      <c r="DK83" s="3"/>
      <c r="DL83" s="3" t="str">
        <f t="shared" si="69"/>
        <v>Clear</v>
      </c>
      <c r="DM83" s="3" t="str">
        <f t="shared" si="70"/>
        <v>Yes</v>
      </c>
      <c r="DN83" s="3">
        <f t="array" ref="DN83">MIN(100,
  IF(ISNUMBER(V83), _xlfn.IFS(V83&gt;=3,25, V83=2,15, V83=1,5, TRUE,0), 0)
  + IFERROR(_xlfn.IFS(VALUE(LEFT(DF83,1))=5,25, VALUE(LEFT(DF83,1))=4,20, VALUE(LEFT(DF83,1))=3,15, VALUE(LEFT(DF83,1))=2,8, TRUE,0), 15)
  + IFERROR(_xlfn.IFS(VALUE(LEFT(DG83,1))=5,25, VALUE(LEFT(DG83,1))=4,20, VALUE(LEFT(DG83,1))=3,15, VALUE(LEFT(DG83,1))=2,8, TRUE,0), 15)
  + _xlfn.IFS(DH83="Fully Verified",25, DH83="Partially Verified",12, TRUE,0)
)</f>
        <v>30</v>
      </c>
      <c r="DO83" s="3" t="str">
        <f t="array" ref="DO83">_xlfn.IFS(
  ISBLANK(AR83), "Insufficient Evidence",
  AND(AR83&gt;=65, AJ83="Approved"), "Strong",
  AR83&gt;=65, "Adequate",
  AR83&gt;=40, "Adequate",
  AR83&gt;=20, "Weak",
  TRUE, "Insufficient Evidence"
)</f>
        <v>Insufficient Evidence</v>
      </c>
      <c r="DP83" s="3" t="str">
        <f t="array" ref="DP83">_xlfn.IFS(
  ISBLANK(BS83), "Insufficient Evidence",
  BS83&gt;=65, "Strong",
  BS83&gt;=40, "Adequate",
  BS83&gt;=20, "Weak",
  TRUE, "Insufficient Evidence"
)</f>
        <v>Insufficient Evidence</v>
      </c>
      <c r="DQ83" s="3" t="str">
        <f t="array" ref="DQ83">_xlfn.IFS(
  ISBLANK(BE83), "Insufficient Evidence",
  OR(AW83="Confirmed Violation", AX83="Confirmed Breach"), "Severe — Hard Trigger",
  BE83&gt;=65, "Strong",
  BE83&gt;=40, "Adequate",
  BE83&gt;=20, "Weak",
  TRUE, "Insufficient Evidence"
)</f>
        <v>Insufficient Evidence</v>
      </c>
      <c r="DR83" s="3" t="str">
        <f t="array" ref="DR83">_xlfn.IFS(
  ISBLANK(CU83), "Insufficient Evidence",
  CU83&lt;=20, "Low Risk",
  CU83&lt;=50, "Moderate Risk",
  CU83&lt;=75, "High Risk",
  TRUE, "Very High Risk"
)</f>
        <v>Low Risk</v>
      </c>
      <c r="DS83" s="3" t="str">
        <f t="array" ref="DS83">_xlfn.IFS(
  ISBLANK(CE83), "Insufficient Evidence",
  AND(ISNUMBER(BW83),ISNUMBER(BV83),BW83&gt;BV83), "Overclaiming Risk",
  CE83&gt;=65, "Strong",
  CE83&gt;=40, "Adequate",
  TRUE, "Weak"
)</f>
        <v>Weak</v>
      </c>
      <c r="DT83" s="3">
        <f t="shared" si="71"/>
        <v>11.7</v>
      </c>
      <c r="DU83" s="3" t="str">
        <f t="array" ref="DU83">_xlfn.IFS(
  DV83="Upgraded to Clear", "Clear",
  DV83="Downgraded to Watchlist", "Watchlist",
  DV83="Downgraded to Exclusion", "Exclusion Risk",
  DB83="Yes — Automatic", "Exclusion Risk",
  OR(AW83="Confirmed Violation", AX83="Confirmed Breach"), "Exclusion Risk",
  OR(V83=0, ISBLANK(V83), DN83&lt;20), "Insufficient Evidence",
  AND(DT83&gt;=65, DA83="No", DB83="No"), "Clear",
  OR(DT83&gt;=40, DA83="Yes"), "Watchlist",
  TRUE, "Exclusion Risk"
)</f>
        <v>Insufficient Evidence</v>
      </c>
      <c r="DV83" s="3"/>
      <c r="DW83" s="3" t="str">
        <f t="array" ref="DW83">_xlfn.IFS(
  DU83="Exclusion Risk", "Exclude — Hard Trigger",
  DU83="Insufficient Evidence", "Watchlist — Further Evidence Needed",
  DU83="Watchlist", "Watchlist — Further Evidence Needed",
  AND(DU83="Clear", DT83&gt;=80), "Include — No Conditions",
  DU83="Clear", "Include — Monitor",
  TRUE, "Watchlist — Further Evidence Needed"
)</f>
        <v>Watchlist — Further Evidence Needed</v>
      </c>
      <c r="DX83" s="3"/>
      <c r="DY83" s="3"/>
      <c r="DZ83" s="3"/>
      <c r="EA83" s="3"/>
      <c r="EB83" s="3" t="str">
        <f t="shared" si="72"/>
        <v>MISSING — No sources reviewed</v>
      </c>
      <c r="EC83" s="3" t="str">
        <f t="shared" si="73"/>
        <v/>
      </c>
    </row>
    <row r="84" spans="1:133" ht="18" customHeight="1" x14ac:dyDescent="0.15">
      <c r="A84" s="5" t="s">
        <v>614</v>
      </c>
      <c r="B84" s="5" t="s">
        <v>615</v>
      </c>
      <c r="C84" s="5" t="str">
        <f>IF(ISBLANK('Universe Tracker'!D80),"",'Universe Tracker'!D80)</f>
        <v>DK0061802139</v>
      </c>
      <c r="D84" s="5"/>
      <c r="E84" s="5"/>
      <c r="F84" s="5" t="str">
        <f>IF(ISBLANK('Universe Tracker'!F80),"",'Universe Tracker'!F80)</f>
        <v>Health Care</v>
      </c>
      <c r="G84" s="5" t="str">
        <f>IF(ISBLANK('Universe Tracker'!G80),"",'Universe Tracker'!G80)</f>
        <v>Health Care</v>
      </c>
      <c r="H84" s="5"/>
      <c r="I84" s="5"/>
      <c r="J84" s="5" t="str">
        <f t="shared" si="62"/>
        <v>4AJ0_DK0061802139</v>
      </c>
      <c r="K84" s="5"/>
      <c r="L84" s="5"/>
      <c r="M84" s="5"/>
      <c r="N84" s="5"/>
      <c r="O84" s="5"/>
      <c r="P84" s="5"/>
      <c r="Q84" s="5"/>
      <c r="R84" s="5"/>
      <c r="S84" s="5"/>
      <c r="T84" s="5"/>
      <c r="U84" s="5"/>
      <c r="V84" s="5"/>
      <c r="W84" s="5"/>
      <c r="X84" s="5"/>
      <c r="Y84" s="5" t="str">
        <f t="shared" si="63"/>
        <v>Insufficient</v>
      </c>
      <c r="Z84" s="5"/>
      <c r="AA84" s="5"/>
      <c r="AB84" s="5"/>
      <c r="AC84" s="5"/>
      <c r="AD84" s="5"/>
      <c r="AE84" s="5"/>
      <c r="AF84" s="5"/>
      <c r="AG84" s="5"/>
      <c r="AH84" s="5"/>
      <c r="AI84" s="5"/>
      <c r="AJ84" s="5"/>
      <c r="AK84" s="5"/>
      <c r="AL84" s="5"/>
      <c r="AM84" s="5"/>
      <c r="AN84" s="5"/>
      <c r="AO84" s="5"/>
      <c r="AP84" s="5"/>
      <c r="AQ84" s="5"/>
      <c r="AR84" s="40">
        <f t="array" ref="AR84">MIN(100, MAX(0,
  IFERROR(_xlfn.XLOOKUP(AJ84,'Lookup Tables'!$A$2:$A$7,'Lookup Tables'!$B$2:$B$7,0),0)
  + IF(Z84="Yes", IF(IFERROR(_xlfn.XLOOKUP(AJ84,'Lookup Tables'!$A$2:$A$7,'Lookup Tables'!$B$2:$B$7,0),0)&lt;20, 5, 0), 0)
  + _xlfn.IFS(AB84="Yes", IF(ISNUMBER(AC84)*AND(AC84&lt;=2030),15,10), AB84="Long-term Only", 5, AB84="No", 0, TRUE, 0)
  + _xlfn.IFS(AF84="Full",10, AF84="Partial",5, AF84="Scope 2 Only",3, TRUE,0)
  + _xlfn.IFS(AG84="Yes", IF(ISNUMBER(AH84)*AND(AH84&gt;=5),10,6), AG84="Partial",4, TRUE,0)
  + _xlfn.IFS(AI84="Yes",5, AI84="Partial (material categories only)",3, TRUE,0)
  + _xlfn.IFS(AL84="Yes — Detailed",10, AL84="Yes — High Level",5, TRUE,0)
  + _xlfn.IFS(AM84="Yes — Quantified",15, AM84="Yes — Directional Only",7, TRUE,0)
  + _xlfn.IFS(AP84="Formal",5, AP84="Referenced",2, TRUE,0)
  + _xlfn.IFS(AQ84="No Issues Found",5, AQ84="Concern Identified",-5, AQ84="Severe Contradiction",-15, TRUE,0)
  + _xlfn.IFS(BC84="Reasonable Assurance",5, BC84="Limited Assurance",3, TRUE,0)
  - IF(AND(Z84="Yes", AI84="No"), 10, 0)
  - IF(AND(Z84="Yes", AM84="No"), 10, 0)
))</f>
        <v>0</v>
      </c>
      <c r="AS84" s="5"/>
      <c r="AT84" s="5"/>
      <c r="AU84" s="5"/>
      <c r="AV84" s="5"/>
      <c r="AW84" s="5"/>
      <c r="AX84" s="5"/>
      <c r="AY84" s="5"/>
      <c r="AZ84" s="5"/>
      <c r="BA84" s="5"/>
      <c r="BB84" s="5"/>
      <c r="BC84" s="5"/>
      <c r="BD84" s="5"/>
      <c r="BE84" s="39">
        <f t="array" ref="BE84">MIN(100, MAX(0,
  IFERROR(_xlfn.XLOOKUP(AT84,'Lookup Tables'!$D$2:$D$6,'Lookup Tables'!$E$2:$E$6,0),0)
  + IFERROR(_xlfn.XLOOKUP(AV84,'Lookup Tables'!$G$2:$G$5,'Lookup Tables'!$H$2:$H$5,0),0)
  + IFERROR(_xlfn.XLOOKUP(AW84,'Lookup Tables'!$J$2:$J$5,'Lookup Tables'!$K$2:$K$5,0),0)
  + _xlfn.IFS(AX84="No Issues",10, AX84="Complaint Filed",3, AX84="Confirmed Breach",-15, TRUE,0)
  + IFERROR(_xlfn.XLOOKUP(AY84,'Lookup Tables'!$M$2:$M$6,'Lookup Tables'!$N$2:$N$6,0),0)
  + IFERROR(_xlfn.XLOOKUP(AZ84,'Lookup Tables'!$P$2:$P$6,'Lookup Tables'!$Q$2:$Q$6,0),0)
  + _xlfn.IFS(BA84="Formal Board Committee",5, BA84="Board Oversight Mentioned",2, TRUE,0)
  + _xlfn.IFS(BB84="Yes — Quantified Targets",5, BB84="Yes — Discretionary Only",2, TRUE,0)
  + _xlfn.IFS(BC84="Reasonable Assurance",5, BC84="Limited Assurance",3, BC84="Management Review Only",1, TRUE,0)
))</f>
        <v>0</v>
      </c>
      <c r="BF84" s="5"/>
      <c r="BG84" s="5"/>
      <c r="BH84" s="5"/>
      <c r="BI84" s="5"/>
      <c r="BJ84" s="5"/>
      <c r="BK84" s="5"/>
      <c r="BL84" s="5"/>
      <c r="BM84" s="5"/>
      <c r="BN84" s="5"/>
      <c r="BO84" s="5"/>
      <c r="BP84" s="5"/>
      <c r="BQ84" s="5"/>
      <c r="BR84" s="5"/>
      <c r="BS84" s="41">
        <f t="array" ref="BS84">MIN(100, MAX(0,
  IFERROR(_xlfn.XLOOKUP(BG84,'Lookup Tables'!$A$11:$A$16,'Lookup Tables'!$B$11:$B$16,0),0)
  + IFERROR(_xlfn.XLOOKUP(BR84,'Lookup Tables'!$M$11:$M$14,'Lookup Tables'!$N$11:$N$14,0),0)
  + IFERROR(_xlfn.XLOOKUP(BQ84,'Lookup Tables'!$J$11:$J$15,'Lookup Tables'!$K$11:$K$15,0),0)
  + IFERROR(_xlfn.XLOOKUP(BH84,'Lookup Tables'!$D$11:$D$15,'Lookup Tables'!$E$11:$E$15,0),0)
  + IFERROR(_xlfn.XLOOKUP(BJ84,'Lookup Tables'!$G$11:$G$16,'Lookup Tables'!$H$11:$H$16,0),0)
  + IFERROR(_xlfn.XLOOKUP(BN84,'Lookup Tables'!$P$11:$P$15,'Lookup Tables'!$Q$11:$Q$15,0),0)
  + _xlfn.IFS(BM84="No Evidence",10, BM84="Unknown",3, BM84="Likely",0, BM84="Confirmed",-10, TRUE,3)
  + IFERROR(_xlfn.XLOOKUP(BP84,'Lookup Tables'!$J$21:$J$24,'Lookup Tables'!$K$21:$K$24,0),0)
))</f>
        <v>3</v>
      </c>
      <c r="BT84" s="5"/>
      <c r="BU84" s="5"/>
      <c r="BV84" s="5"/>
      <c r="BW84" s="5"/>
      <c r="BX84" s="5"/>
      <c r="BY84" s="5"/>
      <c r="BZ84" s="5"/>
      <c r="CA84" s="5"/>
      <c r="CB84" s="5"/>
      <c r="CC84" s="5"/>
      <c r="CD84" s="5"/>
      <c r="CE84" s="43">
        <f t="array" ref="CE84">MIN(100, MAX(0,
  IF(ISNUMBER(BV84)*AND(BV84&gt;0), 10, 0)
  + _xlfn.IFS(BY84="Independently Verified",25, BY84="Yes",15, TRUE,0)
  + IFERROR(_xlfn.XLOOKUP(BZ84,'Lookup Tables'!$A$21:$A$24,'Lookup Tables'!$B$21:$B$24,0),0)
  + IFERROR(_xlfn.XLOOKUP(CA84,'Lookup Tables'!$D$21:$D$24,'Lookup Tables'!$E$21:$E$24,0),0)
  + _xlfn.IFS(ISNUMBER(CB84)*AND(CB84&gt;=11),15, ISNUMBER(CB84)*AND(CB84&gt;=6),10, ISNUMBER(CB84)*AND(CB84&gt;=1),5, TRUE,0)
  + IFERROR(_xlfn.XLOOKUP(CC84,'Lookup Tables'!$G$21:$G$25,'Lookup Tables'!$H$21:$H$25,0),0)
  - IF(ISNUMBER(BW84)*AND(ISNUMBER(BV84))*AND(BW84&gt;BV84), 20, 0)
  - IF(AND(BY84="Yes", ISNUMBER(BW84), BW84&gt;60), 10, 0)
))</f>
        <v>0</v>
      </c>
      <c r="CF84" s="5"/>
      <c r="CG84" s="5"/>
      <c r="CH84" s="5"/>
      <c r="CI84" s="5"/>
      <c r="CJ84" s="5"/>
      <c r="CK84" s="5"/>
      <c r="CL84" s="5"/>
      <c r="CM84" s="5"/>
      <c r="CN84" s="5"/>
      <c r="CO84" s="5"/>
      <c r="CP84" s="5"/>
      <c r="CQ84" s="5"/>
      <c r="CR84" s="5">
        <f t="shared" si="64"/>
        <v>0</v>
      </c>
      <c r="CS84" s="5">
        <f t="shared" si="65"/>
        <v>0</v>
      </c>
      <c r="CT84" s="5">
        <f t="shared" si="66"/>
        <v>0</v>
      </c>
      <c r="CU84" s="5">
        <f>MIN(100,
  CR84*15
  + CS84*6
  + CT84*3
  + IFERROR(_xlfn.XLOOKUP(CW84,'Lookup Tables'!$M$21:$M$25,'Lookup Tables'!$N$21:$N$25,0),0)
)</f>
        <v>0</v>
      </c>
      <c r="CV84" s="5" t="str">
        <f t="shared" si="74"/>
        <v>No failures</v>
      </c>
      <c r="CW84" s="5"/>
      <c r="CX84" s="5"/>
      <c r="CY84" s="5"/>
      <c r="CZ84" s="5"/>
      <c r="DA84" s="5" t="str">
        <f t="shared" si="67"/>
        <v>Yes</v>
      </c>
      <c r="DB84" s="5" t="str">
        <f t="shared" si="68"/>
        <v>No</v>
      </c>
      <c r="DC84" s="5"/>
      <c r="DD84" s="5"/>
      <c r="DE84" s="5"/>
      <c r="DF84" s="5"/>
      <c r="DG84" s="5"/>
      <c r="DH84" s="5"/>
      <c r="DI84" s="5"/>
      <c r="DJ84" s="5"/>
      <c r="DK84" s="5"/>
      <c r="DL84" s="5" t="str">
        <f t="shared" si="69"/>
        <v>Clear</v>
      </c>
      <c r="DM84" s="5" t="str">
        <f t="shared" si="70"/>
        <v>Yes</v>
      </c>
      <c r="DN84" s="5">
        <f t="array" ref="DN84">MIN(100,
  IF(ISNUMBER(V84), _xlfn.IFS(V84&gt;=3,25, V84=2,15, V84=1,5, TRUE,0), 0)
  + IFERROR(_xlfn.IFS(VALUE(LEFT(DF84,1))=5,25, VALUE(LEFT(DF84,1))=4,20, VALUE(LEFT(DF84,1))=3,15, VALUE(LEFT(DF84,1))=2,8, TRUE,0), 15)
  + IFERROR(_xlfn.IFS(VALUE(LEFT(DG84,1))=5,25, VALUE(LEFT(DG84,1))=4,20, VALUE(LEFT(DG84,1))=3,15, VALUE(LEFT(DG84,1))=2,8, TRUE,0), 15)
  + _xlfn.IFS(DH84="Fully Verified",25, DH84="Partially Verified",12, TRUE,0)
)</f>
        <v>30</v>
      </c>
      <c r="DO84" s="5" t="str">
        <f t="array" ref="DO84">_xlfn.IFS(
  ISBLANK(AR84), "Insufficient Evidence",
  AND(AR84&gt;=65, AJ84="Approved"), "Strong",
  AR84&gt;=65, "Adequate",
  AR84&gt;=40, "Adequate",
  AR84&gt;=20, "Weak",
  TRUE, "Insufficient Evidence"
)</f>
        <v>Insufficient Evidence</v>
      </c>
      <c r="DP84" s="5" t="str">
        <f t="array" ref="DP84">_xlfn.IFS(
  ISBLANK(BS84), "Insufficient Evidence",
  BS84&gt;=65, "Strong",
  BS84&gt;=40, "Adequate",
  BS84&gt;=20, "Weak",
  TRUE, "Insufficient Evidence"
)</f>
        <v>Insufficient Evidence</v>
      </c>
      <c r="DQ84" s="5" t="str">
        <f t="array" ref="DQ84">_xlfn.IFS(
  ISBLANK(BE84), "Insufficient Evidence",
  OR(AW84="Confirmed Violation", AX84="Confirmed Breach"), "Severe — Hard Trigger",
  BE84&gt;=65, "Strong",
  BE84&gt;=40, "Adequate",
  BE84&gt;=20, "Weak",
  TRUE, "Insufficient Evidence"
)</f>
        <v>Insufficient Evidence</v>
      </c>
      <c r="DR84" s="5" t="str">
        <f t="array" ref="DR84">_xlfn.IFS(
  ISBLANK(CU84), "Insufficient Evidence",
  CU84&lt;=20, "Low Risk",
  CU84&lt;=50, "Moderate Risk",
  CU84&lt;=75, "High Risk",
  TRUE, "Very High Risk"
)</f>
        <v>Low Risk</v>
      </c>
      <c r="DS84" s="5" t="str">
        <f t="array" ref="DS84">_xlfn.IFS(
  ISBLANK(CE84), "Insufficient Evidence",
  AND(ISNUMBER(BW84),ISNUMBER(BV84),BW84&gt;BV84), "Overclaiming Risk",
  CE84&gt;=65, "Strong",
  CE84&gt;=40, "Adequate",
  TRUE, "Weak"
)</f>
        <v>Weak</v>
      </c>
      <c r="DT84" s="5">
        <f t="shared" si="71"/>
        <v>11.7</v>
      </c>
      <c r="DU84" s="5" t="str">
        <f t="array" ref="DU84">_xlfn.IFS(
  DV84="Upgraded to Clear", "Clear",
  DV84="Downgraded to Watchlist", "Watchlist",
  DV84="Downgraded to Exclusion", "Exclusion Risk",
  DB84="Yes — Automatic", "Exclusion Risk",
  OR(AW84="Confirmed Violation", AX84="Confirmed Breach"), "Exclusion Risk",
  OR(V84=0, ISBLANK(V84), DN84&lt;20), "Insufficient Evidence",
  AND(DT84&gt;=65, DA84="No", DB84="No"), "Clear",
  OR(DT84&gt;=40, DA84="Yes"), "Watchlist",
  TRUE, "Exclusion Risk"
)</f>
        <v>Insufficient Evidence</v>
      </c>
      <c r="DV84" s="5"/>
      <c r="DW84" s="5" t="str">
        <f t="array" ref="DW84">_xlfn.IFS(
  DU84="Exclusion Risk", "Exclude — Hard Trigger",
  DU84="Insufficient Evidence", "Watchlist — Further Evidence Needed",
  DU84="Watchlist", "Watchlist — Further Evidence Needed",
  AND(DU84="Clear", DT84&gt;=80), "Include — No Conditions",
  DU84="Clear", "Include — Monitor",
  TRUE, "Watchlist — Further Evidence Needed"
)</f>
        <v>Watchlist — Further Evidence Needed</v>
      </c>
      <c r="DX84" s="5"/>
      <c r="DY84" s="5"/>
      <c r="DZ84" s="5"/>
      <c r="EA84" s="5"/>
      <c r="EB84" s="5" t="str">
        <f t="shared" si="72"/>
        <v>MISSING — No sources reviewed</v>
      </c>
      <c r="EC84" s="5" t="str">
        <f t="shared" si="73"/>
        <v/>
      </c>
    </row>
    <row r="85" spans="1:133" ht="18" customHeight="1" x14ac:dyDescent="0.15">
      <c r="A85" s="3" t="s">
        <v>618</v>
      </c>
      <c r="B85" s="3" t="s">
        <v>619</v>
      </c>
      <c r="C85" s="3" t="str">
        <f>IF(ISBLANK('Universe Tracker'!D81),"",'Universe Tracker'!D81)</f>
        <v>ES0167050915</v>
      </c>
      <c r="D85" s="3"/>
      <c r="E85" s="3"/>
      <c r="F85" s="3" t="str">
        <f>IF(ISBLANK('Universe Tracker'!F81),"",'Universe Tracker'!F81)</f>
        <v>Industrials</v>
      </c>
      <c r="G85" s="3" t="str">
        <f>IF(ISBLANK('Universe Tracker'!G81),"",'Universe Tracker'!G81)</f>
        <v>Industrial Services</v>
      </c>
      <c r="H85" s="3"/>
      <c r="I85" s="3"/>
      <c r="J85" s="3" t="str">
        <f t="shared" si="62"/>
        <v>OCI1_ES0167050915</v>
      </c>
      <c r="K85" s="3"/>
      <c r="L85" s="3"/>
      <c r="M85" s="3"/>
      <c r="N85" s="3"/>
      <c r="O85" s="3"/>
      <c r="P85" s="3"/>
      <c r="Q85" s="3"/>
      <c r="R85" s="3"/>
      <c r="S85" s="3"/>
      <c r="T85" s="3"/>
      <c r="U85" s="3"/>
      <c r="V85" s="3"/>
      <c r="W85" s="3"/>
      <c r="X85" s="3"/>
      <c r="Y85" s="3" t="str">
        <f t="shared" si="63"/>
        <v>Insufficient</v>
      </c>
      <c r="Z85" s="3"/>
      <c r="AA85" s="3"/>
      <c r="AB85" s="3"/>
      <c r="AC85" s="3"/>
      <c r="AD85" s="3"/>
      <c r="AE85" s="3"/>
      <c r="AF85" s="3"/>
      <c r="AG85" s="3"/>
      <c r="AH85" s="3"/>
      <c r="AI85" s="3"/>
      <c r="AJ85" s="3"/>
      <c r="AK85" s="3"/>
      <c r="AL85" s="3"/>
      <c r="AM85" s="3"/>
      <c r="AN85" s="3"/>
      <c r="AO85" s="3"/>
      <c r="AP85" s="3"/>
      <c r="AQ85" s="3"/>
      <c r="AR85" s="40">
        <f t="array" ref="AR85">MIN(100, MAX(0,
  IFERROR(_xlfn.XLOOKUP(AJ85,'Lookup Tables'!$A$2:$A$7,'Lookup Tables'!$B$2:$B$7,0),0)
  + IF(Z85="Yes", IF(IFERROR(_xlfn.XLOOKUP(AJ85,'Lookup Tables'!$A$2:$A$7,'Lookup Tables'!$B$2:$B$7,0),0)&lt;20, 5, 0), 0)
  + _xlfn.IFS(AB85="Yes", IF(ISNUMBER(AC85)*AND(AC85&lt;=2030),15,10), AB85="Long-term Only", 5, AB85="No", 0, TRUE, 0)
  + _xlfn.IFS(AF85="Full",10, AF85="Partial",5, AF85="Scope 2 Only",3, TRUE,0)
  + _xlfn.IFS(AG85="Yes", IF(ISNUMBER(AH85)*AND(AH85&gt;=5),10,6), AG85="Partial",4, TRUE,0)
  + _xlfn.IFS(AI85="Yes",5, AI85="Partial (material categories only)",3, TRUE,0)
  + _xlfn.IFS(AL85="Yes — Detailed",10, AL85="Yes — High Level",5, TRUE,0)
  + _xlfn.IFS(AM85="Yes — Quantified",15, AM85="Yes — Directional Only",7, TRUE,0)
  + _xlfn.IFS(AP85="Formal",5, AP85="Referenced",2, TRUE,0)
  + _xlfn.IFS(AQ85="No Issues Found",5, AQ85="Concern Identified",-5, AQ85="Severe Contradiction",-15, TRUE,0)
  + _xlfn.IFS(BC85="Reasonable Assurance",5, BC85="Limited Assurance",3, TRUE,0)
  - IF(AND(Z85="Yes", AI85="No"), 10, 0)
  - IF(AND(Z85="Yes", AM85="No"), 10, 0)
))</f>
        <v>0</v>
      </c>
      <c r="AS85" s="3"/>
      <c r="AT85" s="3"/>
      <c r="AU85" s="3"/>
      <c r="AV85" s="3"/>
      <c r="AW85" s="3"/>
      <c r="AX85" s="3"/>
      <c r="AY85" s="3"/>
      <c r="AZ85" s="3"/>
      <c r="BA85" s="3"/>
      <c r="BB85" s="3"/>
      <c r="BC85" s="3"/>
      <c r="BD85" s="3"/>
      <c r="BE85" s="40">
        <f t="array" ref="BE85">MIN(100, MAX(0,
  IFERROR(_xlfn.XLOOKUP(AT85,'Lookup Tables'!$D$2:$D$6,'Lookup Tables'!$E$2:$E$6,0),0)
  + IFERROR(_xlfn.XLOOKUP(AV85,'Lookup Tables'!$G$2:$G$5,'Lookup Tables'!$H$2:$H$5,0),0)
  + IFERROR(_xlfn.XLOOKUP(AW85,'Lookup Tables'!$J$2:$J$5,'Lookup Tables'!$K$2:$K$5,0),0)
  + _xlfn.IFS(AX85="No Issues",10, AX85="Complaint Filed",3, AX85="Confirmed Breach",-15, TRUE,0)
  + IFERROR(_xlfn.XLOOKUP(AY85,'Lookup Tables'!$M$2:$M$6,'Lookup Tables'!$N$2:$N$6,0),0)
  + IFERROR(_xlfn.XLOOKUP(AZ85,'Lookup Tables'!$P$2:$P$6,'Lookup Tables'!$Q$2:$Q$6,0),0)
  + _xlfn.IFS(BA85="Formal Board Committee",5, BA85="Board Oversight Mentioned",2, TRUE,0)
  + _xlfn.IFS(BB85="Yes — Quantified Targets",5, BB85="Yes — Discretionary Only",2, TRUE,0)
  + _xlfn.IFS(BC85="Reasonable Assurance",5, BC85="Limited Assurance",3, BC85="Management Review Only",1, TRUE,0)
))</f>
        <v>0</v>
      </c>
      <c r="BF85" s="3"/>
      <c r="BG85" s="3"/>
      <c r="BH85" s="3"/>
      <c r="BI85" s="3"/>
      <c r="BJ85" s="3"/>
      <c r="BK85" s="3"/>
      <c r="BL85" s="3"/>
      <c r="BM85" s="3"/>
      <c r="BN85" s="3"/>
      <c r="BO85" s="3"/>
      <c r="BP85" s="3"/>
      <c r="BQ85" s="3"/>
      <c r="BR85" s="3"/>
      <c r="BS85" s="42">
        <f t="array" ref="BS85">MIN(100, MAX(0,
  IFERROR(_xlfn.XLOOKUP(BG85,'Lookup Tables'!$A$11:$A$16,'Lookup Tables'!$B$11:$B$16,0),0)
  + IFERROR(_xlfn.XLOOKUP(BR85,'Lookup Tables'!$M$11:$M$14,'Lookup Tables'!$N$11:$N$14,0),0)
  + IFERROR(_xlfn.XLOOKUP(BQ85,'Lookup Tables'!$J$11:$J$15,'Lookup Tables'!$K$11:$K$15,0),0)
  + IFERROR(_xlfn.XLOOKUP(BH85,'Lookup Tables'!$D$11:$D$15,'Lookup Tables'!$E$11:$E$15,0),0)
  + IFERROR(_xlfn.XLOOKUP(BJ85,'Lookup Tables'!$G$11:$G$16,'Lookup Tables'!$H$11:$H$16,0),0)
  + IFERROR(_xlfn.XLOOKUP(BN85,'Lookup Tables'!$P$11:$P$15,'Lookup Tables'!$Q$11:$Q$15,0),0)
  + _xlfn.IFS(BM85="No Evidence",10, BM85="Unknown",3, BM85="Likely",0, BM85="Confirmed",-10, TRUE,3)
  + IFERROR(_xlfn.XLOOKUP(BP85,'Lookup Tables'!$J$21:$J$24,'Lookup Tables'!$K$21:$K$24,0),0)
))</f>
        <v>3</v>
      </c>
      <c r="BT85" s="3"/>
      <c r="BU85" s="3"/>
      <c r="BV85" s="3"/>
      <c r="BW85" s="3"/>
      <c r="BX85" s="3"/>
      <c r="BY85" s="3"/>
      <c r="BZ85" s="3"/>
      <c r="CA85" s="3"/>
      <c r="CB85" s="3"/>
      <c r="CC85" s="3"/>
      <c r="CD85" s="3"/>
      <c r="CE85" s="44">
        <f t="array" ref="CE85">MIN(100, MAX(0,
  IF(ISNUMBER(BV85)*AND(BV85&gt;0), 10, 0)
  + _xlfn.IFS(BY85="Independently Verified",25, BY85="Yes",15, TRUE,0)
  + IFERROR(_xlfn.XLOOKUP(BZ85,'Lookup Tables'!$A$21:$A$24,'Lookup Tables'!$B$21:$B$24,0),0)
  + IFERROR(_xlfn.XLOOKUP(CA85,'Lookup Tables'!$D$21:$D$24,'Lookup Tables'!$E$21:$E$24,0),0)
  + _xlfn.IFS(ISNUMBER(CB85)*AND(CB85&gt;=11),15, ISNUMBER(CB85)*AND(CB85&gt;=6),10, ISNUMBER(CB85)*AND(CB85&gt;=1),5, TRUE,0)
  + IFERROR(_xlfn.XLOOKUP(CC85,'Lookup Tables'!$G$21:$G$25,'Lookup Tables'!$H$21:$H$25,0),0)
  - IF(ISNUMBER(BW85)*AND(ISNUMBER(BV85))*AND(BW85&gt;BV85), 20, 0)
  - IF(AND(BY85="Yes", ISNUMBER(BW85), BW85&gt;60), 10, 0)
))</f>
        <v>0</v>
      </c>
      <c r="CF85" s="3"/>
      <c r="CG85" s="3"/>
      <c r="CH85" s="3"/>
      <c r="CI85" s="3"/>
      <c r="CJ85" s="3"/>
      <c r="CK85" s="3"/>
      <c r="CL85" s="3"/>
      <c r="CM85" s="3"/>
      <c r="CN85" s="3"/>
      <c r="CO85" s="3"/>
      <c r="CP85" s="3"/>
      <c r="CQ85" s="3"/>
      <c r="CR85" s="3">
        <f t="shared" si="64"/>
        <v>0</v>
      </c>
      <c r="CS85" s="3">
        <f t="shared" si="65"/>
        <v>0</v>
      </c>
      <c r="CT85" s="3">
        <f t="shared" si="66"/>
        <v>0</v>
      </c>
      <c r="CU85" s="3">
        <f>MIN(100,
  CR85*15
  + CS85*6
  + CT85*3
  + IFERROR(_xlfn.XLOOKUP(CW85,'Lookup Tables'!$M$21:$M$25,'Lookup Tables'!$N$21:$N$25,0),0)
)</f>
        <v>0</v>
      </c>
      <c r="CV85" s="3" t="str">
        <f t="shared" si="74"/>
        <v>No failures</v>
      </c>
      <c r="CW85" s="3"/>
      <c r="CX85" s="3"/>
      <c r="CY85" s="3"/>
      <c r="CZ85" s="3"/>
      <c r="DA85" s="3" t="str">
        <f t="shared" si="67"/>
        <v>Yes</v>
      </c>
      <c r="DB85" s="3" t="str">
        <f t="shared" si="68"/>
        <v>No</v>
      </c>
      <c r="DC85" s="3"/>
      <c r="DD85" s="3"/>
      <c r="DE85" s="3"/>
      <c r="DF85" s="3"/>
      <c r="DG85" s="3"/>
      <c r="DH85" s="3"/>
      <c r="DI85" s="3"/>
      <c r="DJ85" s="3"/>
      <c r="DK85" s="3"/>
      <c r="DL85" s="3" t="str">
        <f t="shared" si="69"/>
        <v>Clear</v>
      </c>
      <c r="DM85" s="3" t="str">
        <f t="shared" si="70"/>
        <v>Yes</v>
      </c>
      <c r="DN85" s="3">
        <f t="array" ref="DN85">MIN(100,
  IF(ISNUMBER(V85), _xlfn.IFS(V85&gt;=3,25, V85=2,15, V85=1,5, TRUE,0), 0)
  + IFERROR(_xlfn.IFS(VALUE(LEFT(DF85,1))=5,25, VALUE(LEFT(DF85,1))=4,20, VALUE(LEFT(DF85,1))=3,15, VALUE(LEFT(DF85,1))=2,8, TRUE,0), 15)
  + IFERROR(_xlfn.IFS(VALUE(LEFT(DG85,1))=5,25, VALUE(LEFT(DG85,1))=4,20, VALUE(LEFT(DG85,1))=3,15, VALUE(LEFT(DG85,1))=2,8, TRUE,0), 15)
  + _xlfn.IFS(DH85="Fully Verified",25, DH85="Partially Verified",12, TRUE,0)
)</f>
        <v>30</v>
      </c>
      <c r="DO85" s="3" t="str">
        <f t="array" ref="DO85">_xlfn.IFS(
  ISBLANK(AR85), "Insufficient Evidence",
  AND(AR85&gt;=65, AJ85="Approved"), "Strong",
  AR85&gt;=65, "Adequate",
  AR85&gt;=40, "Adequate",
  AR85&gt;=20, "Weak",
  TRUE, "Insufficient Evidence"
)</f>
        <v>Insufficient Evidence</v>
      </c>
      <c r="DP85" s="3" t="str">
        <f t="array" ref="DP85">_xlfn.IFS(
  ISBLANK(BS85), "Insufficient Evidence",
  BS85&gt;=65, "Strong",
  BS85&gt;=40, "Adequate",
  BS85&gt;=20, "Weak",
  TRUE, "Insufficient Evidence"
)</f>
        <v>Insufficient Evidence</v>
      </c>
      <c r="DQ85" s="3" t="str">
        <f t="array" ref="DQ85">_xlfn.IFS(
  ISBLANK(BE85), "Insufficient Evidence",
  OR(AW85="Confirmed Violation", AX85="Confirmed Breach"), "Severe — Hard Trigger",
  BE85&gt;=65, "Strong",
  BE85&gt;=40, "Adequate",
  BE85&gt;=20, "Weak",
  TRUE, "Insufficient Evidence"
)</f>
        <v>Insufficient Evidence</v>
      </c>
      <c r="DR85" s="3" t="str">
        <f t="array" ref="DR85">_xlfn.IFS(
  ISBLANK(CU85), "Insufficient Evidence",
  CU85&lt;=20, "Low Risk",
  CU85&lt;=50, "Moderate Risk",
  CU85&lt;=75, "High Risk",
  TRUE, "Very High Risk"
)</f>
        <v>Low Risk</v>
      </c>
      <c r="DS85" s="3" t="str">
        <f t="array" ref="DS85">_xlfn.IFS(
  ISBLANK(CE85), "Insufficient Evidence",
  AND(ISNUMBER(BW85),ISNUMBER(BV85),BW85&gt;BV85), "Overclaiming Risk",
  CE85&gt;=65, "Strong",
  CE85&gt;=40, "Adequate",
  TRUE, "Weak"
)</f>
        <v>Weak</v>
      </c>
      <c r="DT85" s="3">
        <f t="shared" si="71"/>
        <v>11.7</v>
      </c>
      <c r="DU85" s="3" t="str">
        <f t="array" ref="DU85">_xlfn.IFS(
  DV85="Upgraded to Clear", "Clear",
  DV85="Downgraded to Watchlist", "Watchlist",
  DV85="Downgraded to Exclusion", "Exclusion Risk",
  DB85="Yes — Automatic", "Exclusion Risk",
  OR(AW85="Confirmed Violation", AX85="Confirmed Breach"), "Exclusion Risk",
  OR(V85=0, ISBLANK(V85), DN85&lt;20), "Insufficient Evidence",
  AND(DT85&gt;=65, DA85="No", DB85="No"), "Clear",
  OR(DT85&gt;=40, DA85="Yes"), "Watchlist",
  TRUE, "Exclusion Risk"
)</f>
        <v>Insufficient Evidence</v>
      </c>
      <c r="DV85" s="3"/>
      <c r="DW85" s="3" t="str">
        <f t="array" ref="DW85">_xlfn.IFS(
  DU85="Exclusion Risk", "Exclude — Hard Trigger",
  DU85="Insufficient Evidence", "Watchlist — Further Evidence Needed",
  DU85="Watchlist", "Watchlist — Further Evidence Needed",
  AND(DU85="Clear", DT85&gt;=80), "Include — No Conditions",
  DU85="Clear", "Include — Monitor",
  TRUE, "Watchlist — Further Evidence Needed"
)</f>
        <v>Watchlist — Further Evidence Needed</v>
      </c>
      <c r="DX85" s="3"/>
      <c r="DY85" s="3"/>
      <c r="DZ85" s="3"/>
      <c r="EA85" s="3"/>
      <c r="EB85" s="3" t="str">
        <f t="shared" si="72"/>
        <v>MISSING — No sources reviewed</v>
      </c>
      <c r="EC85" s="3" t="str">
        <f t="shared" si="73"/>
        <v/>
      </c>
    </row>
    <row r="86" spans="1:133" ht="18" customHeight="1" x14ac:dyDescent="0.15">
      <c r="A86" s="5" t="s">
        <v>622</v>
      </c>
      <c r="B86" s="5" t="s">
        <v>623</v>
      </c>
      <c r="C86" s="5" t="str">
        <f>IF(ISBLANK('Universe Tracker'!D82),"",'Universe Tracker'!D82)</f>
        <v>NL0011585146</v>
      </c>
      <c r="D86" s="5"/>
      <c r="E86" s="5"/>
      <c r="F86" s="5" t="str">
        <f>IF(ISBLANK('Universe Tracker'!F82),"",'Universe Tracker'!F82)</f>
        <v>Consumer Discretionary</v>
      </c>
      <c r="G86" s="5" t="str">
        <f>IF(ISBLANK('Universe Tracker'!G82),"",'Universe Tracker'!G82)</f>
        <v>Consumer Discretionary Products</v>
      </c>
      <c r="H86" s="5"/>
      <c r="I86" s="5"/>
      <c r="J86" s="5" t="str">
        <f t="shared" si="62"/>
        <v>2FE_NL0011585146</v>
      </c>
      <c r="K86" s="5"/>
      <c r="L86" s="5"/>
      <c r="M86" s="5"/>
      <c r="N86" s="5"/>
      <c r="O86" s="5"/>
      <c r="P86" s="5"/>
      <c r="Q86" s="5"/>
      <c r="R86" s="5"/>
      <c r="S86" s="5"/>
      <c r="T86" s="5"/>
      <c r="U86" s="5"/>
      <c r="V86" s="5"/>
      <c r="W86" s="5"/>
      <c r="X86" s="5"/>
      <c r="Y86" s="5" t="str">
        <f t="shared" si="63"/>
        <v>Insufficient</v>
      </c>
      <c r="Z86" s="5"/>
      <c r="AA86" s="5"/>
      <c r="AB86" s="5"/>
      <c r="AC86" s="5"/>
      <c r="AD86" s="5"/>
      <c r="AE86" s="5"/>
      <c r="AF86" s="5"/>
      <c r="AG86" s="5"/>
      <c r="AH86" s="5"/>
      <c r="AI86" s="5"/>
      <c r="AJ86" s="5"/>
      <c r="AK86" s="5"/>
      <c r="AL86" s="5"/>
      <c r="AM86" s="5"/>
      <c r="AN86" s="5"/>
      <c r="AO86" s="5"/>
      <c r="AP86" s="5"/>
      <c r="AQ86" s="5"/>
      <c r="AR86" s="40">
        <f t="array" ref="AR86">MIN(100, MAX(0,
  IFERROR(_xlfn.XLOOKUP(AJ86,'Lookup Tables'!$A$2:$A$7,'Lookup Tables'!$B$2:$B$7,0),0)
  + IF(Z86="Yes", IF(IFERROR(_xlfn.XLOOKUP(AJ86,'Lookup Tables'!$A$2:$A$7,'Lookup Tables'!$B$2:$B$7,0),0)&lt;20, 5, 0), 0)
  + _xlfn.IFS(AB86="Yes", IF(ISNUMBER(AC86)*AND(AC86&lt;=2030),15,10), AB86="Long-term Only", 5, AB86="No", 0, TRUE, 0)
  + _xlfn.IFS(AF86="Full",10, AF86="Partial",5, AF86="Scope 2 Only",3, TRUE,0)
  + _xlfn.IFS(AG86="Yes", IF(ISNUMBER(AH86)*AND(AH86&gt;=5),10,6), AG86="Partial",4, TRUE,0)
  + _xlfn.IFS(AI86="Yes",5, AI86="Partial (material categories only)",3, TRUE,0)
  + _xlfn.IFS(AL86="Yes — Detailed",10, AL86="Yes — High Level",5, TRUE,0)
  + _xlfn.IFS(AM86="Yes — Quantified",15, AM86="Yes — Directional Only",7, TRUE,0)
  + _xlfn.IFS(AP86="Formal",5, AP86="Referenced",2, TRUE,0)
  + _xlfn.IFS(AQ86="No Issues Found",5, AQ86="Concern Identified",-5, AQ86="Severe Contradiction",-15, TRUE,0)
  + _xlfn.IFS(BC86="Reasonable Assurance",5, BC86="Limited Assurance",3, TRUE,0)
  - IF(AND(Z86="Yes", AI86="No"), 10, 0)
  - IF(AND(Z86="Yes", AM86="No"), 10, 0)
))</f>
        <v>0</v>
      </c>
      <c r="AS86" s="5"/>
      <c r="AT86" s="5"/>
      <c r="AU86" s="5"/>
      <c r="AV86" s="5"/>
      <c r="AW86" s="5"/>
      <c r="AX86" s="5"/>
      <c r="AY86" s="5"/>
      <c r="AZ86" s="5"/>
      <c r="BA86" s="5"/>
      <c r="BB86" s="5"/>
      <c r="BC86" s="5"/>
      <c r="BD86" s="5"/>
      <c r="BE86" s="39">
        <f t="array" ref="BE86">MIN(100, MAX(0,
  IFERROR(_xlfn.XLOOKUP(AT86,'Lookup Tables'!$D$2:$D$6,'Lookup Tables'!$E$2:$E$6,0),0)
  + IFERROR(_xlfn.XLOOKUP(AV86,'Lookup Tables'!$G$2:$G$5,'Lookup Tables'!$H$2:$H$5,0),0)
  + IFERROR(_xlfn.XLOOKUP(AW86,'Lookup Tables'!$J$2:$J$5,'Lookup Tables'!$K$2:$K$5,0),0)
  + _xlfn.IFS(AX86="No Issues",10, AX86="Complaint Filed",3, AX86="Confirmed Breach",-15, TRUE,0)
  + IFERROR(_xlfn.XLOOKUP(AY86,'Lookup Tables'!$M$2:$M$6,'Lookup Tables'!$N$2:$N$6,0),0)
  + IFERROR(_xlfn.XLOOKUP(AZ86,'Lookup Tables'!$P$2:$P$6,'Lookup Tables'!$Q$2:$Q$6,0),0)
  + _xlfn.IFS(BA86="Formal Board Committee",5, BA86="Board Oversight Mentioned",2, TRUE,0)
  + _xlfn.IFS(BB86="Yes — Quantified Targets",5, BB86="Yes — Discretionary Only",2, TRUE,0)
  + _xlfn.IFS(BC86="Reasonable Assurance",5, BC86="Limited Assurance",3, BC86="Management Review Only",1, TRUE,0)
))</f>
        <v>0</v>
      </c>
      <c r="BF86" s="5"/>
      <c r="BG86" s="5"/>
      <c r="BH86" s="5"/>
      <c r="BI86" s="5"/>
      <c r="BJ86" s="5"/>
      <c r="BK86" s="5"/>
      <c r="BL86" s="5"/>
      <c r="BM86" s="5"/>
      <c r="BN86" s="5"/>
      <c r="BO86" s="5"/>
      <c r="BP86" s="5"/>
      <c r="BQ86" s="5"/>
      <c r="BR86" s="5"/>
      <c r="BS86" s="41">
        <f t="array" ref="BS86">MIN(100, MAX(0,
  IFERROR(_xlfn.XLOOKUP(BG86,'Lookup Tables'!$A$11:$A$16,'Lookup Tables'!$B$11:$B$16,0),0)
  + IFERROR(_xlfn.XLOOKUP(BR86,'Lookup Tables'!$M$11:$M$14,'Lookup Tables'!$N$11:$N$14,0),0)
  + IFERROR(_xlfn.XLOOKUP(BQ86,'Lookup Tables'!$J$11:$J$15,'Lookup Tables'!$K$11:$K$15,0),0)
  + IFERROR(_xlfn.XLOOKUP(BH86,'Lookup Tables'!$D$11:$D$15,'Lookup Tables'!$E$11:$E$15,0),0)
  + IFERROR(_xlfn.XLOOKUP(BJ86,'Lookup Tables'!$G$11:$G$16,'Lookup Tables'!$H$11:$H$16,0),0)
  + IFERROR(_xlfn.XLOOKUP(BN86,'Lookup Tables'!$P$11:$P$15,'Lookup Tables'!$Q$11:$Q$15,0),0)
  + _xlfn.IFS(BM86="No Evidence",10, BM86="Unknown",3, BM86="Likely",0, BM86="Confirmed",-10, TRUE,3)
  + IFERROR(_xlfn.XLOOKUP(BP86,'Lookup Tables'!$J$21:$J$24,'Lookup Tables'!$K$21:$K$24,0),0)
))</f>
        <v>3</v>
      </c>
      <c r="BT86" s="5"/>
      <c r="BU86" s="5"/>
      <c r="BV86" s="5"/>
      <c r="BW86" s="5"/>
      <c r="BX86" s="5"/>
      <c r="BY86" s="5"/>
      <c r="BZ86" s="5"/>
      <c r="CA86" s="5"/>
      <c r="CB86" s="5"/>
      <c r="CC86" s="5"/>
      <c r="CD86" s="5"/>
      <c r="CE86" s="43">
        <f t="array" ref="CE86">MIN(100, MAX(0,
  IF(ISNUMBER(BV86)*AND(BV86&gt;0), 10, 0)
  + _xlfn.IFS(BY86="Independently Verified",25, BY86="Yes",15, TRUE,0)
  + IFERROR(_xlfn.XLOOKUP(BZ86,'Lookup Tables'!$A$21:$A$24,'Lookup Tables'!$B$21:$B$24,0),0)
  + IFERROR(_xlfn.XLOOKUP(CA86,'Lookup Tables'!$D$21:$D$24,'Lookup Tables'!$E$21:$E$24,0),0)
  + _xlfn.IFS(ISNUMBER(CB86)*AND(CB86&gt;=11),15, ISNUMBER(CB86)*AND(CB86&gt;=6),10, ISNUMBER(CB86)*AND(CB86&gt;=1),5, TRUE,0)
  + IFERROR(_xlfn.XLOOKUP(CC86,'Lookup Tables'!$G$21:$G$25,'Lookup Tables'!$H$21:$H$25,0),0)
  - IF(ISNUMBER(BW86)*AND(ISNUMBER(BV86))*AND(BW86&gt;BV86), 20, 0)
  - IF(AND(BY86="Yes", ISNUMBER(BW86), BW86&gt;60), 10, 0)
))</f>
        <v>0</v>
      </c>
      <c r="CF86" s="5"/>
      <c r="CG86" s="5"/>
      <c r="CH86" s="5"/>
      <c r="CI86" s="5"/>
      <c r="CJ86" s="5"/>
      <c r="CK86" s="5"/>
      <c r="CL86" s="5"/>
      <c r="CM86" s="5"/>
      <c r="CN86" s="5"/>
      <c r="CO86" s="5"/>
      <c r="CP86" s="5"/>
      <c r="CQ86" s="5"/>
      <c r="CR86" s="5">
        <f t="shared" si="64"/>
        <v>0</v>
      </c>
      <c r="CS86" s="5">
        <f t="shared" si="65"/>
        <v>0</v>
      </c>
      <c r="CT86" s="5">
        <f t="shared" si="66"/>
        <v>0</v>
      </c>
      <c r="CU86" s="5">
        <f>MIN(100,
  CR86*15
  + CS86*6
  + CT86*3
  + IFERROR(_xlfn.XLOOKUP(CW86,'Lookup Tables'!$M$21:$M$25,'Lookup Tables'!$N$21:$N$25,0),0)
)</f>
        <v>0</v>
      </c>
      <c r="CV86" s="5" t="str">
        <f t="shared" si="74"/>
        <v>No failures</v>
      </c>
      <c r="CW86" s="5"/>
      <c r="CX86" s="5"/>
      <c r="CY86" s="5"/>
      <c r="CZ86" s="5"/>
      <c r="DA86" s="5" t="str">
        <f t="shared" si="67"/>
        <v>Yes</v>
      </c>
      <c r="DB86" s="5" t="str">
        <f t="shared" si="68"/>
        <v>No</v>
      </c>
      <c r="DC86" s="5"/>
      <c r="DD86" s="5"/>
      <c r="DE86" s="5"/>
      <c r="DF86" s="5"/>
      <c r="DG86" s="5"/>
      <c r="DH86" s="5"/>
      <c r="DI86" s="5"/>
      <c r="DJ86" s="5"/>
      <c r="DK86" s="5"/>
      <c r="DL86" s="5" t="str">
        <f t="shared" si="69"/>
        <v>Clear</v>
      </c>
      <c r="DM86" s="5" t="str">
        <f t="shared" si="70"/>
        <v>Yes</v>
      </c>
      <c r="DN86" s="5">
        <f t="array" ref="DN86">MIN(100,
  IF(ISNUMBER(V86), _xlfn.IFS(V86&gt;=3,25, V86=2,15, V86=1,5, TRUE,0), 0)
  + IFERROR(_xlfn.IFS(VALUE(LEFT(DF86,1))=5,25, VALUE(LEFT(DF86,1))=4,20, VALUE(LEFT(DF86,1))=3,15, VALUE(LEFT(DF86,1))=2,8, TRUE,0), 15)
  + IFERROR(_xlfn.IFS(VALUE(LEFT(DG86,1))=5,25, VALUE(LEFT(DG86,1))=4,20, VALUE(LEFT(DG86,1))=3,15, VALUE(LEFT(DG86,1))=2,8, TRUE,0), 15)
  + _xlfn.IFS(DH86="Fully Verified",25, DH86="Partially Verified",12, TRUE,0)
)</f>
        <v>30</v>
      </c>
      <c r="DO86" s="5" t="str">
        <f t="array" ref="DO86">_xlfn.IFS(
  ISBLANK(AR86), "Insufficient Evidence",
  AND(AR86&gt;=65, AJ86="Approved"), "Strong",
  AR86&gt;=65, "Adequate",
  AR86&gt;=40, "Adequate",
  AR86&gt;=20, "Weak",
  TRUE, "Insufficient Evidence"
)</f>
        <v>Insufficient Evidence</v>
      </c>
      <c r="DP86" s="5" t="str">
        <f t="array" ref="DP86">_xlfn.IFS(
  ISBLANK(BS86), "Insufficient Evidence",
  BS86&gt;=65, "Strong",
  BS86&gt;=40, "Adequate",
  BS86&gt;=20, "Weak",
  TRUE, "Insufficient Evidence"
)</f>
        <v>Insufficient Evidence</v>
      </c>
      <c r="DQ86" s="5" t="str">
        <f t="array" ref="DQ86">_xlfn.IFS(
  ISBLANK(BE86), "Insufficient Evidence",
  OR(AW86="Confirmed Violation", AX86="Confirmed Breach"), "Severe — Hard Trigger",
  BE86&gt;=65, "Strong",
  BE86&gt;=40, "Adequate",
  BE86&gt;=20, "Weak",
  TRUE, "Insufficient Evidence"
)</f>
        <v>Insufficient Evidence</v>
      </c>
      <c r="DR86" s="5" t="str">
        <f t="array" ref="DR86">_xlfn.IFS(
  ISBLANK(CU86), "Insufficient Evidence",
  CU86&lt;=20, "Low Risk",
  CU86&lt;=50, "Moderate Risk",
  CU86&lt;=75, "High Risk",
  TRUE, "Very High Risk"
)</f>
        <v>Low Risk</v>
      </c>
      <c r="DS86" s="5" t="str">
        <f t="array" ref="DS86">_xlfn.IFS(
  ISBLANK(CE86), "Insufficient Evidence",
  AND(ISNUMBER(BW86),ISNUMBER(BV86),BW86&gt;BV86), "Overclaiming Risk",
  CE86&gt;=65, "Strong",
  CE86&gt;=40, "Adequate",
  TRUE, "Weak"
)</f>
        <v>Weak</v>
      </c>
      <c r="DT86" s="5">
        <f t="shared" si="71"/>
        <v>11.7</v>
      </c>
      <c r="DU86" s="5" t="str">
        <f t="array" ref="DU86">_xlfn.IFS(
  DV86="Upgraded to Clear", "Clear",
  DV86="Downgraded to Watchlist", "Watchlist",
  DV86="Downgraded to Exclusion", "Exclusion Risk",
  DB86="Yes — Automatic", "Exclusion Risk",
  OR(AW86="Confirmed Violation", AX86="Confirmed Breach"), "Exclusion Risk",
  OR(V86=0, ISBLANK(V86), DN86&lt;20), "Insufficient Evidence",
  AND(DT86&gt;=65, DA86="No", DB86="No"), "Clear",
  OR(DT86&gt;=40, DA86="Yes"), "Watchlist",
  TRUE, "Exclusion Risk"
)</f>
        <v>Insufficient Evidence</v>
      </c>
      <c r="DV86" s="5"/>
      <c r="DW86" s="5" t="str">
        <f t="array" ref="DW86">_xlfn.IFS(
  DU86="Exclusion Risk", "Exclude — Hard Trigger",
  DU86="Insufficient Evidence", "Watchlist — Further Evidence Needed",
  DU86="Watchlist", "Watchlist — Further Evidence Needed",
  AND(DU86="Clear", DT86&gt;=80), "Include — No Conditions",
  DU86="Clear", "Include — Monitor",
  TRUE, "Watchlist — Further Evidence Needed"
)</f>
        <v>Watchlist — Further Evidence Needed</v>
      </c>
      <c r="DX86" s="5"/>
      <c r="DY86" s="5"/>
      <c r="DZ86" s="5"/>
      <c r="EA86" s="5"/>
      <c r="EB86" s="5" t="str">
        <f t="shared" si="72"/>
        <v>MISSING — No sources reviewed</v>
      </c>
      <c r="EC86" s="5" t="str">
        <f t="shared" si="73"/>
        <v/>
      </c>
    </row>
    <row r="87" spans="1:133" ht="18" customHeight="1" x14ac:dyDescent="0.15">
      <c r="A87" s="3" t="s">
        <v>626</v>
      </c>
      <c r="B87" s="3" t="s">
        <v>627</v>
      </c>
      <c r="C87" s="3" t="str">
        <f>IF(ISBLANK('Universe Tracker'!D83),"",'Universe Tracker'!D83)</f>
        <v>IT0004764699</v>
      </c>
      <c r="D87" s="3"/>
      <c r="E87" s="3"/>
      <c r="F87" s="3" t="str">
        <f>IF(ISBLANK('Universe Tracker'!F83),"",'Universe Tracker'!F83)</f>
        <v>Consumer Discretionary</v>
      </c>
      <c r="G87" s="3" t="str">
        <f>IF(ISBLANK('Universe Tracker'!G83),"",'Universe Tracker'!G83)</f>
        <v>Retail &amp; Whsle - Discretionary</v>
      </c>
      <c r="H87" s="3"/>
      <c r="I87" s="3"/>
      <c r="J87" s="3" t="str">
        <f t="shared" si="62"/>
        <v>8BU_IT0004764699</v>
      </c>
      <c r="K87" s="3"/>
      <c r="L87" s="3"/>
      <c r="M87" s="3"/>
      <c r="N87" s="3"/>
      <c r="O87" s="3"/>
      <c r="P87" s="3"/>
      <c r="Q87" s="3"/>
      <c r="R87" s="3"/>
      <c r="S87" s="3"/>
      <c r="T87" s="3"/>
      <c r="U87" s="3"/>
      <c r="V87" s="3"/>
      <c r="W87" s="3"/>
      <c r="X87" s="3"/>
      <c r="Y87" s="3" t="str">
        <f t="shared" si="63"/>
        <v>Insufficient</v>
      </c>
      <c r="Z87" s="3"/>
      <c r="AA87" s="3"/>
      <c r="AB87" s="3"/>
      <c r="AC87" s="3"/>
      <c r="AD87" s="3"/>
      <c r="AE87" s="3"/>
      <c r="AF87" s="3"/>
      <c r="AG87" s="3"/>
      <c r="AH87" s="3"/>
      <c r="AI87" s="3"/>
      <c r="AJ87" s="3"/>
      <c r="AK87" s="3"/>
      <c r="AL87" s="3"/>
      <c r="AM87" s="3"/>
      <c r="AN87" s="3"/>
      <c r="AO87" s="3"/>
      <c r="AP87" s="3"/>
      <c r="AQ87" s="3"/>
      <c r="AR87" s="40">
        <f t="array" ref="AR87">MIN(100, MAX(0,
  IFERROR(_xlfn.XLOOKUP(AJ87,'Lookup Tables'!$A$2:$A$7,'Lookup Tables'!$B$2:$B$7,0),0)
  + IF(Z87="Yes", IF(IFERROR(_xlfn.XLOOKUP(AJ87,'Lookup Tables'!$A$2:$A$7,'Lookup Tables'!$B$2:$B$7,0),0)&lt;20, 5, 0), 0)
  + _xlfn.IFS(AB87="Yes", IF(ISNUMBER(AC87)*AND(AC87&lt;=2030),15,10), AB87="Long-term Only", 5, AB87="No", 0, TRUE, 0)
  + _xlfn.IFS(AF87="Full",10, AF87="Partial",5, AF87="Scope 2 Only",3, TRUE,0)
  + _xlfn.IFS(AG87="Yes", IF(ISNUMBER(AH87)*AND(AH87&gt;=5),10,6), AG87="Partial",4, TRUE,0)
  + _xlfn.IFS(AI87="Yes",5, AI87="Partial (material categories only)",3, TRUE,0)
  + _xlfn.IFS(AL87="Yes — Detailed",10, AL87="Yes — High Level",5, TRUE,0)
  + _xlfn.IFS(AM87="Yes — Quantified",15, AM87="Yes — Directional Only",7, TRUE,0)
  + _xlfn.IFS(AP87="Formal",5, AP87="Referenced",2, TRUE,0)
  + _xlfn.IFS(AQ87="No Issues Found",5, AQ87="Concern Identified",-5, AQ87="Severe Contradiction",-15, TRUE,0)
  + _xlfn.IFS(BC87="Reasonable Assurance",5, BC87="Limited Assurance",3, TRUE,0)
  - IF(AND(Z87="Yes", AI87="No"), 10, 0)
  - IF(AND(Z87="Yes", AM87="No"), 10, 0)
))</f>
        <v>0</v>
      </c>
      <c r="AS87" s="3"/>
      <c r="AT87" s="3"/>
      <c r="AU87" s="3"/>
      <c r="AV87" s="3"/>
      <c r="AW87" s="3"/>
      <c r="AX87" s="3"/>
      <c r="AY87" s="3"/>
      <c r="AZ87" s="3"/>
      <c r="BA87" s="3"/>
      <c r="BB87" s="3"/>
      <c r="BC87" s="3"/>
      <c r="BD87" s="3"/>
      <c r="BE87" s="40">
        <f t="array" ref="BE87">MIN(100, MAX(0,
  IFERROR(_xlfn.XLOOKUP(AT87,'Lookup Tables'!$D$2:$D$6,'Lookup Tables'!$E$2:$E$6,0),0)
  + IFERROR(_xlfn.XLOOKUP(AV87,'Lookup Tables'!$G$2:$G$5,'Lookup Tables'!$H$2:$H$5,0),0)
  + IFERROR(_xlfn.XLOOKUP(AW87,'Lookup Tables'!$J$2:$J$5,'Lookup Tables'!$K$2:$K$5,0),0)
  + _xlfn.IFS(AX87="No Issues",10, AX87="Complaint Filed",3, AX87="Confirmed Breach",-15, TRUE,0)
  + IFERROR(_xlfn.XLOOKUP(AY87,'Lookup Tables'!$M$2:$M$6,'Lookup Tables'!$N$2:$N$6,0),0)
  + IFERROR(_xlfn.XLOOKUP(AZ87,'Lookup Tables'!$P$2:$P$6,'Lookup Tables'!$Q$2:$Q$6,0),0)
  + _xlfn.IFS(BA87="Formal Board Committee",5, BA87="Board Oversight Mentioned",2, TRUE,0)
  + _xlfn.IFS(BB87="Yes — Quantified Targets",5, BB87="Yes — Discretionary Only",2, TRUE,0)
  + _xlfn.IFS(BC87="Reasonable Assurance",5, BC87="Limited Assurance",3, BC87="Management Review Only",1, TRUE,0)
))</f>
        <v>0</v>
      </c>
      <c r="BF87" s="3"/>
      <c r="BG87" s="3"/>
      <c r="BH87" s="3"/>
      <c r="BI87" s="3"/>
      <c r="BJ87" s="3"/>
      <c r="BK87" s="3"/>
      <c r="BL87" s="3"/>
      <c r="BM87" s="3"/>
      <c r="BN87" s="3"/>
      <c r="BO87" s="3"/>
      <c r="BP87" s="3"/>
      <c r="BQ87" s="3"/>
      <c r="BR87" s="3"/>
      <c r="BS87" s="42">
        <f t="array" ref="BS87">MIN(100, MAX(0,
  IFERROR(_xlfn.XLOOKUP(BG87,'Lookup Tables'!$A$11:$A$16,'Lookup Tables'!$B$11:$B$16,0),0)
  + IFERROR(_xlfn.XLOOKUP(BR87,'Lookup Tables'!$M$11:$M$14,'Lookup Tables'!$N$11:$N$14,0),0)
  + IFERROR(_xlfn.XLOOKUP(BQ87,'Lookup Tables'!$J$11:$J$15,'Lookup Tables'!$K$11:$K$15,0),0)
  + IFERROR(_xlfn.XLOOKUP(BH87,'Lookup Tables'!$D$11:$D$15,'Lookup Tables'!$E$11:$E$15,0),0)
  + IFERROR(_xlfn.XLOOKUP(BJ87,'Lookup Tables'!$G$11:$G$16,'Lookup Tables'!$H$11:$H$16,0),0)
  + IFERROR(_xlfn.XLOOKUP(BN87,'Lookup Tables'!$P$11:$P$15,'Lookup Tables'!$Q$11:$Q$15,0),0)
  + _xlfn.IFS(BM87="No Evidence",10, BM87="Unknown",3, BM87="Likely",0, BM87="Confirmed",-10, TRUE,3)
  + IFERROR(_xlfn.XLOOKUP(BP87,'Lookup Tables'!$J$21:$J$24,'Lookup Tables'!$K$21:$K$24,0),0)
))</f>
        <v>3</v>
      </c>
      <c r="BT87" s="3"/>
      <c r="BU87" s="3"/>
      <c r="BV87" s="3"/>
      <c r="BW87" s="3"/>
      <c r="BX87" s="3"/>
      <c r="BY87" s="3"/>
      <c r="BZ87" s="3"/>
      <c r="CA87" s="3"/>
      <c r="CB87" s="3"/>
      <c r="CC87" s="3"/>
      <c r="CD87" s="3"/>
      <c r="CE87" s="44">
        <f t="array" ref="CE87">MIN(100, MAX(0,
  IF(ISNUMBER(BV87)*AND(BV87&gt;0), 10, 0)
  + _xlfn.IFS(BY87="Independently Verified",25, BY87="Yes",15, TRUE,0)
  + IFERROR(_xlfn.XLOOKUP(BZ87,'Lookup Tables'!$A$21:$A$24,'Lookup Tables'!$B$21:$B$24,0),0)
  + IFERROR(_xlfn.XLOOKUP(CA87,'Lookup Tables'!$D$21:$D$24,'Lookup Tables'!$E$21:$E$24,0),0)
  + _xlfn.IFS(ISNUMBER(CB87)*AND(CB87&gt;=11),15, ISNUMBER(CB87)*AND(CB87&gt;=6),10, ISNUMBER(CB87)*AND(CB87&gt;=1),5, TRUE,0)
  + IFERROR(_xlfn.XLOOKUP(CC87,'Lookup Tables'!$G$21:$G$25,'Lookup Tables'!$H$21:$H$25,0),0)
  - IF(ISNUMBER(BW87)*AND(ISNUMBER(BV87))*AND(BW87&gt;BV87), 20, 0)
  - IF(AND(BY87="Yes", ISNUMBER(BW87), BW87&gt;60), 10, 0)
))</f>
        <v>0</v>
      </c>
      <c r="CF87" s="3"/>
      <c r="CG87" s="3"/>
      <c r="CH87" s="3"/>
      <c r="CI87" s="3"/>
      <c r="CJ87" s="3"/>
      <c r="CK87" s="3"/>
      <c r="CL87" s="3"/>
      <c r="CM87" s="3"/>
      <c r="CN87" s="3"/>
      <c r="CO87" s="3"/>
      <c r="CP87" s="3"/>
      <c r="CQ87" s="3"/>
      <c r="CR87" s="3">
        <f t="shared" si="64"/>
        <v>0</v>
      </c>
      <c r="CS87" s="3">
        <f t="shared" si="65"/>
        <v>0</v>
      </c>
      <c r="CT87" s="3">
        <f t="shared" si="66"/>
        <v>0</v>
      </c>
      <c r="CU87" s="3">
        <f>MIN(100,
  CR87*15
  + CS87*6
  + CT87*3
  + IFERROR(_xlfn.XLOOKUP(CW87,'Lookup Tables'!$M$21:$M$25,'Lookup Tables'!$N$21:$N$25,0),0)
)</f>
        <v>0</v>
      </c>
      <c r="CV87" s="3" t="str">
        <f t="shared" si="74"/>
        <v>No failures</v>
      </c>
      <c r="CW87" s="3"/>
      <c r="CX87" s="3"/>
      <c r="CY87" s="3"/>
      <c r="CZ87" s="3"/>
      <c r="DA87" s="3" t="str">
        <f t="shared" si="67"/>
        <v>Yes</v>
      </c>
      <c r="DB87" s="3" t="str">
        <f t="shared" si="68"/>
        <v>No</v>
      </c>
      <c r="DC87" s="3"/>
      <c r="DD87" s="3"/>
      <c r="DE87" s="3"/>
      <c r="DF87" s="3"/>
      <c r="DG87" s="3"/>
      <c r="DH87" s="3"/>
      <c r="DI87" s="3"/>
      <c r="DJ87" s="3"/>
      <c r="DK87" s="3"/>
      <c r="DL87" s="3" t="str">
        <f t="shared" si="69"/>
        <v>Clear</v>
      </c>
      <c r="DM87" s="3" t="str">
        <f t="shared" si="70"/>
        <v>Yes</v>
      </c>
      <c r="DN87" s="3">
        <f t="array" ref="DN87">MIN(100,
  IF(ISNUMBER(V87), _xlfn.IFS(V87&gt;=3,25, V87=2,15, V87=1,5, TRUE,0), 0)
  + IFERROR(_xlfn.IFS(VALUE(LEFT(DF87,1))=5,25, VALUE(LEFT(DF87,1))=4,20, VALUE(LEFT(DF87,1))=3,15, VALUE(LEFT(DF87,1))=2,8, TRUE,0), 15)
  + IFERROR(_xlfn.IFS(VALUE(LEFT(DG87,1))=5,25, VALUE(LEFT(DG87,1))=4,20, VALUE(LEFT(DG87,1))=3,15, VALUE(LEFT(DG87,1))=2,8, TRUE,0), 15)
  + _xlfn.IFS(DH87="Fully Verified",25, DH87="Partially Verified",12, TRUE,0)
)</f>
        <v>30</v>
      </c>
      <c r="DO87" s="3" t="str">
        <f t="array" ref="DO87">_xlfn.IFS(
  ISBLANK(AR87), "Insufficient Evidence",
  AND(AR87&gt;=65, AJ87="Approved"), "Strong",
  AR87&gt;=65, "Adequate",
  AR87&gt;=40, "Adequate",
  AR87&gt;=20, "Weak",
  TRUE, "Insufficient Evidence"
)</f>
        <v>Insufficient Evidence</v>
      </c>
      <c r="DP87" s="3" t="str">
        <f t="array" ref="DP87">_xlfn.IFS(
  ISBLANK(BS87), "Insufficient Evidence",
  BS87&gt;=65, "Strong",
  BS87&gt;=40, "Adequate",
  BS87&gt;=20, "Weak",
  TRUE, "Insufficient Evidence"
)</f>
        <v>Insufficient Evidence</v>
      </c>
      <c r="DQ87" s="3" t="str">
        <f t="array" ref="DQ87">_xlfn.IFS(
  ISBLANK(BE87), "Insufficient Evidence",
  OR(AW87="Confirmed Violation", AX87="Confirmed Breach"), "Severe — Hard Trigger",
  BE87&gt;=65, "Strong",
  BE87&gt;=40, "Adequate",
  BE87&gt;=20, "Weak",
  TRUE, "Insufficient Evidence"
)</f>
        <v>Insufficient Evidence</v>
      </c>
      <c r="DR87" s="3" t="str">
        <f t="array" ref="DR87">_xlfn.IFS(
  ISBLANK(CU87), "Insufficient Evidence",
  CU87&lt;=20, "Low Risk",
  CU87&lt;=50, "Moderate Risk",
  CU87&lt;=75, "High Risk",
  TRUE, "Very High Risk"
)</f>
        <v>Low Risk</v>
      </c>
      <c r="DS87" s="3" t="str">
        <f t="array" ref="DS87">_xlfn.IFS(
  ISBLANK(CE87), "Insufficient Evidence",
  AND(ISNUMBER(BW87),ISNUMBER(BV87),BW87&gt;BV87), "Overclaiming Risk",
  CE87&gt;=65, "Strong",
  CE87&gt;=40, "Adequate",
  TRUE, "Weak"
)</f>
        <v>Weak</v>
      </c>
      <c r="DT87" s="3">
        <f t="shared" si="71"/>
        <v>11.7</v>
      </c>
      <c r="DU87" s="3" t="str">
        <f t="array" ref="DU87">_xlfn.IFS(
  DV87="Upgraded to Clear", "Clear",
  DV87="Downgraded to Watchlist", "Watchlist",
  DV87="Downgraded to Exclusion", "Exclusion Risk",
  DB87="Yes — Automatic", "Exclusion Risk",
  OR(AW87="Confirmed Violation", AX87="Confirmed Breach"), "Exclusion Risk",
  OR(V87=0, ISBLANK(V87), DN87&lt;20), "Insufficient Evidence",
  AND(DT87&gt;=65, DA87="No", DB87="No"), "Clear",
  OR(DT87&gt;=40, DA87="Yes"), "Watchlist",
  TRUE, "Exclusion Risk"
)</f>
        <v>Insufficient Evidence</v>
      </c>
      <c r="DV87" s="3"/>
      <c r="DW87" s="3" t="str">
        <f t="array" ref="DW87">_xlfn.IFS(
  DU87="Exclusion Risk", "Exclude — Hard Trigger",
  DU87="Insufficient Evidence", "Watchlist — Further Evidence Needed",
  DU87="Watchlist", "Watchlist — Further Evidence Needed",
  AND(DU87="Clear", DT87&gt;=80), "Include — No Conditions",
  DU87="Clear", "Include — Monitor",
  TRUE, "Watchlist — Further Evidence Needed"
)</f>
        <v>Watchlist — Further Evidence Needed</v>
      </c>
      <c r="DX87" s="3"/>
      <c r="DY87" s="3"/>
      <c r="DZ87" s="3"/>
      <c r="EA87" s="3"/>
      <c r="EB87" s="3" t="str">
        <f t="shared" si="72"/>
        <v>MISSING — No sources reviewed</v>
      </c>
      <c r="EC87" s="3" t="str">
        <f t="shared" si="73"/>
        <v/>
      </c>
    </row>
    <row r="88" spans="1:133" ht="18" customHeight="1" x14ac:dyDescent="0.15">
      <c r="A88" s="5" t="s">
        <v>543</v>
      </c>
      <c r="B88" s="5" t="s">
        <v>544</v>
      </c>
      <c r="C88" s="5" t="str">
        <f>IF(ISBLANK('Universe Tracker'!D63),"",'Universe Tracker'!D63)</f>
        <v>GB0004082847</v>
      </c>
      <c r="D88" s="5"/>
      <c r="E88" s="5"/>
      <c r="F88" s="5" t="str">
        <f>IF(ISBLANK('Universe Tracker'!F63),"",'Universe Tracker'!F63)</f>
        <v>Financials</v>
      </c>
      <c r="G88" s="5" t="str">
        <f>IF(ISBLANK('Universe Tracker'!G63),"",'Universe Tracker'!G63)</f>
        <v>Banking</v>
      </c>
      <c r="H88" s="5"/>
      <c r="I88" s="5"/>
      <c r="J88" s="5" t="str">
        <f t="shared" ref="J88:J106" si="75">IF(ISBLANK(B88),"",B88&amp;"_"&amp;C88)</f>
        <v>STD_GB0004082847</v>
      </c>
      <c r="K88" s="5"/>
      <c r="L88" s="5"/>
      <c r="M88" s="5"/>
      <c r="N88" s="5"/>
      <c r="O88" s="5"/>
      <c r="P88" s="5"/>
      <c r="Q88" s="5"/>
      <c r="R88" s="5"/>
      <c r="S88" s="5"/>
      <c r="T88" s="5"/>
      <c r="U88" s="5"/>
      <c r="V88" s="5"/>
      <c r="W88" s="5"/>
      <c r="X88" s="5"/>
      <c r="Y88" s="5" t="str">
        <f t="shared" ref="Y88:Y106" si="76">IF(AND(V88&gt;=2,K88="Yes",L88="Yes"),"Sufficient",IF(AND(V88&gt;=1,OR(K88="Yes",L88="Yes")),"Thin","Insufficient"))</f>
        <v>Insufficient</v>
      </c>
      <c r="Z88" s="5"/>
      <c r="AA88" s="5"/>
      <c r="AB88" s="5"/>
      <c r="AC88" s="5"/>
      <c r="AD88" s="5"/>
      <c r="AE88" s="5"/>
      <c r="AF88" s="5"/>
      <c r="AG88" s="5"/>
      <c r="AH88" s="5"/>
      <c r="AI88" s="5"/>
      <c r="AJ88" s="5"/>
      <c r="AK88" s="5"/>
      <c r="AL88" s="5"/>
      <c r="AM88" s="5"/>
      <c r="AN88" s="5"/>
      <c r="AO88" s="5"/>
      <c r="AP88" s="5"/>
      <c r="AQ88" s="5"/>
      <c r="AR88" s="40">
        <f t="array" ref="AR88">MIN(100, MAX(0,
  IFERROR(_xlfn.XLOOKUP(AJ88,'Lookup Tables'!$A$2:$A$7,'Lookup Tables'!$B$2:$B$7,0),0)
  + IF(Z88="Yes", IF(IFERROR(_xlfn.XLOOKUP(AJ88,'Lookup Tables'!$A$2:$A$7,'Lookup Tables'!$B$2:$B$7,0),0)&lt;20, 5, 0), 0)
  + _xlfn.IFS(AB88="Yes", IF(ISNUMBER(AC88)*AND(AC88&lt;=2030),15,10), AB88="Long-term Only", 5, AB88="No", 0, TRUE, 0)
  + _xlfn.IFS(AF88="Full",10, AF88="Partial",5, AF88="Scope 2 Only",3, TRUE,0)
  + _xlfn.IFS(AG88="Yes", IF(ISNUMBER(AH88)*AND(AH88&gt;=5),10,6), AG88="Partial",4, TRUE,0)
  + _xlfn.IFS(AI88="Yes",5, AI88="Partial (material categories only)",3, TRUE,0)
  + _xlfn.IFS(AL88="Yes — Detailed",10, AL88="Yes — High Level",5, TRUE,0)
  + _xlfn.IFS(AM88="Yes — Quantified",15, AM88="Yes — Directional Only",7, TRUE,0)
  + _xlfn.IFS(AP88="Formal",5, AP88="Referenced",2, TRUE,0)
  + _xlfn.IFS(AQ88="No Issues Found",5, AQ88="Concern Identified",-5, AQ88="Severe Contradiction",-15, TRUE,0)
  + _xlfn.IFS(BC88="Reasonable Assurance",5, BC88="Limited Assurance",3, TRUE,0)
  - IF(AND(Z88="Yes", AI88="No"), 10, 0)
  - IF(AND(Z88="Yes", AM88="No"), 10, 0)
))</f>
        <v>0</v>
      </c>
      <c r="AS88" s="5"/>
      <c r="AT88" s="5"/>
      <c r="AU88" s="5"/>
      <c r="AV88" s="5"/>
      <c r="AW88" s="5"/>
      <c r="AX88" s="5"/>
      <c r="AY88" s="5"/>
      <c r="AZ88" s="5"/>
      <c r="BA88" s="5"/>
      <c r="BB88" s="5"/>
      <c r="BC88" s="5"/>
      <c r="BD88" s="5"/>
      <c r="BE88" s="39">
        <f t="array" ref="BE88">MIN(100, MAX(0,
  IFERROR(_xlfn.XLOOKUP(AT88,'Lookup Tables'!$D$2:$D$6,'Lookup Tables'!$E$2:$E$6,0),0)
  + IFERROR(_xlfn.XLOOKUP(AV88,'Lookup Tables'!$G$2:$G$5,'Lookup Tables'!$H$2:$H$5,0),0)
  + IFERROR(_xlfn.XLOOKUP(AW88,'Lookup Tables'!$J$2:$J$5,'Lookup Tables'!$K$2:$K$5,0),0)
  + _xlfn.IFS(AX88="No Issues",10, AX88="Complaint Filed",3, AX88="Confirmed Breach",-15, TRUE,0)
  + IFERROR(_xlfn.XLOOKUP(AY88,'Lookup Tables'!$M$2:$M$6,'Lookup Tables'!$N$2:$N$6,0),0)
  + IFERROR(_xlfn.XLOOKUP(AZ88,'Lookup Tables'!$P$2:$P$6,'Lookup Tables'!$Q$2:$Q$6,0),0)
  + _xlfn.IFS(BA88="Formal Board Committee",5, BA88="Board Oversight Mentioned",2, TRUE,0)
  + _xlfn.IFS(BB88="Yes — Quantified Targets",5, BB88="Yes — Discretionary Only",2, TRUE,0)
  + _xlfn.IFS(BC88="Reasonable Assurance",5, BC88="Limited Assurance",3, BC88="Management Review Only",1, TRUE,0)
))</f>
        <v>0</v>
      </c>
      <c r="BF88" s="5"/>
      <c r="BG88" s="5"/>
      <c r="BH88" s="5"/>
      <c r="BI88" s="5"/>
      <c r="BJ88" s="5"/>
      <c r="BK88" s="5"/>
      <c r="BL88" s="5"/>
      <c r="BM88" s="5"/>
      <c r="BN88" s="5"/>
      <c r="BO88" s="5"/>
      <c r="BP88" s="5"/>
      <c r="BQ88" s="5"/>
      <c r="BR88" s="5"/>
      <c r="BS88" s="41">
        <f t="array" ref="BS88">MIN(100, MAX(0,
  IFERROR(_xlfn.XLOOKUP(BG88,'Lookup Tables'!$A$11:$A$16,'Lookup Tables'!$B$11:$B$16,0),0)
  + IFERROR(_xlfn.XLOOKUP(BR88,'Lookup Tables'!$M$11:$M$14,'Lookup Tables'!$N$11:$N$14,0),0)
  + IFERROR(_xlfn.XLOOKUP(BQ88,'Lookup Tables'!$J$11:$J$15,'Lookup Tables'!$K$11:$K$15,0),0)
  + IFERROR(_xlfn.XLOOKUP(BH88,'Lookup Tables'!$D$11:$D$15,'Lookup Tables'!$E$11:$E$15,0),0)
  + IFERROR(_xlfn.XLOOKUP(BJ88,'Lookup Tables'!$G$11:$G$16,'Lookup Tables'!$H$11:$H$16,0),0)
  + IFERROR(_xlfn.XLOOKUP(BN88,'Lookup Tables'!$P$11:$P$15,'Lookup Tables'!$Q$11:$Q$15,0),0)
  + _xlfn.IFS(BM88="No Evidence",10, BM88="Unknown",3, BM88="Likely",0, BM88="Confirmed",-10, TRUE,3)
  + IFERROR(_xlfn.XLOOKUP(BP88,'Lookup Tables'!$J$21:$J$24,'Lookup Tables'!$K$21:$K$24,0),0)
))</f>
        <v>3</v>
      </c>
      <c r="BT88" s="5"/>
      <c r="BU88" s="5"/>
      <c r="BV88" s="5"/>
      <c r="BW88" s="5"/>
      <c r="BX88" s="5"/>
      <c r="BY88" s="5"/>
      <c r="BZ88" s="5"/>
      <c r="CA88" s="5"/>
      <c r="CB88" s="5"/>
      <c r="CC88" s="5"/>
      <c r="CD88" s="5"/>
      <c r="CE88" s="43">
        <f t="array" ref="CE88">MIN(100, MAX(0,
  IF(ISNUMBER(BV88)*AND(BV88&gt;0), 10, 0)
  + _xlfn.IFS(BY88="Independently Verified",25, BY88="Yes",15, TRUE,0)
  + IFERROR(_xlfn.XLOOKUP(BZ88,'Lookup Tables'!$A$21:$A$24,'Lookup Tables'!$B$21:$B$24,0),0)
  + IFERROR(_xlfn.XLOOKUP(CA88,'Lookup Tables'!$D$21:$D$24,'Lookup Tables'!$E$21:$E$24,0),0)
  + _xlfn.IFS(ISNUMBER(CB88)*AND(CB88&gt;=11),15, ISNUMBER(CB88)*AND(CB88&gt;=6),10, ISNUMBER(CB88)*AND(CB88&gt;=1),5, TRUE,0)
  + IFERROR(_xlfn.XLOOKUP(CC88,'Lookup Tables'!$G$21:$G$25,'Lookup Tables'!$H$21:$H$25,0),0)
  - IF(ISNUMBER(BW88)*AND(ISNUMBER(BV88))*AND(BW88&gt;BV88), 20, 0)
  - IF(AND(BY88="Yes", ISNUMBER(BW88), BW88&gt;60), 10, 0)
))</f>
        <v>0</v>
      </c>
      <c r="CF88" s="5"/>
      <c r="CG88" s="5"/>
      <c r="CH88" s="5"/>
      <c r="CI88" s="5"/>
      <c r="CJ88" s="5"/>
      <c r="CK88" s="5"/>
      <c r="CL88" s="5"/>
      <c r="CM88" s="5"/>
      <c r="CN88" s="5"/>
      <c r="CO88" s="5"/>
      <c r="CP88" s="5"/>
      <c r="CQ88" s="5"/>
      <c r="CR88" s="5">
        <f t="shared" ref="CR88:CR106" si="77">COUNTIF(CJ88:CQ88,"FAIL")</f>
        <v>0</v>
      </c>
      <c r="CS88" s="5">
        <f t="shared" ref="CS88:CS106" si="78">COUNTIF(CJ88:CQ88,"PARTIAL")</f>
        <v>0</v>
      </c>
      <c r="CT88" s="5">
        <f t="shared" ref="CT88:CT106" si="79">COUNTIF(CJ88:CQ88,"MISSING")</f>
        <v>0</v>
      </c>
      <c r="CU88" s="5">
        <f>MIN(100,
  CR88*15
  + CS88*6
  + CT88*3
  + IFERROR(_xlfn.XLOOKUP(CW88,'Lookup Tables'!$M$21:$M$25,'Lookup Tables'!$N$21:$N$25,0),0)
)</f>
        <v>0</v>
      </c>
      <c r="CV88" s="5" t="str">
        <f t="shared" ref="CV88:CV106" si="80">IFERROR(
CHOOSE(
MATCH("FAIL",CJ88:CQ88,0),
"1-Specificity","2-Metric","3-Baseline","4-Target",
"5-Time Horizon","6-Scope","7-Verification","8-Consistency"
),
IFERROR(
CHOOSE(
MATCH("PARTIAL",CJ88:CQ88,0),
"1-Specificity","2-Metric","3-Baseline","4-Target",
"5-Time Horizon","6-Scope","7-Verification","8-Consistency"
),
"No failures"
)
)</f>
        <v>No failures</v>
      </c>
      <c r="CW88" s="5"/>
      <c r="CX88" s="5"/>
      <c r="CY88" s="5"/>
      <c r="CZ88" s="5"/>
      <c r="DA88" s="5" t="str">
        <f t="shared" ref="DA88:DA106" si="81">IF(OR(CU88&gt;=50,CW88="Material",CW88="Severe",AS88="Material",AS88="Severe",BF88="Material",BF88="Severe — Exclusion Trigger",AND(ISNUMBER(BS88),BS88&lt;30)),"Yes","No")</f>
        <v>Yes</v>
      </c>
      <c r="DB88" s="5" t="str">
        <f t="shared" ref="DB88:DB106" si="82">IF(OR(CR88&gt;=6,AW88="Confirmed Violation",AX88="Confirmed Breach"),"Yes — Automatic",IF(CW88="Severe","Yes — Requires Captain Confirmation","No"))</f>
        <v>No</v>
      </c>
      <c r="DC88" s="5"/>
      <c r="DD88" s="5"/>
      <c r="DE88" s="5"/>
      <c r="DF88" s="5"/>
      <c r="DG88" s="5"/>
      <c r="DH88" s="5"/>
      <c r="DI88" s="5"/>
      <c r="DJ88" s="5"/>
      <c r="DK88" s="5"/>
      <c r="DL88" s="5" t="str">
        <f t="shared" ref="DL88:DL106" si="83">IF(OR(IFERROR(VALUE(LEFT(DF88,1)),99)&lt;=2,IFERROR(VALUE(LEFT(DG88,1)),99)&lt;=2),"Flagged","Clear")</f>
        <v>Clear</v>
      </c>
      <c r="DM88" s="5" t="str">
        <f t="shared" ref="DM88:DM106" si="84">IF(OR(DA88="Yes",DB88&lt;&gt;"No",DH88="Unverified",DL88="Flagged"),"Yes","No")</f>
        <v>Yes</v>
      </c>
      <c r="DN88" s="5">
        <f t="array" ref="DN88">MIN(100,
  IF(ISNUMBER(V88), _xlfn.IFS(V88&gt;=3,25, V88=2,15, V88=1,5, TRUE,0), 0)
  + IFERROR(_xlfn.IFS(VALUE(LEFT(DF88,1))=5,25, VALUE(LEFT(DF88,1))=4,20, VALUE(LEFT(DF88,1))=3,15, VALUE(LEFT(DF88,1))=2,8, TRUE,0), 15)
  + IFERROR(_xlfn.IFS(VALUE(LEFT(DG88,1))=5,25, VALUE(LEFT(DG88,1))=4,20, VALUE(LEFT(DG88,1))=3,15, VALUE(LEFT(DG88,1))=2,8, TRUE,0), 15)
  + _xlfn.IFS(DH88="Fully Verified",25, DH88="Partially Verified",12, TRUE,0)
)</f>
        <v>30</v>
      </c>
      <c r="DO88" s="5" t="str">
        <f t="array" ref="DO88">_xlfn.IFS(
  ISBLANK(AR88), "Insufficient Evidence",
  AND(AR88&gt;=65, AJ88="Approved"), "Strong",
  AR88&gt;=65, "Adequate",
  AR88&gt;=40, "Adequate",
  AR88&gt;=20, "Weak",
  TRUE, "Insufficient Evidence"
)</f>
        <v>Insufficient Evidence</v>
      </c>
      <c r="DP88" s="5" t="str">
        <f t="array" ref="DP88">_xlfn.IFS(
  ISBLANK(BS88), "Insufficient Evidence",
  BS88&gt;=65, "Strong",
  BS88&gt;=40, "Adequate",
  BS88&gt;=20, "Weak",
  TRUE, "Insufficient Evidence"
)</f>
        <v>Insufficient Evidence</v>
      </c>
      <c r="DQ88" s="5" t="str">
        <f t="array" ref="DQ88">_xlfn.IFS(
  ISBLANK(BE88), "Insufficient Evidence",
  OR(AW88="Confirmed Violation", AX88="Confirmed Breach"), "Severe — Hard Trigger",
  BE88&gt;=65, "Strong",
  BE88&gt;=40, "Adequate",
  BE88&gt;=20, "Weak",
  TRUE, "Insufficient Evidence"
)</f>
        <v>Insufficient Evidence</v>
      </c>
      <c r="DR88" s="5" t="str">
        <f t="array" ref="DR88">_xlfn.IFS(
  ISBLANK(CU88), "Insufficient Evidence",
  CU88&lt;=20, "Low Risk",
  CU88&lt;=50, "Moderate Risk",
  CU88&lt;=75, "High Risk",
  TRUE, "Very High Risk"
)</f>
        <v>Low Risk</v>
      </c>
      <c r="DS88" s="5" t="str">
        <f t="array" ref="DS88">_xlfn.IFS(
  ISBLANK(CE88), "Insufficient Evidence",
  AND(ISNUMBER(BW88),ISNUMBER(BV88),BW88&gt;BV88), "Overclaiming Risk",
  CE88&gt;=65, "Strong",
  CE88&gt;=40, "Adequate",
  TRUE, "Weak"
)</f>
        <v>Weak</v>
      </c>
      <c r="DT88" s="5">
        <f t="shared" ref="DT88:DT106" si="85">IF(DB88="Yes — Automatic",0,ROUND((IF(ISNUMBER(AR88),AR88,0)*0.3+IF(ISNUMBER(BS88),BS88,0)*0.2+IF(ISNUMBER(BE88),BE88,0)*0.2+IF(ISNUMBER(CE88),CE88,0)*0.15+(100-IF(ISNUMBER(CU88),CU88,50))*0.15)*IF(DN88&gt;=75,1,IF(DN88&gt;=50,0.9,IF(DN88&gt;=25,0.75,0.6))),1))</f>
        <v>11.7</v>
      </c>
      <c r="DU88" s="5" t="str">
        <f t="array" ref="DU88">_xlfn.IFS(
  DV88="Upgraded to Clear", "Clear",
  DV88="Downgraded to Watchlist", "Watchlist",
  DV88="Downgraded to Exclusion", "Exclusion Risk",
  DB88="Yes — Automatic", "Exclusion Risk",
  OR(AW88="Confirmed Violation", AX88="Confirmed Breach"), "Exclusion Risk",
  OR(V88=0, ISBLANK(V88), DN88&lt;20), "Insufficient Evidence",
  AND(DT88&gt;=65, DA88="No", DB88="No"), "Clear",
  OR(DT88&gt;=40, DA88="Yes"), "Watchlist",
  TRUE, "Exclusion Risk"
)</f>
        <v>Insufficient Evidence</v>
      </c>
      <c r="DV88" s="5"/>
      <c r="DW88" s="5" t="str">
        <f t="array" ref="DW88">_xlfn.IFS(
  DU88="Exclusion Risk", "Exclude — Hard Trigger",
  DU88="Insufficient Evidence", "Watchlist — Further Evidence Needed",
  DU88="Watchlist", "Watchlist — Further Evidence Needed",
  AND(DU88="Clear", DT88&gt;=80), "Include — No Conditions",
  DU88="Clear", "Include — Monitor",
  TRUE, "Watchlist — Further Evidence Needed"
)</f>
        <v>Watchlist — Further Evidence Needed</v>
      </c>
      <c r="DX88" s="5"/>
      <c r="DY88" s="5"/>
      <c r="DZ88" s="5"/>
      <c r="EA88" s="5"/>
      <c r="EB88" s="5" t="str">
        <f t="shared" ref="EB88:EB106" si="86">IF(OR(V88=0, ISBLANK(V88)), "MISSING — No sources reviewed", "")</f>
        <v>MISSING — No sources reviewed</v>
      </c>
      <c r="EC88" s="5" t="str">
        <f t="shared" ref="EC88:EC106" si="87">IF(AND(NOT(ISBLANK(DC88)), ISBLANK(DE88)), "PAGE REF MISSING", "")</f>
        <v/>
      </c>
    </row>
    <row r="89" spans="1:133" ht="18" customHeight="1" x14ac:dyDescent="0.15">
      <c r="A89" s="3" t="s">
        <v>547</v>
      </c>
      <c r="B89" s="3" t="s">
        <v>548</v>
      </c>
      <c r="C89" s="3" t="str">
        <f>IF(ISBLANK('Universe Tracker'!D64),"",'Universe Tracker'!D64)</f>
        <v>SE0000667891</v>
      </c>
      <c r="D89" s="3"/>
      <c r="E89" s="3"/>
      <c r="F89" s="3" t="str">
        <f>IF(ISBLANK('Universe Tracker'!F64),"",'Universe Tracker'!F64)</f>
        <v>Industrials</v>
      </c>
      <c r="G89" s="3" t="str">
        <f>IF(ISBLANK('Universe Tracker'!G64),"",'Universe Tracker'!G64)</f>
        <v>Industrial Products</v>
      </c>
      <c r="H89" s="3"/>
      <c r="I89" s="3"/>
      <c r="J89" s="3" t="str">
        <f t="shared" si="75"/>
        <v>SVKB_SE0000667891</v>
      </c>
      <c r="K89" s="3"/>
      <c r="L89" s="3"/>
      <c r="M89" s="3"/>
      <c r="N89" s="3"/>
      <c r="O89" s="3"/>
      <c r="P89" s="3"/>
      <c r="Q89" s="3"/>
      <c r="R89" s="3"/>
      <c r="S89" s="3"/>
      <c r="T89" s="3"/>
      <c r="U89" s="3"/>
      <c r="V89" s="3"/>
      <c r="W89" s="3"/>
      <c r="X89" s="3"/>
      <c r="Y89" s="3" t="str">
        <f t="shared" si="76"/>
        <v>Insufficient</v>
      </c>
      <c r="Z89" s="3"/>
      <c r="AA89" s="3"/>
      <c r="AB89" s="3"/>
      <c r="AC89" s="3"/>
      <c r="AD89" s="3"/>
      <c r="AE89" s="3"/>
      <c r="AF89" s="3"/>
      <c r="AG89" s="3"/>
      <c r="AH89" s="3"/>
      <c r="AI89" s="3"/>
      <c r="AJ89" s="3"/>
      <c r="AK89" s="3"/>
      <c r="AL89" s="3"/>
      <c r="AM89" s="3"/>
      <c r="AN89" s="3"/>
      <c r="AO89" s="3"/>
      <c r="AP89" s="3"/>
      <c r="AQ89" s="3"/>
      <c r="AR89" s="40">
        <f t="array" ref="AR89">MIN(100, MAX(0,
  IFERROR(_xlfn.XLOOKUP(AJ89,'Lookup Tables'!$A$2:$A$7,'Lookup Tables'!$B$2:$B$7,0),0)
  + IF(Z89="Yes", IF(IFERROR(_xlfn.XLOOKUP(AJ89,'Lookup Tables'!$A$2:$A$7,'Lookup Tables'!$B$2:$B$7,0),0)&lt;20, 5, 0), 0)
  + _xlfn.IFS(AB89="Yes", IF(ISNUMBER(AC89)*AND(AC89&lt;=2030),15,10), AB89="Long-term Only", 5, AB89="No", 0, TRUE, 0)
  + _xlfn.IFS(AF89="Full",10, AF89="Partial",5, AF89="Scope 2 Only",3, TRUE,0)
  + _xlfn.IFS(AG89="Yes", IF(ISNUMBER(AH89)*AND(AH89&gt;=5),10,6), AG89="Partial",4, TRUE,0)
  + _xlfn.IFS(AI89="Yes",5, AI89="Partial (material categories only)",3, TRUE,0)
  + _xlfn.IFS(AL89="Yes — Detailed",10, AL89="Yes — High Level",5, TRUE,0)
  + _xlfn.IFS(AM89="Yes — Quantified",15, AM89="Yes — Directional Only",7, TRUE,0)
  + _xlfn.IFS(AP89="Formal",5, AP89="Referenced",2, TRUE,0)
  + _xlfn.IFS(AQ89="No Issues Found",5, AQ89="Concern Identified",-5, AQ89="Severe Contradiction",-15, TRUE,0)
  + _xlfn.IFS(BC89="Reasonable Assurance",5, BC89="Limited Assurance",3, TRUE,0)
  - IF(AND(Z89="Yes", AI89="No"), 10, 0)
  - IF(AND(Z89="Yes", AM89="No"), 10, 0)
))</f>
        <v>0</v>
      </c>
      <c r="AS89" s="3"/>
      <c r="AT89" s="3"/>
      <c r="AU89" s="3"/>
      <c r="AV89" s="3"/>
      <c r="AW89" s="3"/>
      <c r="AX89" s="3"/>
      <c r="AY89" s="3"/>
      <c r="AZ89" s="3"/>
      <c r="BA89" s="3"/>
      <c r="BB89" s="3"/>
      <c r="BC89" s="3"/>
      <c r="BD89" s="3"/>
      <c r="BE89" s="40">
        <f t="array" ref="BE89">MIN(100, MAX(0,
  IFERROR(_xlfn.XLOOKUP(AT89,'Lookup Tables'!$D$2:$D$6,'Lookup Tables'!$E$2:$E$6,0),0)
  + IFERROR(_xlfn.XLOOKUP(AV89,'Lookup Tables'!$G$2:$G$5,'Lookup Tables'!$H$2:$H$5,0),0)
  + IFERROR(_xlfn.XLOOKUP(AW89,'Lookup Tables'!$J$2:$J$5,'Lookup Tables'!$K$2:$K$5,0),0)
  + _xlfn.IFS(AX89="No Issues",10, AX89="Complaint Filed",3, AX89="Confirmed Breach",-15, TRUE,0)
  + IFERROR(_xlfn.XLOOKUP(AY89,'Lookup Tables'!$M$2:$M$6,'Lookup Tables'!$N$2:$N$6,0),0)
  + IFERROR(_xlfn.XLOOKUP(AZ89,'Lookup Tables'!$P$2:$P$6,'Lookup Tables'!$Q$2:$Q$6,0),0)
  + _xlfn.IFS(BA89="Formal Board Committee",5, BA89="Board Oversight Mentioned",2, TRUE,0)
  + _xlfn.IFS(BB89="Yes — Quantified Targets",5, BB89="Yes — Discretionary Only",2, TRUE,0)
  + _xlfn.IFS(BC89="Reasonable Assurance",5, BC89="Limited Assurance",3, BC89="Management Review Only",1, TRUE,0)
))</f>
        <v>0</v>
      </c>
      <c r="BF89" s="3"/>
      <c r="BG89" s="3"/>
      <c r="BH89" s="3"/>
      <c r="BI89" s="3"/>
      <c r="BJ89" s="3"/>
      <c r="BK89" s="3"/>
      <c r="BL89" s="3"/>
      <c r="BM89" s="3"/>
      <c r="BN89" s="3"/>
      <c r="BO89" s="3"/>
      <c r="BP89" s="3"/>
      <c r="BQ89" s="3"/>
      <c r="BR89" s="3"/>
      <c r="BS89" s="42">
        <f t="array" ref="BS89">MIN(100, MAX(0,
  IFERROR(_xlfn.XLOOKUP(BG89,'Lookup Tables'!$A$11:$A$16,'Lookup Tables'!$B$11:$B$16,0),0)
  + IFERROR(_xlfn.XLOOKUP(BR89,'Lookup Tables'!$M$11:$M$14,'Lookup Tables'!$N$11:$N$14,0),0)
  + IFERROR(_xlfn.XLOOKUP(BQ89,'Lookup Tables'!$J$11:$J$15,'Lookup Tables'!$K$11:$K$15,0),0)
  + IFERROR(_xlfn.XLOOKUP(BH89,'Lookup Tables'!$D$11:$D$15,'Lookup Tables'!$E$11:$E$15,0),0)
  + IFERROR(_xlfn.XLOOKUP(BJ89,'Lookup Tables'!$G$11:$G$16,'Lookup Tables'!$H$11:$H$16,0),0)
  + IFERROR(_xlfn.XLOOKUP(BN89,'Lookup Tables'!$P$11:$P$15,'Lookup Tables'!$Q$11:$Q$15,0),0)
  + _xlfn.IFS(BM89="No Evidence",10, BM89="Unknown",3, BM89="Likely",0, BM89="Confirmed",-10, TRUE,3)
  + IFERROR(_xlfn.XLOOKUP(BP89,'Lookup Tables'!$J$21:$J$24,'Lookup Tables'!$K$21:$K$24,0),0)
))</f>
        <v>3</v>
      </c>
      <c r="BT89" s="3"/>
      <c r="BU89" s="3"/>
      <c r="BV89" s="3"/>
      <c r="BW89" s="3"/>
      <c r="BX89" s="3"/>
      <c r="BY89" s="3"/>
      <c r="BZ89" s="3"/>
      <c r="CA89" s="3"/>
      <c r="CB89" s="3"/>
      <c r="CC89" s="3"/>
      <c r="CD89" s="3"/>
      <c r="CE89" s="44">
        <f t="array" ref="CE89">MIN(100, MAX(0,
  IF(ISNUMBER(BV89)*AND(BV89&gt;0), 10, 0)
  + _xlfn.IFS(BY89="Independently Verified",25, BY89="Yes",15, TRUE,0)
  + IFERROR(_xlfn.XLOOKUP(BZ89,'Lookup Tables'!$A$21:$A$24,'Lookup Tables'!$B$21:$B$24,0),0)
  + IFERROR(_xlfn.XLOOKUP(CA89,'Lookup Tables'!$D$21:$D$24,'Lookup Tables'!$E$21:$E$24,0),0)
  + _xlfn.IFS(ISNUMBER(CB89)*AND(CB89&gt;=11),15, ISNUMBER(CB89)*AND(CB89&gt;=6),10, ISNUMBER(CB89)*AND(CB89&gt;=1),5, TRUE,0)
  + IFERROR(_xlfn.XLOOKUP(CC89,'Lookup Tables'!$G$21:$G$25,'Lookup Tables'!$H$21:$H$25,0),0)
  - IF(ISNUMBER(BW89)*AND(ISNUMBER(BV89))*AND(BW89&gt;BV89), 20, 0)
  - IF(AND(BY89="Yes", ISNUMBER(BW89), BW89&gt;60), 10, 0)
))</f>
        <v>0</v>
      </c>
      <c r="CF89" s="3"/>
      <c r="CG89" s="3"/>
      <c r="CH89" s="3"/>
      <c r="CI89" s="3"/>
      <c r="CJ89" s="3"/>
      <c r="CK89" s="3"/>
      <c r="CL89" s="3"/>
      <c r="CM89" s="3"/>
      <c r="CN89" s="3"/>
      <c r="CO89" s="3"/>
      <c r="CP89" s="3"/>
      <c r="CQ89" s="3"/>
      <c r="CR89" s="3">
        <f t="shared" si="77"/>
        <v>0</v>
      </c>
      <c r="CS89" s="3">
        <f t="shared" si="78"/>
        <v>0</v>
      </c>
      <c r="CT89" s="3">
        <f t="shared" si="79"/>
        <v>0</v>
      </c>
      <c r="CU89" s="3">
        <f>MIN(100,
  CR89*15
  + CS89*6
  + CT89*3
  + IFERROR(_xlfn.XLOOKUP(CW89,'Lookup Tables'!$M$21:$M$25,'Lookup Tables'!$N$21:$N$25,0),0)
)</f>
        <v>0</v>
      </c>
      <c r="CV89" s="3" t="str">
        <f t="shared" si="80"/>
        <v>No failures</v>
      </c>
      <c r="CW89" s="3"/>
      <c r="CX89" s="3"/>
      <c r="CY89" s="3"/>
      <c r="CZ89" s="3"/>
      <c r="DA89" s="3" t="str">
        <f t="shared" si="81"/>
        <v>Yes</v>
      </c>
      <c r="DB89" s="3" t="str">
        <f t="shared" si="82"/>
        <v>No</v>
      </c>
      <c r="DC89" s="3"/>
      <c r="DD89" s="3"/>
      <c r="DE89" s="3"/>
      <c r="DF89" s="3"/>
      <c r="DG89" s="3"/>
      <c r="DH89" s="3"/>
      <c r="DI89" s="3"/>
      <c r="DJ89" s="3"/>
      <c r="DK89" s="3"/>
      <c r="DL89" s="3" t="str">
        <f t="shared" si="83"/>
        <v>Clear</v>
      </c>
      <c r="DM89" s="3" t="str">
        <f t="shared" si="84"/>
        <v>Yes</v>
      </c>
      <c r="DN89" s="3">
        <f t="array" ref="DN89">MIN(100,
  IF(ISNUMBER(V89), _xlfn.IFS(V89&gt;=3,25, V89=2,15, V89=1,5, TRUE,0), 0)
  + IFERROR(_xlfn.IFS(VALUE(LEFT(DF89,1))=5,25, VALUE(LEFT(DF89,1))=4,20, VALUE(LEFT(DF89,1))=3,15, VALUE(LEFT(DF89,1))=2,8, TRUE,0), 15)
  + IFERROR(_xlfn.IFS(VALUE(LEFT(DG89,1))=5,25, VALUE(LEFT(DG89,1))=4,20, VALUE(LEFT(DG89,1))=3,15, VALUE(LEFT(DG89,1))=2,8, TRUE,0), 15)
  + _xlfn.IFS(DH89="Fully Verified",25, DH89="Partially Verified",12, TRUE,0)
)</f>
        <v>30</v>
      </c>
      <c r="DO89" s="3" t="str">
        <f t="array" ref="DO89">_xlfn.IFS(
  ISBLANK(AR89), "Insufficient Evidence",
  AND(AR89&gt;=65, AJ89="Approved"), "Strong",
  AR89&gt;=65, "Adequate",
  AR89&gt;=40, "Adequate",
  AR89&gt;=20, "Weak",
  TRUE, "Insufficient Evidence"
)</f>
        <v>Insufficient Evidence</v>
      </c>
      <c r="DP89" s="3" t="str">
        <f t="array" ref="DP89">_xlfn.IFS(
  ISBLANK(BS89), "Insufficient Evidence",
  BS89&gt;=65, "Strong",
  BS89&gt;=40, "Adequate",
  BS89&gt;=20, "Weak",
  TRUE, "Insufficient Evidence"
)</f>
        <v>Insufficient Evidence</v>
      </c>
      <c r="DQ89" s="3" t="str">
        <f t="array" ref="DQ89">_xlfn.IFS(
  ISBLANK(BE89), "Insufficient Evidence",
  OR(AW89="Confirmed Violation", AX89="Confirmed Breach"), "Severe — Hard Trigger",
  BE89&gt;=65, "Strong",
  BE89&gt;=40, "Adequate",
  BE89&gt;=20, "Weak",
  TRUE, "Insufficient Evidence"
)</f>
        <v>Insufficient Evidence</v>
      </c>
      <c r="DR89" s="3" t="str">
        <f t="array" ref="DR89">_xlfn.IFS(
  ISBLANK(CU89), "Insufficient Evidence",
  CU89&lt;=20, "Low Risk",
  CU89&lt;=50, "Moderate Risk",
  CU89&lt;=75, "High Risk",
  TRUE, "Very High Risk"
)</f>
        <v>Low Risk</v>
      </c>
      <c r="DS89" s="3" t="str">
        <f t="array" ref="DS89">_xlfn.IFS(
  ISBLANK(CE89), "Insufficient Evidence",
  AND(ISNUMBER(BW89),ISNUMBER(BV89),BW89&gt;BV89), "Overclaiming Risk",
  CE89&gt;=65, "Strong",
  CE89&gt;=40, "Adequate",
  TRUE, "Weak"
)</f>
        <v>Weak</v>
      </c>
      <c r="DT89" s="3">
        <f t="shared" si="85"/>
        <v>11.7</v>
      </c>
      <c r="DU89" s="3" t="str">
        <f t="array" ref="DU89">_xlfn.IFS(
  DV89="Upgraded to Clear", "Clear",
  DV89="Downgraded to Watchlist", "Watchlist",
  DV89="Downgraded to Exclusion", "Exclusion Risk",
  DB89="Yes — Automatic", "Exclusion Risk",
  OR(AW89="Confirmed Violation", AX89="Confirmed Breach"), "Exclusion Risk",
  OR(V89=0, ISBLANK(V89), DN89&lt;20), "Insufficient Evidence",
  AND(DT89&gt;=65, DA89="No", DB89="No"), "Clear",
  OR(DT89&gt;=40, DA89="Yes"), "Watchlist",
  TRUE, "Exclusion Risk"
)</f>
        <v>Insufficient Evidence</v>
      </c>
      <c r="DV89" s="3"/>
      <c r="DW89" s="3" t="str">
        <f t="array" ref="DW89">_xlfn.IFS(
  DU89="Exclusion Risk", "Exclude — Hard Trigger",
  DU89="Insufficient Evidence", "Watchlist — Further Evidence Needed",
  DU89="Watchlist", "Watchlist — Further Evidence Needed",
  AND(DU89="Clear", DT89&gt;=80), "Include — No Conditions",
  DU89="Clear", "Include — Monitor",
  TRUE, "Watchlist — Further Evidence Needed"
)</f>
        <v>Watchlist — Further Evidence Needed</v>
      </c>
      <c r="DX89" s="3"/>
      <c r="DY89" s="3"/>
      <c r="DZ89" s="3"/>
      <c r="EA89" s="3"/>
      <c r="EB89" s="3" t="str">
        <f t="shared" si="86"/>
        <v>MISSING — No sources reviewed</v>
      </c>
      <c r="EC89" s="3" t="str">
        <f t="shared" si="87"/>
        <v/>
      </c>
    </row>
    <row r="90" spans="1:133" ht="18" customHeight="1" x14ac:dyDescent="0.15">
      <c r="A90" s="5" t="s">
        <v>551</v>
      </c>
      <c r="B90" s="5" t="s">
        <v>552</v>
      </c>
      <c r="C90" s="5" t="str">
        <f>IF(ISBLANK('Universe Tracker'!D65),"",'Universe Tracker'!D65)</f>
        <v>CH0011075394</v>
      </c>
      <c r="D90" s="5"/>
      <c r="E90" s="5"/>
      <c r="F90" s="5" t="str">
        <f>IF(ISBLANK('Universe Tracker'!F65),"",'Universe Tracker'!F65)</f>
        <v>Financials</v>
      </c>
      <c r="G90" s="5" t="str">
        <f>IF(ISBLANK('Universe Tracker'!G65),"",'Universe Tracker'!G65)</f>
        <v>Insurance</v>
      </c>
      <c r="H90" s="5"/>
      <c r="I90" s="5"/>
      <c r="J90" s="5" t="str">
        <f t="shared" si="75"/>
        <v>ZFIN_CH0011075394</v>
      </c>
      <c r="K90" s="5"/>
      <c r="L90" s="5"/>
      <c r="M90" s="5"/>
      <c r="N90" s="5"/>
      <c r="O90" s="5"/>
      <c r="P90" s="5"/>
      <c r="Q90" s="5"/>
      <c r="R90" s="5"/>
      <c r="S90" s="5"/>
      <c r="T90" s="5"/>
      <c r="U90" s="5"/>
      <c r="V90" s="5"/>
      <c r="W90" s="5"/>
      <c r="X90" s="5"/>
      <c r="Y90" s="5" t="str">
        <f t="shared" si="76"/>
        <v>Insufficient</v>
      </c>
      <c r="Z90" s="5"/>
      <c r="AA90" s="5"/>
      <c r="AB90" s="5"/>
      <c r="AC90" s="5"/>
      <c r="AD90" s="5"/>
      <c r="AE90" s="5"/>
      <c r="AF90" s="5"/>
      <c r="AG90" s="5"/>
      <c r="AH90" s="5"/>
      <c r="AI90" s="5"/>
      <c r="AJ90" s="5"/>
      <c r="AK90" s="5"/>
      <c r="AL90" s="5"/>
      <c r="AM90" s="5"/>
      <c r="AN90" s="5"/>
      <c r="AO90" s="5"/>
      <c r="AP90" s="5"/>
      <c r="AQ90" s="5"/>
      <c r="AR90" s="40">
        <f t="array" ref="AR90">MIN(100, MAX(0,
  IFERROR(_xlfn.XLOOKUP(AJ90,'Lookup Tables'!$A$2:$A$7,'Lookup Tables'!$B$2:$B$7,0),0)
  + IF(Z90="Yes", IF(IFERROR(_xlfn.XLOOKUP(AJ90,'Lookup Tables'!$A$2:$A$7,'Lookup Tables'!$B$2:$B$7,0),0)&lt;20, 5, 0), 0)
  + _xlfn.IFS(AB90="Yes", IF(ISNUMBER(AC90)*AND(AC90&lt;=2030),15,10), AB90="Long-term Only", 5, AB90="No", 0, TRUE, 0)
  + _xlfn.IFS(AF90="Full",10, AF90="Partial",5, AF90="Scope 2 Only",3, TRUE,0)
  + _xlfn.IFS(AG90="Yes", IF(ISNUMBER(AH90)*AND(AH90&gt;=5),10,6), AG90="Partial",4, TRUE,0)
  + _xlfn.IFS(AI90="Yes",5, AI90="Partial (material categories only)",3, TRUE,0)
  + _xlfn.IFS(AL90="Yes — Detailed",10, AL90="Yes — High Level",5, TRUE,0)
  + _xlfn.IFS(AM90="Yes — Quantified",15, AM90="Yes — Directional Only",7, TRUE,0)
  + _xlfn.IFS(AP90="Formal",5, AP90="Referenced",2, TRUE,0)
  + _xlfn.IFS(AQ90="No Issues Found",5, AQ90="Concern Identified",-5, AQ90="Severe Contradiction",-15, TRUE,0)
  + _xlfn.IFS(BC90="Reasonable Assurance",5, BC90="Limited Assurance",3, TRUE,0)
  - IF(AND(Z90="Yes", AI90="No"), 10, 0)
  - IF(AND(Z90="Yes", AM90="No"), 10, 0)
))</f>
        <v>0</v>
      </c>
      <c r="AS90" s="5"/>
      <c r="AT90" s="5"/>
      <c r="AU90" s="5"/>
      <c r="AV90" s="5"/>
      <c r="AW90" s="5"/>
      <c r="AX90" s="5"/>
      <c r="AY90" s="5"/>
      <c r="AZ90" s="5"/>
      <c r="BA90" s="5"/>
      <c r="BB90" s="5"/>
      <c r="BC90" s="5"/>
      <c r="BD90" s="5"/>
      <c r="BE90" s="39">
        <f t="array" ref="BE90">MIN(100, MAX(0,
  IFERROR(_xlfn.XLOOKUP(AT90,'Lookup Tables'!$D$2:$D$6,'Lookup Tables'!$E$2:$E$6,0),0)
  + IFERROR(_xlfn.XLOOKUP(AV90,'Lookup Tables'!$G$2:$G$5,'Lookup Tables'!$H$2:$H$5,0),0)
  + IFERROR(_xlfn.XLOOKUP(AW90,'Lookup Tables'!$J$2:$J$5,'Lookup Tables'!$K$2:$K$5,0),0)
  + _xlfn.IFS(AX90="No Issues",10, AX90="Complaint Filed",3, AX90="Confirmed Breach",-15, TRUE,0)
  + IFERROR(_xlfn.XLOOKUP(AY90,'Lookup Tables'!$M$2:$M$6,'Lookup Tables'!$N$2:$N$6,0),0)
  + IFERROR(_xlfn.XLOOKUP(AZ90,'Lookup Tables'!$P$2:$P$6,'Lookup Tables'!$Q$2:$Q$6,0),0)
  + _xlfn.IFS(BA90="Formal Board Committee",5, BA90="Board Oversight Mentioned",2, TRUE,0)
  + _xlfn.IFS(BB90="Yes — Quantified Targets",5, BB90="Yes — Discretionary Only",2, TRUE,0)
  + _xlfn.IFS(BC90="Reasonable Assurance",5, BC90="Limited Assurance",3, BC90="Management Review Only",1, TRUE,0)
))</f>
        <v>0</v>
      </c>
      <c r="BF90" s="5"/>
      <c r="BG90" s="5"/>
      <c r="BH90" s="5"/>
      <c r="BI90" s="5"/>
      <c r="BJ90" s="5"/>
      <c r="BK90" s="5"/>
      <c r="BL90" s="5"/>
      <c r="BM90" s="5"/>
      <c r="BN90" s="5"/>
      <c r="BO90" s="5"/>
      <c r="BP90" s="5"/>
      <c r="BQ90" s="5"/>
      <c r="BR90" s="5"/>
      <c r="BS90" s="41">
        <f t="array" ref="BS90">MIN(100, MAX(0,
  IFERROR(_xlfn.XLOOKUP(BG90,'Lookup Tables'!$A$11:$A$16,'Lookup Tables'!$B$11:$B$16,0),0)
  + IFERROR(_xlfn.XLOOKUP(BR90,'Lookup Tables'!$M$11:$M$14,'Lookup Tables'!$N$11:$N$14,0),0)
  + IFERROR(_xlfn.XLOOKUP(BQ90,'Lookup Tables'!$J$11:$J$15,'Lookup Tables'!$K$11:$K$15,0),0)
  + IFERROR(_xlfn.XLOOKUP(BH90,'Lookup Tables'!$D$11:$D$15,'Lookup Tables'!$E$11:$E$15,0),0)
  + IFERROR(_xlfn.XLOOKUP(BJ90,'Lookup Tables'!$G$11:$G$16,'Lookup Tables'!$H$11:$H$16,0),0)
  + IFERROR(_xlfn.XLOOKUP(BN90,'Lookup Tables'!$P$11:$P$15,'Lookup Tables'!$Q$11:$Q$15,0),0)
  + _xlfn.IFS(BM90="No Evidence",10, BM90="Unknown",3, BM90="Likely",0, BM90="Confirmed",-10, TRUE,3)
  + IFERROR(_xlfn.XLOOKUP(BP90,'Lookup Tables'!$J$21:$J$24,'Lookup Tables'!$K$21:$K$24,0),0)
))</f>
        <v>3</v>
      </c>
      <c r="BT90" s="5"/>
      <c r="BU90" s="5"/>
      <c r="BV90" s="5"/>
      <c r="BW90" s="5"/>
      <c r="BX90" s="5"/>
      <c r="BY90" s="5"/>
      <c r="BZ90" s="5"/>
      <c r="CA90" s="5"/>
      <c r="CB90" s="5"/>
      <c r="CC90" s="5"/>
      <c r="CD90" s="5"/>
      <c r="CE90" s="43">
        <f t="array" ref="CE90">MIN(100, MAX(0,
  IF(ISNUMBER(BV90)*AND(BV90&gt;0), 10, 0)
  + _xlfn.IFS(BY90="Independently Verified",25, BY90="Yes",15, TRUE,0)
  + IFERROR(_xlfn.XLOOKUP(BZ90,'Lookup Tables'!$A$21:$A$24,'Lookup Tables'!$B$21:$B$24,0),0)
  + IFERROR(_xlfn.XLOOKUP(CA90,'Lookup Tables'!$D$21:$D$24,'Lookup Tables'!$E$21:$E$24,0),0)
  + _xlfn.IFS(ISNUMBER(CB90)*AND(CB90&gt;=11),15, ISNUMBER(CB90)*AND(CB90&gt;=6),10, ISNUMBER(CB90)*AND(CB90&gt;=1),5, TRUE,0)
  + IFERROR(_xlfn.XLOOKUP(CC90,'Lookup Tables'!$G$21:$G$25,'Lookup Tables'!$H$21:$H$25,0),0)
  - IF(ISNUMBER(BW90)*AND(ISNUMBER(BV90))*AND(BW90&gt;BV90), 20, 0)
  - IF(AND(BY90="Yes", ISNUMBER(BW90), BW90&gt;60), 10, 0)
))</f>
        <v>0</v>
      </c>
      <c r="CF90" s="5"/>
      <c r="CG90" s="5"/>
      <c r="CH90" s="5"/>
      <c r="CI90" s="5"/>
      <c r="CJ90" s="5"/>
      <c r="CK90" s="5"/>
      <c r="CL90" s="5"/>
      <c r="CM90" s="5"/>
      <c r="CN90" s="5"/>
      <c r="CO90" s="5"/>
      <c r="CP90" s="5"/>
      <c r="CQ90" s="5"/>
      <c r="CR90" s="5">
        <f t="shared" si="77"/>
        <v>0</v>
      </c>
      <c r="CS90" s="5">
        <f t="shared" si="78"/>
        <v>0</v>
      </c>
      <c r="CT90" s="5">
        <f t="shared" si="79"/>
        <v>0</v>
      </c>
      <c r="CU90" s="5">
        <f>MIN(100,
  CR90*15
  + CS90*6
  + CT90*3
  + IFERROR(_xlfn.XLOOKUP(CW90,'Lookup Tables'!$M$21:$M$25,'Lookup Tables'!$N$21:$N$25,0),0)
)</f>
        <v>0</v>
      </c>
      <c r="CV90" s="5" t="str">
        <f t="shared" si="80"/>
        <v>No failures</v>
      </c>
      <c r="CW90" s="5"/>
      <c r="CX90" s="5"/>
      <c r="CY90" s="5"/>
      <c r="CZ90" s="5"/>
      <c r="DA90" s="5" t="str">
        <f t="shared" si="81"/>
        <v>Yes</v>
      </c>
      <c r="DB90" s="5" t="str">
        <f t="shared" si="82"/>
        <v>No</v>
      </c>
      <c r="DC90" s="5"/>
      <c r="DD90" s="5"/>
      <c r="DE90" s="5"/>
      <c r="DF90" s="5"/>
      <c r="DG90" s="5"/>
      <c r="DH90" s="5"/>
      <c r="DI90" s="5"/>
      <c r="DJ90" s="5"/>
      <c r="DK90" s="5"/>
      <c r="DL90" s="5" t="str">
        <f t="shared" si="83"/>
        <v>Clear</v>
      </c>
      <c r="DM90" s="5" t="str">
        <f t="shared" si="84"/>
        <v>Yes</v>
      </c>
      <c r="DN90" s="5">
        <f t="array" ref="DN90">MIN(100,
  IF(ISNUMBER(V90), _xlfn.IFS(V90&gt;=3,25, V90=2,15, V90=1,5, TRUE,0), 0)
  + IFERROR(_xlfn.IFS(VALUE(LEFT(DF90,1))=5,25, VALUE(LEFT(DF90,1))=4,20, VALUE(LEFT(DF90,1))=3,15, VALUE(LEFT(DF90,1))=2,8, TRUE,0), 15)
  + IFERROR(_xlfn.IFS(VALUE(LEFT(DG90,1))=5,25, VALUE(LEFT(DG90,1))=4,20, VALUE(LEFT(DG90,1))=3,15, VALUE(LEFT(DG90,1))=2,8, TRUE,0), 15)
  + _xlfn.IFS(DH90="Fully Verified",25, DH90="Partially Verified",12, TRUE,0)
)</f>
        <v>30</v>
      </c>
      <c r="DO90" s="5" t="str">
        <f t="array" ref="DO90">_xlfn.IFS(
  ISBLANK(AR90), "Insufficient Evidence",
  AND(AR90&gt;=65, AJ90="Approved"), "Strong",
  AR90&gt;=65, "Adequate",
  AR90&gt;=40, "Adequate",
  AR90&gt;=20, "Weak",
  TRUE, "Insufficient Evidence"
)</f>
        <v>Insufficient Evidence</v>
      </c>
      <c r="DP90" s="5" t="str">
        <f t="array" ref="DP90">_xlfn.IFS(
  ISBLANK(BS90), "Insufficient Evidence",
  BS90&gt;=65, "Strong",
  BS90&gt;=40, "Adequate",
  BS90&gt;=20, "Weak",
  TRUE, "Insufficient Evidence"
)</f>
        <v>Insufficient Evidence</v>
      </c>
      <c r="DQ90" s="5" t="str">
        <f t="array" ref="DQ90">_xlfn.IFS(
  ISBLANK(BE90), "Insufficient Evidence",
  OR(AW90="Confirmed Violation", AX90="Confirmed Breach"), "Severe — Hard Trigger",
  BE90&gt;=65, "Strong",
  BE90&gt;=40, "Adequate",
  BE90&gt;=20, "Weak",
  TRUE, "Insufficient Evidence"
)</f>
        <v>Insufficient Evidence</v>
      </c>
      <c r="DR90" s="5" t="str">
        <f t="array" ref="DR90">_xlfn.IFS(
  ISBLANK(CU90), "Insufficient Evidence",
  CU90&lt;=20, "Low Risk",
  CU90&lt;=50, "Moderate Risk",
  CU90&lt;=75, "High Risk",
  TRUE, "Very High Risk"
)</f>
        <v>Low Risk</v>
      </c>
      <c r="DS90" s="5" t="str">
        <f t="array" ref="DS90">_xlfn.IFS(
  ISBLANK(CE90), "Insufficient Evidence",
  AND(ISNUMBER(BW90),ISNUMBER(BV90),BW90&gt;BV90), "Overclaiming Risk",
  CE90&gt;=65, "Strong",
  CE90&gt;=40, "Adequate",
  TRUE, "Weak"
)</f>
        <v>Weak</v>
      </c>
      <c r="DT90" s="5">
        <f t="shared" si="85"/>
        <v>11.7</v>
      </c>
      <c r="DU90" s="5" t="str">
        <f t="array" ref="DU90">_xlfn.IFS(
  DV90="Upgraded to Clear", "Clear",
  DV90="Downgraded to Watchlist", "Watchlist",
  DV90="Downgraded to Exclusion", "Exclusion Risk",
  DB90="Yes — Automatic", "Exclusion Risk",
  OR(AW90="Confirmed Violation", AX90="Confirmed Breach"), "Exclusion Risk",
  OR(V90=0, ISBLANK(V90), DN90&lt;20), "Insufficient Evidence",
  AND(DT90&gt;=65, DA90="No", DB90="No"), "Clear",
  OR(DT90&gt;=40, DA90="Yes"), "Watchlist",
  TRUE, "Exclusion Risk"
)</f>
        <v>Insufficient Evidence</v>
      </c>
      <c r="DV90" s="5"/>
      <c r="DW90" s="5" t="str">
        <f t="array" ref="DW90">_xlfn.IFS(
  DU90="Exclusion Risk", "Exclude — Hard Trigger",
  DU90="Insufficient Evidence", "Watchlist — Further Evidence Needed",
  DU90="Watchlist", "Watchlist — Further Evidence Needed",
  AND(DU90="Clear", DT90&gt;=80), "Include — No Conditions",
  DU90="Clear", "Include — Monitor",
  TRUE, "Watchlist — Further Evidence Needed"
)</f>
        <v>Watchlist — Further Evidence Needed</v>
      </c>
      <c r="DX90" s="5"/>
      <c r="DY90" s="5"/>
      <c r="DZ90" s="5"/>
      <c r="EA90" s="5"/>
      <c r="EB90" s="5" t="str">
        <f t="shared" si="86"/>
        <v>MISSING — No sources reviewed</v>
      </c>
      <c r="EC90" s="5" t="str">
        <f t="shared" si="87"/>
        <v/>
      </c>
    </row>
    <row r="91" spans="1:133" ht="18" customHeight="1" x14ac:dyDescent="0.15">
      <c r="A91" s="3" t="s">
        <v>555</v>
      </c>
      <c r="B91" s="3" t="s">
        <v>556</v>
      </c>
      <c r="C91" s="3" t="str">
        <f>IF(ISBLANK('Universe Tracker'!D66),"",'Universe Tracker'!D66)</f>
        <v>NO0012483207</v>
      </c>
      <c r="D91" s="3"/>
      <c r="E91" s="3"/>
      <c r="F91" s="3" t="str">
        <f>IF(ISBLANK('Universe Tracker'!F66),"",'Universe Tracker'!F66)</f>
        <v>Financials</v>
      </c>
      <c r="G91" s="3" t="str">
        <f>IF(ISBLANK('Universe Tracker'!G66),"",'Universe Tracker'!G66)</f>
        <v>Banking</v>
      </c>
      <c r="H91" s="3"/>
      <c r="I91" s="3"/>
      <c r="J91" s="3" t="str">
        <f t="shared" si="75"/>
        <v>K5X_NO0012483207</v>
      </c>
      <c r="K91" s="3"/>
      <c r="L91" s="3"/>
      <c r="M91" s="3"/>
      <c r="N91" s="3"/>
      <c r="O91" s="3"/>
      <c r="P91" s="3"/>
      <c r="Q91" s="3"/>
      <c r="R91" s="3"/>
      <c r="S91" s="3"/>
      <c r="T91" s="3"/>
      <c r="U91" s="3"/>
      <c r="V91" s="3"/>
      <c r="W91" s="3"/>
      <c r="X91" s="3"/>
      <c r="Y91" s="3" t="str">
        <f t="shared" si="76"/>
        <v>Insufficient</v>
      </c>
      <c r="Z91" s="3"/>
      <c r="AA91" s="3"/>
      <c r="AB91" s="3"/>
      <c r="AC91" s="3"/>
      <c r="AD91" s="3"/>
      <c r="AE91" s="3"/>
      <c r="AF91" s="3"/>
      <c r="AG91" s="3"/>
      <c r="AH91" s="3"/>
      <c r="AI91" s="3"/>
      <c r="AJ91" s="3"/>
      <c r="AK91" s="3"/>
      <c r="AL91" s="3"/>
      <c r="AM91" s="3"/>
      <c r="AN91" s="3"/>
      <c r="AO91" s="3"/>
      <c r="AP91" s="3"/>
      <c r="AQ91" s="3"/>
      <c r="AR91" s="40">
        <f t="array" ref="AR91">MIN(100, MAX(0,
  IFERROR(_xlfn.XLOOKUP(AJ91,'Lookup Tables'!$A$2:$A$7,'Lookup Tables'!$B$2:$B$7,0),0)
  + IF(Z91="Yes", IF(IFERROR(_xlfn.XLOOKUP(AJ91,'Lookup Tables'!$A$2:$A$7,'Lookup Tables'!$B$2:$B$7,0),0)&lt;20, 5, 0), 0)
  + _xlfn.IFS(AB91="Yes", IF(ISNUMBER(AC91)*AND(AC91&lt;=2030),15,10), AB91="Long-term Only", 5, AB91="No", 0, TRUE, 0)
  + _xlfn.IFS(AF91="Full",10, AF91="Partial",5, AF91="Scope 2 Only",3, TRUE,0)
  + _xlfn.IFS(AG91="Yes", IF(ISNUMBER(AH91)*AND(AH91&gt;=5),10,6), AG91="Partial",4, TRUE,0)
  + _xlfn.IFS(AI91="Yes",5, AI91="Partial (material categories only)",3, TRUE,0)
  + _xlfn.IFS(AL91="Yes — Detailed",10, AL91="Yes — High Level",5, TRUE,0)
  + _xlfn.IFS(AM91="Yes — Quantified",15, AM91="Yes — Directional Only",7, TRUE,0)
  + _xlfn.IFS(AP91="Formal",5, AP91="Referenced",2, TRUE,0)
  + _xlfn.IFS(AQ91="No Issues Found",5, AQ91="Concern Identified",-5, AQ91="Severe Contradiction",-15, TRUE,0)
  + _xlfn.IFS(BC91="Reasonable Assurance",5, BC91="Limited Assurance",3, TRUE,0)
  - IF(AND(Z91="Yes", AI91="No"), 10, 0)
  - IF(AND(Z91="Yes", AM91="No"), 10, 0)
))</f>
        <v>0</v>
      </c>
      <c r="AS91" s="3"/>
      <c r="AT91" s="3"/>
      <c r="AU91" s="3"/>
      <c r="AV91" s="3"/>
      <c r="AW91" s="3"/>
      <c r="AX91" s="3"/>
      <c r="AY91" s="3"/>
      <c r="AZ91" s="3"/>
      <c r="BA91" s="3"/>
      <c r="BB91" s="3"/>
      <c r="BC91" s="3"/>
      <c r="BD91" s="3"/>
      <c r="BE91" s="40">
        <f t="array" ref="BE91">MIN(100, MAX(0,
  IFERROR(_xlfn.XLOOKUP(AT91,'Lookup Tables'!$D$2:$D$6,'Lookup Tables'!$E$2:$E$6,0),0)
  + IFERROR(_xlfn.XLOOKUP(AV91,'Lookup Tables'!$G$2:$G$5,'Lookup Tables'!$H$2:$H$5,0),0)
  + IFERROR(_xlfn.XLOOKUP(AW91,'Lookup Tables'!$J$2:$J$5,'Lookup Tables'!$K$2:$K$5,0),0)
  + _xlfn.IFS(AX91="No Issues",10, AX91="Complaint Filed",3, AX91="Confirmed Breach",-15, TRUE,0)
  + IFERROR(_xlfn.XLOOKUP(AY91,'Lookup Tables'!$M$2:$M$6,'Lookup Tables'!$N$2:$N$6,0),0)
  + IFERROR(_xlfn.XLOOKUP(AZ91,'Lookup Tables'!$P$2:$P$6,'Lookup Tables'!$Q$2:$Q$6,0),0)
  + _xlfn.IFS(BA91="Formal Board Committee",5, BA91="Board Oversight Mentioned",2, TRUE,0)
  + _xlfn.IFS(BB91="Yes — Quantified Targets",5, BB91="Yes — Discretionary Only",2, TRUE,0)
  + _xlfn.IFS(BC91="Reasonable Assurance",5, BC91="Limited Assurance",3, BC91="Management Review Only",1, TRUE,0)
))</f>
        <v>0</v>
      </c>
      <c r="BF91" s="3"/>
      <c r="BG91" s="3"/>
      <c r="BH91" s="3"/>
      <c r="BI91" s="3"/>
      <c r="BJ91" s="3"/>
      <c r="BK91" s="3"/>
      <c r="BL91" s="3"/>
      <c r="BM91" s="3"/>
      <c r="BN91" s="3"/>
      <c r="BO91" s="3"/>
      <c r="BP91" s="3"/>
      <c r="BQ91" s="3"/>
      <c r="BR91" s="3"/>
      <c r="BS91" s="42">
        <f t="array" ref="BS91">MIN(100, MAX(0,
  IFERROR(_xlfn.XLOOKUP(BG91,'Lookup Tables'!$A$11:$A$16,'Lookup Tables'!$B$11:$B$16,0),0)
  + IFERROR(_xlfn.XLOOKUP(BR91,'Lookup Tables'!$M$11:$M$14,'Lookup Tables'!$N$11:$N$14,0),0)
  + IFERROR(_xlfn.XLOOKUP(BQ91,'Lookup Tables'!$J$11:$J$15,'Lookup Tables'!$K$11:$K$15,0),0)
  + IFERROR(_xlfn.XLOOKUP(BH91,'Lookup Tables'!$D$11:$D$15,'Lookup Tables'!$E$11:$E$15,0),0)
  + IFERROR(_xlfn.XLOOKUP(BJ91,'Lookup Tables'!$G$11:$G$16,'Lookup Tables'!$H$11:$H$16,0),0)
  + IFERROR(_xlfn.XLOOKUP(BN91,'Lookup Tables'!$P$11:$P$15,'Lookup Tables'!$Q$11:$Q$15,0),0)
  + _xlfn.IFS(BM91="No Evidence",10, BM91="Unknown",3, BM91="Likely",0, BM91="Confirmed",-10, TRUE,3)
  + IFERROR(_xlfn.XLOOKUP(BP91,'Lookup Tables'!$J$21:$J$24,'Lookup Tables'!$K$21:$K$24,0),0)
))</f>
        <v>3</v>
      </c>
      <c r="BT91" s="3"/>
      <c r="BU91" s="3"/>
      <c r="BV91" s="3"/>
      <c r="BW91" s="3"/>
      <c r="BX91" s="3"/>
      <c r="BY91" s="3"/>
      <c r="BZ91" s="3"/>
      <c r="CA91" s="3"/>
      <c r="CB91" s="3"/>
      <c r="CC91" s="3"/>
      <c r="CD91" s="3"/>
      <c r="CE91" s="44">
        <f t="array" ref="CE91">MIN(100, MAX(0,
  IF(ISNUMBER(BV91)*AND(BV91&gt;0), 10, 0)
  + _xlfn.IFS(BY91="Independently Verified",25, BY91="Yes",15, TRUE,0)
  + IFERROR(_xlfn.XLOOKUP(BZ91,'Lookup Tables'!$A$21:$A$24,'Lookup Tables'!$B$21:$B$24,0),0)
  + IFERROR(_xlfn.XLOOKUP(CA91,'Lookup Tables'!$D$21:$D$24,'Lookup Tables'!$E$21:$E$24,0),0)
  + _xlfn.IFS(ISNUMBER(CB91)*AND(CB91&gt;=11),15, ISNUMBER(CB91)*AND(CB91&gt;=6),10, ISNUMBER(CB91)*AND(CB91&gt;=1),5, TRUE,0)
  + IFERROR(_xlfn.XLOOKUP(CC91,'Lookup Tables'!$G$21:$G$25,'Lookup Tables'!$H$21:$H$25,0),0)
  - IF(ISNUMBER(BW91)*AND(ISNUMBER(BV91))*AND(BW91&gt;BV91), 20, 0)
  - IF(AND(BY91="Yes", ISNUMBER(BW91), BW91&gt;60), 10, 0)
))</f>
        <v>0</v>
      </c>
      <c r="CF91" s="3"/>
      <c r="CG91" s="3"/>
      <c r="CH91" s="3"/>
      <c r="CI91" s="3"/>
      <c r="CJ91" s="3"/>
      <c r="CK91" s="3"/>
      <c r="CL91" s="3"/>
      <c r="CM91" s="3"/>
      <c r="CN91" s="3"/>
      <c r="CO91" s="3"/>
      <c r="CP91" s="3"/>
      <c r="CQ91" s="3"/>
      <c r="CR91" s="3">
        <f t="shared" si="77"/>
        <v>0</v>
      </c>
      <c r="CS91" s="3">
        <f t="shared" si="78"/>
        <v>0</v>
      </c>
      <c r="CT91" s="3">
        <f t="shared" si="79"/>
        <v>0</v>
      </c>
      <c r="CU91" s="3">
        <f>MIN(100,
  CR91*15
  + CS91*6
  + CT91*3
  + IFERROR(_xlfn.XLOOKUP(CW91,'Lookup Tables'!$M$21:$M$25,'Lookup Tables'!$N$21:$N$25,0),0)
)</f>
        <v>0</v>
      </c>
      <c r="CV91" s="3" t="str">
        <f t="shared" si="80"/>
        <v>No failures</v>
      </c>
      <c r="CW91" s="3"/>
      <c r="CX91" s="3"/>
      <c r="CY91" s="3"/>
      <c r="CZ91" s="3"/>
      <c r="DA91" s="3" t="str">
        <f t="shared" si="81"/>
        <v>Yes</v>
      </c>
      <c r="DB91" s="3" t="str">
        <f t="shared" si="82"/>
        <v>No</v>
      </c>
      <c r="DC91" s="3"/>
      <c r="DD91" s="3"/>
      <c r="DE91" s="3"/>
      <c r="DF91" s="3"/>
      <c r="DG91" s="3"/>
      <c r="DH91" s="3"/>
      <c r="DI91" s="3"/>
      <c r="DJ91" s="3"/>
      <c r="DK91" s="3"/>
      <c r="DL91" s="3" t="str">
        <f t="shared" si="83"/>
        <v>Clear</v>
      </c>
      <c r="DM91" s="3" t="str">
        <f t="shared" si="84"/>
        <v>Yes</v>
      </c>
      <c r="DN91" s="3">
        <f t="array" ref="DN91">MIN(100,
  IF(ISNUMBER(V91), _xlfn.IFS(V91&gt;=3,25, V91=2,15, V91=1,5, TRUE,0), 0)
  + IFERROR(_xlfn.IFS(VALUE(LEFT(DF91,1))=5,25, VALUE(LEFT(DF91,1))=4,20, VALUE(LEFT(DF91,1))=3,15, VALUE(LEFT(DF91,1))=2,8, TRUE,0), 15)
  + IFERROR(_xlfn.IFS(VALUE(LEFT(DG91,1))=5,25, VALUE(LEFT(DG91,1))=4,20, VALUE(LEFT(DG91,1))=3,15, VALUE(LEFT(DG91,1))=2,8, TRUE,0), 15)
  + _xlfn.IFS(DH91="Fully Verified",25, DH91="Partially Verified",12, TRUE,0)
)</f>
        <v>30</v>
      </c>
      <c r="DO91" s="3" t="str">
        <f t="array" ref="DO91">_xlfn.IFS(
  ISBLANK(AR91), "Insufficient Evidence",
  AND(AR91&gt;=65, AJ91="Approved"), "Strong",
  AR91&gt;=65, "Adequate",
  AR91&gt;=40, "Adequate",
  AR91&gt;=20, "Weak",
  TRUE, "Insufficient Evidence"
)</f>
        <v>Insufficient Evidence</v>
      </c>
      <c r="DP91" s="3" t="str">
        <f t="array" ref="DP91">_xlfn.IFS(
  ISBLANK(BS91), "Insufficient Evidence",
  BS91&gt;=65, "Strong",
  BS91&gt;=40, "Adequate",
  BS91&gt;=20, "Weak",
  TRUE, "Insufficient Evidence"
)</f>
        <v>Insufficient Evidence</v>
      </c>
      <c r="DQ91" s="3" t="str">
        <f t="array" ref="DQ91">_xlfn.IFS(
  ISBLANK(BE91), "Insufficient Evidence",
  OR(AW91="Confirmed Violation", AX91="Confirmed Breach"), "Severe — Hard Trigger",
  BE91&gt;=65, "Strong",
  BE91&gt;=40, "Adequate",
  BE91&gt;=20, "Weak",
  TRUE, "Insufficient Evidence"
)</f>
        <v>Insufficient Evidence</v>
      </c>
      <c r="DR91" s="3" t="str">
        <f t="array" ref="DR91">_xlfn.IFS(
  ISBLANK(CU91), "Insufficient Evidence",
  CU91&lt;=20, "Low Risk",
  CU91&lt;=50, "Moderate Risk",
  CU91&lt;=75, "High Risk",
  TRUE, "Very High Risk"
)</f>
        <v>Low Risk</v>
      </c>
      <c r="DS91" s="3" t="str">
        <f t="array" ref="DS91">_xlfn.IFS(
  ISBLANK(CE91), "Insufficient Evidence",
  AND(ISNUMBER(BW91),ISNUMBER(BV91),BW91&gt;BV91), "Overclaiming Risk",
  CE91&gt;=65, "Strong",
  CE91&gt;=40, "Adequate",
  TRUE, "Weak"
)</f>
        <v>Weak</v>
      </c>
      <c r="DT91" s="3">
        <f t="shared" si="85"/>
        <v>11.7</v>
      </c>
      <c r="DU91" s="3" t="str">
        <f t="array" ref="DU91">_xlfn.IFS(
  DV91="Upgraded to Clear", "Clear",
  DV91="Downgraded to Watchlist", "Watchlist",
  DV91="Downgraded to Exclusion", "Exclusion Risk",
  DB91="Yes — Automatic", "Exclusion Risk",
  OR(AW91="Confirmed Violation", AX91="Confirmed Breach"), "Exclusion Risk",
  OR(V91=0, ISBLANK(V91), DN91&lt;20), "Insufficient Evidence",
  AND(DT91&gt;=65, DA91="No", DB91="No"), "Clear",
  OR(DT91&gt;=40, DA91="Yes"), "Watchlist",
  TRUE, "Exclusion Risk"
)</f>
        <v>Insufficient Evidence</v>
      </c>
      <c r="DV91" s="3"/>
      <c r="DW91" s="3" t="str">
        <f t="array" ref="DW91">_xlfn.IFS(
  DU91="Exclusion Risk", "Exclude — Hard Trigger",
  DU91="Insufficient Evidence", "Watchlist — Further Evidence Needed",
  DU91="Watchlist", "Watchlist — Further Evidence Needed",
  AND(DU91="Clear", DT91&gt;=80), "Include — No Conditions",
  DU91="Clear", "Include — Monitor",
  TRUE, "Watchlist — Further Evidence Needed"
)</f>
        <v>Watchlist — Further Evidence Needed</v>
      </c>
      <c r="DX91" s="3"/>
      <c r="DY91" s="3"/>
      <c r="DZ91" s="3"/>
      <c r="EA91" s="3"/>
      <c r="EB91" s="3" t="str">
        <f t="shared" si="86"/>
        <v>MISSING — No sources reviewed</v>
      </c>
      <c r="EC91" s="3" t="str">
        <f t="shared" si="87"/>
        <v/>
      </c>
    </row>
    <row r="92" spans="1:133" ht="18" customHeight="1" x14ac:dyDescent="0.15">
      <c r="A92" s="5" t="s">
        <v>559</v>
      </c>
      <c r="B92" s="5" t="s">
        <v>560</v>
      </c>
      <c r="C92" s="5" t="str">
        <f>IF(ISBLANK('Universe Tracker'!D67),"",'Universe Tracker'!D67)</f>
        <v>BE0003822393</v>
      </c>
      <c r="D92" s="5"/>
      <c r="E92" s="5"/>
      <c r="F92" s="5" t="str">
        <f>IF(ISBLANK('Universe Tracker'!F67),"",'Universe Tracker'!F67)</f>
        <v>Utilities</v>
      </c>
      <c r="G92" s="5" t="str">
        <f>IF(ISBLANK('Universe Tracker'!G67),"",'Universe Tracker'!G67)</f>
        <v>Utilities</v>
      </c>
      <c r="H92" s="5"/>
      <c r="I92" s="5"/>
      <c r="J92" s="5" t="str">
        <f t="shared" si="75"/>
        <v>E4S_BE0003822393</v>
      </c>
      <c r="K92" s="5"/>
      <c r="L92" s="5"/>
      <c r="M92" s="5"/>
      <c r="N92" s="5"/>
      <c r="O92" s="5"/>
      <c r="P92" s="5"/>
      <c r="Q92" s="5"/>
      <c r="R92" s="5"/>
      <c r="S92" s="5"/>
      <c r="T92" s="5"/>
      <c r="U92" s="5"/>
      <c r="V92" s="5"/>
      <c r="W92" s="5"/>
      <c r="X92" s="5"/>
      <c r="Y92" s="5" t="str">
        <f t="shared" si="76"/>
        <v>Insufficient</v>
      </c>
      <c r="Z92" s="5"/>
      <c r="AA92" s="5"/>
      <c r="AB92" s="5"/>
      <c r="AC92" s="5"/>
      <c r="AD92" s="5"/>
      <c r="AE92" s="5"/>
      <c r="AF92" s="5"/>
      <c r="AG92" s="5"/>
      <c r="AH92" s="5"/>
      <c r="AI92" s="5"/>
      <c r="AJ92" s="5"/>
      <c r="AK92" s="5"/>
      <c r="AL92" s="5"/>
      <c r="AM92" s="5"/>
      <c r="AN92" s="5"/>
      <c r="AO92" s="5"/>
      <c r="AP92" s="5"/>
      <c r="AQ92" s="5"/>
      <c r="AR92" s="40">
        <f t="array" ref="AR92">MIN(100, MAX(0,
  IFERROR(_xlfn.XLOOKUP(AJ92,'Lookup Tables'!$A$2:$A$7,'Lookup Tables'!$B$2:$B$7,0),0)
  + IF(Z92="Yes", IF(IFERROR(_xlfn.XLOOKUP(AJ92,'Lookup Tables'!$A$2:$A$7,'Lookup Tables'!$B$2:$B$7,0),0)&lt;20, 5, 0), 0)
  + _xlfn.IFS(AB92="Yes", IF(ISNUMBER(AC92)*AND(AC92&lt;=2030),15,10), AB92="Long-term Only", 5, AB92="No", 0, TRUE, 0)
  + _xlfn.IFS(AF92="Full",10, AF92="Partial",5, AF92="Scope 2 Only",3, TRUE,0)
  + _xlfn.IFS(AG92="Yes", IF(ISNUMBER(AH92)*AND(AH92&gt;=5),10,6), AG92="Partial",4, TRUE,0)
  + _xlfn.IFS(AI92="Yes",5, AI92="Partial (material categories only)",3, TRUE,0)
  + _xlfn.IFS(AL92="Yes — Detailed",10, AL92="Yes — High Level",5, TRUE,0)
  + _xlfn.IFS(AM92="Yes — Quantified",15, AM92="Yes — Directional Only",7, TRUE,0)
  + _xlfn.IFS(AP92="Formal",5, AP92="Referenced",2, TRUE,0)
  + _xlfn.IFS(AQ92="No Issues Found",5, AQ92="Concern Identified",-5, AQ92="Severe Contradiction",-15, TRUE,0)
  + _xlfn.IFS(BC92="Reasonable Assurance",5, BC92="Limited Assurance",3, TRUE,0)
  - IF(AND(Z92="Yes", AI92="No"), 10, 0)
  - IF(AND(Z92="Yes", AM92="No"), 10, 0)
))</f>
        <v>0</v>
      </c>
      <c r="AS92" s="5"/>
      <c r="AT92" s="5"/>
      <c r="AU92" s="5"/>
      <c r="AV92" s="5"/>
      <c r="AW92" s="5"/>
      <c r="AX92" s="5"/>
      <c r="AY92" s="5"/>
      <c r="AZ92" s="5"/>
      <c r="BA92" s="5"/>
      <c r="BB92" s="5"/>
      <c r="BC92" s="5"/>
      <c r="BD92" s="5"/>
      <c r="BE92" s="39">
        <f t="array" ref="BE92">MIN(100, MAX(0,
  IFERROR(_xlfn.XLOOKUP(AT92,'Lookup Tables'!$D$2:$D$6,'Lookup Tables'!$E$2:$E$6,0),0)
  + IFERROR(_xlfn.XLOOKUP(AV92,'Lookup Tables'!$G$2:$G$5,'Lookup Tables'!$H$2:$H$5,0),0)
  + IFERROR(_xlfn.XLOOKUP(AW92,'Lookup Tables'!$J$2:$J$5,'Lookup Tables'!$K$2:$K$5,0),0)
  + _xlfn.IFS(AX92="No Issues",10, AX92="Complaint Filed",3, AX92="Confirmed Breach",-15, TRUE,0)
  + IFERROR(_xlfn.XLOOKUP(AY92,'Lookup Tables'!$M$2:$M$6,'Lookup Tables'!$N$2:$N$6,0),0)
  + IFERROR(_xlfn.XLOOKUP(AZ92,'Lookup Tables'!$P$2:$P$6,'Lookup Tables'!$Q$2:$Q$6,0),0)
  + _xlfn.IFS(BA92="Formal Board Committee",5, BA92="Board Oversight Mentioned",2, TRUE,0)
  + _xlfn.IFS(BB92="Yes — Quantified Targets",5, BB92="Yes — Discretionary Only",2, TRUE,0)
  + _xlfn.IFS(BC92="Reasonable Assurance",5, BC92="Limited Assurance",3, BC92="Management Review Only",1, TRUE,0)
))</f>
        <v>0</v>
      </c>
      <c r="BF92" s="5"/>
      <c r="BG92" s="5"/>
      <c r="BH92" s="5"/>
      <c r="BI92" s="5"/>
      <c r="BJ92" s="5"/>
      <c r="BK92" s="5"/>
      <c r="BL92" s="5"/>
      <c r="BM92" s="5"/>
      <c r="BN92" s="5"/>
      <c r="BO92" s="5"/>
      <c r="BP92" s="5"/>
      <c r="BQ92" s="5"/>
      <c r="BR92" s="5"/>
      <c r="BS92" s="41">
        <f t="array" ref="BS92">MIN(100, MAX(0,
  IFERROR(_xlfn.XLOOKUP(BG92,'Lookup Tables'!$A$11:$A$16,'Lookup Tables'!$B$11:$B$16,0),0)
  + IFERROR(_xlfn.XLOOKUP(BR92,'Lookup Tables'!$M$11:$M$14,'Lookup Tables'!$N$11:$N$14,0),0)
  + IFERROR(_xlfn.XLOOKUP(BQ92,'Lookup Tables'!$J$11:$J$15,'Lookup Tables'!$K$11:$K$15,0),0)
  + IFERROR(_xlfn.XLOOKUP(BH92,'Lookup Tables'!$D$11:$D$15,'Lookup Tables'!$E$11:$E$15,0),0)
  + IFERROR(_xlfn.XLOOKUP(BJ92,'Lookup Tables'!$G$11:$G$16,'Lookup Tables'!$H$11:$H$16,0),0)
  + IFERROR(_xlfn.XLOOKUP(BN92,'Lookup Tables'!$P$11:$P$15,'Lookup Tables'!$Q$11:$Q$15,0),0)
  + _xlfn.IFS(BM92="No Evidence",10, BM92="Unknown",3, BM92="Likely",0, BM92="Confirmed",-10, TRUE,3)
  + IFERROR(_xlfn.XLOOKUP(BP92,'Lookup Tables'!$J$21:$J$24,'Lookup Tables'!$K$21:$K$24,0),0)
))</f>
        <v>3</v>
      </c>
      <c r="BT92" s="5"/>
      <c r="BU92" s="5"/>
      <c r="BV92" s="5"/>
      <c r="BW92" s="5"/>
      <c r="BX92" s="5"/>
      <c r="BY92" s="5"/>
      <c r="BZ92" s="5"/>
      <c r="CA92" s="5"/>
      <c r="CB92" s="5"/>
      <c r="CC92" s="5"/>
      <c r="CD92" s="5"/>
      <c r="CE92" s="43">
        <f t="array" ref="CE92">MIN(100, MAX(0,
  IF(ISNUMBER(BV92)*AND(BV92&gt;0), 10, 0)
  + _xlfn.IFS(BY92="Independently Verified",25, BY92="Yes",15, TRUE,0)
  + IFERROR(_xlfn.XLOOKUP(BZ92,'Lookup Tables'!$A$21:$A$24,'Lookup Tables'!$B$21:$B$24,0),0)
  + IFERROR(_xlfn.XLOOKUP(CA92,'Lookup Tables'!$D$21:$D$24,'Lookup Tables'!$E$21:$E$24,0),0)
  + _xlfn.IFS(ISNUMBER(CB92)*AND(CB92&gt;=11),15, ISNUMBER(CB92)*AND(CB92&gt;=6),10, ISNUMBER(CB92)*AND(CB92&gt;=1),5, TRUE,0)
  + IFERROR(_xlfn.XLOOKUP(CC92,'Lookup Tables'!$G$21:$G$25,'Lookup Tables'!$H$21:$H$25,0),0)
  - IF(ISNUMBER(BW92)*AND(ISNUMBER(BV92))*AND(BW92&gt;BV92), 20, 0)
  - IF(AND(BY92="Yes", ISNUMBER(BW92), BW92&gt;60), 10, 0)
))</f>
        <v>0</v>
      </c>
      <c r="CF92" s="5"/>
      <c r="CG92" s="5"/>
      <c r="CH92" s="5"/>
      <c r="CI92" s="5"/>
      <c r="CJ92" s="5"/>
      <c r="CK92" s="5"/>
      <c r="CL92" s="5"/>
      <c r="CM92" s="5"/>
      <c r="CN92" s="5"/>
      <c r="CO92" s="5"/>
      <c r="CP92" s="5"/>
      <c r="CQ92" s="5"/>
      <c r="CR92" s="5">
        <f t="shared" si="77"/>
        <v>0</v>
      </c>
      <c r="CS92" s="5">
        <f t="shared" si="78"/>
        <v>0</v>
      </c>
      <c r="CT92" s="5">
        <f t="shared" si="79"/>
        <v>0</v>
      </c>
      <c r="CU92" s="5">
        <f>MIN(100,
  CR92*15
  + CS92*6
  + CT92*3
  + IFERROR(_xlfn.XLOOKUP(CW92,'Lookup Tables'!$M$21:$M$25,'Lookup Tables'!$N$21:$N$25,0),0)
)</f>
        <v>0</v>
      </c>
      <c r="CV92" s="5" t="str">
        <f t="shared" si="80"/>
        <v>No failures</v>
      </c>
      <c r="CW92" s="5"/>
      <c r="CX92" s="5"/>
      <c r="CY92" s="5"/>
      <c r="CZ92" s="5"/>
      <c r="DA92" s="5" t="str">
        <f t="shared" si="81"/>
        <v>Yes</v>
      </c>
      <c r="DB92" s="5" t="str">
        <f t="shared" si="82"/>
        <v>No</v>
      </c>
      <c r="DC92" s="5"/>
      <c r="DD92" s="5"/>
      <c r="DE92" s="5"/>
      <c r="DF92" s="5"/>
      <c r="DG92" s="5"/>
      <c r="DH92" s="5"/>
      <c r="DI92" s="5"/>
      <c r="DJ92" s="5"/>
      <c r="DK92" s="5"/>
      <c r="DL92" s="5" t="str">
        <f t="shared" si="83"/>
        <v>Clear</v>
      </c>
      <c r="DM92" s="5" t="str">
        <f t="shared" si="84"/>
        <v>Yes</v>
      </c>
      <c r="DN92" s="5">
        <f t="array" ref="DN92">MIN(100,
  IF(ISNUMBER(V92), _xlfn.IFS(V92&gt;=3,25, V92=2,15, V92=1,5, TRUE,0), 0)
  + IFERROR(_xlfn.IFS(VALUE(LEFT(DF92,1))=5,25, VALUE(LEFT(DF92,1))=4,20, VALUE(LEFT(DF92,1))=3,15, VALUE(LEFT(DF92,1))=2,8, TRUE,0), 15)
  + IFERROR(_xlfn.IFS(VALUE(LEFT(DG92,1))=5,25, VALUE(LEFT(DG92,1))=4,20, VALUE(LEFT(DG92,1))=3,15, VALUE(LEFT(DG92,1))=2,8, TRUE,0), 15)
  + _xlfn.IFS(DH92="Fully Verified",25, DH92="Partially Verified",12, TRUE,0)
)</f>
        <v>30</v>
      </c>
      <c r="DO92" s="5" t="str">
        <f t="array" ref="DO92">_xlfn.IFS(
  ISBLANK(AR92), "Insufficient Evidence",
  AND(AR92&gt;=65, AJ92="Approved"), "Strong",
  AR92&gt;=65, "Adequate",
  AR92&gt;=40, "Adequate",
  AR92&gt;=20, "Weak",
  TRUE, "Insufficient Evidence"
)</f>
        <v>Insufficient Evidence</v>
      </c>
      <c r="DP92" s="5" t="str">
        <f t="array" ref="DP92">_xlfn.IFS(
  ISBLANK(BS92), "Insufficient Evidence",
  BS92&gt;=65, "Strong",
  BS92&gt;=40, "Adequate",
  BS92&gt;=20, "Weak",
  TRUE, "Insufficient Evidence"
)</f>
        <v>Insufficient Evidence</v>
      </c>
      <c r="DQ92" s="5" t="str">
        <f t="array" ref="DQ92">_xlfn.IFS(
  ISBLANK(BE92), "Insufficient Evidence",
  OR(AW92="Confirmed Violation", AX92="Confirmed Breach"), "Severe — Hard Trigger",
  BE92&gt;=65, "Strong",
  BE92&gt;=40, "Adequate",
  BE92&gt;=20, "Weak",
  TRUE, "Insufficient Evidence"
)</f>
        <v>Insufficient Evidence</v>
      </c>
      <c r="DR92" s="5" t="str">
        <f t="array" ref="DR92">_xlfn.IFS(
  ISBLANK(CU92), "Insufficient Evidence",
  CU92&lt;=20, "Low Risk",
  CU92&lt;=50, "Moderate Risk",
  CU92&lt;=75, "High Risk",
  TRUE, "Very High Risk"
)</f>
        <v>Low Risk</v>
      </c>
      <c r="DS92" s="5" t="str">
        <f t="array" ref="DS92">_xlfn.IFS(
  ISBLANK(CE92), "Insufficient Evidence",
  AND(ISNUMBER(BW92),ISNUMBER(BV92),BW92&gt;BV92), "Overclaiming Risk",
  CE92&gt;=65, "Strong",
  CE92&gt;=40, "Adequate",
  TRUE, "Weak"
)</f>
        <v>Weak</v>
      </c>
      <c r="DT92" s="5">
        <f t="shared" si="85"/>
        <v>11.7</v>
      </c>
      <c r="DU92" s="5" t="str">
        <f t="array" ref="DU92">_xlfn.IFS(
  DV92="Upgraded to Clear", "Clear",
  DV92="Downgraded to Watchlist", "Watchlist",
  DV92="Downgraded to Exclusion", "Exclusion Risk",
  DB92="Yes — Automatic", "Exclusion Risk",
  OR(AW92="Confirmed Violation", AX92="Confirmed Breach"), "Exclusion Risk",
  OR(V92=0, ISBLANK(V92), DN92&lt;20), "Insufficient Evidence",
  AND(DT92&gt;=65, DA92="No", DB92="No"), "Clear",
  OR(DT92&gt;=40, DA92="Yes"), "Watchlist",
  TRUE, "Exclusion Risk"
)</f>
        <v>Insufficient Evidence</v>
      </c>
      <c r="DV92" s="5"/>
      <c r="DW92" s="5" t="str">
        <f t="array" ref="DW92">_xlfn.IFS(
  DU92="Exclusion Risk", "Exclude — Hard Trigger",
  DU92="Insufficient Evidence", "Watchlist — Further Evidence Needed",
  DU92="Watchlist", "Watchlist — Further Evidence Needed",
  AND(DU92="Clear", DT92&gt;=80), "Include — No Conditions",
  DU92="Clear", "Include — Monitor",
  TRUE, "Watchlist — Further Evidence Needed"
)</f>
        <v>Watchlist — Further Evidence Needed</v>
      </c>
      <c r="DX92" s="5"/>
      <c r="DY92" s="5"/>
      <c r="DZ92" s="5"/>
      <c r="EA92" s="5"/>
      <c r="EB92" s="5" t="str">
        <f t="shared" si="86"/>
        <v>MISSING — No sources reviewed</v>
      </c>
      <c r="EC92" s="5" t="str">
        <f t="shared" si="87"/>
        <v/>
      </c>
    </row>
    <row r="93" spans="1:133" ht="18" customHeight="1" x14ac:dyDescent="0.15">
      <c r="A93" s="3" t="s">
        <v>563</v>
      </c>
      <c r="B93" s="3" t="s">
        <v>564</v>
      </c>
      <c r="C93" s="3" t="str">
        <f>IF(ISBLANK('Universe Tracker'!D68),"",'Universe Tracker'!D68)</f>
        <v>SE0000872095</v>
      </c>
      <c r="D93" s="3"/>
      <c r="E93" s="3"/>
      <c r="F93" s="3" t="str">
        <f>IF(ISBLANK('Universe Tracker'!F68),"",'Universe Tracker'!F68)</f>
        <v>Health Care</v>
      </c>
      <c r="G93" s="3" t="str">
        <f>IF(ISBLANK('Universe Tracker'!G68),"",'Universe Tracker'!G68)</f>
        <v>Health Care</v>
      </c>
      <c r="H93" s="3"/>
      <c r="I93" s="3"/>
      <c r="J93" s="3" t="str">
        <f t="shared" si="75"/>
        <v>B6E_SE0000872095</v>
      </c>
      <c r="K93" s="3"/>
      <c r="L93" s="3"/>
      <c r="M93" s="3"/>
      <c r="N93" s="3"/>
      <c r="O93" s="3"/>
      <c r="P93" s="3"/>
      <c r="Q93" s="3"/>
      <c r="R93" s="3"/>
      <c r="S93" s="3"/>
      <c r="T93" s="3"/>
      <c r="U93" s="3"/>
      <c r="V93" s="3"/>
      <c r="W93" s="3"/>
      <c r="X93" s="3"/>
      <c r="Y93" s="3" t="str">
        <f t="shared" si="76"/>
        <v>Insufficient</v>
      </c>
      <c r="Z93" s="3"/>
      <c r="AA93" s="3"/>
      <c r="AB93" s="3"/>
      <c r="AC93" s="3"/>
      <c r="AD93" s="3"/>
      <c r="AE93" s="3"/>
      <c r="AF93" s="3"/>
      <c r="AG93" s="3"/>
      <c r="AH93" s="3"/>
      <c r="AI93" s="3"/>
      <c r="AJ93" s="3"/>
      <c r="AK93" s="3"/>
      <c r="AL93" s="3"/>
      <c r="AM93" s="3"/>
      <c r="AN93" s="3"/>
      <c r="AO93" s="3"/>
      <c r="AP93" s="3"/>
      <c r="AQ93" s="3"/>
      <c r="AR93" s="40">
        <f t="array" ref="AR93">MIN(100, MAX(0,
  IFERROR(_xlfn.XLOOKUP(AJ93,'Lookup Tables'!$A$2:$A$7,'Lookup Tables'!$B$2:$B$7,0),0)
  + IF(Z93="Yes", IF(IFERROR(_xlfn.XLOOKUP(AJ93,'Lookup Tables'!$A$2:$A$7,'Lookup Tables'!$B$2:$B$7,0),0)&lt;20, 5, 0), 0)
  + _xlfn.IFS(AB93="Yes", IF(ISNUMBER(AC93)*AND(AC93&lt;=2030),15,10), AB93="Long-term Only", 5, AB93="No", 0, TRUE, 0)
  + _xlfn.IFS(AF93="Full",10, AF93="Partial",5, AF93="Scope 2 Only",3, TRUE,0)
  + _xlfn.IFS(AG93="Yes", IF(ISNUMBER(AH93)*AND(AH93&gt;=5),10,6), AG93="Partial",4, TRUE,0)
  + _xlfn.IFS(AI93="Yes",5, AI93="Partial (material categories only)",3, TRUE,0)
  + _xlfn.IFS(AL93="Yes — Detailed",10, AL93="Yes — High Level",5, TRUE,0)
  + _xlfn.IFS(AM93="Yes — Quantified",15, AM93="Yes — Directional Only",7, TRUE,0)
  + _xlfn.IFS(AP93="Formal",5, AP93="Referenced",2, TRUE,0)
  + _xlfn.IFS(AQ93="No Issues Found",5, AQ93="Concern Identified",-5, AQ93="Severe Contradiction",-15, TRUE,0)
  + _xlfn.IFS(BC93="Reasonable Assurance",5, BC93="Limited Assurance",3, TRUE,0)
  - IF(AND(Z93="Yes", AI93="No"), 10, 0)
  - IF(AND(Z93="Yes", AM93="No"), 10, 0)
))</f>
        <v>0</v>
      </c>
      <c r="AS93" s="3"/>
      <c r="AT93" s="3"/>
      <c r="AU93" s="3"/>
      <c r="AV93" s="3"/>
      <c r="AW93" s="3"/>
      <c r="AX93" s="3"/>
      <c r="AY93" s="3"/>
      <c r="AZ93" s="3"/>
      <c r="BA93" s="3"/>
      <c r="BB93" s="3"/>
      <c r="BC93" s="3"/>
      <c r="BD93" s="3"/>
      <c r="BE93" s="40">
        <f t="array" ref="BE93">MIN(100, MAX(0,
  IFERROR(_xlfn.XLOOKUP(AT93,'Lookup Tables'!$D$2:$D$6,'Lookup Tables'!$E$2:$E$6,0),0)
  + IFERROR(_xlfn.XLOOKUP(AV93,'Lookup Tables'!$G$2:$G$5,'Lookup Tables'!$H$2:$H$5,0),0)
  + IFERROR(_xlfn.XLOOKUP(AW93,'Lookup Tables'!$J$2:$J$5,'Lookup Tables'!$K$2:$K$5,0),0)
  + _xlfn.IFS(AX93="No Issues",10, AX93="Complaint Filed",3, AX93="Confirmed Breach",-15, TRUE,0)
  + IFERROR(_xlfn.XLOOKUP(AY93,'Lookup Tables'!$M$2:$M$6,'Lookup Tables'!$N$2:$N$6,0),0)
  + IFERROR(_xlfn.XLOOKUP(AZ93,'Lookup Tables'!$P$2:$P$6,'Lookup Tables'!$Q$2:$Q$6,0),0)
  + _xlfn.IFS(BA93="Formal Board Committee",5, BA93="Board Oversight Mentioned",2, TRUE,0)
  + _xlfn.IFS(BB93="Yes — Quantified Targets",5, BB93="Yes — Discretionary Only",2, TRUE,0)
  + _xlfn.IFS(BC93="Reasonable Assurance",5, BC93="Limited Assurance",3, BC93="Management Review Only",1, TRUE,0)
))</f>
        <v>0</v>
      </c>
      <c r="BF93" s="3"/>
      <c r="BG93" s="3"/>
      <c r="BH93" s="3"/>
      <c r="BI93" s="3"/>
      <c r="BJ93" s="3"/>
      <c r="BK93" s="3"/>
      <c r="BL93" s="3"/>
      <c r="BM93" s="3"/>
      <c r="BN93" s="3"/>
      <c r="BO93" s="3"/>
      <c r="BP93" s="3"/>
      <c r="BQ93" s="3"/>
      <c r="BR93" s="3"/>
      <c r="BS93" s="42">
        <f t="array" ref="BS93">MIN(100, MAX(0,
  IFERROR(_xlfn.XLOOKUP(BG93,'Lookup Tables'!$A$11:$A$16,'Lookup Tables'!$B$11:$B$16,0),0)
  + IFERROR(_xlfn.XLOOKUP(BR93,'Lookup Tables'!$M$11:$M$14,'Lookup Tables'!$N$11:$N$14,0),0)
  + IFERROR(_xlfn.XLOOKUP(BQ93,'Lookup Tables'!$J$11:$J$15,'Lookup Tables'!$K$11:$K$15,0),0)
  + IFERROR(_xlfn.XLOOKUP(BH93,'Lookup Tables'!$D$11:$D$15,'Lookup Tables'!$E$11:$E$15,0),0)
  + IFERROR(_xlfn.XLOOKUP(BJ93,'Lookup Tables'!$G$11:$G$16,'Lookup Tables'!$H$11:$H$16,0),0)
  + IFERROR(_xlfn.XLOOKUP(BN93,'Lookup Tables'!$P$11:$P$15,'Lookup Tables'!$Q$11:$Q$15,0),0)
  + _xlfn.IFS(BM93="No Evidence",10, BM93="Unknown",3, BM93="Likely",0, BM93="Confirmed",-10, TRUE,3)
  + IFERROR(_xlfn.XLOOKUP(BP93,'Lookup Tables'!$J$21:$J$24,'Lookup Tables'!$K$21:$K$24,0),0)
))</f>
        <v>3</v>
      </c>
      <c r="BT93" s="3"/>
      <c r="BU93" s="3"/>
      <c r="BV93" s="3"/>
      <c r="BW93" s="3"/>
      <c r="BX93" s="3"/>
      <c r="BY93" s="3"/>
      <c r="BZ93" s="3"/>
      <c r="CA93" s="3"/>
      <c r="CB93" s="3"/>
      <c r="CC93" s="3"/>
      <c r="CD93" s="3"/>
      <c r="CE93" s="44">
        <f t="array" ref="CE93">MIN(100, MAX(0,
  IF(ISNUMBER(BV93)*AND(BV93&gt;0), 10, 0)
  + _xlfn.IFS(BY93="Independently Verified",25, BY93="Yes",15, TRUE,0)
  + IFERROR(_xlfn.XLOOKUP(BZ93,'Lookup Tables'!$A$21:$A$24,'Lookup Tables'!$B$21:$B$24,0),0)
  + IFERROR(_xlfn.XLOOKUP(CA93,'Lookup Tables'!$D$21:$D$24,'Lookup Tables'!$E$21:$E$24,0),0)
  + _xlfn.IFS(ISNUMBER(CB93)*AND(CB93&gt;=11),15, ISNUMBER(CB93)*AND(CB93&gt;=6),10, ISNUMBER(CB93)*AND(CB93&gt;=1),5, TRUE,0)
  + IFERROR(_xlfn.XLOOKUP(CC93,'Lookup Tables'!$G$21:$G$25,'Lookup Tables'!$H$21:$H$25,0),0)
  - IF(ISNUMBER(BW93)*AND(ISNUMBER(BV93))*AND(BW93&gt;BV93), 20, 0)
  - IF(AND(BY93="Yes", ISNUMBER(BW93), BW93&gt;60), 10, 0)
))</f>
        <v>0</v>
      </c>
      <c r="CF93" s="3"/>
      <c r="CG93" s="3"/>
      <c r="CH93" s="3"/>
      <c r="CI93" s="3"/>
      <c r="CJ93" s="3"/>
      <c r="CK93" s="3"/>
      <c r="CL93" s="3"/>
      <c r="CM93" s="3"/>
      <c r="CN93" s="3"/>
      <c r="CO93" s="3"/>
      <c r="CP93" s="3"/>
      <c r="CQ93" s="3"/>
      <c r="CR93" s="3">
        <f t="shared" si="77"/>
        <v>0</v>
      </c>
      <c r="CS93" s="3">
        <f t="shared" si="78"/>
        <v>0</v>
      </c>
      <c r="CT93" s="3">
        <f t="shared" si="79"/>
        <v>0</v>
      </c>
      <c r="CU93" s="3">
        <f>MIN(100,
  CR93*15
  + CS93*6
  + CT93*3
  + IFERROR(_xlfn.XLOOKUP(CW93,'Lookup Tables'!$M$21:$M$25,'Lookup Tables'!$N$21:$N$25,0),0)
)</f>
        <v>0</v>
      </c>
      <c r="CV93" s="3" t="str">
        <f t="shared" si="80"/>
        <v>No failures</v>
      </c>
      <c r="CW93" s="3"/>
      <c r="CX93" s="3"/>
      <c r="CY93" s="3"/>
      <c r="CZ93" s="3"/>
      <c r="DA93" s="3" t="str">
        <f t="shared" si="81"/>
        <v>Yes</v>
      </c>
      <c r="DB93" s="3" t="str">
        <f t="shared" si="82"/>
        <v>No</v>
      </c>
      <c r="DC93" s="3"/>
      <c r="DD93" s="3"/>
      <c r="DE93" s="3"/>
      <c r="DF93" s="3"/>
      <c r="DG93" s="3"/>
      <c r="DH93" s="3"/>
      <c r="DI93" s="3"/>
      <c r="DJ93" s="3"/>
      <c r="DK93" s="3"/>
      <c r="DL93" s="3" t="str">
        <f t="shared" si="83"/>
        <v>Clear</v>
      </c>
      <c r="DM93" s="3" t="str">
        <f t="shared" si="84"/>
        <v>Yes</v>
      </c>
      <c r="DN93" s="3">
        <f t="array" ref="DN93">MIN(100,
  IF(ISNUMBER(V93), _xlfn.IFS(V93&gt;=3,25, V93=2,15, V93=1,5, TRUE,0), 0)
  + IFERROR(_xlfn.IFS(VALUE(LEFT(DF93,1))=5,25, VALUE(LEFT(DF93,1))=4,20, VALUE(LEFT(DF93,1))=3,15, VALUE(LEFT(DF93,1))=2,8, TRUE,0), 15)
  + IFERROR(_xlfn.IFS(VALUE(LEFT(DG93,1))=5,25, VALUE(LEFT(DG93,1))=4,20, VALUE(LEFT(DG93,1))=3,15, VALUE(LEFT(DG93,1))=2,8, TRUE,0), 15)
  + _xlfn.IFS(DH93="Fully Verified",25, DH93="Partially Verified",12, TRUE,0)
)</f>
        <v>30</v>
      </c>
      <c r="DO93" s="3" t="str">
        <f t="array" ref="DO93">_xlfn.IFS(
  ISBLANK(AR93), "Insufficient Evidence",
  AND(AR93&gt;=65, AJ93="Approved"), "Strong",
  AR93&gt;=65, "Adequate",
  AR93&gt;=40, "Adequate",
  AR93&gt;=20, "Weak",
  TRUE, "Insufficient Evidence"
)</f>
        <v>Insufficient Evidence</v>
      </c>
      <c r="DP93" s="3" t="str">
        <f t="array" ref="DP93">_xlfn.IFS(
  ISBLANK(BS93), "Insufficient Evidence",
  BS93&gt;=65, "Strong",
  BS93&gt;=40, "Adequate",
  BS93&gt;=20, "Weak",
  TRUE, "Insufficient Evidence"
)</f>
        <v>Insufficient Evidence</v>
      </c>
      <c r="DQ93" s="3" t="str">
        <f t="array" ref="DQ93">_xlfn.IFS(
  ISBLANK(BE93), "Insufficient Evidence",
  OR(AW93="Confirmed Violation", AX93="Confirmed Breach"), "Severe — Hard Trigger",
  BE93&gt;=65, "Strong",
  BE93&gt;=40, "Adequate",
  BE93&gt;=20, "Weak",
  TRUE, "Insufficient Evidence"
)</f>
        <v>Insufficient Evidence</v>
      </c>
      <c r="DR93" s="3" t="str">
        <f t="array" ref="DR93">_xlfn.IFS(
  ISBLANK(CU93), "Insufficient Evidence",
  CU93&lt;=20, "Low Risk",
  CU93&lt;=50, "Moderate Risk",
  CU93&lt;=75, "High Risk",
  TRUE, "Very High Risk"
)</f>
        <v>Low Risk</v>
      </c>
      <c r="DS93" s="3" t="str">
        <f t="array" ref="DS93">_xlfn.IFS(
  ISBLANK(CE93), "Insufficient Evidence",
  AND(ISNUMBER(BW93),ISNUMBER(BV93),BW93&gt;BV93), "Overclaiming Risk",
  CE93&gt;=65, "Strong",
  CE93&gt;=40, "Adequate",
  TRUE, "Weak"
)</f>
        <v>Weak</v>
      </c>
      <c r="DT93" s="3">
        <f t="shared" si="85"/>
        <v>11.7</v>
      </c>
      <c r="DU93" s="3" t="str">
        <f t="array" ref="DU93">_xlfn.IFS(
  DV93="Upgraded to Clear", "Clear",
  DV93="Downgraded to Watchlist", "Watchlist",
  DV93="Downgraded to Exclusion", "Exclusion Risk",
  DB93="Yes — Automatic", "Exclusion Risk",
  OR(AW93="Confirmed Violation", AX93="Confirmed Breach"), "Exclusion Risk",
  OR(V93=0, ISBLANK(V93), DN93&lt;20), "Insufficient Evidence",
  AND(DT93&gt;=65, DA93="No", DB93="No"), "Clear",
  OR(DT93&gt;=40, DA93="Yes"), "Watchlist",
  TRUE, "Exclusion Risk"
)</f>
        <v>Insufficient Evidence</v>
      </c>
      <c r="DV93" s="3"/>
      <c r="DW93" s="3" t="str">
        <f t="array" ref="DW93">_xlfn.IFS(
  DU93="Exclusion Risk", "Exclude — Hard Trigger",
  DU93="Insufficient Evidence", "Watchlist — Further Evidence Needed",
  DU93="Watchlist", "Watchlist — Further Evidence Needed",
  AND(DU93="Clear", DT93&gt;=80), "Include — No Conditions",
  DU93="Clear", "Include — Monitor",
  TRUE, "Watchlist — Further Evidence Needed"
)</f>
        <v>Watchlist — Further Evidence Needed</v>
      </c>
      <c r="DX93" s="3"/>
      <c r="DY93" s="3"/>
      <c r="DZ93" s="3"/>
      <c r="EA93" s="3"/>
      <c r="EB93" s="3" t="str">
        <f t="shared" si="86"/>
        <v>MISSING — No sources reviewed</v>
      </c>
      <c r="EC93" s="3" t="str">
        <f t="shared" si="87"/>
        <v/>
      </c>
    </row>
    <row r="94" spans="1:133" ht="18" customHeight="1" x14ac:dyDescent="0.15">
      <c r="A94" s="5" t="s">
        <v>567</v>
      </c>
      <c r="B94" s="5" t="s">
        <v>568</v>
      </c>
      <c r="C94" s="5" t="str">
        <f>IF(ISBLANK('Universe Tracker'!D69),"",'Universe Tracker'!D69)</f>
        <v>DE0007236101</v>
      </c>
      <c r="D94" s="5"/>
      <c r="E94" s="5"/>
      <c r="F94" s="5" t="str">
        <f>IF(ISBLANK('Universe Tracker'!F69),"",'Universe Tracker'!F69)</f>
        <v>Industrials</v>
      </c>
      <c r="G94" s="5" t="str">
        <f>IF(ISBLANK('Universe Tracker'!G69),"",'Universe Tracker'!G69)</f>
        <v>Industrial Products</v>
      </c>
      <c r="H94" s="5"/>
      <c r="I94" s="5"/>
      <c r="J94" s="5" t="str">
        <f t="shared" si="75"/>
        <v>SIE_DE0007236101</v>
      </c>
      <c r="K94" s="5"/>
      <c r="L94" s="5"/>
      <c r="M94" s="5"/>
      <c r="N94" s="5"/>
      <c r="O94" s="5"/>
      <c r="P94" s="5"/>
      <c r="Q94" s="5"/>
      <c r="R94" s="5"/>
      <c r="S94" s="5"/>
      <c r="T94" s="5"/>
      <c r="U94" s="5"/>
      <c r="V94" s="5"/>
      <c r="W94" s="5"/>
      <c r="X94" s="5"/>
      <c r="Y94" s="5" t="str">
        <f t="shared" si="76"/>
        <v>Insufficient</v>
      </c>
      <c r="Z94" s="5"/>
      <c r="AA94" s="5"/>
      <c r="AB94" s="5"/>
      <c r="AC94" s="5"/>
      <c r="AD94" s="5"/>
      <c r="AE94" s="5"/>
      <c r="AF94" s="5"/>
      <c r="AG94" s="5"/>
      <c r="AH94" s="5"/>
      <c r="AI94" s="5"/>
      <c r="AJ94" s="5"/>
      <c r="AK94" s="5"/>
      <c r="AL94" s="5"/>
      <c r="AM94" s="5"/>
      <c r="AN94" s="5"/>
      <c r="AO94" s="5"/>
      <c r="AP94" s="5"/>
      <c r="AQ94" s="5"/>
      <c r="AR94" s="40">
        <f t="array" ref="AR94">MIN(100, MAX(0,
  IFERROR(_xlfn.XLOOKUP(AJ94,'Lookup Tables'!$A$2:$A$7,'Lookup Tables'!$B$2:$B$7,0),0)
  + IF(Z94="Yes", IF(IFERROR(_xlfn.XLOOKUP(AJ94,'Lookup Tables'!$A$2:$A$7,'Lookup Tables'!$B$2:$B$7,0),0)&lt;20, 5, 0), 0)
  + _xlfn.IFS(AB94="Yes", IF(ISNUMBER(AC94)*AND(AC94&lt;=2030),15,10), AB94="Long-term Only", 5, AB94="No", 0, TRUE, 0)
  + _xlfn.IFS(AF94="Full",10, AF94="Partial",5, AF94="Scope 2 Only",3, TRUE,0)
  + _xlfn.IFS(AG94="Yes", IF(ISNUMBER(AH94)*AND(AH94&gt;=5),10,6), AG94="Partial",4, TRUE,0)
  + _xlfn.IFS(AI94="Yes",5, AI94="Partial (material categories only)",3, TRUE,0)
  + _xlfn.IFS(AL94="Yes — Detailed",10, AL94="Yes — High Level",5, TRUE,0)
  + _xlfn.IFS(AM94="Yes — Quantified",15, AM94="Yes — Directional Only",7, TRUE,0)
  + _xlfn.IFS(AP94="Formal",5, AP94="Referenced",2, TRUE,0)
  + _xlfn.IFS(AQ94="No Issues Found",5, AQ94="Concern Identified",-5, AQ94="Severe Contradiction",-15, TRUE,0)
  + _xlfn.IFS(BC94="Reasonable Assurance",5, BC94="Limited Assurance",3, TRUE,0)
  - IF(AND(Z94="Yes", AI94="No"), 10, 0)
  - IF(AND(Z94="Yes", AM94="No"), 10, 0)
))</f>
        <v>0</v>
      </c>
      <c r="AS94" s="5"/>
      <c r="AT94" s="5"/>
      <c r="AU94" s="5"/>
      <c r="AV94" s="5"/>
      <c r="AW94" s="5"/>
      <c r="AX94" s="5"/>
      <c r="AY94" s="5"/>
      <c r="AZ94" s="5"/>
      <c r="BA94" s="5"/>
      <c r="BB94" s="5"/>
      <c r="BC94" s="5"/>
      <c r="BD94" s="5"/>
      <c r="BE94" s="39">
        <f t="array" ref="BE94">MIN(100, MAX(0,
  IFERROR(_xlfn.XLOOKUP(AT94,'Lookup Tables'!$D$2:$D$6,'Lookup Tables'!$E$2:$E$6,0),0)
  + IFERROR(_xlfn.XLOOKUP(AV94,'Lookup Tables'!$G$2:$G$5,'Lookup Tables'!$H$2:$H$5,0),0)
  + IFERROR(_xlfn.XLOOKUP(AW94,'Lookup Tables'!$J$2:$J$5,'Lookup Tables'!$K$2:$K$5,0),0)
  + _xlfn.IFS(AX94="No Issues",10, AX94="Complaint Filed",3, AX94="Confirmed Breach",-15, TRUE,0)
  + IFERROR(_xlfn.XLOOKUP(AY94,'Lookup Tables'!$M$2:$M$6,'Lookup Tables'!$N$2:$N$6,0),0)
  + IFERROR(_xlfn.XLOOKUP(AZ94,'Lookup Tables'!$P$2:$P$6,'Lookup Tables'!$Q$2:$Q$6,0),0)
  + _xlfn.IFS(BA94="Formal Board Committee",5, BA94="Board Oversight Mentioned",2, TRUE,0)
  + _xlfn.IFS(BB94="Yes — Quantified Targets",5, BB94="Yes — Discretionary Only",2, TRUE,0)
  + _xlfn.IFS(BC94="Reasonable Assurance",5, BC94="Limited Assurance",3, BC94="Management Review Only",1, TRUE,0)
))</f>
        <v>0</v>
      </c>
      <c r="BF94" s="5"/>
      <c r="BG94" s="5"/>
      <c r="BH94" s="5"/>
      <c r="BI94" s="5"/>
      <c r="BJ94" s="5"/>
      <c r="BK94" s="5"/>
      <c r="BL94" s="5"/>
      <c r="BM94" s="5"/>
      <c r="BN94" s="5"/>
      <c r="BO94" s="5"/>
      <c r="BP94" s="5"/>
      <c r="BQ94" s="5"/>
      <c r="BR94" s="5"/>
      <c r="BS94" s="41">
        <f t="array" ref="BS94">MIN(100, MAX(0,
  IFERROR(_xlfn.XLOOKUP(BG94,'Lookup Tables'!$A$11:$A$16,'Lookup Tables'!$B$11:$B$16,0),0)
  + IFERROR(_xlfn.XLOOKUP(BR94,'Lookup Tables'!$M$11:$M$14,'Lookup Tables'!$N$11:$N$14,0),0)
  + IFERROR(_xlfn.XLOOKUP(BQ94,'Lookup Tables'!$J$11:$J$15,'Lookup Tables'!$K$11:$K$15,0),0)
  + IFERROR(_xlfn.XLOOKUP(BH94,'Lookup Tables'!$D$11:$D$15,'Lookup Tables'!$E$11:$E$15,0),0)
  + IFERROR(_xlfn.XLOOKUP(BJ94,'Lookup Tables'!$G$11:$G$16,'Lookup Tables'!$H$11:$H$16,0),0)
  + IFERROR(_xlfn.XLOOKUP(BN94,'Lookup Tables'!$P$11:$P$15,'Lookup Tables'!$Q$11:$Q$15,0),0)
  + _xlfn.IFS(BM94="No Evidence",10, BM94="Unknown",3, BM94="Likely",0, BM94="Confirmed",-10, TRUE,3)
  + IFERROR(_xlfn.XLOOKUP(BP94,'Lookup Tables'!$J$21:$J$24,'Lookup Tables'!$K$21:$K$24,0),0)
))</f>
        <v>3</v>
      </c>
      <c r="BT94" s="5"/>
      <c r="BU94" s="5"/>
      <c r="BV94" s="5"/>
      <c r="BW94" s="5"/>
      <c r="BX94" s="5"/>
      <c r="BY94" s="5"/>
      <c r="BZ94" s="5"/>
      <c r="CA94" s="5"/>
      <c r="CB94" s="5"/>
      <c r="CC94" s="5"/>
      <c r="CD94" s="5"/>
      <c r="CE94" s="43">
        <f t="array" ref="CE94">MIN(100, MAX(0,
  IF(ISNUMBER(BV94)*AND(BV94&gt;0), 10, 0)
  + _xlfn.IFS(BY94="Independently Verified",25, BY94="Yes",15, TRUE,0)
  + IFERROR(_xlfn.XLOOKUP(BZ94,'Lookup Tables'!$A$21:$A$24,'Lookup Tables'!$B$21:$B$24,0),0)
  + IFERROR(_xlfn.XLOOKUP(CA94,'Lookup Tables'!$D$21:$D$24,'Lookup Tables'!$E$21:$E$24,0),0)
  + _xlfn.IFS(ISNUMBER(CB94)*AND(CB94&gt;=11),15, ISNUMBER(CB94)*AND(CB94&gt;=6),10, ISNUMBER(CB94)*AND(CB94&gt;=1),5, TRUE,0)
  + IFERROR(_xlfn.XLOOKUP(CC94,'Lookup Tables'!$G$21:$G$25,'Lookup Tables'!$H$21:$H$25,0),0)
  - IF(ISNUMBER(BW94)*AND(ISNUMBER(BV94))*AND(BW94&gt;BV94), 20, 0)
  - IF(AND(BY94="Yes", ISNUMBER(BW94), BW94&gt;60), 10, 0)
))</f>
        <v>0</v>
      </c>
      <c r="CF94" s="5"/>
      <c r="CG94" s="5"/>
      <c r="CH94" s="5"/>
      <c r="CI94" s="5"/>
      <c r="CJ94" s="5"/>
      <c r="CK94" s="5"/>
      <c r="CL94" s="5"/>
      <c r="CM94" s="5"/>
      <c r="CN94" s="5"/>
      <c r="CO94" s="5"/>
      <c r="CP94" s="5"/>
      <c r="CQ94" s="5"/>
      <c r="CR94" s="5">
        <f t="shared" si="77"/>
        <v>0</v>
      </c>
      <c r="CS94" s="5">
        <f t="shared" si="78"/>
        <v>0</v>
      </c>
      <c r="CT94" s="5">
        <f t="shared" si="79"/>
        <v>0</v>
      </c>
      <c r="CU94" s="5">
        <f>MIN(100,
  CR94*15
  + CS94*6
  + CT94*3
  + IFERROR(_xlfn.XLOOKUP(CW94,'Lookup Tables'!$M$21:$M$25,'Lookup Tables'!$N$21:$N$25,0),0)
)</f>
        <v>0</v>
      </c>
      <c r="CV94" s="5" t="str">
        <f t="shared" si="80"/>
        <v>No failures</v>
      </c>
      <c r="CW94" s="5"/>
      <c r="CX94" s="5"/>
      <c r="CY94" s="5"/>
      <c r="CZ94" s="5"/>
      <c r="DA94" s="5" t="str">
        <f t="shared" si="81"/>
        <v>Yes</v>
      </c>
      <c r="DB94" s="5" t="str">
        <f t="shared" si="82"/>
        <v>No</v>
      </c>
      <c r="DC94" s="5"/>
      <c r="DD94" s="5"/>
      <c r="DE94" s="5"/>
      <c r="DF94" s="5"/>
      <c r="DG94" s="5"/>
      <c r="DH94" s="5"/>
      <c r="DI94" s="5"/>
      <c r="DJ94" s="5"/>
      <c r="DK94" s="5"/>
      <c r="DL94" s="5" t="str">
        <f t="shared" si="83"/>
        <v>Clear</v>
      </c>
      <c r="DM94" s="5" t="str">
        <f t="shared" si="84"/>
        <v>Yes</v>
      </c>
      <c r="DN94" s="5">
        <f t="array" ref="DN94">MIN(100,
  IF(ISNUMBER(V94), _xlfn.IFS(V94&gt;=3,25, V94=2,15, V94=1,5, TRUE,0), 0)
  + IFERROR(_xlfn.IFS(VALUE(LEFT(DF94,1))=5,25, VALUE(LEFT(DF94,1))=4,20, VALUE(LEFT(DF94,1))=3,15, VALUE(LEFT(DF94,1))=2,8, TRUE,0), 15)
  + IFERROR(_xlfn.IFS(VALUE(LEFT(DG94,1))=5,25, VALUE(LEFT(DG94,1))=4,20, VALUE(LEFT(DG94,1))=3,15, VALUE(LEFT(DG94,1))=2,8, TRUE,0), 15)
  + _xlfn.IFS(DH94="Fully Verified",25, DH94="Partially Verified",12, TRUE,0)
)</f>
        <v>30</v>
      </c>
      <c r="DO94" s="5" t="str">
        <f t="array" ref="DO94">_xlfn.IFS(
  ISBLANK(AR94), "Insufficient Evidence",
  AND(AR94&gt;=65, AJ94="Approved"), "Strong",
  AR94&gt;=65, "Adequate",
  AR94&gt;=40, "Adequate",
  AR94&gt;=20, "Weak",
  TRUE, "Insufficient Evidence"
)</f>
        <v>Insufficient Evidence</v>
      </c>
      <c r="DP94" s="5" t="str">
        <f t="array" ref="DP94">_xlfn.IFS(
  ISBLANK(BS94), "Insufficient Evidence",
  BS94&gt;=65, "Strong",
  BS94&gt;=40, "Adequate",
  BS94&gt;=20, "Weak",
  TRUE, "Insufficient Evidence"
)</f>
        <v>Insufficient Evidence</v>
      </c>
      <c r="DQ94" s="5" t="str">
        <f t="array" ref="DQ94">_xlfn.IFS(
  ISBLANK(BE94), "Insufficient Evidence",
  OR(AW94="Confirmed Violation", AX94="Confirmed Breach"), "Severe — Hard Trigger",
  BE94&gt;=65, "Strong",
  BE94&gt;=40, "Adequate",
  BE94&gt;=20, "Weak",
  TRUE, "Insufficient Evidence"
)</f>
        <v>Insufficient Evidence</v>
      </c>
      <c r="DR94" s="5" t="str">
        <f t="array" ref="DR94">_xlfn.IFS(
  ISBLANK(CU94), "Insufficient Evidence",
  CU94&lt;=20, "Low Risk",
  CU94&lt;=50, "Moderate Risk",
  CU94&lt;=75, "High Risk",
  TRUE, "Very High Risk"
)</f>
        <v>Low Risk</v>
      </c>
      <c r="DS94" s="5" t="str">
        <f t="array" ref="DS94">_xlfn.IFS(
  ISBLANK(CE94), "Insufficient Evidence",
  AND(ISNUMBER(BW94),ISNUMBER(BV94),BW94&gt;BV94), "Overclaiming Risk",
  CE94&gt;=65, "Strong",
  CE94&gt;=40, "Adequate",
  TRUE, "Weak"
)</f>
        <v>Weak</v>
      </c>
      <c r="DT94" s="5">
        <f t="shared" si="85"/>
        <v>11.7</v>
      </c>
      <c r="DU94" s="5" t="str">
        <f t="array" ref="DU94">_xlfn.IFS(
  DV94="Upgraded to Clear", "Clear",
  DV94="Downgraded to Watchlist", "Watchlist",
  DV94="Downgraded to Exclusion", "Exclusion Risk",
  DB94="Yes — Automatic", "Exclusion Risk",
  OR(AW94="Confirmed Violation", AX94="Confirmed Breach"), "Exclusion Risk",
  OR(V94=0, ISBLANK(V94), DN94&lt;20), "Insufficient Evidence",
  AND(DT94&gt;=65, DA94="No", DB94="No"), "Clear",
  OR(DT94&gt;=40, DA94="Yes"), "Watchlist",
  TRUE, "Exclusion Risk"
)</f>
        <v>Insufficient Evidence</v>
      </c>
      <c r="DV94" s="5"/>
      <c r="DW94" s="5" t="str">
        <f t="array" ref="DW94">_xlfn.IFS(
  DU94="Exclusion Risk", "Exclude — Hard Trigger",
  DU94="Insufficient Evidence", "Watchlist — Further Evidence Needed",
  DU94="Watchlist", "Watchlist — Further Evidence Needed",
  AND(DU94="Clear", DT94&gt;=80), "Include — No Conditions",
  DU94="Clear", "Include — Monitor",
  TRUE, "Watchlist — Further Evidence Needed"
)</f>
        <v>Watchlist — Further Evidence Needed</v>
      </c>
      <c r="DX94" s="5"/>
      <c r="DY94" s="5"/>
      <c r="DZ94" s="5"/>
      <c r="EA94" s="5"/>
      <c r="EB94" s="5" t="str">
        <f t="shared" si="86"/>
        <v>MISSING — No sources reviewed</v>
      </c>
      <c r="EC94" s="5" t="str">
        <f t="shared" si="87"/>
        <v/>
      </c>
    </row>
    <row r="95" spans="1:133" ht="18" customHeight="1" x14ac:dyDescent="0.15">
      <c r="A95" s="3" t="s">
        <v>571</v>
      </c>
      <c r="B95" s="3" t="s">
        <v>572</v>
      </c>
      <c r="C95" s="3" t="str">
        <f>IF(ISBLANK('Universe Tracker'!D70),"",'Universe Tracker'!D70)</f>
        <v>PLBSK0000017</v>
      </c>
      <c r="D95" s="3"/>
      <c r="E95" s="3"/>
      <c r="F95" s="3" t="str">
        <f>IF(ISBLANK('Universe Tracker'!F70),"",'Universe Tracker'!F70)</f>
        <v>Financials</v>
      </c>
      <c r="G95" s="3" t="str">
        <f>IF(ISBLANK('Universe Tracker'!G70),"",'Universe Tracker'!G70)</f>
        <v>Banking</v>
      </c>
      <c r="H95" s="3"/>
      <c r="I95" s="3"/>
      <c r="J95" s="3" t="str">
        <f t="shared" si="75"/>
        <v>6GF_PLBSK0000017</v>
      </c>
      <c r="K95" s="3"/>
      <c r="L95" s="3"/>
      <c r="M95" s="3"/>
      <c r="N95" s="3"/>
      <c r="O95" s="3"/>
      <c r="P95" s="3"/>
      <c r="Q95" s="3"/>
      <c r="R95" s="3"/>
      <c r="S95" s="3"/>
      <c r="T95" s="3"/>
      <c r="U95" s="3"/>
      <c r="V95" s="3"/>
      <c r="W95" s="3"/>
      <c r="X95" s="3"/>
      <c r="Y95" s="3" t="str">
        <f t="shared" si="76"/>
        <v>Insufficient</v>
      </c>
      <c r="Z95" s="3"/>
      <c r="AA95" s="3"/>
      <c r="AB95" s="3"/>
      <c r="AC95" s="3"/>
      <c r="AD95" s="3"/>
      <c r="AE95" s="3"/>
      <c r="AF95" s="3"/>
      <c r="AG95" s="3"/>
      <c r="AH95" s="3"/>
      <c r="AI95" s="3"/>
      <c r="AJ95" s="3"/>
      <c r="AK95" s="3"/>
      <c r="AL95" s="3"/>
      <c r="AM95" s="3"/>
      <c r="AN95" s="3"/>
      <c r="AO95" s="3"/>
      <c r="AP95" s="3"/>
      <c r="AQ95" s="3"/>
      <c r="AR95" s="40">
        <f t="array" ref="AR95">MIN(100, MAX(0,
  IFERROR(_xlfn.XLOOKUP(AJ95,'Lookup Tables'!$A$2:$A$7,'Lookup Tables'!$B$2:$B$7,0),0)
  + IF(Z95="Yes", IF(IFERROR(_xlfn.XLOOKUP(AJ95,'Lookup Tables'!$A$2:$A$7,'Lookup Tables'!$B$2:$B$7,0),0)&lt;20, 5, 0), 0)
  + _xlfn.IFS(AB95="Yes", IF(ISNUMBER(AC95)*AND(AC95&lt;=2030),15,10), AB95="Long-term Only", 5, AB95="No", 0, TRUE, 0)
  + _xlfn.IFS(AF95="Full",10, AF95="Partial",5, AF95="Scope 2 Only",3, TRUE,0)
  + _xlfn.IFS(AG95="Yes", IF(ISNUMBER(AH95)*AND(AH95&gt;=5),10,6), AG95="Partial",4, TRUE,0)
  + _xlfn.IFS(AI95="Yes",5, AI95="Partial (material categories only)",3, TRUE,0)
  + _xlfn.IFS(AL95="Yes — Detailed",10, AL95="Yes — High Level",5, TRUE,0)
  + _xlfn.IFS(AM95="Yes — Quantified",15, AM95="Yes — Directional Only",7, TRUE,0)
  + _xlfn.IFS(AP95="Formal",5, AP95="Referenced",2, TRUE,0)
  + _xlfn.IFS(AQ95="No Issues Found",5, AQ95="Concern Identified",-5, AQ95="Severe Contradiction",-15, TRUE,0)
  + _xlfn.IFS(BC95="Reasonable Assurance",5, BC95="Limited Assurance",3, TRUE,0)
  - IF(AND(Z95="Yes", AI95="No"), 10, 0)
  - IF(AND(Z95="Yes", AM95="No"), 10, 0)
))</f>
        <v>0</v>
      </c>
      <c r="AS95" s="3"/>
      <c r="AT95" s="3"/>
      <c r="AU95" s="3"/>
      <c r="AV95" s="3"/>
      <c r="AW95" s="3"/>
      <c r="AX95" s="3"/>
      <c r="AY95" s="3"/>
      <c r="AZ95" s="3"/>
      <c r="BA95" s="3"/>
      <c r="BB95" s="3"/>
      <c r="BC95" s="3"/>
      <c r="BD95" s="3"/>
      <c r="BE95" s="40">
        <f t="array" ref="BE95">MIN(100, MAX(0,
  IFERROR(_xlfn.XLOOKUP(AT95,'Lookup Tables'!$D$2:$D$6,'Lookup Tables'!$E$2:$E$6,0),0)
  + IFERROR(_xlfn.XLOOKUP(AV95,'Lookup Tables'!$G$2:$G$5,'Lookup Tables'!$H$2:$H$5,0),0)
  + IFERROR(_xlfn.XLOOKUP(AW95,'Lookup Tables'!$J$2:$J$5,'Lookup Tables'!$K$2:$K$5,0),0)
  + _xlfn.IFS(AX95="No Issues",10, AX95="Complaint Filed",3, AX95="Confirmed Breach",-15, TRUE,0)
  + IFERROR(_xlfn.XLOOKUP(AY95,'Lookup Tables'!$M$2:$M$6,'Lookup Tables'!$N$2:$N$6,0),0)
  + IFERROR(_xlfn.XLOOKUP(AZ95,'Lookup Tables'!$P$2:$P$6,'Lookup Tables'!$Q$2:$Q$6,0),0)
  + _xlfn.IFS(BA95="Formal Board Committee",5, BA95="Board Oversight Mentioned",2, TRUE,0)
  + _xlfn.IFS(BB95="Yes — Quantified Targets",5, BB95="Yes — Discretionary Only",2, TRUE,0)
  + _xlfn.IFS(BC95="Reasonable Assurance",5, BC95="Limited Assurance",3, BC95="Management Review Only",1, TRUE,0)
))</f>
        <v>0</v>
      </c>
      <c r="BF95" s="3"/>
      <c r="BG95" s="3"/>
      <c r="BH95" s="3"/>
      <c r="BI95" s="3"/>
      <c r="BJ95" s="3"/>
      <c r="BK95" s="3"/>
      <c r="BL95" s="3"/>
      <c r="BM95" s="3"/>
      <c r="BN95" s="3"/>
      <c r="BO95" s="3"/>
      <c r="BP95" s="3"/>
      <c r="BQ95" s="3"/>
      <c r="BR95" s="3"/>
      <c r="BS95" s="42">
        <f t="array" ref="BS95">MIN(100, MAX(0,
  IFERROR(_xlfn.XLOOKUP(BG95,'Lookup Tables'!$A$11:$A$16,'Lookup Tables'!$B$11:$B$16,0),0)
  + IFERROR(_xlfn.XLOOKUP(BR95,'Lookup Tables'!$M$11:$M$14,'Lookup Tables'!$N$11:$N$14,0),0)
  + IFERROR(_xlfn.XLOOKUP(BQ95,'Lookup Tables'!$J$11:$J$15,'Lookup Tables'!$K$11:$K$15,0),0)
  + IFERROR(_xlfn.XLOOKUP(BH95,'Lookup Tables'!$D$11:$D$15,'Lookup Tables'!$E$11:$E$15,0),0)
  + IFERROR(_xlfn.XLOOKUP(BJ95,'Lookup Tables'!$G$11:$G$16,'Lookup Tables'!$H$11:$H$16,0),0)
  + IFERROR(_xlfn.XLOOKUP(BN95,'Lookup Tables'!$P$11:$P$15,'Lookup Tables'!$Q$11:$Q$15,0),0)
  + _xlfn.IFS(BM95="No Evidence",10, BM95="Unknown",3, BM95="Likely",0, BM95="Confirmed",-10, TRUE,3)
  + IFERROR(_xlfn.XLOOKUP(BP95,'Lookup Tables'!$J$21:$J$24,'Lookup Tables'!$K$21:$K$24,0),0)
))</f>
        <v>3</v>
      </c>
      <c r="BT95" s="3"/>
      <c r="BU95" s="3"/>
      <c r="BV95" s="3"/>
      <c r="BW95" s="3"/>
      <c r="BX95" s="3"/>
      <c r="BY95" s="3"/>
      <c r="BZ95" s="3"/>
      <c r="CA95" s="3"/>
      <c r="CB95" s="3"/>
      <c r="CC95" s="3"/>
      <c r="CD95" s="3"/>
      <c r="CE95" s="44">
        <f t="array" ref="CE95">MIN(100, MAX(0,
  IF(ISNUMBER(BV95)*AND(BV95&gt;0), 10, 0)
  + _xlfn.IFS(BY95="Independently Verified",25, BY95="Yes",15, TRUE,0)
  + IFERROR(_xlfn.XLOOKUP(BZ95,'Lookup Tables'!$A$21:$A$24,'Lookup Tables'!$B$21:$B$24,0),0)
  + IFERROR(_xlfn.XLOOKUP(CA95,'Lookup Tables'!$D$21:$D$24,'Lookup Tables'!$E$21:$E$24,0),0)
  + _xlfn.IFS(ISNUMBER(CB95)*AND(CB95&gt;=11),15, ISNUMBER(CB95)*AND(CB95&gt;=6),10, ISNUMBER(CB95)*AND(CB95&gt;=1),5, TRUE,0)
  + IFERROR(_xlfn.XLOOKUP(CC95,'Lookup Tables'!$G$21:$G$25,'Lookup Tables'!$H$21:$H$25,0),0)
  - IF(ISNUMBER(BW95)*AND(ISNUMBER(BV95))*AND(BW95&gt;BV95), 20, 0)
  - IF(AND(BY95="Yes", ISNUMBER(BW95), BW95&gt;60), 10, 0)
))</f>
        <v>0</v>
      </c>
      <c r="CF95" s="3"/>
      <c r="CG95" s="3"/>
      <c r="CH95" s="3"/>
      <c r="CI95" s="3"/>
      <c r="CJ95" s="3"/>
      <c r="CK95" s="3"/>
      <c r="CL95" s="3"/>
      <c r="CM95" s="3"/>
      <c r="CN95" s="3"/>
      <c r="CO95" s="3"/>
      <c r="CP95" s="3"/>
      <c r="CQ95" s="3"/>
      <c r="CR95" s="3">
        <f t="shared" si="77"/>
        <v>0</v>
      </c>
      <c r="CS95" s="3">
        <f t="shared" si="78"/>
        <v>0</v>
      </c>
      <c r="CT95" s="3">
        <f t="shared" si="79"/>
        <v>0</v>
      </c>
      <c r="CU95" s="3">
        <f>MIN(100,
  CR95*15
  + CS95*6
  + CT95*3
  + IFERROR(_xlfn.XLOOKUP(CW95,'Lookup Tables'!$M$21:$M$25,'Lookup Tables'!$N$21:$N$25,0),0)
)</f>
        <v>0</v>
      </c>
      <c r="CV95" s="3" t="str">
        <f t="shared" si="80"/>
        <v>No failures</v>
      </c>
      <c r="CW95" s="3"/>
      <c r="CX95" s="3"/>
      <c r="CY95" s="3"/>
      <c r="CZ95" s="3"/>
      <c r="DA95" s="3" t="str">
        <f t="shared" si="81"/>
        <v>Yes</v>
      </c>
      <c r="DB95" s="3" t="str">
        <f t="shared" si="82"/>
        <v>No</v>
      </c>
      <c r="DC95" s="3"/>
      <c r="DD95" s="3"/>
      <c r="DE95" s="3"/>
      <c r="DF95" s="3"/>
      <c r="DG95" s="3"/>
      <c r="DH95" s="3"/>
      <c r="DI95" s="3"/>
      <c r="DJ95" s="3"/>
      <c r="DK95" s="3"/>
      <c r="DL95" s="3" t="str">
        <f t="shared" si="83"/>
        <v>Clear</v>
      </c>
      <c r="DM95" s="3" t="str">
        <f t="shared" si="84"/>
        <v>Yes</v>
      </c>
      <c r="DN95" s="3">
        <f t="array" ref="DN95">MIN(100,
  IF(ISNUMBER(V95), _xlfn.IFS(V95&gt;=3,25, V95=2,15, V95=1,5, TRUE,0), 0)
  + IFERROR(_xlfn.IFS(VALUE(LEFT(DF95,1))=5,25, VALUE(LEFT(DF95,1))=4,20, VALUE(LEFT(DF95,1))=3,15, VALUE(LEFT(DF95,1))=2,8, TRUE,0), 15)
  + IFERROR(_xlfn.IFS(VALUE(LEFT(DG95,1))=5,25, VALUE(LEFT(DG95,1))=4,20, VALUE(LEFT(DG95,1))=3,15, VALUE(LEFT(DG95,1))=2,8, TRUE,0), 15)
  + _xlfn.IFS(DH95="Fully Verified",25, DH95="Partially Verified",12, TRUE,0)
)</f>
        <v>30</v>
      </c>
      <c r="DO95" s="3" t="str">
        <f t="array" ref="DO95">_xlfn.IFS(
  ISBLANK(AR95), "Insufficient Evidence",
  AND(AR95&gt;=65, AJ95="Approved"), "Strong",
  AR95&gt;=65, "Adequate",
  AR95&gt;=40, "Adequate",
  AR95&gt;=20, "Weak",
  TRUE, "Insufficient Evidence"
)</f>
        <v>Insufficient Evidence</v>
      </c>
      <c r="DP95" s="3" t="str">
        <f t="array" ref="DP95">_xlfn.IFS(
  ISBLANK(BS95), "Insufficient Evidence",
  BS95&gt;=65, "Strong",
  BS95&gt;=40, "Adequate",
  BS95&gt;=20, "Weak",
  TRUE, "Insufficient Evidence"
)</f>
        <v>Insufficient Evidence</v>
      </c>
      <c r="DQ95" s="3" t="str">
        <f t="array" ref="DQ95">_xlfn.IFS(
  ISBLANK(BE95), "Insufficient Evidence",
  OR(AW95="Confirmed Violation", AX95="Confirmed Breach"), "Severe — Hard Trigger",
  BE95&gt;=65, "Strong",
  BE95&gt;=40, "Adequate",
  BE95&gt;=20, "Weak",
  TRUE, "Insufficient Evidence"
)</f>
        <v>Insufficient Evidence</v>
      </c>
      <c r="DR95" s="3" t="str">
        <f t="array" ref="DR95">_xlfn.IFS(
  ISBLANK(CU95), "Insufficient Evidence",
  CU95&lt;=20, "Low Risk",
  CU95&lt;=50, "Moderate Risk",
  CU95&lt;=75, "High Risk",
  TRUE, "Very High Risk"
)</f>
        <v>Low Risk</v>
      </c>
      <c r="DS95" s="3" t="str">
        <f t="array" ref="DS95">_xlfn.IFS(
  ISBLANK(CE95), "Insufficient Evidence",
  AND(ISNUMBER(BW95),ISNUMBER(BV95),BW95&gt;BV95), "Overclaiming Risk",
  CE95&gt;=65, "Strong",
  CE95&gt;=40, "Adequate",
  TRUE, "Weak"
)</f>
        <v>Weak</v>
      </c>
      <c r="DT95" s="3">
        <f t="shared" si="85"/>
        <v>11.7</v>
      </c>
      <c r="DU95" s="3" t="str">
        <f t="array" ref="DU95">_xlfn.IFS(
  DV95="Upgraded to Clear", "Clear",
  DV95="Downgraded to Watchlist", "Watchlist",
  DV95="Downgraded to Exclusion", "Exclusion Risk",
  DB95="Yes — Automatic", "Exclusion Risk",
  OR(AW95="Confirmed Violation", AX95="Confirmed Breach"), "Exclusion Risk",
  OR(V95=0, ISBLANK(V95), DN95&lt;20), "Insufficient Evidence",
  AND(DT95&gt;=65, DA95="No", DB95="No"), "Clear",
  OR(DT95&gt;=40, DA95="Yes"), "Watchlist",
  TRUE, "Exclusion Risk"
)</f>
        <v>Insufficient Evidence</v>
      </c>
      <c r="DV95" s="3"/>
      <c r="DW95" s="3" t="str">
        <f t="array" ref="DW95">_xlfn.IFS(
  DU95="Exclusion Risk", "Exclude — Hard Trigger",
  DU95="Insufficient Evidence", "Watchlist — Further Evidence Needed",
  DU95="Watchlist", "Watchlist — Further Evidence Needed",
  AND(DU95="Clear", DT95&gt;=80), "Include — No Conditions",
  DU95="Clear", "Include — Monitor",
  TRUE, "Watchlist — Further Evidence Needed"
)</f>
        <v>Watchlist — Further Evidence Needed</v>
      </c>
      <c r="DX95" s="3"/>
      <c r="DY95" s="3"/>
      <c r="DZ95" s="3"/>
      <c r="EA95" s="3"/>
      <c r="EB95" s="3" t="str">
        <f t="shared" si="86"/>
        <v>MISSING — No sources reviewed</v>
      </c>
      <c r="EC95" s="3" t="str">
        <f t="shared" si="87"/>
        <v/>
      </c>
    </row>
    <row r="96" spans="1:133" ht="18" customHeight="1" x14ac:dyDescent="0.15">
      <c r="A96" s="5" t="s">
        <v>575</v>
      </c>
      <c r="B96" s="5" t="s">
        <v>576</v>
      </c>
      <c r="C96" s="5" t="str">
        <f>IF(ISBLANK('Universe Tracker'!D71),"",'Universe Tracker'!D71)</f>
        <v>SE0000375115</v>
      </c>
      <c r="D96" s="5"/>
      <c r="E96" s="5"/>
      <c r="F96" s="5" t="str">
        <f>IF(ISBLANK('Universe Tracker'!F71),"",'Universe Tracker'!F71)</f>
        <v>Technology</v>
      </c>
      <c r="G96" s="5" t="str">
        <f>IF(ISBLANK('Universe Tracker'!G71),"",'Universe Tracker'!G71)</f>
        <v>Tech Hardware &amp; Semiconductors</v>
      </c>
      <c r="H96" s="5"/>
      <c r="I96" s="5"/>
      <c r="J96" s="5" t="str">
        <f t="shared" si="75"/>
        <v>MLT_SE0000375115</v>
      </c>
      <c r="K96" s="5"/>
      <c r="L96" s="5"/>
      <c r="M96" s="5"/>
      <c r="N96" s="5"/>
      <c r="O96" s="5"/>
      <c r="P96" s="5"/>
      <c r="Q96" s="5"/>
      <c r="R96" s="5"/>
      <c r="S96" s="5"/>
      <c r="T96" s="5"/>
      <c r="U96" s="5"/>
      <c r="V96" s="5"/>
      <c r="W96" s="5"/>
      <c r="X96" s="5"/>
      <c r="Y96" s="5" t="str">
        <f t="shared" si="76"/>
        <v>Insufficient</v>
      </c>
      <c r="Z96" s="5"/>
      <c r="AA96" s="5"/>
      <c r="AB96" s="5"/>
      <c r="AC96" s="5"/>
      <c r="AD96" s="5"/>
      <c r="AE96" s="5"/>
      <c r="AF96" s="5"/>
      <c r="AG96" s="5"/>
      <c r="AH96" s="5"/>
      <c r="AI96" s="5"/>
      <c r="AJ96" s="5"/>
      <c r="AK96" s="5"/>
      <c r="AL96" s="5"/>
      <c r="AM96" s="5"/>
      <c r="AN96" s="5"/>
      <c r="AO96" s="5"/>
      <c r="AP96" s="5"/>
      <c r="AQ96" s="5"/>
      <c r="AR96" s="40">
        <f t="array" ref="AR96">MIN(100, MAX(0,
  IFERROR(_xlfn.XLOOKUP(AJ96,'Lookup Tables'!$A$2:$A$7,'Lookup Tables'!$B$2:$B$7,0),0)
  + IF(Z96="Yes", IF(IFERROR(_xlfn.XLOOKUP(AJ96,'Lookup Tables'!$A$2:$A$7,'Lookup Tables'!$B$2:$B$7,0),0)&lt;20, 5, 0), 0)
  + _xlfn.IFS(AB96="Yes", IF(ISNUMBER(AC96)*AND(AC96&lt;=2030),15,10), AB96="Long-term Only", 5, AB96="No", 0, TRUE, 0)
  + _xlfn.IFS(AF96="Full",10, AF96="Partial",5, AF96="Scope 2 Only",3, TRUE,0)
  + _xlfn.IFS(AG96="Yes", IF(ISNUMBER(AH96)*AND(AH96&gt;=5),10,6), AG96="Partial",4, TRUE,0)
  + _xlfn.IFS(AI96="Yes",5, AI96="Partial (material categories only)",3, TRUE,0)
  + _xlfn.IFS(AL96="Yes — Detailed",10, AL96="Yes — High Level",5, TRUE,0)
  + _xlfn.IFS(AM96="Yes — Quantified",15, AM96="Yes — Directional Only",7, TRUE,0)
  + _xlfn.IFS(AP96="Formal",5, AP96="Referenced",2, TRUE,0)
  + _xlfn.IFS(AQ96="No Issues Found",5, AQ96="Concern Identified",-5, AQ96="Severe Contradiction",-15, TRUE,0)
  + _xlfn.IFS(BC96="Reasonable Assurance",5, BC96="Limited Assurance",3, TRUE,0)
  - IF(AND(Z96="Yes", AI96="No"), 10, 0)
  - IF(AND(Z96="Yes", AM96="No"), 10, 0)
))</f>
        <v>0</v>
      </c>
      <c r="AS96" s="5"/>
      <c r="AT96" s="5"/>
      <c r="AU96" s="5"/>
      <c r="AV96" s="5"/>
      <c r="AW96" s="5"/>
      <c r="AX96" s="5"/>
      <c r="AY96" s="5"/>
      <c r="AZ96" s="5"/>
      <c r="BA96" s="5"/>
      <c r="BB96" s="5"/>
      <c r="BC96" s="5"/>
      <c r="BD96" s="5"/>
      <c r="BE96" s="39">
        <f t="array" ref="BE96">MIN(100, MAX(0,
  IFERROR(_xlfn.XLOOKUP(AT96,'Lookup Tables'!$D$2:$D$6,'Lookup Tables'!$E$2:$E$6,0),0)
  + IFERROR(_xlfn.XLOOKUP(AV96,'Lookup Tables'!$G$2:$G$5,'Lookup Tables'!$H$2:$H$5,0),0)
  + IFERROR(_xlfn.XLOOKUP(AW96,'Lookup Tables'!$J$2:$J$5,'Lookup Tables'!$K$2:$K$5,0),0)
  + _xlfn.IFS(AX96="No Issues",10, AX96="Complaint Filed",3, AX96="Confirmed Breach",-15, TRUE,0)
  + IFERROR(_xlfn.XLOOKUP(AY96,'Lookup Tables'!$M$2:$M$6,'Lookup Tables'!$N$2:$N$6,0),0)
  + IFERROR(_xlfn.XLOOKUP(AZ96,'Lookup Tables'!$P$2:$P$6,'Lookup Tables'!$Q$2:$Q$6,0),0)
  + _xlfn.IFS(BA96="Formal Board Committee",5, BA96="Board Oversight Mentioned",2, TRUE,0)
  + _xlfn.IFS(BB96="Yes — Quantified Targets",5, BB96="Yes — Discretionary Only",2, TRUE,0)
  + _xlfn.IFS(BC96="Reasonable Assurance",5, BC96="Limited Assurance",3, BC96="Management Review Only",1, TRUE,0)
))</f>
        <v>0</v>
      </c>
      <c r="BF96" s="5"/>
      <c r="BG96" s="5"/>
      <c r="BH96" s="5"/>
      <c r="BI96" s="5"/>
      <c r="BJ96" s="5"/>
      <c r="BK96" s="5"/>
      <c r="BL96" s="5"/>
      <c r="BM96" s="5"/>
      <c r="BN96" s="5"/>
      <c r="BO96" s="5"/>
      <c r="BP96" s="5"/>
      <c r="BQ96" s="5"/>
      <c r="BR96" s="5"/>
      <c r="BS96" s="41">
        <f t="array" ref="BS96">MIN(100, MAX(0,
  IFERROR(_xlfn.XLOOKUP(BG96,'Lookup Tables'!$A$11:$A$16,'Lookup Tables'!$B$11:$B$16,0),0)
  + IFERROR(_xlfn.XLOOKUP(BR96,'Lookup Tables'!$M$11:$M$14,'Lookup Tables'!$N$11:$N$14,0),0)
  + IFERROR(_xlfn.XLOOKUP(BQ96,'Lookup Tables'!$J$11:$J$15,'Lookup Tables'!$K$11:$K$15,0),0)
  + IFERROR(_xlfn.XLOOKUP(BH96,'Lookup Tables'!$D$11:$D$15,'Lookup Tables'!$E$11:$E$15,0),0)
  + IFERROR(_xlfn.XLOOKUP(BJ96,'Lookup Tables'!$G$11:$G$16,'Lookup Tables'!$H$11:$H$16,0),0)
  + IFERROR(_xlfn.XLOOKUP(BN96,'Lookup Tables'!$P$11:$P$15,'Lookup Tables'!$Q$11:$Q$15,0),0)
  + _xlfn.IFS(BM96="No Evidence",10, BM96="Unknown",3, BM96="Likely",0, BM96="Confirmed",-10, TRUE,3)
  + IFERROR(_xlfn.XLOOKUP(BP96,'Lookup Tables'!$J$21:$J$24,'Lookup Tables'!$K$21:$K$24,0),0)
))</f>
        <v>3</v>
      </c>
      <c r="BT96" s="5"/>
      <c r="BU96" s="5"/>
      <c r="BV96" s="5"/>
      <c r="BW96" s="5"/>
      <c r="BX96" s="5"/>
      <c r="BY96" s="5"/>
      <c r="BZ96" s="5"/>
      <c r="CA96" s="5"/>
      <c r="CB96" s="5"/>
      <c r="CC96" s="5"/>
      <c r="CD96" s="5"/>
      <c r="CE96" s="43">
        <f t="array" ref="CE96">MIN(100, MAX(0,
  IF(ISNUMBER(BV96)*AND(BV96&gt;0), 10, 0)
  + _xlfn.IFS(BY96="Independently Verified",25, BY96="Yes",15, TRUE,0)
  + IFERROR(_xlfn.XLOOKUP(BZ96,'Lookup Tables'!$A$21:$A$24,'Lookup Tables'!$B$21:$B$24,0),0)
  + IFERROR(_xlfn.XLOOKUP(CA96,'Lookup Tables'!$D$21:$D$24,'Lookup Tables'!$E$21:$E$24,0),0)
  + _xlfn.IFS(ISNUMBER(CB96)*AND(CB96&gt;=11),15, ISNUMBER(CB96)*AND(CB96&gt;=6),10, ISNUMBER(CB96)*AND(CB96&gt;=1),5, TRUE,0)
  + IFERROR(_xlfn.XLOOKUP(CC96,'Lookup Tables'!$G$21:$G$25,'Lookup Tables'!$H$21:$H$25,0),0)
  - IF(ISNUMBER(BW96)*AND(ISNUMBER(BV96))*AND(BW96&gt;BV96), 20, 0)
  - IF(AND(BY96="Yes", ISNUMBER(BW96), BW96&gt;60), 10, 0)
))</f>
        <v>0</v>
      </c>
      <c r="CF96" s="5"/>
      <c r="CG96" s="5"/>
      <c r="CH96" s="5"/>
      <c r="CI96" s="5"/>
      <c r="CJ96" s="5"/>
      <c r="CK96" s="5"/>
      <c r="CL96" s="5"/>
      <c r="CM96" s="5"/>
      <c r="CN96" s="5"/>
      <c r="CO96" s="5"/>
      <c r="CP96" s="5"/>
      <c r="CQ96" s="5"/>
      <c r="CR96" s="5">
        <f t="shared" si="77"/>
        <v>0</v>
      </c>
      <c r="CS96" s="5">
        <f t="shared" si="78"/>
        <v>0</v>
      </c>
      <c r="CT96" s="5">
        <f t="shared" si="79"/>
        <v>0</v>
      </c>
      <c r="CU96" s="5">
        <f>MIN(100,
  CR96*15
  + CS96*6
  + CT96*3
  + IFERROR(_xlfn.XLOOKUP(CW96,'Lookup Tables'!$M$21:$M$25,'Lookup Tables'!$N$21:$N$25,0),0)
)</f>
        <v>0</v>
      </c>
      <c r="CV96" s="5" t="str">
        <f t="shared" si="80"/>
        <v>No failures</v>
      </c>
      <c r="CW96" s="5"/>
      <c r="CX96" s="5"/>
      <c r="CY96" s="5"/>
      <c r="CZ96" s="5"/>
      <c r="DA96" s="5" t="str">
        <f t="shared" si="81"/>
        <v>Yes</v>
      </c>
      <c r="DB96" s="5" t="str">
        <f t="shared" si="82"/>
        <v>No</v>
      </c>
      <c r="DC96" s="5"/>
      <c r="DD96" s="5"/>
      <c r="DE96" s="5"/>
      <c r="DF96" s="5"/>
      <c r="DG96" s="5"/>
      <c r="DH96" s="5"/>
      <c r="DI96" s="5"/>
      <c r="DJ96" s="5"/>
      <c r="DK96" s="5"/>
      <c r="DL96" s="5" t="str">
        <f t="shared" si="83"/>
        <v>Clear</v>
      </c>
      <c r="DM96" s="5" t="str">
        <f t="shared" si="84"/>
        <v>Yes</v>
      </c>
      <c r="DN96" s="5">
        <f t="array" ref="DN96">MIN(100,
  IF(ISNUMBER(V96), _xlfn.IFS(V96&gt;=3,25, V96=2,15, V96=1,5, TRUE,0), 0)
  + IFERROR(_xlfn.IFS(VALUE(LEFT(DF96,1))=5,25, VALUE(LEFT(DF96,1))=4,20, VALUE(LEFT(DF96,1))=3,15, VALUE(LEFT(DF96,1))=2,8, TRUE,0), 15)
  + IFERROR(_xlfn.IFS(VALUE(LEFT(DG96,1))=5,25, VALUE(LEFT(DG96,1))=4,20, VALUE(LEFT(DG96,1))=3,15, VALUE(LEFT(DG96,1))=2,8, TRUE,0), 15)
  + _xlfn.IFS(DH96="Fully Verified",25, DH96="Partially Verified",12, TRUE,0)
)</f>
        <v>30</v>
      </c>
      <c r="DO96" s="5" t="str">
        <f t="array" ref="DO96">_xlfn.IFS(
  ISBLANK(AR96), "Insufficient Evidence",
  AND(AR96&gt;=65, AJ96="Approved"), "Strong",
  AR96&gt;=65, "Adequate",
  AR96&gt;=40, "Adequate",
  AR96&gt;=20, "Weak",
  TRUE, "Insufficient Evidence"
)</f>
        <v>Insufficient Evidence</v>
      </c>
      <c r="DP96" s="5" t="str">
        <f t="array" ref="DP96">_xlfn.IFS(
  ISBLANK(BS96), "Insufficient Evidence",
  BS96&gt;=65, "Strong",
  BS96&gt;=40, "Adequate",
  BS96&gt;=20, "Weak",
  TRUE, "Insufficient Evidence"
)</f>
        <v>Insufficient Evidence</v>
      </c>
      <c r="DQ96" s="5" t="str">
        <f t="array" ref="DQ96">_xlfn.IFS(
  ISBLANK(BE96), "Insufficient Evidence",
  OR(AW96="Confirmed Violation", AX96="Confirmed Breach"), "Severe — Hard Trigger",
  BE96&gt;=65, "Strong",
  BE96&gt;=40, "Adequate",
  BE96&gt;=20, "Weak",
  TRUE, "Insufficient Evidence"
)</f>
        <v>Insufficient Evidence</v>
      </c>
      <c r="DR96" s="5" t="str">
        <f t="array" ref="DR96">_xlfn.IFS(
  ISBLANK(CU96), "Insufficient Evidence",
  CU96&lt;=20, "Low Risk",
  CU96&lt;=50, "Moderate Risk",
  CU96&lt;=75, "High Risk",
  TRUE, "Very High Risk"
)</f>
        <v>Low Risk</v>
      </c>
      <c r="DS96" s="5" t="str">
        <f t="array" ref="DS96">_xlfn.IFS(
  ISBLANK(CE96), "Insufficient Evidence",
  AND(ISNUMBER(BW96),ISNUMBER(BV96),BW96&gt;BV96), "Overclaiming Risk",
  CE96&gt;=65, "Strong",
  CE96&gt;=40, "Adequate",
  TRUE, "Weak"
)</f>
        <v>Weak</v>
      </c>
      <c r="DT96" s="5">
        <f t="shared" si="85"/>
        <v>11.7</v>
      </c>
      <c r="DU96" s="5" t="str">
        <f t="array" ref="DU96">_xlfn.IFS(
  DV96="Upgraded to Clear", "Clear",
  DV96="Downgraded to Watchlist", "Watchlist",
  DV96="Downgraded to Exclusion", "Exclusion Risk",
  DB96="Yes — Automatic", "Exclusion Risk",
  OR(AW96="Confirmed Violation", AX96="Confirmed Breach"), "Exclusion Risk",
  OR(V96=0, ISBLANK(V96), DN96&lt;20), "Insufficient Evidence",
  AND(DT96&gt;=65, DA96="No", DB96="No"), "Clear",
  OR(DT96&gt;=40, DA96="Yes"), "Watchlist",
  TRUE, "Exclusion Risk"
)</f>
        <v>Insufficient Evidence</v>
      </c>
      <c r="DV96" s="5"/>
      <c r="DW96" s="5" t="str">
        <f t="array" ref="DW96">_xlfn.IFS(
  DU96="Exclusion Risk", "Exclude — Hard Trigger",
  DU96="Insufficient Evidence", "Watchlist — Further Evidence Needed",
  DU96="Watchlist", "Watchlist — Further Evidence Needed",
  AND(DU96="Clear", DT96&gt;=80), "Include — No Conditions",
  DU96="Clear", "Include — Monitor",
  TRUE, "Watchlist — Further Evidence Needed"
)</f>
        <v>Watchlist — Further Evidence Needed</v>
      </c>
      <c r="DX96" s="5"/>
      <c r="DY96" s="5"/>
      <c r="DZ96" s="5"/>
      <c r="EA96" s="5"/>
      <c r="EB96" s="5" t="str">
        <f t="shared" si="86"/>
        <v>MISSING — No sources reviewed</v>
      </c>
      <c r="EC96" s="5" t="str">
        <f t="shared" si="87"/>
        <v/>
      </c>
    </row>
    <row r="97" spans="1:133" ht="18" customHeight="1" x14ac:dyDescent="0.15">
      <c r="A97" s="3" t="s">
        <v>579</v>
      </c>
      <c r="B97" s="3" t="s">
        <v>580</v>
      </c>
      <c r="C97" s="3" t="str">
        <f>IF(ISBLANK('Universe Tracker'!D72),"",'Universe Tracker'!D72)</f>
        <v>NO0010161896</v>
      </c>
      <c r="D97" s="3"/>
      <c r="E97" s="3"/>
      <c r="F97" s="3" t="str">
        <f>IF(ISBLANK('Universe Tracker'!F72),"",'Universe Tracker'!F72)</f>
        <v>Financials</v>
      </c>
      <c r="G97" s="3" t="str">
        <f>IF(ISBLANK('Universe Tracker'!G72),"",'Universe Tracker'!G72)</f>
        <v>Banking</v>
      </c>
      <c r="H97" s="3"/>
      <c r="I97" s="3"/>
      <c r="J97" s="3" t="str">
        <f t="shared" si="75"/>
        <v>D1NC_NO0010161896</v>
      </c>
      <c r="K97" s="3"/>
      <c r="L97" s="3"/>
      <c r="M97" s="3"/>
      <c r="N97" s="3"/>
      <c r="O97" s="3"/>
      <c r="P97" s="3"/>
      <c r="Q97" s="3"/>
      <c r="R97" s="3"/>
      <c r="S97" s="3"/>
      <c r="T97" s="3"/>
      <c r="U97" s="3"/>
      <c r="V97" s="3"/>
      <c r="W97" s="3"/>
      <c r="X97" s="3"/>
      <c r="Y97" s="3" t="str">
        <f t="shared" si="76"/>
        <v>Insufficient</v>
      </c>
      <c r="Z97" s="3"/>
      <c r="AA97" s="3"/>
      <c r="AB97" s="3"/>
      <c r="AC97" s="3"/>
      <c r="AD97" s="3"/>
      <c r="AE97" s="3"/>
      <c r="AF97" s="3"/>
      <c r="AG97" s="3"/>
      <c r="AH97" s="3"/>
      <c r="AI97" s="3"/>
      <c r="AJ97" s="3"/>
      <c r="AK97" s="3"/>
      <c r="AL97" s="3"/>
      <c r="AM97" s="3"/>
      <c r="AN97" s="3"/>
      <c r="AO97" s="3"/>
      <c r="AP97" s="3"/>
      <c r="AQ97" s="3"/>
      <c r="AR97" s="40">
        <f t="array" ref="AR97">MIN(100, MAX(0,
  IFERROR(_xlfn.XLOOKUP(AJ97,'Lookup Tables'!$A$2:$A$7,'Lookup Tables'!$B$2:$B$7,0),0)
  + IF(Z97="Yes", IF(IFERROR(_xlfn.XLOOKUP(AJ97,'Lookup Tables'!$A$2:$A$7,'Lookup Tables'!$B$2:$B$7,0),0)&lt;20, 5, 0), 0)
  + _xlfn.IFS(AB97="Yes", IF(ISNUMBER(AC97)*AND(AC97&lt;=2030),15,10), AB97="Long-term Only", 5, AB97="No", 0, TRUE, 0)
  + _xlfn.IFS(AF97="Full",10, AF97="Partial",5, AF97="Scope 2 Only",3, TRUE,0)
  + _xlfn.IFS(AG97="Yes", IF(ISNUMBER(AH97)*AND(AH97&gt;=5),10,6), AG97="Partial",4, TRUE,0)
  + _xlfn.IFS(AI97="Yes",5, AI97="Partial (material categories only)",3, TRUE,0)
  + _xlfn.IFS(AL97="Yes — Detailed",10, AL97="Yes — High Level",5, TRUE,0)
  + _xlfn.IFS(AM97="Yes — Quantified",15, AM97="Yes — Directional Only",7, TRUE,0)
  + _xlfn.IFS(AP97="Formal",5, AP97="Referenced",2, TRUE,0)
  + _xlfn.IFS(AQ97="No Issues Found",5, AQ97="Concern Identified",-5, AQ97="Severe Contradiction",-15, TRUE,0)
  + _xlfn.IFS(BC97="Reasonable Assurance",5, BC97="Limited Assurance",3, TRUE,0)
  - IF(AND(Z97="Yes", AI97="No"), 10, 0)
  - IF(AND(Z97="Yes", AM97="No"), 10, 0)
))</f>
        <v>0</v>
      </c>
      <c r="AS97" s="3"/>
      <c r="AT97" s="3"/>
      <c r="AU97" s="3"/>
      <c r="AV97" s="3"/>
      <c r="AW97" s="3"/>
      <c r="AX97" s="3"/>
      <c r="AY97" s="3"/>
      <c r="AZ97" s="3"/>
      <c r="BA97" s="3"/>
      <c r="BB97" s="3"/>
      <c r="BC97" s="3"/>
      <c r="BD97" s="3"/>
      <c r="BE97" s="40">
        <f t="array" ref="BE97">MIN(100, MAX(0,
  IFERROR(_xlfn.XLOOKUP(AT97,'Lookup Tables'!$D$2:$D$6,'Lookup Tables'!$E$2:$E$6,0),0)
  + IFERROR(_xlfn.XLOOKUP(AV97,'Lookup Tables'!$G$2:$G$5,'Lookup Tables'!$H$2:$H$5,0),0)
  + IFERROR(_xlfn.XLOOKUP(AW97,'Lookup Tables'!$J$2:$J$5,'Lookup Tables'!$K$2:$K$5,0),0)
  + _xlfn.IFS(AX97="No Issues",10, AX97="Complaint Filed",3, AX97="Confirmed Breach",-15, TRUE,0)
  + IFERROR(_xlfn.XLOOKUP(AY97,'Lookup Tables'!$M$2:$M$6,'Lookup Tables'!$N$2:$N$6,0),0)
  + IFERROR(_xlfn.XLOOKUP(AZ97,'Lookup Tables'!$P$2:$P$6,'Lookup Tables'!$Q$2:$Q$6,0),0)
  + _xlfn.IFS(BA97="Formal Board Committee",5, BA97="Board Oversight Mentioned",2, TRUE,0)
  + _xlfn.IFS(BB97="Yes — Quantified Targets",5, BB97="Yes — Discretionary Only",2, TRUE,0)
  + _xlfn.IFS(BC97="Reasonable Assurance",5, BC97="Limited Assurance",3, BC97="Management Review Only",1, TRUE,0)
))</f>
        <v>0</v>
      </c>
      <c r="BF97" s="3"/>
      <c r="BG97" s="3"/>
      <c r="BH97" s="3"/>
      <c r="BI97" s="3"/>
      <c r="BJ97" s="3"/>
      <c r="BK97" s="3"/>
      <c r="BL97" s="3"/>
      <c r="BM97" s="3"/>
      <c r="BN97" s="3"/>
      <c r="BO97" s="3"/>
      <c r="BP97" s="3"/>
      <c r="BQ97" s="3"/>
      <c r="BR97" s="3"/>
      <c r="BS97" s="42">
        <f t="array" ref="BS97">MIN(100, MAX(0,
  IFERROR(_xlfn.XLOOKUP(BG97,'Lookup Tables'!$A$11:$A$16,'Lookup Tables'!$B$11:$B$16,0),0)
  + IFERROR(_xlfn.XLOOKUP(BR97,'Lookup Tables'!$M$11:$M$14,'Lookup Tables'!$N$11:$N$14,0),0)
  + IFERROR(_xlfn.XLOOKUP(BQ97,'Lookup Tables'!$J$11:$J$15,'Lookup Tables'!$K$11:$K$15,0),0)
  + IFERROR(_xlfn.XLOOKUP(BH97,'Lookup Tables'!$D$11:$D$15,'Lookup Tables'!$E$11:$E$15,0),0)
  + IFERROR(_xlfn.XLOOKUP(BJ97,'Lookup Tables'!$G$11:$G$16,'Lookup Tables'!$H$11:$H$16,0),0)
  + IFERROR(_xlfn.XLOOKUP(BN97,'Lookup Tables'!$P$11:$P$15,'Lookup Tables'!$Q$11:$Q$15,0),0)
  + _xlfn.IFS(BM97="No Evidence",10, BM97="Unknown",3, BM97="Likely",0, BM97="Confirmed",-10, TRUE,3)
  + IFERROR(_xlfn.XLOOKUP(BP97,'Lookup Tables'!$J$21:$J$24,'Lookup Tables'!$K$21:$K$24,0),0)
))</f>
        <v>3</v>
      </c>
      <c r="BT97" s="3"/>
      <c r="BU97" s="3"/>
      <c r="BV97" s="3"/>
      <c r="BW97" s="3"/>
      <c r="BX97" s="3"/>
      <c r="BY97" s="3"/>
      <c r="BZ97" s="3"/>
      <c r="CA97" s="3"/>
      <c r="CB97" s="3"/>
      <c r="CC97" s="3"/>
      <c r="CD97" s="3"/>
      <c r="CE97" s="44">
        <f t="array" ref="CE97">MIN(100, MAX(0,
  IF(ISNUMBER(BV97)*AND(BV97&gt;0), 10, 0)
  + _xlfn.IFS(BY97="Independently Verified",25, BY97="Yes",15, TRUE,0)
  + IFERROR(_xlfn.XLOOKUP(BZ97,'Lookup Tables'!$A$21:$A$24,'Lookup Tables'!$B$21:$B$24,0),0)
  + IFERROR(_xlfn.XLOOKUP(CA97,'Lookup Tables'!$D$21:$D$24,'Lookup Tables'!$E$21:$E$24,0),0)
  + _xlfn.IFS(ISNUMBER(CB97)*AND(CB97&gt;=11),15, ISNUMBER(CB97)*AND(CB97&gt;=6),10, ISNUMBER(CB97)*AND(CB97&gt;=1),5, TRUE,0)
  + IFERROR(_xlfn.XLOOKUP(CC97,'Lookup Tables'!$G$21:$G$25,'Lookup Tables'!$H$21:$H$25,0),0)
  - IF(ISNUMBER(BW97)*AND(ISNUMBER(BV97))*AND(BW97&gt;BV97), 20, 0)
  - IF(AND(BY97="Yes", ISNUMBER(BW97), BW97&gt;60), 10, 0)
))</f>
        <v>0</v>
      </c>
      <c r="CF97" s="3"/>
      <c r="CG97" s="3"/>
      <c r="CH97" s="3"/>
      <c r="CI97" s="3"/>
      <c r="CJ97" s="3"/>
      <c r="CK97" s="3"/>
      <c r="CL97" s="3"/>
      <c r="CM97" s="3"/>
      <c r="CN97" s="3"/>
      <c r="CO97" s="3"/>
      <c r="CP97" s="3"/>
      <c r="CQ97" s="3"/>
      <c r="CR97" s="3">
        <f t="shared" si="77"/>
        <v>0</v>
      </c>
      <c r="CS97" s="3">
        <f t="shared" si="78"/>
        <v>0</v>
      </c>
      <c r="CT97" s="3">
        <f t="shared" si="79"/>
        <v>0</v>
      </c>
      <c r="CU97" s="3">
        <f>MIN(100,
  CR97*15
  + CS97*6
  + CT97*3
  + IFERROR(_xlfn.XLOOKUP(CW97,'Lookup Tables'!$M$21:$M$25,'Lookup Tables'!$N$21:$N$25,0),0)
)</f>
        <v>0</v>
      </c>
      <c r="CV97" s="3" t="str">
        <f t="shared" si="80"/>
        <v>No failures</v>
      </c>
      <c r="CW97" s="3"/>
      <c r="CX97" s="3"/>
      <c r="CY97" s="3"/>
      <c r="CZ97" s="3"/>
      <c r="DA97" s="3" t="str">
        <f t="shared" si="81"/>
        <v>Yes</v>
      </c>
      <c r="DB97" s="3" t="str">
        <f t="shared" si="82"/>
        <v>No</v>
      </c>
      <c r="DC97" s="3"/>
      <c r="DD97" s="3"/>
      <c r="DE97" s="3"/>
      <c r="DF97" s="3"/>
      <c r="DG97" s="3"/>
      <c r="DH97" s="3"/>
      <c r="DI97" s="3"/>
      <c r="DJ97" s="3"/>
      <c r="DK97" s="3"/>
      <c r="DL97" s="3" t="str">
        <f t="shared" si="83"/>
        <v>Clear</v>
      </c>
      <c r="DM97" s="3" t="str">
        <f t="shared" si="84"/>
        <v>Yes</v>
      </c>
      <c r="DN97" s="3">
        <f t="array" ref="DN97">MIN(100,
  IF(ISNUMBER(V97), _xlfn.IFS(V97&gt;=3,25, V97=2,15, V97=1,5, TRUE,0), 0)
  + IFERROR(_xlfn.IFS(VALUE(LEFT(DF97,1))=5,25, VALUE(LEFT(DF97,1))=4,20, VALUE(LEFT(DF97,1))=3,15, VALUE(LEFT(DF97,1))=2,8, TRUE,0), 15)
  + IFERROR(_xlfn.IFS(VALUE(LEFT(DG97,1))=5,25, VALUE(LEFT(DG97,1))=4,20, VALUE(LEFT(DG97,1))=3,15, VALUE(LEFT(DG97,1))=2,8, TRUE,0), 15)
  + _xlfn.IFS(DH97="Fully Verified",25, DH97="Partially Verified",12, TRUE,0)
)</f>
        <v>30</v>
      </c>
      <c r="DO97" s="3" t="str">
        <f t="array" ref="DO97">_xlfn.IFS(
  ISBLANK(AR97), "Insufficient Evidence",
  AND(AR97&gt;=65, AJ97="Approved"), "Strong",
  AR97&gt;=65, "Adequate",
  AR97&gt;=40, "Adequate",
  AR97&gt;=20, "Weak",
  TRUE, "Insufficient Evidence"
)</f>
        <v>Insufficient Evidence</v>
      </c>
      <c r="DP97" s="3" t="str">
        <f t="array" ref="DP97">_xlfn.IFS(
  ISBLANK(BS97), "Insufficient Evidence",
  BS97&gt;=65, "Strong",
  BS97&gt;=40, "Adequate",
  BS97&gt;=20, "Weak",
  TRUE, "Insufficient Evidence"
)</f>
        <v>Insufficient Evidence</v>
      </c>
      <c r="DQ97" s="3" t="str">
        <f t="array" ref="DQ97">_xlfn.IFS(
  ISBLANK(BE97), "Insufficient Evidence",
  OR(AW97="Confirmed Violation", AX97="Confirmed Breach"), "Severe — Hard Trigger",
  BE97&gt;=65, "Strong",
  BE97&gt;=40, "Adequate",
  BE97&gt;=20, "Weak",
  TRUE, "Insufficient Evidence"
)</f>
        <v>Insufficient Evidence</v>
      </c>
      <c r="DR97" s="3" t="str">
        <f t="array" ref="DR97">_xlfn.IFS(
  ISBLANK(CU97), "Insufficient Evidence",
  CU97&lt;=20, "Low Risk",
  CU97&lt;=50, "Moderate Risk",
  CU97&lt;=75, "High Risk",
  TRUE, "Very High Risk"
)</f>
        <v>Low Risk</v>
      </c>
      <c r="DS97" s="3" t="str">
        <f t="array" ref="DS97">_xlfn.IFS(
  ISBLANK(CE97), "Insufficient Evidence",
  AND(ISNUMBER(BW97),ISNUMBER(BV97),BW97&gt;BV97), "Overclaiming Risk",
  CE97&gt;=65, "Strong",
  CE97&gt;=40, "Adequate",
  TRUE, "Weak"
)</f>
        <v>Weak</v>
      </c>
      <c r="DT97" s="3">
        <f t="shared" si="85"/>
        <v>11.7</v>
      </c>
      <c r="DU97" s="3" t="str">
        <f t="array" ref="DU97">_xlfn.IFS(
  DV97="Upgraded to Clear", "Clear",
  DV97="Downgraded to Watchlist", "Watchlist",
  DV97="Downgraded to Exclusion", "Exclusion Risk",
  DB97="Yes — Automatic", "Exclusion Risk",
  OR(AW97="Confirmed Violation", AX97="Confirmed Breach"), "Exclusion Risk",
  OR(V97=0, ISBLANK(V97), DN97&lt;20), "Insufficient Evidence",
  AND(DT97&gt;=65, DA97="No", DB97="No"), "Clear",
  OR(DT97&gt;=40, DA97="Yes"), "Watchlist",
  TRUE, "Exclusion Risk"
)</f>
        <v>Insufficient Evidence</v>
      </c>
      <c r="DV97" s="3"/>
      <c r="DW97" s="3" t="str">
        <f t="array" ref="DW97">_xlfn.IFS(
  DU97="Exclusion Risk", "Exclude — Hard Trigger",
  DU97="Insufficient Evidence", "Watchlist — Further Evidence Needed",
  DU97="Watchlist", "Watchlist — Further Evidence Needed",
  AND(DU97="Clear", DT97&gt;=80), "Include — No Conditions",
  DU97="Clear", "Include — Monitor",
  TRUE, "Watchlist — Further Evidence Needed"
)</f>
        <v>Watchlist — Further Evidence Needed</v>
      </c>
      <c r="DX97" s="3"/>
      <c r="DY97" s="3"/>
      <c r="DZ97" s="3"/>
      <c r="EA97" s="3"/>
      <c r="EB97" s="3" t="str">
        <f t="shared" si="86"/>
        <v>MISSING — No sources reviewed</v>
      </c>
      <c r="EC97" s="3" t="str">
        <f t="shared" si="87"/>
        <v/>
      </c>
    </row>
    <row r="98" spans="1:133" ht="18" customHeight="1" x14ac:dyDescent="0.15">
      <c r="A98" s="5" t="s">
        <v>583</v>
      </c>
      <c r="B98" s="5" t="s">
        <v>584</v>
      </c>
      <c r="C98" s="5" t="str">
        <f>IF(ISBLANK('Universe Tracker'!D73),"",'Universe Tracker'!D73)</f>
        <v>CH0311864901</v>
      </c>
      <c r="D98" s="5"/>
      <c r="E98" s="5"/>
      <c r="F98" s="5" t="str">
        <f>IF(ISBLANK('Universe Tracker'!F73),"",'Universe Tracker'!F73)</f>
        <v>Industrials</v>
      </c>
      <c r="G98" s="5" t="str">
        <f>IF(ISBLANK('Universe Tracker'!G73),"",'Universe Tracker'!G73)</f>
        <v>Industrial Products</v>
      </c>
      <c r="H98" s="5"/>
      <c r="I98" s="5"/>
      <c r="J98" s="5" t="str">
        <f t="shared" si="75"/>
        <v>19V_CH0311864901</v>
      </c>
      <c r="K98" s="5"/>
      <c r="L98" s="5"/>
      <c r="M98" s="5"/>
      <c r="N98" s="5"/>
      <c r="O98" s="5"/>
      <c r="P98" s="5"/>
      <c r="Q98" s="5"/>
      <c r="R98" s="5"/>
      <c r="S98" s="5"/>
      <c r="T98" s="5"/>
      <c r="U98" s="5"/>
      <c r="V98" s="5"/>
      <c r="W98" s="5"/>
      <c r="X98" s="5"/>
      <c r="Y98" s="5" t="str">
        <f t="shared" si="76"/>
        <v>Insufficient</v>
      </c>
      <c r="Z98" s="5"/>
      <c r="AA98" s="5"/>
      <c r="AB98" s="5"/>
      <c r="AC98" s="5"/>
      <c r="AD98" s="5"/>
      <c r="AE98" s="5"/>
      <c r="AF98" s="5"/>
      <c r="AG98" s="5"/>
      <c r="AH98" s="5"/>
      <c r="AI98" s="5"/>
      <c r="AJ98" s="5"/>
      <c r="AK98" s="5"/>
      <c r="AL98" s="5"/>
      <c r="AM98" s="5"/>
      <c r="AN98" s="5"/>
      <c r="AO98" s="5"/>
      <c r="AP98" s="5"/>
      <c r="AQ98" s="5"/>
      <c r="AR98" s="40">
        <f t="array" ref="AR98">MIN(100, MAX(0,
  IFERROR(_xlfn.XLOOKUP(AJ98,'Lookup Tables'!$A$2:$A$7,'Lookup Tables'!$B$2:$B$7,0),0)
  + IF(Z98="Yes", IF(IFERROR(_xlfn.XLOOKUP(AJ98,'Lookup Tables'!$A$2:$A$7,'Lookup Tables'!$B$2:$B$7,0),0)&lt;20, 5, 0), 0)
  + _xlfn.IFS(AB98="Yes", IF(ISNUMBER(AC98)*AND(AC98&lt;=2030),15,10), AB98="Long-term Only", 5, AB98="No", 0, TRUE, 0)
  + _xlfn.IFS(AF98="Full",10, AF98="Partial",5, AF98="Scope 2 Only",3, TRUE,0)
  + _xlfn.IFS(AG98="Yes", IF(ISNUMBER(AH98)*AND(AH98&gt;=5),10,6), AG98="Partial",4, TRUE,0)
  + _xlfn.IFS(AI98="Yes",5, AI98="Partial (material categories only)",3, TRUE,0)
  + _xlfn.IFS(AL98="Yes — Detailed",10, AL98="Yes — High Level",5, TRUE,0)
  + _xlfn.IFS(AM98="Yes — Quantified",15, AM98="Yes — Directional Only",7, TRUE,0)
  + _xlfn.IFS(AP98="Formal",5, AP98="Referenced",2, TRUE,0)
  + _xlfn.IFS(AQ98="No Issues Found",5, AQ98="Concern Identified",-5, AQ98="Severe Contradiction",-15, TRUE,0)
  + _xlfn.IFS(BC98="Reasonable Assurance",5, BC98="Limited Assurance",3, TRUE,0)
  - IF(AND(Z98="Yes", AI98="No"), 10, 0)
  - IF(AND(Z98="Yes", AM98="No"), 10, 0)
))</f>
        <v>0</v>
      </c>
      <c r="AS98" s="5"/>
      <c r="AT98" s="5"/>
      <c r="AU98" s="5"/>
      <c r="AV98" s="5"/>
      <c r="AW98" s="5"/>
      <c r="AX98" s="5"/>
      <c r="AY98" s="5"/>
      <c r="AZ98" s="5"/>
      <c r="BA98" s="5"/>
      <c r="BB98" s="5"/>
      <c r="BC98" s="5"/>
      <c r="BD98" s="5"/>
      <c r="BE98" s="39">
        <f t="array" ref="BE98">MIN(100, MAX(0,
  IFERROR(_xlfn.XLOOKUP(AT98,'Lookup Tables'!$D$2:$D$6,'Lookup Tables'!$E$2:$E$6,0),0)
  + IFERROR(_xlfn.XLOOKUP(AV98,'Lookup Tables'!$G$2:$G$5,'Lookup Tables'!$H$2:$H$5,0),0)
  + IFERROR(_xlfn.XLOOKUP(AW98,'Lookup Tables'!$J$2:$J$5,'Lookup Tables'!$K$2:$K$5,0),0)
  + _xlfn.IFS(AX98="No Issues",10, AX98="Complaint Filed",3, AX98="Confirmed Breach",-15, TRUE,0)
  + IFERROR(_xlfn.XLOOKUP(AY98,'Lookup Tables'!$M$2:$M$6,'Lookup Tables'!$N$2:$N$6,0),0)
  + IFERROR(_xlfn.XLOOKUP(AZ98,'Lookup Tables'!$P$2:$P$6,'Lookup Tables'!$Q$2:$Q$6,0),0)
  + _xlfn.IFS(BA98="Formal Board Committee",5, BA98="Board Oversight Mentioned",2, TRUE,0)
  + _xlfn.IFS(BB98="Yes — Quantified Targets",5, BB98="Yes — Discretionary Only",2, TRUE,0)
  + _xlfn.IFS(BC98="Reasonable Assurance",5, BC98="Limited Assurance",3, BC98="Management Review Only",1, TRUE,0)
))</f>
        <v>0</v>
      </c>
      <c r="BF98" s="5"/>
      <c r="BG98" s="5"/>
      <c r="BH98" s="5"/>
      <c r="BI98" s="5"/>
      <c r="BJ98" s="5"/>
      <c r="BK98" s="5"/>
      <c r="BL98" s="5"/>
      <c r="BM98" s="5"/>
      <c r="BN98" s="5"/>
      <c r="BO98" s="5"/>
      <c r="BP98" s="5"/>
      <c r="BQ98" s="5"/>
      <c r="BR98" s="5"/>
      <c r="BS98" s="41">
        <f t="array" ref="BS98">MIN(100, MAX(0,
  IFERROR(_xlfn.XLOOKUP(BG98,'Lookup Tables'!$A$11:$A$16,'Lookup Tables'!$B$11:$B$16,0),0)
  + IFERROR(_xlfn.XLOOKUP(BR98,'Lookup Tables'!$M$11:$M$14,'Lookup Tables'!$N$11:$N$14,0),0)
  + IFERROR(_xlfn.XLOOKUP(BQ98,'Lookup Tables'!$J$11:$J$15,'Lookup Tables'!$K$11:$K$15,0),0)
  + IFERROR(_xlfn.XLOOKUP(BH98,'Lookup Tables'!$D$11:$D$15,'Lookup Tables'!$E$11:$E$15,0),0)
  + IFERROR(_xlfn.XLOOKUP(BJ98,'Lookup Tables'!$G$11:$G$16,'Lookup Tables'!$H$11:$H$16,0),0)
  + IFERROR(_xlfn.XLOOKUP(BN98,'Lookup Tables'!$P$11:$P$15,'Lookup Tables'!$Q$11:$Q$15,0),0)
  + _xlfn.IFS(BM98="No Evidence",10, BM98="Unknown",3, BM98="Likely",0, BM98="Confirmed",-10, TRUE,3)
  + IFERROR(_xlfn.XLOOKUP(BP98,'Lookup Tables'!$J$21:$J$24,'Lookup Tables'!$K$21:$K$24,0),0)
))</f>
        <v>3</v>
      </c>
      <c r="BT98" s="5"/>
      <c r="BU98" s="5"/>
      <c r="BV98" s="5"/>
      <c r="BW98" s="5"/>
      <c r="BX98" s="5"/>
      <c r="BY98" s="5"/>
      <c r="BZ98" s="5"/>
      <c r="CA98" s="5"/>
      <c r="CB98" s="5"/>
      <c r="CC98" s="5"/>
      <c r="CD98" s="5"/>
      <c r="CE98" s="43">
        <f t="array" ref="CE98">MIN(100, MAX(0,
  IF(ISNUMBER(BV98)*AND(BV98&gt;0), 10, 0)
  + _xlfn.IFS(BY98="Independently Verified",25, BY98="Yes",15, TRUE,0)
  + IFERROR(_xlfn.XLOOKUP(BZ98,'Lookup Tables'!$A$21:$A$24,'Lookup Tables'!$B$21:$B$24,0),0)
  + IFERROR(_xlfn.XLOOKUP(CA98,'Lookup Tables'!$D$21:$D$24,'Lookup Tables'!$E$21:$E$24,0),0)
  + _xlfn.IFS(ISNUMBER(CB98)*AND(CB98&gt;=11),15, ISNUMBER(CB98)*AND(CB98&gt;=6),10, ISNUMBER(CB98)*AND(CB98&gt;=1),5, TRUE,0)
  + IFERROR(_xlfn.XLOOKUP(CC98,'Lookup Tables'!$G$21:$G$25,'Lookup Tables'!$H$21:$H$25,0),0)
  - IF(ISNUMBER(BW98)*AND(ISNUMBER(BV98))*AND(BW98&gt;BV98), 20, 0)
  - IF(AND(BY98="Yes", ISNUMBER(BW98), BW98&gt;60), 10, 0)
))</f>
        <v>0</v>
      </c>
      <c r="CF98" s="5"/>
      <c r="CG98" s="5"/>
      <c r="CH98" s="5"/>
      <c r="CI98" s="5"/>
      <c r="CJ98" s="5"/>
      <c r="CK98" s="5"/>
      <c r="CL98" s="5"/>
      <c r="CM98" s="5"/>
      <c r="CN98" s="5"/>
      <c r="CO98" s="5"/>
      <c r="CP98" s="5"/>
      <c r="CQ98" s="5"/>
      <c r="CR98" s="5">
        <f t="shared" si="77"/>
        <v>0</v>
      </c>
      <c r="CS98" s="5">
        <f t="shared" si="78"/>
        <v>0</v>
      </c>
      <c r="CT98" s="5">
        <f t="shared" si="79"/>
        <v>0</v>
      </c>
      <c r="CU98" s="5">
        <f>MIN(100,
  CR98*15
  + CS98*6
  + CT98*3
  + IFERROR(_xlfn.XLOOKUP(CW98,'Lookup Tables'!$M$21:$M$25,'Lookup Tables'!$N$21:$N$25,0),0)
)</f>
        <v>0</v>
      </c>
      <c r="CV98" s="5" t="str">
        <f t="shared" si="80"/>
        <v>No failures</v>
      </c>
      <c r="CW98" s="5"/>
      <c r="CX98" s="5"/>
      <c r="CY98" s="5"/>
      <c r="CZ98" s="5"/>
      <c r="DA98" s="5" t="str">
        <f t="shared" si="81"/>
        <v>Yes</v>
      </c>
      <c r="DB98" s="5" t="str">
        <f t="shared" si="82"/>
        <v>No</v>
      </c>
      <c r="DC98" s="5"/>
      <c r="DD98" s="5"/>
      <c r="DE98" s="5"/>
      <c r="DF98" s="5"/>
      <c r="DG98" s="5"/>
      <c r="DH98" s="5"/>
      <c r="DI98" s="5"/>
      <c r="DJ98" s="5"/>
      <c r="DK98" s="5"/>
      <c r="DL98" s="5" t="str">
        <f t="shared" si="83"/>
        <v>Clear</v>
      </c>
      <c r="DM98" s="5" t="str">
        <f t="shared" si="84"/>
        <v>Yes</v>
      </c>
      <c r="DN98" s="5">
        <f t="array" ref="DN98">MIN(100,
  IF(ISNUMBER(V98), _xlfn.IFS(V98&gt;=3,25, V98=2,15, V98=1,5, TRUE,0), 0)
  + IFERROR(_xlfn.IFS(VALUE(LEFT(DF98,1))=5,25, VALUE(LEFT(DF98,1))=4,20, VALUE(LEFT(DF98,1))=3,15, VALUE(LEFT(DF98,1))=2,8, TRUE,0), 15)
  + IFERROR(_xlfn.IFS(VALUE(LEFT(DG98,1))=5,25, VALUE(LEFT(DG98,1))=4,20, VALUE(LEFT(DG98,1))=3,15, VALUE(LEFT(DG98,1))=2,8, TRUE,0), 15)
  + _xlfn.IFS(DH98="Fully Verified",25, DH98="Partially Verified",12, TRUE,0)
)</f>
        <v>30</v>
      </c>
      <c r="DO98" s="5" t="str">
        <f t="array" ref="DO98">_xlfn.IFS(
  ISBLANK(AR98), "Insufficient Evidence",
  AND(AR98&gt;=65, AJ98="Approved"), "Strong",
  AR98&gt;=65, "Adequate",
  AR98&gt;=40, "Adequate",
  AR98&gt;=20, "Weak",
  TRUE, "Insufficient Evidence"
)</f>
        <v>Insufficient Evidence</v>
      </c>
      <c r="DP98" s="5" t="str">
        <f t="array" ref="DP98">_xlfn.IFS(
  ISBLANK(BS98), "Insufficient Evidence",
  BS98&gt;=65, "Strong",
  BS98&gt;=40, "Adequate",
  BS98&gt;=20, "Weak",
  TRUE, "Insufficient Evidence"
)</f>
        <v>Insufficient Evidence</v>
      </c>
      <c r="DQ98" s="5" t="str">
        <f t="array" ref="DQ98">_xlfn.IFS(
  ISBLANK(BE98), "Insufficient Evidence",
  OR(AW98="Confirmed Violation", AX98="Confirmed Breach"), "Severe — Hard Trigger",
  BE98&gt;=65, "Strong",
  BE98&gt;=40, "Adequate",
  BE98&gt;=20, "Weak",
  TRUE, "Insufficient Evidence"
)</f>
        <v>Insufficient Evidence</v>
      </c>
      <c r="DR98" s="5" t="str">
        <f t="array" ref="DR98">_xlfn.IFS(
  ISBLANK(CU98), "Insufficient Evidence",
  CU98&lt;=20, "Low Risk",
  CU98&lt;=50, "Moderate Risk",
  CU98&lt;=75, "High Risk",
  TRUE, "Very High Risk"
)</f>
        <v>Low Risk</v>
      </c>
      <c r="DS98" s="5" t="str">
        <f t="array" ref="DS98">_xlfn.IFS(
  ISBLANK(CE98), "Insufficient Evidence",
  AND(ISNUMBER(BW98),ISNUMBER(BV98),BW98&gt;BV98), "Overclaiming Risk",
  CE98&gt;=65, "Strong",
  CE98&gt;=40, "Adequate",
  TRUE, "Weak"
)</f>
        <v>Weak</v>
      </c>
      <c r="DT98" s="5">
        <f t="shared" si="85"/>
        <v>11.7</v>
      </c>
      <c r="DU98" s="5" t="str">
        <f t="array" ref="DU98">_xlfn.IFS(
  DV98="Upgraded to Clear", "Clear",
  DV98="Downgraded to Watchlist", "Watchlist",
  DV98="Downgraded to Exclusion", "Exclusion Risk",
  DB98="Yes — Automatic", "Exclusion Risk",
  OR(AW98="Confirmed Violation", AX98="Confirmed Breach"), "Exclusion Risk",
  OR(V98=0, ISBLANK(V98), DN98&lt;20), "Insufficient Evidence",
  AND(DT98&gt;=65, DA98="No", DB98="No"), "Clear",
  OR(DT98&gt;=40, DA98="Yes"), "Watchlist",
  TRUE, "Exclusion Risk"
)</f>
        <v>Insufficient Evidence</v>
      </c>
      <c r="DV98" s="5"/>
      <c r="DW98" s="5" t="str">
        <f t="array" ref="DW98">_xlfn.IFS(
  DU98="Exclusion Risk", "Exclude — Hard Trigger",
  DU98="Insufficient Evidence", "Watchlist — Further Evidence Needed",
  DU98="Watchlist", "Watchlist — Further Evidence Needed",
  AND(DU98="Clear", DT98&gt;=80), "Include — No Conditions",
  DU98="Clear", "Include — Monitor",
  TRUE, "Watchlist — Further Evidence Needed"
)</f>
        <v>Watchlist — Further Evidence Needed</v>
      </c>
      <c r="DX98" s="5"/>
      <c r="DY98" s="5"/>
      <c r="DZ98" s="5"/>
      <c r="EA98" s="5"/>
      <c r="EB98" s="5" t="str">
        <f t="shared" si="86"/>
        <v>MISSING — No sources reviewed</v>
      </c>
      <c r="EC98" s="5" t="str">
        <f t="shared" si="87"/>
        <v/>
      </c>
    </row>
    <row r="99" spans="1:133" ht="18" customHeight="1" x14ac:dyDescent="0.15">
      <c r="A99" s="3" t="s">
        <v>587</v>
      </c>
      <c r="B99" s="3" t="s">
        <v>588</v>
      </c>
      <c r="C99" s="3" t="str">
        <f>IF(ISBLANK('Universe Tracker'!D74),"",'Universe Tracker'!D74)</f>
        <v>ES0113900J37</v>
      </c>
      <c r="D99" s="3"/>
      <c r="E99" s="3"/>
      <c r="F99" s="3" t="str">
        <f>IF(ISBLANK('Universe Tracker'!F74),"",'Universe Tracker'!F74)</f>
        <v>Financials</v>
      </c>
      <c r="G99" s="3" t="str">
        <f>IF(ISBLANK('Universe Tracker'!G74),"",'Universe Tracker'!G74)</f>
        <v>Banking</v>
      </c>
      <c r="H99" s="3"/>
      <c r="I99" s="3"/>
      <c r="J99" s="3" t="str">
        <f t="shared" si="75"/>
        <v>BSD2_ES0113900J37</v>
      </c>
      <c r="K99" s="3"/>
      <c r="L99" s="3"/>
      <c r="M99" s="3"/>
      <c r="N99" s="3"/>
      <c r="O99" s="3"/>
      <c r="P99" s="3"/>
      <c r="Q99" s="3"/>
      <c r="R99" s="3"/>
      <c r="S99" s="3"/>
      <c r="T99" s="3"/>
      <c r="U99" s="3"/>
      <c r="V99" s="3"/>
      <c r="W99" s="3"/>
      <c r="X99" s="3"/>
      <c r="Y99" s="3" t="str">
        <f t="shared" si="76"/>
        <v>Insufficient</v>
      </c>
      <c r="Z99" s="3"/>
      <c r="AA99" s="3"/>
      <c r="AB99" s="3"/>
      <c r="AC99" s="3"/>
      <c r="AD99" s="3"/>
      <c r="AE99" s="3"/>
      <c r="AF99" s="3"/>
      <c r="AG99" s="3"/>
      <c r="AH99" s="3"/>
      <c r="AI99" s="3"/>
      <c r="AJ99" s="3"/>
      <c r="AK99" s="3"/>
      <c r="AL99" s="3"/>
      <c r="AM99" s="3"/>
      <c r="AN99" s="3"/>
      <c r="AO99" s="3"/>
      <c r="AP99" s="3"/>
      <c r="AQ99" s="3"/>
      <c r="AR99" s="40">
        <f t="array" ref="AR99">MIN(100, MAX(0,
  IFERROR(_xlfn.XLOOKUP(AJ99,'Lookup Tables'!$A$2:$A$7,'Lookup Tables'!$B$2:$B$7,0),0)
  + IF(Z99="Yes", IF(IFERROR(_xlfn.XLOOKUP(AJ99,'Lookup Tables'!$A$2:$A$7,'Lookup Tables'!$B$2:$B$7,0),0)&lt;20, 5, 0), 0)
  + _xlfn.IFS(AB99="Yes", IF(ISNUMBER(AC99)*AND(AC99&lt;=2030),15,10), AB99="Long-term Only", 5, AB99="No", 0, TRUE, 0)
  + _xlfn.IFS(AF99="Full",10, AF99="Partial",5, AF99="Scope 2 Only",3, TRUE,0)
  + _xlfn.IFS(AG99="Yes", IF(ISNUMBER(AH99)*AND(AH99&gt;=5),10,6), AG99="Partial",4, TRUE,0)
  + _xlfn.IFS(AI99="Yes",5, AI99="Partial (material categories only)",3, TRUE,0)
  + _xlfn.IFS(AL99="Yes — Detailed",10, AL99="Yes — High Level",5, TRUE,0)
  + _xlfn.IFS(AM99="Yes — Quantified",15, AM99="Yes — Directional Only",7, TRUE,0)
  + _xlfn.IFS(AP99="Formal",5, AP99="Referenced",2, TRUE,0)
  + _xlfn.IFS(AQ99="No Issues Found",5, AQ99="Concern Identified",-5, AQ99="Severe Contradiction",-15, TRUE,0)
  + _xlfn.IFS(BC99="Reasonable Assurance",5, BC99="Limited Assurance",3, TRUE,0)
  - IF(AND(Z99="Yes", AI99="No"), 10, 0)
  - IF(AND(Z99="Yes", AM99="No"), 10, 0)
))</f>
        <v>0</v>
      </c>
      <c r="AS99" s="3"/>
      <c r="AT99" s="3"/>
      <c r="AU99" s="3"/>
      <c r="AV99" s="3"/>
      <c r="AW99" s="3"/>
      <c r="AX99" s="3"/>
      <c r="AY99" s="3"/>
      <c r="AZ99" s="3"/>
      <c r="BA99" s="3"/>
      <c r="BB99" s="3"/>
      <c r="BC99" s="3"/>
      <c r="BD99" s="3"/>
      <c r="BE99" s="40">
        <f t="array" ref="BE99">MIN(100, MAX(0,
  IFERROR(_xlfn.XLOOKUP(AT99,'Lookup Tables'!$D$2:$D$6,'Lookup Tables'!$E$2:$E$6,0),0)
  + IFERROR(_xlfn.XLOOKUP(AV99,'Lookup Tables'!$G$2:$G$5,'Lookup Tables'!$H$2:$H$5,0),0)
  + IFERROR(_xlfn.XLOOKUP(AW99,'Lookup Tables'!$J$2:$J$5,'Lookup Tables'!$K$2:$K$5,0),0)
  + _xlfn.IFS(AX99="No Issues",10, AX99="Complaint Filed",3, AX99="Confirmed Breach",-15, TRUE,0)
  + IFERROR(_xlfn.XLOOKUP(AY99,'Lookup Tables'!$M$2:$M$6,'Lookup Tables'!$N$2:$N$6,0),0)
  + IFERROR(_xlfn.XLOOKUP(AZ99,'Lookup Tables'!$P$2:$P$6,'Lookup Tables'!$Q$2:$Q$6,0),0)
  + _xlfn.IFS(BA99="Formal Board Committee",5, BA99="Board Oversight Mentioned",2, TRUE,0)
  + _xlfn.IFS(BB99="Yes — Quantified Targets",5, BB99="Yes — Discretionary Only",2, TRUE,0)
  + _xlfn.IFS(BC99="Reasonable Assurance",5, BC99="Limited Assurance",3, BC99="Management Review Only",1, TRUE,0)
))</f>
        <v>0</v>
      </c>
      <c r="BF99" s="3"/>
      <c r="BG99" s="3"/>
      <c r="BH99" s="3"/>
      <c r="BI99" s="3"/>
      <c r="BJ99" s="3"/>
      <c r="BK99" s="3"/>
      <c r="BL99" s="3"/>
      <c r="BM99" s="3"/>
      <c r="BN99" s="3"/>
      <c r="BO99" s="3"/>
      <c r="BP99" s="3"/>
      <c r="BQ99" s="3"/>
      <c r="BR99" s="3"/>
      <c r="BS99" s="42">
        <f t="array" ref="BS99">MIN(100, MAX(0,
  IFERROR(_xlfn.XLOOKUP(BG99,'Lookup Tables'!$A$11:$A$16,'Lookup Tables'!$B$11:$B$16,0),0)
  + IFERROR(_xlfn.XLOOKUP(BR99,'Lookup Tables'!$M$11:$M$14,'Lookup Tables'!$N$11:$N$14,0),0)
  + IFERROR(_xlfn.XLOOKUP(BQ99,'Lookup Tables'!$J$11:$J$15,'Lookup Tables'!$K$11:$K$15,0),0)
  + IFERROR(_xlfn.XLOOKUP(BH99,'Lookup Tables'!$D$11:$D$15,'Lookup Tables'!$E$11:$E$15,0),0)
  + IFERROR(_xlfn.XLOOKUP(BJ99,'Lookup Tables'!$G$11:$G$16,'Lookup Tables'!$H$11:$H$16,0),0)
  + IFERROR(_xlfn.XLOOKUP(BN99,'Lookup Tables'!$P$11:$P$15,'Lookup Tables'!$Q$11:$Q$15,0),0)
  + _xlfn.IFS(BM99="No Evidence",10, BM99="Unknown",3, BM99="Likely",0, BM99="Confirmed",-10, TRUE,3)
  + IFERROR(_xlfn.XLOOKUP(BP99,'Lookup Tables'!$J$21:$J$24,'Lookup Tables'!$K$21:$K$24,0),0)
))</f>
        <v>3</v>
      </c>
      <c r="BT99" s="3"/>
      <c r="BU99" s="3"/>
      <c r="BV99" s="3"/>
      <c r="BW99" s="3"/>
      <c r="BX99" s="3"/>
      <c r="BY99" s="3"/>
      <c r="BZ99" s="3"/>
      <c r="CA99" s="3"/>
      <c r="CB99" s="3"/>
      <c r="CC99" s="3"/>
      <c r="CD99" s="3"/>
      <c r="CE99" s="44">
        <f t="array" ref="CE99">MIN(100, MAX(0,
  IF(ISNUMBER(BV99)*AND(BV99&gt;0), 10, 0)
  + _xlfn.IFS(BY99="Independently Verified",25, BY99="Yes",15, TRUE,0)
  + IFERROR(_xlfn.XLOOKUP(BZ99,'Lookup Tables'!$A$21:$A$24,'Lookup Tables'!$B$21:$B$24,0),0)
  + IFERROR(_xlfn.XLOOKUP(CA99,'Lookup Tables'!$D$21:$D$24,'Lookup Tables'!$E$21:$E$24,0),0)
  + _xlfn.IFS(ISNUMBER(CB99)*AND(CB99&gt;=11),15, ISNUMBER(CB99)*AND(CB99&gt;=6),10, ISNUMBER(CB99)*AND(CB99&gt;=1),5, TRUE,0)
  + IFERROR(_xlfn.XLOOKUP(CC99,'Lookup Tables'!$G$21:$G$25,'Lookup Tables'!$H$21:$H$25,0),0)
  - IF(ISNUMBER(BW99)*AND(ISNUMBER(BV99))*AND(BW99&gt;BV99), 20, 0)
  - IF(AND(BY99="Yes", ISNUMBER(BW99), BW99&gt;60), 10, 0)
))</f>
        <v>0</v>
      </c>
      <c r="CF99" s="3"/>
      <c r="CG99" s="3"/>
      <c r="CH99" s="3"/>
      <c r="CI99" s="3"/>
      <c r="CJ99" s="3"/>
      <c r="CK99" s="3"/>
      <c r="CL99" s="3"/>
      <c r="CM99" s="3"/>
      <c r="CN99" s="3"/>
      <c r="CO99" s="3"/>
      <c r="CP99" s="3"/>
      <c r="CQ99" s="3"/>
      <c r="CR99" s="3">
        <f t="shared" si="77"/>
        <v>0</v>
      </c>
      <c r="CS99" s="3">
        <f t="shared" si="78"/>
        <v>0</v>
      </c>
      <c r="CT99" s="3">
        <f t="shared" si="79"/>
        <v>0</v>
      </c>
      <c r="CU99" s="3">
        <f>MIN(100,
  CR99*15
  + CS99*6
  + CT99*3
  + IFERROR(_xlfn.XLOOKUP(CW99,'Lookup Tables'!$M$21:$M$25,'Lookup Tables'!$N$21:$N$25,0),0)
)</f>
        <v>0</v>
      </c>
      <c r="CV99" s="3" t="str">
        <f t="shared" si="80"/>
        <v>No failures</v>
      </c>
      <c r="CW99" s="3"/>
      <c r="CX99" s="3"/>
      <c r="CY99" s="3"/>
      <c r="CZ99" s="3"/>
      <c r="DA99" s="3" t="str">
        <f t="shared" si="81"/>
        <v>Yes</v>
      </c>
      <c r="DB99" s="3" t="str">
        <f t="shared" si="82"/>
        <v>No</v>
      </c>
      <c r="DC99" s="3"/>
      <c r="DD99" s="3"/>
      <c r="DE99" s="3"/>
      <c r="DF99" s="3"/>
      <c r="DG99" s="3"/>
      <c r="DH99" s="3"/>
      <c r="DI99" s="3"/>
      <c r="DJ99" s="3"/>
      <c r="DK99" s="3"/>
      <c r="DL99" s="3" t="str">
        <f t="shared" si="83"/>
        <v>Clear</v>
      </c>
      <c r="DM99" s="3" t="str">
        <f t="shared" si="84"/>
        <v>Yes</v>
      </c>
      <c r="DN99" s="3">
        <f t="array" ref="DN99">MIN(100,
  IF(ISNUMBER(V99), _xlfn.IFS(V99&gt;=3,25, V99=2,15, V99=1,5, TRUE,0), 0)
  + IFERROR(_xlfn.IFS(VALUE(LEFT(DF99,1))=5,25, VALUE(LEFT(DF99,1))=4,20, VALUE(LEFT(DF99,1))=3,15, VALUE(LEFT(DF99,1))=2,8, TRUE,0), 15)
  + IFERROR(_xlfn.IFS(VALUE(LEFT(DG99,1))=5,25, VALUE(LEFT(DG99,1))=4,20, VALUE(LEFT(DG99,1))=3,15, VALUE(LEFT(DG99,1))=2,8, TRUE,0), 15)
  + _xlfn.IFS(DH99="Fully Verified",25, DH99="Partially Verified",12, TRUE,0)
)</f>
        <v>30</v>
      </c>
      <c r="DO99" s="3" t="str">
        <f t="array" ref="DO99">_xlfn.IFS(
  ISBLANK(AR99), "Insufficient Evidence",
  AND(AR99&gt;=65, AJ99="Approved"), "Strong",
  AR99&gt;=65, "Adequate",
  AR99&gt;=40, "Adequate",
  AR99&gt;=20, "Weak",
  TRUE, "Insufficient Evidence"
)</f>
        <v>Insufficient Evidence</v>
      </c>
      <c r="DP99" s="3" t="str">
        <f t="array" ref="DP99">_xlfn.IFS(
  ISBLANK(BS99), "Insufficient Evidence",
  BS99&gt;=65, "Strong",
  BS99&gt;=40, "Adequate",
  BS99&gt;=20, "Weak",
  TRUE, "Insufficient Evidence"
)</f>
        <v>Insufficient Evidence</v>
      </c>
      <c r="DQ99" s="3" t="str">
        <f t="array" ref="DQ99">_xlfn.IFS(
  ISBLANK(BE99), "Insufficient Evidence",
  OR(AW99="Confirmed Violation", AX99="Confirmed Breach"), "Severe — Hard Trigger",
  BE99&gt;=65, "Strong",
  BE99&gt;=40, "Adequate",
  BE99&gt;=20, "Weak",
  TRUE, "Insufficient Evidence"
)</f>
        <v>Insufficient Evidence</v>
      </c>
      <c r="DR99" s="3" t="str">
        <f t="array" ref="DR99">_xlfn.IFS(
  ISBLANK(CU99), "Insufficient Evidence",
  CU99&lt;=20, "Low Risk",
  CU99&lt;=50, "Moderate Risk",
  CU99&lt;=75, "High Risk",
  TRUE, "Very High Risk"
)</f>
        <v>Low Risk</v>
      </c>
      <c r="DS99" s="3" t="str">
        <f t="array" ref="DS99">_xlfn.IFS(
  ISBLANK(CE99), "Insufficient Evidence",
  AND(ISNUMBER(BW99),ISNUMBER(BV99),BW99&gt;BV99), "Overclaiming Risk",
  CE99&gt;=65, "Strong",
  CE99&gt;=40, "Adequate",
  TRUE, "Weak"
)</f>
        <v>Weak</v>
      </c>
      <c r="DT99" s="3">
        <f t="shared" si="85"/>
        <v>11.7</v>
      </c>
      <c r="DU99" s="3" t="str">
        <f t="array" ref="DU99">_xlfn.IFS(
  DV99="Upgraded to Clear", "Clear",
  DV99="Downgraded to Watchlist", "Watchlist",
  DV99="Downgraded to Exclusion", "Exclusion Risk",
  DB99="Yes — Automatic", "Exclusion Risk",
  OR(AW99="Confirmed Violation", AX99="Confirmed Breach"), "Exclusion Risk",
  OR(V99=0, ISBLANK(V99), DN99&lt;20), "Insufficient Evidence",
  AND(DT99&gt;=65, DA99="No", DB99="No"), "Clear",
  OR(DT99&gt;=40, DA99="Yes"), "Watchlist",
  TRUE, "Exclusion Risk"
)</f>
        <v>Insufficient Evidence</v>
      </c>
      <c r="DV99" s="3"/>
      <c r="DW99" s="3" t="str">
        <f t="array" ref="DW99">_xlfn.IFS(
  DU99="Exclusion Risk", "Exclude — Hard Trigger",
  DU99="Insufficient Evidence", "Watchlist — Further Evidence Needed",
  DU99="Watchlist", "Watchlist — Further Evidence Needed",
  AND(DU99="Clear", DT99&gt;=80), "Include — No Conditions",
  DU99="Clear", "Include — Monitor",
  TRUE, "Watchlist — Further Evidence Needed"
)</f>
        <v>Watchlist — Further Evidence Needed</v>
      </c>
      <c r="DX99" s="3"/>
      <c r="DY99" s="3"/>
      <c r="DZ99" s="3"/>
      <c r="EA99" s="3"/>
      <c r="EB99" s="3" t="str">
        <f t="shared" si="86"/>
        <v>MISSING — No sources reviewed</v>
      </c>
      <c r="EC99" s="3" t="str">
        <f t="shared" si="87"/>
        <v/>
      </c>
    </row>
    <row r="100" spans="1:133" ht="18" customHeight="1" x14ac:dyDescent="0.15">
      <c r="A100" s="5" t="s">
        <v>591</v>
      </c>
      <c r="B100" s="5" t="s">
        <v>592</v>
      </c>
      <c r="C100" s="5" t="str">
        <f>IF(ISBLANK('Universe Tracker'!D75),"",'Universe Tracker'!D75)</f>
        <v>GB00BLGZ9862</v>
      </c>
      <c r="D100" s="5"/>
      <c r="E100" s="5"/>
      <c r="F100" s="5" t="str">
        <f>IF(ISBLANK('Universe Tracker'!F75),"",'Universe Tracker'!F75)</f>
        <v>Consumer Staples</v>
      </c>
      <c r="G100" s="5" t="str">
        <f>IF(ISBLANK('Universe Tracker'!G75),"",'Universe Tracker'!G75)</f>
        <v>Retail &amp; Wholesale - Staples</v>
      </c>
      <c r="H100" s="5"/>
      <c r="I100" s="5"/>
      <c r="J100" s="5" t="str">
        <f t="shared" si="75"/>
        <v>TCO0_GB00BLGZ9862</v>
      </c>
      <c r="K100" s="5"/>
      <c r="L100" s="5"/>
      <c r="M100" s="5"/>
      <c r="N100" s="5"/>
      <c r="O100" s="5"/>
      <c r="P100" s="5"/>
      <c r="Q100" s="5"/>
      <c r="R100" s="5"/>
      <c r="S100" s="5"/>
      <c r="T100" s="5"/>
      <c r="U100" s="5"/>
      <c r="V100" s="5"/>
      <c r="W100" s="5"/>
      <c r="X100" s="5"/>
      <c r="Y100" s="5" t="str">
        <f t="shared" si="76"/>
        <v>Insufficient</v>
      </c>
      <c r="Z100" s="5"/>
      <c r="AA100" s="5"/>
      <c r="AB100" s="5"/>
      <c r="AC100" s="5"/>
      <c r="AD100" s="5"/>
      <c r="AE100" s="5"/>
      <c r="AF100" s="5"/>
      <c r="AG100" s="5"/>
      <c r="AH100" s="5"/>
      <c r="AI100" s="5"/>
      <c r="AJ100" s="5"/>
      <c r="AK100" s="5"/>
      <c r="AL100" s="5"/>
      <c r="AM100" s="5"/>
      <c r="AN100" s="5"/>
      <c r="AO100" s="5"/>
      <c r="AP100" s="5"/>
      <c r="AQ100" s="5"/>
      <c r="AR100" s="40">
        <f t="array" ref="AR100">MIN(100, MAX(0,
  IFERROR(_xlfn.XLOOKUP(AJ100,'Lookup Tables'!$A$2:$A$7,'Lookup Tables'!$B$2:$B$7,0),0)
  + IF(Z100="Yes", IF(IFERROR(_xlfn.XLOOKUP(AJ100,'Lookup Tables'!$A$2:$A$7,'Lookup Tables'!$B$2:$B$7,0),0)&lt;20, 5, 0), 0)
  + _xlfn.IFS(AB100="Yes", IF(ISNUMBER(AC100)*AND(AC100&lt;=2030),15,10), AB100="Long-term Only", 5, AB100="No", 0, TRUE, 0)
  + _xlfn.IFS(AF100="Full",10, AF100="Partial",5, AF100="Scope 2 Only",3, TRUE,0)
  + _xlfn.IFS(AG100="Yes", IF(ISNUMBER(AH100)*AND(AH100&gt;=5),10,6), AG100="Partial",4, TRUE,0)
  + _xlfn.IFS(AI100="Yes",5, AI100="Partial (material categories only)",3, TRUE,0)
  + _xlfn.IFS(AL100="Yes — Detailed",10, AL100="Yes — High Level",5, TRUE,0)
  + _xlfn.IFS(AM100="Yes — Quantified",15, AM100="Yes — Directional Only",7, TRUE,0)
  + _xlfn.IFS(AP100="Formal",5, AP100="Referenced",2, TRUE,0)
  + _xlfn.IFS(AQ100="No Issues Found",5, AQ100="Concern Identified",-5, AQ100="Severe Contradiction",-15, TRUE,0)
  + _xlfn.IFS(BC100="Reasonable Assurance",5, BC100="Limited Assurance",3, TRUE,0)
  - IF(AND(Z100="Yes", AI100="No"), 10, 0)
  - IF(AND(Z100="Yes", AM100="No"), 10, 0)
))</f>
        <v>0</v>
      </c>
      <c r="AS100" s="5"/>
      <c r="AT100" s="5"/>
      <c r="AU100" s="5"/>
      <c r="AV100" s="5"/>
      <c r="AW100" s="5"/>
      <c r="AX100" s="5"/>
      <c r="AY100" s="5"/>
      <c r="AZ100" s="5"/>
      <c r="BA100" s="5"/>
      <c r="BB100" s="5"/>
      <c r="BC100" s="5"/>
      <c r="BD100" s="5"/>
      <c r="BE100" s="39">
        <f t="array" ref="BE100">MIN(100, MAX(0,
  IFERROR(_xlfn.XLOOKUP(AT100,'Lookup Tables'!$D$2:$D$6,'Lookup Tables'!$E$2:$E$6,0),0)
  + IFERROR(_xlfn.XLOOKUP(AV100,'Lookup Tables'!$G$2:$G$5,'Lookup Tables'!$H$2:$H$5,0),0)
  + IFERROR(_xlfn.XLOOKUP(AW100,'Lookup Tables'!$J$2:$J$5,'Lookup Tables'!$K$2:$K$5,0),0)
  + _xlfn.IFS(AX100="No Issues",10, AX100="Complaint Filed",3, AX100="Confirmed Breach",-15, TRUE,0)
  + IFERROR(_xlfn.XLOOKUP(AY100,'Lookup Tables'!$M$2:$M$6,'Lookup Tables'!$N$2:$N$6,0),0)
  + IFERROR(_xlfn.XLOOKUP(AZ100,'Lookup Tables'!$P$2:$P$6,'Lookup Tables'!$Q$2:$Q$6,0),0)
  + _xlfn.IFS(BA100="Formal Board Committee",5, BA100="Board Oversight Mentioned",2, TRUE,0)
  + _xlfn.IFS(BB100="Yes — Quantified Targets",5, BB100="Yes — Discretionary Only",2, TRUE,0)
  + _xlfn.IFS(BC100="Reasonable Assurance",5, BC100="Limited Assurance",3, BC100="Management Review Only",1, TRUE,0)
))</f>
        <v>0</v>
      </c>
      <c r="BF100" s="5"/>
      <c r="BG100" s="5"/>
      <c r="BH100" s="5"/>
      <c r="BI100" s="5"/>
      <c r="BJ100" s="5"/>
      <c r="BK100" s="5"/>
      <c r="BL100" s="5"/>
      <c r="BM100" s="5"/>
      <c r="BN100" s="5"/>
      <c r="BO100" s="5"/>
      <c r="BP100" s="5"/>
      <c r="BQ100" s="5"/>
      <c r="BR100" s="5"/>
      <c r="BS100" s="41">
        <f t="array" ref="BS100">MIN(100, MAX(0,
  IFERROR(_xlfn.XLOOKUP(BG100,'Lookup Tables'!$A$11:$A$16,'Lookup Tables'!$B$11:$B$16,0),0)
  + IFERROR(_xlfn.XLOOKUP(BR100,'Lookup Tables'!$M$11:$M$14,'Lookup Tables'!$N$11:$N$14,0),0)
  + IFERROR(_xlfn.XLOOKUP(BQ100,'Lookup Tables'!$J$11:$J$15,'Lookup Tables'!$K$11:$K$15,0),0)
  + IFERROR(_xlfn.XLOOKUP(BH100,'Lookup Tables'!$D$11:$D$15,'Lookup Tables'!$E$11:$E$15,0),0)
  + IFERROR(_xlfn.XLOOKUP(BJ100,'Lookup Tables'!$G$11:$G$16,'Lookup Tables'!$H$11:$H$16,0),0)
  + IFERROR(_xlfn.XLOOKUP(BN100,'Lookup Tables'!$P$11:$P$15,'Lookup Tables'!$Q$11:$Q$15,0),0)
  + _xlfn.IFS(BM100="No Evidence",10, BM100="Unknown",3, BM100="Likely",0, BM100="Confirmed",-10, TRUE,3)
  + IFERROR(_xlfn.XLOOKUP(BP100,'Lookup Tables'!$J$21:$J$24,'Lookup Tables'!$K$21:$K$24,0),0)
))</f>
        <v>3</v>
      </c>
      <c r="BT100" s="5"/>
      <c r="BU100" s="5"/>
      <c r="BV100" s="5"/>
      <c r="BW100" s="5"/>
      <c r="BX100" s="5"/>
      <c r="BY100" s="5"/>
      <c r="BZ100" s="5"/>
      <c r="CA100" s="5"/>
      <c r="CB100" s="5"/>
      <c r="CC100" s="5"/>
      <c r="CD100" s="5"/>
      <c r="CE100" s="43">
        <f t="array" ref="CE100">MIN(100, MAX(0,
  IF(ISNUMBER(BV100)*AND(BV100&gt;0), 10, 0)
  + _xlfn.IFS(BY100="Independently Verified",25, BY100="Yes",15, TRUE,0)
  + IFERROR(_xlfn.XLOOKUP(BZ100,'Lookup Tables'!$A$21:$A$24,'Lookup Tables'!$B$21:$B$24,0),0)
  + IFERROR(_xlfn.XLOOKUP(CA100,'Lookup Tables'!$D$21:$D$24,'Lookup Tables'!$E$21:$E$24,0),0)
  + _xlfn.IFS(ISNUMBER(CB100)*AND(CB100&gt;=11),15, ISNUMBER(CB100)*AND(CB100&gt;=6),10, ISNUMBER(CB100)*AND(CB100&gt;=1),5, TRUE,0)
  + IFERROR(_xlfn.XLOOKUP(CC100,'Lookup Tables'!$G$21:$G$25,'Lookup Tables'!$H$21:$H$25,0),0)
  - IF(ISNUMBER(BW100)*AND(ISNUMBER(BV100))*AND(BW100&gt;BV100), 20, 0)
  - IF(AND(BY100="Yes", ISNUMBER(BW100), BW100&gt;60), 10, 0)
))</f>
        <v>0</v>
      </c>
      <c r="CF100" s="5"/>
      <c r="CG100" s="5"/>
      <c r="CH100" s="5"/>
      <c r="CI100" s="5"/>
      <c r="CJ100" s="5"/>
      <c r="CK100" s="5"/>
      <c r="CL100" s="5"/>
      <c r="CM100" s="5"/>
      <c r="CN100" s="5"/>
      <c r="CO100" s="5"/>
      <c r="CP100" s="5"/>
      <c r="CQ100" s="5"/>
      <c r="CR100" s="5">
        <f t="shared" si="77"/>
        <v>0</v>
      </c>
      <c r="CS100" s="5">
        <f t="shared" si="78"/>
        <v>0</v>
      </c>
      <c r="CT100" s="5">
        <f t="shared" si="79"/>
        <v>0</v>
      </c>
      <c r="CU100" s="5">
        <f>MIN(100,
  CR100*15
  + CS100*6
  + CT100*3
  + IFERROR(_xlfn.XLOOKUP(CW100,'Lookup Tables'!$M$21:$M$25,'Lookup Tables'!$N$21:$N$25,0),0)
)</f>
        <v>0</v>
      </c>
      <c r="CV100" s="5" t="str">
        <f t="shared" si="80"/>
        <v>No failures</v>
      </c>
      <c r="CW100" s="5"/>
      <c r="CX100" s="5"/>
      <c r="CY100" s="5"/>
      <c r="CZ100" s="5"/>
      <c r="DA100" s="5" t="str">
        <f t="shared" si="81"/>
        <v>Yes</v>
      </c>
      <c r="DB100" s="5" t="str">
        <f t="shared" si="82"/>
        <v>No</v>
      </c>
      <c r="DC100" s="5"/>
      <c r="DD100" s="5"/>
      <c r="DE100" s="5"/>
      <c r="DF100" s="5"/>
      <c r="DG100" s="5"/>
      <c r="DH100" s="5"/>
      <c r="DI100" s="5"/>
      <c r="DJ100" s="5"/>
      <c r="DK100" s="5"/>
      <c r="DL100" s="5" t="str">
        <f t="shared" si="83"/>
        <v>Clear</v>
      </c>
      <c r="DM100" s="5" t="str">
        <f t="shared" si="84"/>
        <v>Yes</v>
      </c>
      <c r="DN100" s="5">
        <f t="array" ref="DN100">MIN(100,
  IF(ISNUMBER(V100), _xlfn.IFS(V100&gt;=3,25, V100=2,15, V100=1,5, TRUE,0), 0)
  + IFERROR(_xlfn.IFS(VALUE(LEFT(DF100,1))=5,25, VALUE(LEFT(DF100,1))=4,20, VALUE(LEFT(DF100,1))=3,15, VALUE(LEFT(DF100,1))=2,8, TRUE,0), 15)
  + IFERROR(_xlfn.IFS(VALUE(LEFT(DG100,1))=5,25, VALUE(LEFT(DG100,1))=4,20, VALUE(LEFT(DG100,1))=3,15, VALUE(LEFT(DG100,1))=2,8, TRUE,0), 15)
  + _xlfn.IFS(DH100="Fully Verified",25, DH100="Partially Verified",12, TRUE,0)
)</f>
        <v>30</v>
      </c>
      <c r="DO100" s="5" t="str">
        <f t="array" ref="DO100">_xlfn.IFS(
  ISBLANK(AR100), "Insufficient Evidence",
  AND(AR100&gt;=65, AJ100="Approved"), "Strong",
  AR100&gt;=65, "Adequate",
  AR100&gt;=40, "Adequate",
  AR100&gt;=20, "Weak",
  TRUE, "Insufficient Evidence"
)</f>
        <v>Insufficient Evidence</v>
      </c>
      <c r="DP100" s="5" t="str">
        <f t="array" ref="DP100">_xlfn.IFS(
  ISBLANK(BS100), "Insufficient Evidence",
  BS100&gt;=65, "Strong",
  BS100&gt;=40, "Adequate",
  BS100&gt;=20, "Weak",
  TRUE, "Insufficient Evidence"
)</f>
        <v>Insufficient Evidence</v>
      </c>
      <c r="DQ100" s="5" t="str">
        <f t="array" ref="DQ100">_xlfn.IFS(
  ISBLANK(BE100), "Insufficient Evidence",
  OR(AW100="Confirmed Violation", AX100="Confirmed Breach"), "Severe — Hard Trigger",
  BE100&gt;=65, "Strong",
  BE100&gt;=40, "Adequate",
  BE100&gt;=20, "Weak",
  TRUE, "Insufficient Evidence"
)</f>
        <v>Insufficient Evidence</v>
      </c>
      <c r="DR100" s="5" t="str">
        <f t="array" ref="DR100">_xlfn.IFS(
  ISBLANK(CU100), "Insufficient Evidence",
  CU100&lt;=20, "Low Risk",
  CU100&lt;=50, "Moderate Risk",
  CU100&lt;=75, "High Risk",
  TRUE, "Very High Risk"
)</f>
        <v>Low Risk</v>
      </c>
      <c r="DS100" s="5" t="str">
        <f t="array" ref="DS100">_xlfn.IFS(
  ISBLANK(CE100), "Insufficient Evidence",
  AND(ISNUMBER(BW100),ISNUMBER(BV100),BW100&gt;BV100), "Overclaiming Risk",
  CE100&gt;=65, "Strong",
  CE100&gt;=40, "Adequate",
  TRUE, "Weak"
)</f>
        <v>Weak</v>
      </c>
      <c r="DT100" s="5">
        <f t="shared" si="85"/>
        <v>11.7</v>
      </c>
      <c r="DU100" s="5" t="str">
        <f t="array" ref="DU100">_xlfn.IFS(
  DV100="Upgraded to Clear", "Clear",
  DV100="Downgraded to Watchlist", "Watchlist",
  DV100="Downgraded to Exclusion", "Exclusion Risk",
  DB100="Yes — Automatic", "Exclusion Risk",
  OR(AW100="Confirmed Violation", AX100="Confirmed Breach"), "Exclusion Risk",
  OR(V100=0, ISBLANK(V100), DN100&lt;20), "Insufficient Evidence",
  AND(DT100&gt;=65, DA100="No", DB100="No"), "Clear",
  OR(DT100&gt;=40, DA100="Yes"), "Watchlist",
  TRUE, "Exclusion Risk"
)</f>
        <v>Insufficient Evidence</v>
      </c>
      <c r="DV100" s="5"/>
      <c r="DW100" s="5" t="str">
        <f t="array" ref="DW100">_xlfn.IFS(
  DU100="Exclusion Risk", "Exclude — Hard Trigger",
  DU100="Insufficient Evidence", "Watchlist — Further Evidence Needed",
  DU100="Watchlist", "Watchlist — Further Evidence Needed",
  AND(DU100="Clear", DT100&gt;=80), "Include — No Conditions",
  DU100="Clear", "Include — Monitor",
  TRUE, "Watchlist — Further Evidence Needed"
)</f>
        <v>Watchlist — Further Evidence Needed</v>
      </c>
      <c r="DX100" s="5"/>
      <c r="DY100" s="5"/>
      <c r="DZ100" s="5"/>
      <c r="EA100" s="5"/>
      <c r="EB100" s="5" t="str">
        <f t="shared" si="86"/>
        <v>MISSING — No sources reviewed</v>
      </c>
      <c r="EC100" s="5" t="str">
        <f t="shared" si="87"/>
        <v/>
      </c>
    </row>
    <row r="101" spans="1:133" ht="18" customHeight="1" x14ac:dyDescent="0.15">
      <c r="A101" s="3" t="s">
        <v>597</v>
      </c>
      <c r="B101" s="3" t="s">
        <v>598</v>
      </c>
      <c r="C101" s="3" t="str">
        <f>IF(ISBLANK('Universe Tracker'!D76),"",'Universe Tracker'!D76)</f>
        <v>CH0198251305</v>
      </c>
      <c r="D101" s="3"/>
      <c r="E101" s="3"/>
      <c r="F101" s="3" t="str">
        <f>IF(ISBLANK('Universe Tracker'!F76),"",'Universe Tracker'!F76)</f>
        <v>Consumer Staples</v>
      </c>
      <c r="G101" s="3" t="str">
        <f>IF(ISBLANK('Universe Tracker'!G76),"",'Universe Tracker'!G76)</f>
        <v>Consumer Staple Products</v>
      </c>
      <c r="H101" s="3"/>
      <c r="I101" s="3"/>
      <c r="J101" s="3" t="str">
        <f t="shared" si="75"/>
        <v>C0Q_CH0198251305</v>
      </c>
      <c r="K101" s="3"/>
      <c r="L101" s="3"/>
      <c r="M101" s="3"/>
      <c r="N101" s="3"/>
      <c r="O101" s="3"/>
      <c r="P101" s="3"/>
      <c r="Q101" s="3"/>
      <c r="R101" s="3"/>
      <c r="S101" s="3"/>
      <c r="T101" s="3"/>
      <c r="U101" s="3"/>
      <c r="V101" s="3"/>
      <c r="W101" s="3"/>
      <c r="X101" s="3"/>
      <c r="Y101" s="3" t="str">
        <f t="shared" si="76"/>
        <v>Insufficient</v>
      </c>
      <c r="Z101" s="3"/>
      <c r="AA101" s="3"/>
      <c r="AB101" s="3"/>
      <c r="AC101" s="3"/>
      <c r="AD101" s="3"/>
      <c r="AE101" s="3"/>
      <c r="AF101" s="3"/>
      <c r="AG101" s="3"/>
      <c r="AH101" s="3"/>
      <c r="AI101" s="3"/>
      <c r="AJ101" s="3"/>
      <c r="AK101" s="3"/>
      <c r="AL101" s="3"/>
      <c r="AM101" s="3"/>
      <c r="AN101" s="3"/>
      <c r="AO101" s="3"/>
      <c r="AP101" s="3"/>
      <c r="AQ101" s="3"/>
      <c r="AR101" s="40">
        <f t="array" ref="AR101">MIN(100, MAX(0,
  IFERROR(_xlfn.XLOOKUP(AJ101,'Lookup Tables'!$A$2:$A$7,'Lookup Tables'!$B$2:$B$7,0),0)
  + IF(Z101="Yes", IF(IFERROR(_xlfn.XLOOKUP(AJ101,'Lookup Tables'!$A$2:$A$7,'Lookup Tables'!$B$2:$B$7,0),0)&lt;20, 5, 0), 0)
  + _xlfn.IFS(AB101="Yes", IF(ISNUMBER(AC101)*AND(AC101&lt;=2030),15,10), AB101="Long-term Only", 5, AB101="No", 0, TRUE, 0)
  + _xlfn.IFS(AF101="Full",10, AF101="Partial",5, AF101="Scope 2 Only",3, TRUE,0)
  + _xlfn.IFS(AG101="Yes", IF(ISNUMBER(AH101)*AND(AH101&gt;=5),10,6), AG101="Partial",4, TRUE,0)
  + _xlfn.IFS(AI101="Yes",5, AI101="Partial (material categories only)",3, TRUE,0)
  + _xlfn.IFS(AL101="Yes — Detailed",10, AL101="Yes — High Level",5, TRUE,0)
  + _xlfn.IFS(AM101="Yes — Quantified",15, AM101="Yes — Directional Only",7, TRUE,0)
  + _xlfn.IFS(AP101="Formal",5, AP101="Referenced",2, TRUE,0)
  + _xlfn.IFS(AQ101="No Issues Found",5, AQ101="Concern Identified",-5, AQ101="Severe Contradiction",-15, TRUE,0)
  + _xlfn.IFS(BC101="Reasonable Assurance",5, BC101="Limited Assurance",3, TRUE,0)
  - IF(AND(Z101="Yes", AI101="No"), 10, 0)
  - IF(AND(Z101="Yes", AM101="No"), 10, 0)
))</f>
        <v>0</v>
      </c>
      <c r="AS101" s="3"/>
      <c r="AT101" s="3"/>
      <c r="AU101" s="3"/>
      <c r="AV101" s="3"/>
      <c r="AW101" s="3"/>
      <c r="AX101" s="3"/>
      <c r="AY101" s="3"/>
      <c r="AZ101" s="3"/>
      <c r="BA101" s="3"/>
      <c r="BB101" s="3"/>
      <c r="BC101" s="3"/>
      <c r="BD101" s="3"/>
      <c r="BE101" s="40">
        <f t="array" ref="BE101">MIN(100, MAX(0,
  IFERROR(_xlfn.XLOOKUP(AT101,'Lookup Tables'!$D$2:$D$6,'Lookup Tables'!$E$2:$E$6,0),0)
  + IFERROR(_xlfn.XLOOKUP(AV101,'Lookup Tables'!$G$2:$G$5,'Lookup Tables'!$H$2:$H$5,0),0)
  + IFERROR(_xlfn.XLOOKUP(AW101,'Lookup Tables'!$J$2:$J$5,'Lookup Tables'!$K$2:$K$5,0),0)
  + _xlfn.IFS(AX101="No Issues",10, AX101="Complaint Filed",3, AX101="Confirmed Breach",-15, TRUE,0)
  + IFERROR(_xlfn.XLOOKUP(AY101,'Lookup Tables'!$M$2:$M$6,'Lookup Tables'!$N$2:$N$6,0),0)
  + IFERROR(_xlfn.XLOOKUP(AZ101,'Lookup Tables'!$P$2:$P$6,'Lookup Tables'!$Q$2:$Q$6,0),0)
  + _xlfn.IFS(BA101="Formal Board Committee",5, BA101="Board Oversight Mentioned",2, TRUE,0)
  + _xlfn.IFS(BB101="Yes — Quantified Targets",5, BB101="Yes — Discretionary Only",2, TRUE,0)
  + _xlfn.IFS(BC101="Reasonable Assurance",5, BC101="Limited Assurance",3, BC101="Management Review Only",1, TRUE,0)
))</f>
        <v>0</v>
      </c>
      <c r="BF101" s="3"/>
      <c r="BG101" s="3"/>
      <c r="BH101" s="3"/>
      <c r="BI101" s="3"/>
      <c r="BJ101" s="3"/>
      <c r="BK101" s="3"/>
      <c r="BL101" s="3"/>
      <c r="BM101" s="3"/>
      <c r="BN101" s="3"/>
      <c r="BO101" s="3"/>
      <c r="BP101" s="3"/>
      <c r="BQ101" s="3"/>
      <c r="BR101" s="3"/>
      <c r="BS101" s="42">
        <f t="array" ref="BS101">MIN(100, MAX(0,
  IFERROR(_xlfn.XLOOKUP(BG101,'Lookup Tables'!$A$11:$A$16,'Lookup Tables'!$B$11:$B$16,0),0)
  + IFERROR(_xlfn.XLOOKUP(BR101,'Lookup Tables'!$M$11:$M$14,'Lookup Tables'!$N$11:$N$14,0),0)
  + IFERROR(_xlfn.XLOOKUP(BQ101,'Lookup Tables'!$J$11:$J$15,'Lookup Tables'!$K$11:$K$15,0),0)
  + IFERROR(_xlfn.XLOOKUP(BH101,'Lookup Tables'!$D$11:$D$15,'Lookup Tables'!$E$11:$E$15,0),0)
  + IFERROR(_xlfn.XLOOKUP(BJ101,'Lookup Tables'!$G$11:$G$16,'Lookup Tables'!$H$11:$H$16,0),0)
  + IFERROR(_xlfn.XLOOKUP(BN101,'Lookup Tables'!$P$11:$P$15,'Lookup Tables'!$Q$11:$Q$15,0),0)
  + _xlfn.IFS(BM101="No Evidence",10, BM101="Unknown",3, BM101="Likely",0, BM101="Confirmed",-10, TRUE,3)
  + IFERROR(_xlfn.XLOOKUP(BP101,'Lookup Tables'!$J$21:$J$24,'Lookup Tables'!$K$21:$K$24,0),0)
))</f>
        <v>3</v>
      </c>
      <c r="BT101" s="3"/>
      <c r="BU101" s="3"/>
      <c r="BV101" s="3"/>
      <c r="BW101" s="3"/>
      <c r="BX101" s="3"/>
      <c r="BY101" s="3"/>
      <c r="BZ101" s="3"/>
      <c r="CA101" s="3"/>
      <c r="CB101" s="3"/>
      <c r="CC101" s="3"/>
      <c r="CD101" s="3"/>
      <c r="CE101" s="44">
        <f t="array" ref="CE101">MIN(100, MAX(0,
  IF(ISNUMBER(BV101)*AND(BV101&gt;0), 10, 0)
  + _xlfn.IFS(BY101="Independently Verified",25, BY101="Yes",15, TRUE,0)
  + IFERROR(_xlfn.XLOOKUP(BZ101,'Lookup Tables'!$A$21:$A$24,'Lookup Tables'!$B$21:$B$24,0),0)
  + IFERROR(_xlfn.XLOOKUP(CA101,'Lookup Tables'!$D$21:$D$24,'Lookup Tables'!$E$21:$E$24,0),0)
  + _xlfn.IFS(ISNUMBER(CB101)*AND(CB101&gt;=11),15, ISNUMBER(CB101)*AND(CB101&gt;=6),10, ISNUMBER(CB101)*AND(CB101&gt;=1),5, TRUE,0)
  + IFERROR(_xlfn.XLOOKUP(CC101,'Lookup Tables'!$G$21:$G$25,'Lookup Tables'!$H$21:$H$25,0),0)
  - IF(ISNUMBER(BW101)*AND(ISNUMBER(BV101))*AND(BW101&gt;BV101), 20, 0)
  - IF(AND(BY101="Yes", ISNUMBER(BW101), BW101&gt;60), 10, 0)
))</f>
        <v>0</v>
      </c>
      <c r="CF101" s="3"/>
      <c r="CG101" s="3"/>
      <c r="CH101" s="3"/>
      <c r="CI101" s="3"/>
      <c r="CJ101" s="3"/>
      <c r="CK101" s="3"/>
      <c r="CL101" s="3"/>
      <c r="CM101" s="3"/>
      <c r="CN101" s="3"/>
      <c r="CO101" s="3"/>
      <c r="CP101" s="3"/>
      <c r="CQ101" s="3"/>
      <c r="CR101" s="3">
        <f t="shared" si="77"/>
        <v>0</v>
      </c>
      <c r="CS101" s="3">
        <f t="shared" si="78"/>
        <v>0</v>
      </c>
      <c r="CT101" s="3">
        <f t="shared" si="79"/>
        <v>0</v>
      </c>
      <c r="CU101" s="3">
        <f>MIN(100,
  CR101*15
  + CS101*6
  + CT101*3
  + IFERROR(_xlfn.XLOOKUP(CW101,'Lookup Tables'!$M$21:$M$25,'Lookup Tables'!$N$21:$N$25,0),0)
)</f>
        <v>0</v>
      </c>
      <c r="CV101" s="3" t="str">
        <f t="shared" si="80"/>
        <v>No failures</v>
      </c>
      <c r="CW101" s="3"/>
      <c r="CX101" s="3"/>
      <c r="CY101" s="3"/>
      <c r="CZ101" s="3"/>
      <c r="DA101" s="3" t="str">
        <f t="shared" si="81"/>
        <v>Yes</v>
      </c>
      <c r="DB101" s="3" t="str">
        <f t="shared" si="82"/>
        <v>No</v>
      </c>
      <c r="DC101" s="3"/>
      <c r="DD101" s="3"/>
      <c r="DE101" s="3"/>
      <c r="DF101" s="3"/>
      <c r="DG101" s="3"/>
      <c r="DH101" s="3"/>
      <c r="DI101" s="3"/>
      <c r="DJ101" s="3"/>
      <c r="DK101" s="3"/>
      <c r="DL101" s="3" t="str">
        <f t="shared" si="83"/>
        <v>Clear</v>
      </c>
      <c r="DM101" s="3" t="str">
        <f t="shared" si="84"/>
        <v>Yes</v>
      </c>
      <c r="DN101" s="3">
        <f t="array" ref="DN101">MIN(100,
  IF(ISNUMBER(V101), _xlfn.IFS(V101&gt;=3,25, V101=2,15, V101=1,5, TRUE,0), 0)
  + IFERROR(_xlfn.IFS(VALUE(LEFT(DF101,1))=5,25, VALUE(LEFT(DF101,1))=4,20, VALUE(LEFT(DF101,1))=3,15, VALUE(LEFT(DF101,1))=2,8, TRUE,0), 15)
  + IFERROR(_xlfn.IFS(VALUE(LEFT(DG101,1))=5,25, VALUE(LEFT(DG101,1))=4,20, VALUE(LEFT(DG101,1))=3,15, VALUE(LEFT(DG101,1))=2,8, TRUE,0), 15)
  + _xlfn.IFS(DH101="Fully Verified",25, DH101="Partially Verified",12, TRUE,0)
)</f>
        <v>30</v>
      </c>
      <c r="DO101" s="3" t="str">
        <f t="array" ref="DO101">_xlfn.IFS(
  ISBLANK(AR101), "Insufficient Evidence",
  AND(AR101&gt;=65, AJ101="Approved"), "Strong",
  AR101&gt;=65, "Adequate",
  AR101&gt;=40, "Adequate",
  AR101&gt;=20, "Weak",
  TRUE, "Insufficient Evidence"
)</f>
        <v>Insufficient Evidence</v>
      </c>
      <c r="DP101" s="3" t="str">
        <f t="array" ref="DP101">_xlfn.IFS(
  ISBLANK(BS101), "Insufficient Evidence",
  BS101&gt;=65, "Strong",
  BS101&gt;=40, "Adequate",
  BS101&gt;=20, "Weak",
  TRUE, "Insufficient Evidence"
)</f>
        <v>Insufficient Evidence</v>
      </c>
      <c r="DQ101" s="3" t="str">
        <f t="array" ref="DQ101">_xlfn.IFS(
  ISBLANK(BE101), "Insufficient Evidence",
  OR(AW101="Confirmed Violation", AX101="Confirmed Breach"), "Severe — Hard Trigger",
  BE101&gt;=65, "Strong",
  BE101&gt;=40, "Adequate",
  BE101&gt;=20, "Weak",
  TRUE, "Insufficient Evidence"
)</f>
        <v>Insufficient Evidence</v>
      </c>
      <c r="DR101" s="3" t="str">
        <f t="array" ref="DR101">_xlfn.IFS(
  ISBLANK(CU101), "Insufficient Evidence",
  CU101&lt;=20, "Low Risk",
  CU101&lt;=50, "Moderate Risk",
  CU101&lt;=75, "High Risk",
  TRUE, "Very High Risk"
)</f>
        <v>Low Risk</v>
      </c>
      <c r="DS101" s="3" t="str">
        <f t="array" ref="DS101">_xlfn.IFS(
  ISBLANK(CE101), "Insufficient Evidence",
  AND(ISNUMBER(BW101),ISNUMBER(BV101),BW101&gt;BV101), "Overclaiming Risk",
  CE101&gt;=65, "Strong",
  CE101&gt;=40, "Adequate",
  TRUE, "Weak"
)</f>
        <v>Weak</v>
      </c>
      <c r="DT101" s="3">
        <f t="shared" si="85"/>
        <v>11.7</v>
      </c>
      <c r="DU101" s="3" t="str">
        <f t="array" ref="DU101">_xlfn.IFS(
  DV101="Upgraded to Clear", "Clear",
  DV101="Downgraded to Watchlist", "Watchlist",
  DV101="Downgraded to Exclusion", "Exclusion Risk",
  DB101="Yes — Automatic", "Exclusion Risk",
  OR(AW101="Confirmed Violation", AX101="Confirmed Breach"), "Exclusion Risk",
  OR(V101=0, ISBLANK(V101), DN101&lt;20), "Insufficient Evidence",
  AND(DT101&gt;=65, DA101="No", DB101="No"), "Clear",
  OR(DT101&gt;=40, DA101="Yes"), "Watchlist",
  TRUE, "Exclusion Risk"
)</f>
        <v>Insufficient Evidence</v>
      </c>
      <c r="DV101" s="3"/>
      <c r="DW101" s="3" t="str">
        <f t="array" ref="DW101">_xlfn.IFS(
  DU101="Exclusion Risk", "Exclude — Hard Trigger",
  DU101="Insufficient Evidence", "Watchlist — Further Evidence Needed",
  DU101="Watchlist", "Watchlist — Further Evidence Needed",
  AND(DU101="Clear", DT101&gt;=80), "Include — No Conditions",
  DU101="Clear", "Include — Monitor",
  TRUE, "Watchlist — Further Evidence Needed"
)</f>
        <v>Watchlist — Further Evidence Needed</v>
      </c>
      <c r="DX101" s="3"/>
      <c r="DY101" s="3"/>
      <c r="DZ101" s="3"/>
      <c r="EA101" s="3"/>
      <c r="EB101" s="3" t="str">
        <f t="shared" si="86"/>
        <v>MISSING — No sources reviewed</v>
      </c>
      <c r="EC101" s="3" t="str">
        <f t="shared" si="87"/>
        <v/>
      </c>
    </row>
    <row r="102" spans="1:133" ht="18" customHeight="1" x14ac:dyDescent="0.15">
      <c r="A102" s="5" t="s">
        <v>602</v>
      </c>
      <c r="B102" s="5" t="s">
        <v>603</v>
      </c>
      <c r="C102" s="5" t="str">
        <f>IF(ISBLANK('Universe Tracker'!D77),"",'Universe Tracker'!D77)</f>
        <v>FR0000045072</v>
      </c>
      <c r="D102" s="5"/>
      <c r="E102" s="5"/>
      <c r="F102" s="5" t="str">
        <f>IF(ISBLANK('Universe Tracker'!F77),"",'Universe Tracker'!F77)</f>
        <v>Financials</v>
      </c>
      <c r="G102" s="5" t="str">
        <f>IF(ISBLANK('Universe Tracker'!G77),"",'Universe Tracker'!G77)</f>
        <v>Banking</v>
      </c>
      <c r="H102" s="5"/>
      <c r="I102" s="5"/>
      <c r="J102" s="5" t="str">
        <f t="shared" si="75"/>
        <v>XCA_FR0000045072</v>
      </c>
      <c r="K102" s="5"/>
      <c r="L102" s="5"/>
      <c r="M102" s="5"/>
      <c r="N102" s="5"/>
      <c r="O102" s="5"/>
      <c r="P102" s="5"/>
      <c r="Q102" s="5"/>
      <c r="R102" s="5"/>
      <c r="S102" s="5"/>
      <c r="T102" s="5"/>
      <c r="U102" s="5"/>
      <c r="V102" s="5"/>
      <c r="W102" s="5"/>
      <c r="X102" s="5"/>
      <c r="Y102" s="5" t="str">
        <f t="shared" si="76"/>
        <v>Insufficient</v>
      </c>
      <c r="Z102" s="5"/>
      <c r="AA102" s="5"/>
      <c r="AB102" s="5"/>
      <c r="AC102" s="5"/>
      <c r="AD102" s="5"/>
      <c r="AE102" s="5"/>
      <c r="AF102" s="5"/>
      <c r="AG102" s="5"/>
      <c r="AH102" s="5"/>
      <c r="AI102" s="5"/>
      <c r="AJ102" s="5"/>
      <c r="AK102" s="5"/>
      <c r="AL102" s="5"/>
      <c r="AM102" s="5"/>
      <c r="AN102" s="5"/>
      <c r="AO102" s="5"/>
      <c r="AP102" s="5"/>
      <c r="AQ102" s="5"/>
      <c r="AR102" s="40">
        <f t="array" ref="AR102">MIN(100, MAX(0,
  IFERROR(_xlfn.XLOOKUP(AJ102,'Lookup Tables'!$A$2:$A$7,'Lookup Tables'!$B$2:$B$7,0),0)
  + IF(Z102="Yes", IF(IFERROR(_xlfn.XLOOKUP(AJ102,'Lookup Tables'!$A$2:$A$7,'Lookup Tables'!$B$2:$B$7,0),0)&lt;20, 5, 0), 0)
  + _xlfn.IFS(AB102="Yes", IF(ISNUMBER(AC102)*AND(AC102&lt;=2030),15,10), AB102="Long-term Only", 5, AB102="No", 0, TRUE, 0)
  + _xlfn.IFS(AF102="Full",10, AF102="Partial",5, AF102="Scope 2 Only",3, TRUE,0)
  + _xlfn.IFS(AG102="Yes", IF(ISNUMBER(AH102)*AND(AH102&gt;=5),10,6), AG102="Partial",4, TRUE,0)
  + _xlfn.IFS(AI102="Yes",5, AI102="Partial (material categories only)",3, TRUE,0)
  + _xlfn.IFS(AL102="Yes — Detailed",10, AL102="Yes — High Level",5, TRUE,0)
  + _xlfn.IFS(AM102="Yes — Quantified",15, AM102="Yes — Directional Only",7, TRUE,0)
  + _xlfn.IFS(AP102="Formal",5, AP102="Referenced",2, TRUE,0)
  + _xlfn.IFS(AQ102="No Issues Found",5, AQ102="Concern Identified",-5, AQ102="Severe Contradiction",-15, TRUE,0)
  + _xlfn.IFS(BC102="Reasonable Assurance",5, BC102="Limited Assurance",3, TRUE,0)
  - IF(AND(Z102="Yes", AI102="No"), 10, 0)
  - IF(AND(Z102="Yes", AM102="No"), 10, 0)
))</f>
        <v>0</v>
      </c>
      <c r="AS102" s="5"/>
      <c r="AT102" s="5"/>
      <c r="AU102" s="5"/>
      <c r="AV102" s="5"/>
      <c r="AW102" s="5"/>
      <c r="AX102" s="5"/>
      <c r="AY102" s="5"/>
      <c r="AZ102" s="5"/>
      <c r="BA102" s="5"/>
      <c r="BB102" s="5"/>
      <c r="BC102" s="5"/>
      <c r="BD102" s="5"/>
      <c r="BE102" s="39">
        <f t="array" ref="BE102">MIN(100, MAX(0,
  IFERROR(_xlfn.XLOOKUP(AT102,'Lookup Tables'!$D$2:$D$6,'Lookup Tables'!$E$2:$E$6,0),0)
  + IFERROR(_xlfn.XLOOKUP(AV102,'Lookup Tables'!$G$2:$G$5,'Lookup Tables'!$H$2:$H$5,0),0)
  + IFERROR(_xlfn.XLOOKUP(AW102,'Lookup Tables'!$J$2:$J$5,'Lookup Tables'!$K$2:$K$5,0),0)
  + _xlfn.IFS(AX102="No Issues",10, AX102="Complaint Filed",3, AX102="Confirmed Breach",-15, TRUE,0)
  + IFERROR(_xlfn.XLOOKUP(AY102,'Lookup Tables'!$M$2:$M$6,'Lookup Tables'!$N$2:$N$6,0),0)
  + IFERROR(_xlfn.XLOOKUP(AZ102,'Lookup Tables'!$P$2:$P$6,'Lookup Tables'!$Q$2:$Q$6,0),0)
  + _xlfn.IFS(BA102="Formal Board Committee",5, BA102="Board Oversight Mentioned",2, TRUE,0)
  + _xlfn.IFS(BB102="Yes — Quantified Targets",5, BB102="Yes — Discretionary Only",2, TRUE,0)
  + _xlfn.IFS(BC102="Reasonable Assurance",5, BC102="Limited Assurance",3, BC102="Management Review Only",1, TRUE,0)
))</f>
        <v>0</v>
      </c>
      <c r="BF102" s="5"/>
      <c r="BG102" s="5"/>
      <c r="BH102" s="5"/>
      <c r="BI102" s="5"/>
      <c r="BJ102" s="5"/>
      <c r="BK102" s="5"/>
      <c r="BL102" s="5"/>
      <c r="BM102" s="5"/>
      <c r="BN102" s="5"/>
      <c r="BO102" s="5"/>
      <c r="BP102" s="5"/>
      <c r="BQ102" s="5"/>
      <c r="BR102" s="5"/>
      <c r="BS102" s="41">
        <f t="array" ref="BS102">MIN(100, MAX(0,
  IFERROR(_xlfn.XLOOKUP(BG102,'Lookup Tables'!$A$11:$A$16,'Lookup Tables'!$B$11:$B$16,0),0)
  + IFERROR(_xlfn.XLOOKUP(BR102,'Lookup Tables'!$M$11:$M$14,'Lookup Tables'!$N$11:$N$14,0),0)
  + IFERROR(_xlfn.XLOOKUP(BQ102,'Lookup Tables'!$J$11:$J$15,'Lookup Tables'!$K$11:$K$15,0),0)
  + IFERROR(_xlfn.XLOOKUP(BH102,'Lookup Tables'!$D$11:$D$15,'Lookup Tables'!$E$11:$E$15,0),0)
  + IFERROR(_xlfn.XLOOKUP(BJ102,'Lookup Tables'!$G$11:$G$16,'Lookup Tables'!$H$11:$H$16,0),0)
  + IFERROR(_xlfn.XLOOKUP(BN102,'Lookup Tables'!$P$11:$P$15,'Lookup Tables'!$Q$11:$Q$15,0),0)
  + _xlfn.IFS(BM102="No Evidence",10, BM102="Unknown",3, BM102="Likely",0, BM102="Confirmed",-10, TRUE,3)
  + IFERROR(_xlfn.XLOOKUP(BP102,'Lookup Tables'!$J$21:$J$24,'Lookup Tables'!$K$21:$K$24,0),0)
))</f>
        <v>3</v>
      </c>
      <c r="BT102" s="5"/>
      <c r="BU102" s="5"/>
      <c r="BV102" s="5"/>
      <c r="BW102" s="5"/>
      <c r="BX102" s="5"/>
      <c r="BY102" s="5"/>
      <c r="BZ102" s="5"/>
      <c r="CA102" s="5"/>
      <c r="CB102" s="5"/>
      <c r="CC102" s="5"/>
      <c r="CD102" s="5"/>
      <c r="CE102" s="43">
        <f t="array" ref="CE102">MIN(100, MAX(0,
  IF(ISNUMBER(BV102)*AND(BV102&gt;0), 10, 0)
  + _xlfn.IFS(BY102="Independently Verified",25, BY102="Yes",15, TRUE,0)
  + IFERROR(_xlfn.XLOOKUP(BZ102,'Lookup Tables'!$A$21:$A$24,'Lookup Tables'!$B$21:$B$24,0),0)
  + IFERROR(_xlfn.XLOOKUP(CA102,'Lookup Tables'!$D$21:$D$24,'Lookup Tables'!$E$21:$E$24,0),0)
  + _xlfn.IFS(ISNUMBER(CB102)*AND(CB102&gt;=11),15, ISNUMBER(CB102)*AND(CB102&gt;=6),10, ISNUMBER(CB102)*AND(CB102&gt;=1),5, TRUE,0)
  + IFERROR(_xlfn.XLOOKUP(CC102,'Lookup Tables'!$G$21:$G$25,'Lookup Tables'!$H$21:$H$25,0),0)
  - IF(ISNUMBER(BW102)*AND(ISNUMBER(BV102))*AND(BW102&gt;BV102), 20, 0)
  - IF(AND(BY102="Yes", ISNUMBER(BW102), BW102&gt;60), 10, 0)
))</f>
        <v>0</v>
      </c>
      <c r="CF102" s="5"/>
      <c r="CG102" s="5"/>
      <c r="CH102" s="5"/>
      <c r="CI102" s="5"/>
      <c r="CJ102" s="5"/>
      <c r="CK102" s="5"/>
      <c r="CL102" s="5"/>
      <c r="CM102" s="5"/>
      <c r="CN102" s="5"/>
      <c r="CO102" s="5"/>
      <c r="CP102" s="5"/>
      <c r="CQ102" s="5"/>
      <c r="CR102" s="5">
        <f t="shared" si="77"/>
        <v>0</v>
      </c>
      <c r="CS102" s="5">
        <f t="shared" si="78"/>
        <v>0</v>
      </c>
      <c r="CT102" s="5">
        <f t="shared" si="79"/>
        <v>0</v>
      </c>
      <c r="CU102" s="5">
        <f>MIN(100,
  CR102*15
  + CS102*6
  + CT102*3
  + IFERROR(_xlfn.XLOOKUP(CW102,'Lookup Tables'!$M$21:$M$25,'Lookup Tables'!$N$21:$N$25,0),0)
)</f>
        <v>0</v>
      </c>
      <c r="CV102" s="5" t="str">
        <f t="shared" si="80"/>
        <v>No failures</v>
      </c>
      <c r="CW102" s="5"/>
      <c r="CX102" s="5"/>
      <c r="CY102" s="5"/>
      <c r="CZ102" s="5"/>
      <c r="DA102" s="5" t="str">
        <f t="shared" si="81"/>
        <v>Yes</v>
      </c>
      <c r="DB102" s="5" t="str">
        <f t="shared" si="82"/>
        <v>No</v>
      </c>
      <c r="DC102" s="5"/>
      <c r="DD102" s="5"/>
      <c r="DE102" s="5"/>
      <c r="DF102" s="5"/>
      <c r="DG102" s="5"/>
      <c r="DH102" s="5"/>
      <c r="DI102" s="5"/>
      <c r="DJ102" s="5"/>
      <c r="DK102" s="5"/>
      <c r="DL102" s="5" t="str">
        <f t="shared" si="83"/>
        <v>Clear</v>
      </c>
      <c r="DM102" s="5" t="str">
        <f t="shared" si="84"/>
        <v>Yes</v>
      </c>
      <c r="DN102" s="5">
        <f t="array" ref="DN102">MIN(100,
  IF(ISNUMBER(V102), _xlfn.IFS(V102&gt;=3,25, V102=2,15, V102=1,5, TRUE,0), 0)
  + IFERROR(_xlfn.IFS(VALUE(LEFT(DF102,1))=5,25, VALUE(LEFT(DF102,1))=4,20, VALUE(LEFT(DF102,1))=3,15, VALUE(LEFT(DF102,1))=2,8, TRUE,0), 15)
  + IFERROR(_xlfn.IFS(VALUE(LEFT(DG102,1))=5,25, VALUE(LEFT(DG102,1))=4,20, VALUE(LEFT(DG102,1))=3,15, VALUE(LEFT(DG102,1))=2,8, TRUE,0), 15)
  + _xlfn.IFS(DH102="Fully Verified",25, DH102="Partially Verified",12, TRUE,0)
)</f>
        <v>30</v>
      </c>
      <c r="DO102" s="5" t="str">
        <f t="array" ref="DO102">_xlfn.IFS(
  ISBLANK(AR102), "Insufficient Evidence",
  AND(AR102&gt;=65, AJ102="Approved"), "Strong",
  AR102&gt;=65, "Adequate",
  AR102&gt;=40, "Adequate",
  AR102&gt;=20, "Weak",
  TRUE, "Insufficient Evidence"
)</f>
        <v>Insufficient Evidence</v>
      </c>
      <c r="DP102" s="5" t="str">
        <f t="array" ref="DP102">_xlfn.IFS(
  ISBLANK(BS102), "Insufficient Evidence",
  BS102&gt;=65, "Strong",
  BS102&gt;=40, "Adequate",
  BS102&gt;=20, "Weak",
  TRUE, "Insufficient Evidence"
)</f>
        <v>Insufficient Evidence</v>
      </c>
      <c r="DQ102" s="5" t="str">
        <f t="array" ref="DQ102">_xlfn.IFS(
  ISBLANK(BE102), "Insufficient Evidence",
  OR(AW102="Confirmed Violation", AX102="Confirmed Breach"), "Severe — Hard Trigger",
  BE102&gt;=65, "Strong",
  BE102&gt;=40, "Adequate",
  BE102&gt;=20, "Weak",
  TRUE, "Insufficient Evidence"
)</f>
        <v>Insufficient Evidence</v>
      </c>
      <c r="DR102" s="5" t="str">
        <f t="array" ref="DR102">_xlfn.IFS(
  ISBLANK(CU102), "Insufficient Evidence",
  CU102&lt;=20, "Low Risk",
  CU102&lt;=50, "Moderate Risk",
  CU102&lt;=75, "High Risk",
  TRUE, "Very High Risk"
)</f>
        <v>Low Risk</v>
      </c>
      <c r="DS102" s="5" t="str">
        <f t="array" ref="DS102">_xlfn.IFS(
  ISBLANK(CE102), "Insufficient Evidence",
  AND(ISNUMBER(BW102),ISNUMBER(BV102),BW102&gt;BV102), "Overclaiming Risk",
  CE102&gt;=65, "Strong",
  CE102&gt;=40, "Adequate",
  TRUE, "Weak"
)</f>
        <v>Weak</v>
      </c>
      <c r="DT102" s="5">
        <f t="shared" si="85"/>
        <v>11.7</v>
      </c>
      <c r="DU102" s="5" t="str">
        <f t="array" ref="DU102">_xlfn.IFS(
  DV102="Upgraded to Clear", "Clear",
  DV102="Downgraded to Watchlist", "Watchlist",
  DV102="Downgraded to Exclusion", "Exclusion Risk",
  DB102="Yes — Automatic", "Exclusion Risk",
  OR(AW102="Confirmed Violation", AX102="Confirmed Breach"), "Exclusion Risk",
  OR(V102=0, ISBLANK(V102), DN102&lt;20), "Insufficient Evidence",
  AND(DT102&gt;=65, DA102="No", DB102="No"), "Clear",
  OR(DT102&gt;=40, DA102="Yes"), "Watchlist",
  TRUE, "Exclusion Risk"
)</f>
        <v>Insufficient Evidence</v>
      </c>
      <c r="DV102" s="5"/>
      <c r="DW102" s="5" t="str">
        <f t="array" ref="DW102">_xlfn.IFS(
  DU102="Exclusion Risk", "Exclude — Hard Trigger",
  DU102="Insufficient Evidence", "Watchlist — Further Evidence Needed",
  DU102="Watchlist", "Watchlist — Further Evidence Needed",
  AND(DU102="Clear", DT102&gt;=80), "Include — No Conditions",
  DU102="Clear", "Include — Monitor",
  TRUE, "Watchlist — Further Evidence Needed"
)</f>
        <v>Watchlist — Further Evidence Needed</v>
      </c>
      <c r="DX102" s="5"/>
      <c r="DY102" s="5"/>
      <c r="DZ102" s="5"/>
      <c r="EA102" s="5"/>
      <c r="EB102" s="5" t="str">
        <f t="shared" si="86"/>
        <v>MISSING — No sources reviewed</v>
      </c>
      <c r="EC102" s="5" t="str">
        <f t="shared" si="87"/>
        <v/>
      </c>
    </row>
    <row r="103" spans="1:133" ht="18" customHeight="1" x14ac:dyDescent="0.15">
      <c r="A103" s="3" t="s">
        <v>606</v>
      </c>
      <c r="B103" s="3" t="s">
        <v>607</v>
      </c>
      <c r="C103" s="3" t="str">
        <f>IF(ISBLANK('Universe Tracker'!D78),"",'Universe Tracker'!D78)</f>
        <v>ES0113211835</v>
      </c>
      <c r="D103" s="3"/>
      <c r="E103" s="3"/>
      <c r="F103" s="3" t="str">
        <f>IF(ISBLANK('Universe Tracker'!F78),"",'Universe Tracker'!F78)</f>
        <v>Financials</v>
      </c>
      <c r="G103" s="3" t="str">
        <f>IF(ISBLANK('Universe Tracker'!G78),"",'Universe Tracker'!G78)</f>
        <v>Banking</v>
      </c>
      <c r="H103" s="3"/>
      <c r="I103" s="3"/>
      <c r="J103" s="3" t="str">
        <f t="shared" si="75"/>
        <v>BOY_ES0113211835</v>
      </c>
      <c r="K103" s="3"/>
      <c r="L103" s="3"/>
      <c r="M103" s="3"/>
      <c r="N103" s="3"/>
      <c r="O103" s="3"/>
      <c r="P103" s="3"/>
      <c r="Q103" s="3"/>
      <c r="R103" s="3"/>
      <c r="S103" s="3"/>
      <c r="T103" s="3"/>
      <c r="U103" s="3"/>
      <c r="V103" s="3"/>
      <c r="W103" s="3"/>
      <c r="X103" s="3"/>
      <c r="Y103" s="3" t="str">
        <f t="shared" si="76"/>
        <v>Insufficient</v>
      </c>
      <c r="Z103" s="3"/>
      <c r="AA103" s="3"/>
      <c r="AB103" s="3"/>
      <c r="AC103" s="3"/>
      <c r="AD103" s="3"/>
      <c r="AE103" s="3"/>
      <c r="AF103" s="3"/>
      <c r="AG103" s="3"/>
      <c r="AH103" s="3"/>
      <c r="AI103" s="3"/>
      <c r="AJ103" s="3"/>
      <c r="AK103" s="3"/>
      <c r="AL103" s="3"/>
      <c r="AM103" s="3"/>
      <c r="AN103" s="3"/>
      <c r="AO103" s="3"/>
      <c r="AP103" s="3"/>
      <c r="AQ103" s="3"/>
      <c r="AR103" s="40">
        <f t="array" ref="AR103">MIN(100, MAX(0,
  IFERROR(_xlfn.XLOOKUP(AJ103,'Lookup Tables'!$A$2:$A$7,'Lookup Tables'!$B$2:$B$7,0),0)
  + IF(Z103="Yes", IF(IFERROR(_xlfn.XLOOKUP(AJ103,'Lookup Tables'!$A$2:$A$7,'Lookup Tables'!$B$2:$B$7,0),0)&lt;20, 5, 0), 0)
  + _xlfn.IFS(AB103="Yes", IF(ISNUMBER(AC103)*AND(AC103&lt;=2030),15,10), AB103="Long-term Only", 5, AB103="No", 0, TRUE, 0)
  + _xlfn.IFS(AF103="Full",10, AF103="Partial",5, AF103="Scope 2 Only",3, TRUE,0)
  + _xlfn.IFS(AG103="Yes", IF(ISNUMBER(AH103)*AND(AH103&gt;=5),10,6), AG103="Partial",4, TRUE,0)
  + _xlfn.IFS(AI103="Yes",5, AI103="Partial (material categories only)",3, TRUE,0)
  + _xlfn.IFS(AL103="Yes — Detailed",10, AL103="Yes — High Level",5, TRUE,0)
  + _xlfn.IFS(AM103="Yes — Quantified",15, AM103="Yes — Directional Only",7, TRUE,0)
  + _xlfn.IFS(AP103="Formal",5, AP103="Referenced",2, TRUE,0)
  + _xlfn.IFS(AQ103="No Issues Found",5, AQ103="Concern Identified",-5, AQ103="Severe Contradiction",-15, TRUE,0)
  + _xlfn.IFS(BC103="Reasonable Assurance",5, BC103="Limited Assurance",3, TRUE,0)
  - IF(AND(Z103="Yes", AI103="No"), 10, 0)
  - IF(AND(Z103="Yes", AM103="No"), 10, 0)
))</f>
        <v>0</v>
      </c>
      <c r="AS103" s="3"/>
      <c r="AT103" s="3"/>
      <c r="AU103" s="3"/>
      <c r="AV103" s="3"/>
      <c r="AW103" s="3"/>
      <c r="AX103" s="3"/>
      <c r="AY103" s="3"/>
      <c r="AZ103" s="3"/>
      <c r="BA103" s="3"/>
      <c r="BB103" s="3"/>
      <c r="BC103" s="3"/>
      <c r="BD103" s="3"/>
      <c r="BE103" s="40">
        <f t="array" ref="BE103">MIN(100, MAX(0,
  IFERROR(_xlfn.XLOOKUP(AT103,'Lookup Tables'!$D$2:$D$6,'Lookup Tables'!$E$2:$E$6,0),0)
  + IFERROR(_xlfn.XLOOKUP(AV103,'Lookup Tables'!$G$2:$G$5,'Lookup Tables'!$H$2:$H$5,0),0)
  + IFERROR(_xlfn.XLOOKUP(AW103,'Lookup Tables'!$J$2:$J$5,'Lookup Tables'!$K$2:$K$5,0),0)
  + _xlfn.IFS(AX103="No Issues",10, AX103="Complaint Filed",3, AX103="Confirmed Breach",-15, TRUE,0)
  + IFERROR(_xlfn.XLOOKUP(AY103,'Lookup Tables'!$M$2:$M$6,'Lookup Tables'!$N$2:$N$6,0),0)
  + IFERROR(_xlfn.XLOOKUP(AZ103,'Lookup Tables'!$P$2:$P$6,'Lookup Tables'!$Q$2:$Q$6,0),0)
  + _xlfn.IFS(BA103="Formal Board Committee",5, BA103="Board Oversight Mentioned",2, TRUE,0)
  + _xlfn.IFS(BB103="Yes — Quantified Targets",5, BB103="Yes — Discretionary Only",2, TRUE,0)
  + _xlfn.IFS(BC103="Reasonable Assurance",5, BC103="Limited Assurance",3, BC103="Management Review Only",1, TRUE,0)
))</f>
        <v>0</v>
      </c>
      <c r="BF103" s="3"/>
      <c r="BG103" s="3"/>
      <c r="BH103" s="3"/>
      <c r="BI103" s="3"/>
      <c r="BJ103" s="3"/>
      <c r="BK103" s="3"/>
      <c r="BL103" s="3"/>
      <c r="BM103" s="3"/>
      <c r="BN103" s="3"/>
      <c r="BO103" s="3"/>
      <c r="BP103" s="3"/>
      <c r="BQ103" s="3"/>
      <c r="BR103" s="3"/>
      <c r="BS103" s="42">
        <f t="array" ref="BS103">MIN(100, MAX(0,
  IFERROR(_xlfn.XLOOKUP(BG103,'Lookup Tables'!$A$11:$A$16,'Lookup Tables'!$B$11:$B$16,0),0)
  + IFERROR(_xlfn.XLOOKUP(BR103,'Lookup Tables'!$M$11:$M$14,'Lookup Tables'!$N$11:$N$14,0),0)
  + IFERROR(_xlfn.XLOOKUP(BQ103,'Lookup Tables'!$J$11:$J$15,'Lookup Tables'!$K$11:$K$15,0),0)
  + IFERROR(_xlfn.XLOOKUP(BH103,'Lookup Tables'!$D$11:$D$15,'Lookup Tables'!$E$11:$E$15,0),0)
  + IFERROR(_xlfn.XLOOKUP(BJ103,'Lookup Tables'!$G$11:$G$16,'Lookup Tables'!$H$11:$H$16,0),0)
  + IFERROR(_xlfn.XLOOKUP(BN103,'Lookup Tables'!$P$11:$P$15,'Lookup Tables'!$Q$11:$Q$15,0),0)
  + _xlfn.IFS(BM103="No Evidence",10, BM103="Unknown",3, BM103="Likely",0, BM103="Confirmed",-10, TRUE,3)
  + IFERROR(_xlfn.XLOOKUP(BP103,'Lookup Tables'!$J$21:$J$24,'Lookup Tables'!$K$21:$K$24,0),0)
))</f>
        <v>3</v>
      </c>
      <c r="BT103" s="3"/>
      <c r="BU103" s="3"/>
      <c r="BV103" s="3"/>
      <c r="BW103" s="3"/>
      <c r="BX103" s="3"/>
      <c r="BY103" s="3"/>
      <c r="BZ103" s="3"/>
      <c r="CA103" s="3"/>
      <c r="CB103" s="3"/>
      <c r="CC103" s="3"/>
      <c r="CD103" s="3"/>
      <c r="CE103" s="44">
        <f t="array" ref="CE103">MIN(100, MAX(0,
  IF(ISNUMBER(BV103)*AND(BV103&gt;0), 10, 0)
  + _xlfn.IFS(BY103="Independently Verified",25, BY103="Yes",15, TRUE,0)
  + IFERROR(_xlfn.XLOOKUP(BZ103,'Lookup Tables'!$A$21:$A$24,'Lookup Tables'!$B$21:$B$24,0),0)
  + IFERROR(_xlfn.XLOOKUP(CA103,'Lookup Tables'!$D$21:$D$24,'Lookup Tables'!$E$21:$E$24,0),0)
  + _xlfn.IFS(ISNUMBER(CB103)*AND(CB103&gt;=11),15, ISNUMBER(CB103)*AND(CB103&gt;=6),10, ISNUMBER(CB103)*AND(CB103&gt;=1),5, TRUE,0)
  + IFERROR(_xlfn.XLOOKUP(CC103,'Lookup Tables'!$G$21:$G$25,'Lookup Tables'!$H$21:$H$25,0),0)
  - IF(ISNUMBER(BW103)*AND(ISNUMBER(BV103))*AND(BW103&gt;BV103), 20, 0)
  - IF(AND(BY103="Yes", ISNUMBER(BW103), BW103&gt;60), 10, 0)
))</f>
        <v>0</v>
      </c>
      <c r="CF103" s="3"/>
      <c r="CG103" s="3"/>
      <c r="CH103" s="3"/>
      <c r="CI103" s="3"/>
      <c r="CJ103" s="3"/>
      <c r="CK103" s="3"/>
      <c r="CL103" s="3"/>
      <c r="CM103" s="3"/>
      <c r="CN103" s="3"/>
      <c r="CO103" s="3"/>
      <c r="CP103" s="3"/>
      <c r="CQ103" s="3"/>
      <c r="CR103" s="3">
        <f t="shared" si="77"/>
        <v>0</v>
      </c>
      <c r="CS103" s="3">
        <f t="shared" si="78"/>
        <v>0</v>
      </c>
      <c r="CT103" s="3">
        <f t="shared" si="79"/>
        <v>0</v>
      </c>
      <c r="CU103" s="3">
        <f>MIN(100,
  CR103*15
  + CS103*6
  + CT103*3
  + IFERROR(_xlfn.XLOOKUP(CW103,'Lookup Tables'!$M$21:$M$25,'Lookup Tables'!$N$21:$N$25,0),0)
)</f>
        <v>0</v>
      </c>
      <c r="CV103" s="3" t="str">
        <f t="shared" si="80"/>
        <v>No failures</v>
      </c>
      <c r="CW103" s="3"/>
      <c r="CX103" s="3"/>
      <c r="CY103" s="3"/>
      <c r="CZ103" s="3"/>
      <c r="DA103" s="3" t="str">
        <f t="shared" si="81"/>
        <v>Yes</v>
      </c>
      <c r="DB103" s="3" t="str">
        <f t="shared" si="82"/>
        <v>No</v>
      </c>
      <c r="DC103" s="3"/>
      <c r="DD103" s="3"/>
      <c r="DE103" s="3"/>
      <c r="DF103" s="3"/>
      <c r="DG103" s="3"/>
      <c r="DH103" s="3"/>
      <c r="DI103" s="3"/>
      <c r="DJ103" s="3"/>
      <c r="DK103" s="3"/>
      <c r="DL103" s="3" t="str">
        <f t="shared" si="83"/>
        <v>Clear</v>
      </c>
      <c r="DM103" s="3" t="str">
        <f t="shared" si="84"/>
        <v>Yes</v>
      </c>
      <c r="DN103" s="3">
        <f t="array" ref="DN103">MIN(100,
  IF(ISNUMBER(V103), _xlfn.IFS(V103&gt;=3,25, V103=2,15, V103=1,5, TRUE,0), 0)
  + IFERROR(_xlfn.IFS(VALUE(LEFT(DF103,1))=5,25, VALUE(LEFT(DF103,1))=4,20, VALUE(LEFT(DF103,1))=3,15, VALUE(LEFT(DF103,1))=2,8, TRUE,0), 15)
  + IFERROR(_xlfn.IFS(VALUE(LEFT(DG103,1))=5,25, VALUE(LEFT(DG103,1))=4,20, VALUE(LEFT(DG103,1))=3,15, VALUE(LEFT(DG103,1))=2,8, TRUE,0), 15)
  + _xlfn.IFS(DH103="Fully Verified",25, DH103="Partially Verified",12, TRUE,0)
)</f>
        <v>30</v>
      </c>
      <c r="DO103" s="3" t="str">
        <f t="array" ref="DO103">_xlfn.IFS(
  ISBLANK(AR103), "Insufficient Evidence",
  AND(AR103&gt;=65, AJ103="Approved"), "Strong",
  AR103&gt;=65, "Adequate",
  AR103&gt;=40, "Adequate",
  AR103&gt;=20, "Weak",
  TRUE, "Insufficient Evidence"
)</f>
        <v>Insufficient Evidence</v>
      </c>
      <c r="DP103" s="3" t="str">
        <f t="array" ref="DP103">_xlfn.IFS(
  ISBLANK(BS103), "Insufficient Evidence",
  BS103&gt;=65, "Strong",
  BS103&gt;=40, "Adequate",
  BS103&gt;=20, "Weak",
  TRUE, "Insufficient Evidence"
)</f>
        <v>Insufficient Evidence</v>
      </c>
      <c r="DQ103" s="3" t="str">
        <f t="array" ref="DQ103">_xlfn.IFS(
  ISBLANK(BE103), "Insufficient Evidence",
  OR(AW103="Confirmed Violation", AX103="Confirmed Breach"), "Severe — Hard Trigger",
  BE103&gt;=65, "Strong",
  BE103&gt;=40, "Adequate",
  BE103&gt;=20, "Weak",
  TRUE, "Insufficient Evidence"
)</f>
        <v>Insufficient Evidence</v>
      </c>
      <c r="DR103" s="3" t="str">
        <f t="array" ref="DR103">_xlfn.IFS(
  ISBLANK(CU103), "Insufficient Evidence",
  CU103&lt;=20, "Low Risk",
  CU103&lt;=50, "Moderate Risk",
  CU103&lt;=75, "High Risk",
  TRUE, "Very High Risk"
)</f>
        <v>Low Risk</v>
      </c>
      <c r="DS103" s="3" t="str">
        <f t="array" ref="DS103">_xlfn.IFS(
  ISBLANK(CE103), "Insufficient Evidence",
  AND(ISNUMBER(BW103),ISNUMBER(BV103),BW103&gt;BV103), "Overclaiming Risk",
  CE103&gt;=65, "Strong",
  CE103&gt;=40, "Adequate",
  TRUE, "Weak"
)</f>
        <v>Weak</v>
      </c>
      <c r="DT103" s="3">
        <f t="shared" si="85"/>
        <v>11.7</v>
      </c>
      <c r="DU103" s="3" t="str">
        <f t="array" ref="DU103">_xlfn.IFS(
  DV103="Upgraded to Clear", "Clear",
  DV103="Downgraded to Watchlist", "Watchlist",
  DV103="Downgraded to Exclusion", "Exclusion Risk",
  DB103="Yes — Automatic", "Exclusion Risk",
  OR(AW103="Confirmed Violation", AX103="Confirmed Breach"), "Exclusion Risk",
  OR(V103=0, ISBLANK(V103), DN103&lt;20), "Insufficient Evidence",
  AND(DT103&gt;=65, DA103="No", DB103="No"), "Clear",
  OR(DT103&gt;=40, DA103="Yes"), "Watchlist",
  TRUE, "Exclusion Risk"
)</f>
        <v>Insufficient Evidence</v>
      </c>
      <c r="DV103" s="3"/>
      <c r="DW103" s="3" t="str">
        <f t="array" ref="DW103">_xlfn.IFS(
  DU103="Exclusion Risk", "Exclude — Hard Trigger",
  DU103="Insufficient Evidence", "Watchlist — Further Evidence Needed",
  DU103="Watchlist", "Watchlist — Further Evidence Needed",
  AND(DU103="Clear", DT103&gt;=80), "Include — No Conditions",
  DU103="Clear", "Include — Monitor",
  TRUE, "Watchlist — Further Evidence Needed"
)</f>
        <v>Watchlist — Further Evidence Needed</v>
      </c>
      <c r="DX103" s="3"/>
      <c r="DY103" s="3"/>
      <c r="DZ103" s="3"/>
      <c r="EA103" s="3"/>
      <c r="EB103" s="3" t="str">
        <f t="shared" si="86"/>
        <v>MISSING — No sources reviewed</v>
      </c>
      <c r="EC103" s="3" t="str">
        <f t="shared" si="87"/>
        <v/>
      </c>
    </row>
    <row r="104" spans="1:133" ht="18" customHeight="1" x14ac:dyDescent="0.15">
      <c r="A104" s="5" t="s">
        <v>610</v>
      </c>
      <c r="B104" s="5" t="s">
        <v>611</v>
      </c>
      <c r="C104" s="5" t="str">
        <f>IF(ISBLANK('Universe Tracker'!D79),"",'Universe Tracker'!D79)</f>
        <v>IT0001233417</v>
      </c>
      <c r="D104" s="5"/>
      <c r="E104" s="5"/>
      <c r="F104" s="5" t="str">
        <f>IF(ISBLANK('Universe Tracker'!F79),"",'Universe Tracker'!F79)</f>
        <v>Utilities</v>
      </c>
      <c r="G104" s="5" t="str">
        <f>IF(ISBLANK('Universe Tracker'!G79),"",'Universe Tracker'!G79)</f>
        <v>Utilities</v>
      </c>
      <c r="H104" s="5"/>
      <c r="I104" s="5"/>
      <c r="J104" s="5" t="str">
        <f t="shared" si="75"/>
        <v>EAM_IT0001233417</v>
      </c>
      <c r="K104" s="5"/>
      <c r="L104" s="5"/>
      <c r="M104" s="5"/>
      <c r="N104" s="5"/>
      <c r="O104" s="5"/>
      <c r="P104" s="5"/>
      <c r="Q104" s="5"/>
      <c r="R104" s="5"/>
      <c r="S104" s="5"/>
      <c r="T104" s="5"/>
      <c r="U104" s="5"/>
      <c r="V104" s="5"/>
      <c r="W104" s="5"/>
      <c r="X104" s="5"/>
      <c r="Y104" s="5" t="str">
        <f t="shared" si="76"/>
        <v>Insufficient</v>
      </c>
      <c r="Z104" s="5"/>
      <c r="AA104" s="5"/>
      <c r="AB104" s="5"/>
      <c r="AC104" s="5"/>
      <c r="AD104" s="5"/>
      <c r="AE104" s="5"/>
      <c r="AF104" s="5"/>
      <c r="AG104" s="5"/>
      <c r="AH104" s="5"/>
      <c r="AI104" s="5"/>
      <c r="AJ104" s="5"/>
      <c r="AK104" s="5"/>
      <c r="AL104" s="5"/>
      <c r="AM104" s="5"/>
      <c r="AN104" s="5"/>
      <c r="AO104" s="5"/>
      <c r="AP104" s="5"/>
      <c r="AQ104" s="5"/>
      <c r="AR104" s="40">
        <f t="array" ref="AR104">MIN(100, MAX(0,
  IFERROR(_xlfn.XLOOKUP(AJ104,'Lookup Tables'!$A$2:$A$7,'Lookup Tables'!$B$2:$B$7,0),0)
  + IF(Z104="Yes", IF(IFERROR(_xlfn.XLOOKUP(AJ104,'Lookup Tables'!$A$2:$A$7,'Lookup Tables'!$B$2:$B$7,0),0)&lt;20, 5, 0), 0)
  + _xlfn.IFS(AB104="Yes", IF(ISNUMBER(AC104)*AND(AC104&lt;=2030),15,10), AB104="Long-term Only", 5, AB104="No", 0, TRUE, 0)
  + _xlfn.IFS(AF104="Full",10, AF104="Partial",5, AF104="Scope 2 Only",3, TRUE,0)
  + _xlfn.IFS(AG104="Yes", IF(ISNUMBER(AH104)*AND(AH104&gt;=5),10,6), AG104="Partial",4, TRUE,0)
  + _xlfn.IFS(AI104="Yes",5, AI104="Partial (material categories only)",3, TRUE,0)
  + _xlfn.IFS(AL104="Yes — Detailed",10, AL104="Yes — High Level",5, TRUE,0)
  + _xlfn.IFS(AM104="Yes — Quantified",15, AM104="Yes — Directional Only",7, TRUE,0)
  + _xlfn.IFS(AP104="Formal",5, AP104="Referenced",2, TRUE,0)
  + _xlfn.IFS(AQ104="No Issues Found",5, AQ104="Concern Identified",-5, AQ104="Severe Contradiction",-15, TRUE,0)
  + _xlfn.IFS(BC104="Reasonable Assurance",5, BC104="Limited Assurance",3, TRUE,0)
  - IF(AND(Z104="Yes", AI104="No"), 10, 0)
  - IF(AND(Z104="Yes", AM104="No"), 10, 0)
))</f>
        <v>0</v>
      </c>
      <c r="AS104" s="5"/>
      <c r="AT104" s="5"/>
      <c r="AU104" s="5"/>
      <c r="AV104" s="5"/>
      <c r="AW104" s="5"/>
      <c r="AX104" s="5"/>
      <c r="AY104" s="5"/>
      <c r="AZ104" s="5"/>
      <c r="BA104" s="5"/>
      <c r="BB104" s="5"/>
      <c r="BC104" s="5"/>
      <c r="BD104" s="5"/>
      <c r="BE104" s="39">
        <f t="array" ref="BE104">MIN(100, MAX(0,
  IFERROR(_xlfn.XLOOKUP(AT104,'Lookup Tables'!$D$2:$D$6,'Lookup Tables'!$E$2:$E$6,0),0)
  + IFERROR(_xlfn.XLOOKUP(AV104,'Lookup Tables'!$G$2:$G$5,'Lookup Tables'!$H$2:$H$5,0),0)
  + IFERROR(_xlfn.XLOOKUP(AW104,'Lookup Tables'!$J$2:$J$5,'Lookup Tables'!$K$2:$K$5,0),0)
  + _xlfn.IFS(AX104="No Issues",10, AX104="Complaint Filed",3, AX104="Confirmed Breach",-15, TRUE,0)
  + IFERROR(_xlfn.XLOOKUP(AY104,'Lookup Tables'!$M$2:$M$6,'Lookup Tables'!$N$2:$N$6,0),0)
  + IFERROR(_xlfn.XLOOKUP(AZ104,'Lookup Tables'!$P$2:$P$6,'Lookup Tables'!$Q$2:$Q$6,0),0)
  + _xlfn.IFS(BA104="Formal Board Committee",5, BA104="Board Oversight Mentioned",2, TRUE,0)
  + _xlfn.IFS(BB104="Yes — Quantified Targets",5, BB104="Yes — Discretionary Only",2, TRUE,0)
  + _xlfn.IFS(BC104="Reasonable Assurance",5, BC104="Limited Assurance",3, BC104="Management Review Only",1, TRUE,0)
))</f>
        <v>0</v>
      </c>
      <c r="BF104" s="5"/>
      <c r="BG104" s="5"/>
      <c r="BH104" s="5"/>
      <c r="BI104" s="5"/>
      <c r="BJ104" s="5"/>
      <c r="BK104" s="5"/>
      <c r="BL104" s="5"/>
      <c r="BM104" s="5"/>
      <c r="BN104" s="5"/>
      <c r="BO104" s="5"/>
      <c r="BP104" s="5"/>
      <c r="BQ104" s="5"/>
      <c r="BR104" s="5"/>
      <c r="BS104" s="41">
        <f t="array" ref="BS104">MIN(100, MAX(0,
  IFERROR(_xlfn.XLOOKUP(BG104,'Lookup Tables'!$A$11:$A$16,'Lookup Tables'!$B$11:$B$16,0),0)
  + IFERROR(_xlfn.XLOOKUP(BR104,'Lookup Tables'!$M$11:$M$14,'Lookup Tables'!$N$11:$N$14,0),0)
  + IFERROR(_xlfn.XLOOKUP(BQ104,'Lookup Tables'!$J$11:$J$15,'Lookup Tables'!$K$11:$K$15,0),0)
  + IFERROR(_xlfn.XLOOKUP(BH104,'Lookup Tables'!$D$11:$D$15,'Lookup Tables'!$E$11:$E$15,0),0)
  + IFERROR(_xlfn.XLOOKUP(BJ104,'Lookup Tables'!$G$11:$G$16,'Lookup Tables'!$H$11:$H$16,0),0)
  + IFERROR(_xlfn.XLOOKUP(BN104,'Lookup Tables'!$P$11:$P$15,'Lookup Tables'!$Q$11:$Q$15,0),0)
  + _xlfn.IFS(BM104="No Evidence",10, BM104="Unknown",3, BM104="Likely",0, BM104="Confirmed",-10, TRUE,3)
  + IFERROR(_xlfn.XLOOKUP(BP104,'Lookup Tables'!$J$21:$J$24,'Lookup Tables'!$K$21:$K$24,0),0)
))</f>
        <v>3</v>
      </c>
      <c r="BT104" s="5"/>
      <c r="BU104" s="5"/>
      <c r="BV104" s="5"/>
      <c r="BW104" s="5"/>
      <c r="BX104" s="5"/>
      <c r="BY104" s="5"/>
      <c r="BZ104" s="5"/>
      <c r="CA104" s="5"/>
      <c r="CB104" s="5"/>
      <c r="CC104" s="5"/>
      <c r="CD104" s="5"/>
      <c r="CE104" s="43">
        <f t="array" ref="CE104">MIN(100, MAX(0,
  IF(ISNUMBER(BV104)*AND(BV104&gt;0), 10, 0)
  + _xlfn.IFS(BY104="Independently Verified",25, BY104="Yes",15, TRUE,0)
  + IFERROR(_xlfn.XLOOKUP(BZ104,'Lookup Tables'!$A$21:$A$24,'Lookup Tables'!$B$21:$B$24,0),0)
  + IFERROR(_xlfn.XLOOKUP(CA104,'Lookup Tables'!$D$21:$D$24,'Lookup Tables'!$E$21:$E$24,0),0)
  + _xlfn.IFS(ISNUMBER(CB104)*AND(CB104&gt;=11),15, ISNUMBER(CB104)*AND(CB104&gt;=6),10, ISNUMBER(CB104)*AND(CB104&gt;=1),5, TRUE,0)
  + IFERROR(_xlfn.XLOOKUP(CC104,'Lookup Tables'!$G$21:$G$25,'Lookup Tables'!$H$21:$H$25,0),0)
  - IF(ISNUMBER(BW104)*AND(ISNUMBER(BV104))*AND(BW104&gt;BV104), 20, 0)
  - IF(AND(BY104="Yes", ISNUMBER(BW104), BW104&gt;60), 10, 0)
))</f>
        <v>0</v>
      </c>
      <c r="CF104" s="5"/>
      <c r="CG104" s="5"/>
      <c r="CH104" s="5"/>
      <c r="CI104" s="5"/>
      <c r="CJ104" s="5"/>
      <c r="CK104" s="5"/>
      <c r="CL104" s="5"/>
      <c r="CM104" s="5"/>
      <c r="CN104" s="5"/>
      <c r="CO104" s="5"/>
      <c r="CP104" s="5"/>
      <c r="CQ104" s="5"/>
      <c r="CR104" s="5">
        <f t="shared" si="77"/>
        <v>0</v>
      </c>
      <c r="CS104" s="5">
        <f t="shared" si="78"/>
        <v>0</v>
      </c>
      <c r="CT104" s="5">
        <f t="shared" si="79"/>
        <v>0</v>
      </c>
      <c r="CU104" s="5">
        <f>MIN(100,
  CR104*15
  + CS104*6
  + CT104*3
  + IFERROR(_xlfn.XLOOKUP(CW104,'Lookup Tables'!$M$21:$M$25,'Lookup Tables'!$N$21:$N$25,0),0)
)</f>
        <v>0</v>
      </c>
      <c r="CV104" s="5" t="str">
        <f t="shared" si="80"/>
        <v>No failures</v>
      </c>
      <c r="CW104" s="5"/>
      <c r="CX104" s="5"/>
      <c r="CY104" s="5"/>
      <c r="CZ104" s="5"/>
      <c r="DA104" s="5" t="str">
        <f t="shared" si="81"/>
        <v>Yes</v>
      </c>
      <c r="DB104" s="5" t="str">
        <f t="shared" si="82"/>
        <v>No</v>
      </c>
      <c r="DC104" s="5"/>
      <c r="DD104" s="5"/>
      <c r="DE104" s="5"/>
      <c r="DF104" s="5"/>
      <c r="DG104" s="5"/>
      <c r="DH104" s="5"/>
      <c r="DI104" s="5"/>
      <c r="DJ104" s="5"/>
      <c r="DK104" s="5"/>
      <c r="DL104" s="5" t="str">
        <f t="shared" si="83"/>
        <v>Clear</v>
      </c>
      <c r="DM104" s="5" t="str">
        <f t="shared" si="84"/>
        <v>Yes</v>
      </c>
      <c r="DN104" s="5">
        <f t="array" ref="DN104">MIN(100,
  IF(ISNUMBER(V104), _xlfn.IFS(V104&gt;=3,25, V104=2,15, V104=1,5, TRUE,0), 0)
  + IFERROR(_xlfn.IFS(VALUE(LEFT(DF104,1))=5,25, VALUE(LEFT(DF104,1))=4,20, VALUE(LEFT(DF104,1))=3,15, VALUE(LEFT(DF104,1))=2,8, TRUE,0), 15)
  + IFERROR(_xlfn.IFS(VALUE(LEFT(DG104,1))=5,25, VALUE(LEFT(DG104,1))=4,20, VALUE(LEFT(DG104,1))=3,15, VALUE(LEFT(DG104,1))=2,8, TRUE,0), 15)
  + _xlfn.IFS(DH104="Fully Verified",25, DH104="Partially Verified",12, TRUE,0)
)</f>
        <v>30</v>
      </c>
      <c r="DO104" s="5" t="str">
        <f t="array" ref="DO104">_xlfn.IFS(
  ISBLANK(AR104), "Insufficient Evidence",
  AND(AR104&gt;=65, AJ104="Approved"), "Strong",
  AR104&gt;=65, "Adequate",
  AR104&gt;=40, "Adequate",
  AR104&gt;=20, "Weak",
  TRUE, "Insufficient Evidence"
)</f>
        <v>Insufficient Evidence</v>
      </c>
      <c r="DP104" s="5" t="str">
        <f t="array" ref="DP104">_xlfn.IFS(
  ISBLANK(BS104), "Insufficient Evidence",
  BS104&gt;=65, "Strong",
  BS104&gt;=40, "Adequate",
  BS104&gt;=20, "Weak",
  TRUE, "Insufficient Evidence"
)</f>
        <v>Insufficient Evidence</v>
      </c>
      <c r="DQ104" s="5" t="str">
        <f t="array" ref="DQ104">_xlfn.IFS(
  ISBLANK(BE104), "Insufficient Evidence",
  OR(AW104="Confirmed Violation", AX104="Confirmed Breach"), "Severe — Hard Trigger",
  BE104&gt;=65, "Strong",
  BE104&gt;=40, "Adequate",
  BE104&gt;=20, "Weak",
  TRUE, "Insufficient Evidence"
)</f>
        <v>Insufficient Evidence</v>
      </c>
      <c r="DR104" s="5" t="str">
        <f t="array" ref="DR104">_xlfn.IFS(
  ISBLANK(CU104), "Insufficient Evidence",
  CU104&lt;=20, "Low Risk",
  CU104&lt;=50, "Moderate Risk",
  CU104&lt;=75, "High Risk",
  TRUE, "Very High Risk"
)</f>
        <v>Low Risk</v>
      </c>
      <c r="DS104" s="5" t="str">
        <f t="array" ref="DS104">_xlfn.IFS(
  ISBLANK(CE104), "Insufficient Evidence",
  AND(ISNUMBER(BW104),ISNUMBER(BV104),BW104&gt;BV104), "Overclaiming Risk",
  CE104&gt;=65, "Strong",
  CE104&gt;=40, "Adequate",
  TRUE, "Weak"
)</f>
        <v>Weak</v>
      </c>
      <c r="DT104" s="5">
        <f t="shared" si="85"/>
        <v>11.7</v>
      </c>
      <c r="DU104" s="5" t="str">
        <f t="array" ref="DU104">_xlfn.IFS(
  DV104="Upgraded to Clear", "Clear",
  DV104="Downgraded to Watchlist", "Watchlist",
  DV104="Downgraded to Exclusion", "Exclusion Risk",
  DB104="Yes — Automatic", "Exclusion Risk",
  OR(AW104="Confirmed Violation", AX104="Confirmed Breach"), "Exclusion Risk",
  OR(V104=0, ISBLANK(V104), DN104&lt;20), "Insufficient Evidence",
  AND(DT104&gt;=65, DA104="No", DB104="No"), "Clear",
  OR(DT104&gt;=40, DA104="Yes"), "Watchlist",
  TRUE, "Exclusion Risk"
)</f>
        <v>Insufficient Evidence</v>
      </c>
      <c r="DV104" s="5"/>
      <c r="DW104" s="5" t="str">
        <f t="array" ref="DW104">_xlfn.IFS(
  DU104="Exclusion Risk", "Exclude — Hard Trigger",
  DU104="Insufficient Evidence", "Watchlist — Further Evidence Needed",
  DU104="Watchlist", "Watchlist — Further Evidence Needed",
  AND(DU104="Clear", DT104&gt;=80), "Include — No Conditions",
  DU104="Clear", "Include — Monitor",
  TRUE, "Watchlist — Further Evidence Needed"
)</f>
        <v>Watchlist — Further Evidence Needed</v>
      </c>
      <c r="DX104" s="5"/>
      <c r="DY104" s="5"/>
      <c r="DZ104" s="5"/>
      <c r="EA104" s="5"/>
      <c r="EB104" s="5" t="str">
        <f t="shared" si="86"/>
        <v>MISSING — No sources reviewed</v>
      </c>
      <c r="EC104" s="5" t="str">
        <f t="shared" si="87"/>
        <v/>
      </c>
    </row>
    <row r="105" spans="1:133" ht="18" customHeight="1" x14ac:dyDescent="0.15">
      <c r="A105" s="3" t="s">
        <v>614</v>
      </c>
      <c r="B105" s="3" t="s">
        <v>615</v>
      </c>
      <c r="C105" s="3" t="str">
        <f>IF(ISBLANK('Universe Tracker'!D80),"",'Universe Tracker'!D80)</f>
        <v>DK0061802139</v>
      </c>
      <c r="D105" s="3"/>
      <c r="E105" s="3"/>
      <c r="F105" s="3" t="str">
        <f>IF(ISBLANK('Universe Tracker'!F80),"",'Universe Tracker'!F80)</f>
        <v>Health Care</v>
      </c>
      <c r="G105" s="3" t="str">
        <f>IF(ISBLANK('Universe Tracker'!G80),"",'Universe Tracker'!G80)</f>
        <v>Health Care</v>
      </c>
      <c r="H105" s="3"/>
      <c r="I105" s="3"/>
      <c r="J105" s="3" t="str">
        <f t="shared" si="75"/>
        <v>4AJ0_DK0061802139</v>
      </c>
      <c r="K105" s="3"/>
      <c r="L105" s="3"/>
      <c r="M105" s="3"/>
      <c r="N105" s="3"/>
      <c r="O105" s="3"/>
      <c r="P105" s="3"/>
      <c r="Q105" s="3"/>
      <c r="R105" s="3"/>
      <c r="S105" s="3"/>
      <c r="T105" s="3"/>
      <c r="U105" s="3"/>
      <c r="V105" s="3"/>
      <c r="W105" s="3"/>
      <c r="X105" s="3"/>
      <c r="Y105" s="3" t="str">
        <f t="shared" si="76"/>
        <v>Insufficient</v>
      </c>
      <c r="Z105" s="3"/>
      <c r="AA105" s="3"/>
      <c r="AB105" s="3"/>
      <c r="AC105" s="3"/>
      <c r="AD105" s="3"/>
      <c r="AE105" s="3"/>
      <c r="AF105" s="3"/>
      <c r="AG105" s="3"/>
      <c r="AH105" s="3"/>
      <c r="AI105" s="3"/>
      <c r="AJ105" s="3"/>
      <c r="AK105" s="3"/>
      <c r="AL105" s="3"/>
      <c r="AM105" s="3"/>
      <c r="AN105" s="3"/>
      <c r="AO105" s="3"/>
      <c r="AP105" s="3"/>
      <c r="AQ105" s="3"/>
      <c r="AR105" s="40">
        <f t="array" ref="AR105">MIN(100, MAX(0,
  IFERROR(_xlfn.XLOOKUP(AJ105,'Lookup Tables'!$A$2:$A$7,'Lookup Tables'!$B$2:$B$7,0),0)
  + IF(Z105="Yes", IF(IFERROR(_xlfn.XLOOKUP(AJ105,'Lookup Tables'!$A$2:$A$7,'Lookup Tables'!$B$2:$B$7,0),0)&lt;20, 5, 0), 0)
  + _xlfn.IFS(AB105="Yes", IF(ISNUMBER(AC105)*AND(AC105&lt;=2030),15,10), AB105="Long-term Only", 5, AB105="No", 0, TRUE, 0)
  + _xlfn.IFS(AF105="Full",10, AF105="Partial",5, AF105="Scope 2 Only",3, TRUE,0)
  + _xlfn.IFS(AG105="Yes", IF(ISNUMBER(AH105)*AND(AH105&gt;=5),10,6), AG105="Partial",4, TRUE,0)
  + _xlfn.IFS(AI105="Yes",5, AI105="Partial (material categories only)",3, TRUE,0)
  + _xlfn.IFS(AL105="Yes — Detailed",10, AL105="Yes — High Level",5, TRUE,0)
  + _xlfn.IFS(AM105="Yes — Quantified",15, AM105="Yes — Directional Only",7, TRUE,0)
  + _xlfn.IFS(AP105="Formal",5, AP105="Referenced",2, TRUE,0)
  + _xlfn.IFS(AQ105="No Issues Found",5, AQ105="Concern Identified",-5, AQ105="Severe Contradiction",-15, TRUE,0)
  + _xlfn.IFS(BC105="Reasonable Assurance",5, BC105="Limited Assurance",3, TRUE,0)
  - IF(AND(Z105="Yes", AI105="No"), 10, 0)
  - IF(AND(Z105="Yes", AM105="No"), 10, 0)
))</f>
        <v>0</v>
      </c>
      <c r="AS105" s="3"/>
      <c r="AT105" s="3"/>
      <c r="AU105" s="3"/>
      <c r="AV105" s="3"/>
      <c r="AW105" s="3"/>
      <c r="AX105" s="3"/>
      <c r="AY105" s="3"/>
      <c r="AZ105" s="3"/>
      <c r="BA105" s="3"/>
      <c r="BB105" s="3"/>
      <c r="BC105" s="3"/>
      <c r="BD105" s="3"/>
      <c r="BE105" s="40">
        <f t="array" ref="BE105">MIN(100, MAX(0,
  IFERROR(_xlfn.XLOOKUP(AT105,'Lookup Tables'!$D$2:$D$6,'Lookup Tables'!$E$2:$E$6,0),0)
  + IFERROR(_xlfn.XLOOKUP(AV105,'Lookup Tables'!$G$2:$G$5,'Lookup Tables'!$H$2:$H$5,0),0)
  + IFERROR(_xlfn.XLOOKUP(AW105,'Lookup Tables'!$J$2:$J$5,'Lookup Tables'!$K$2:$K$5,0),0)
  + _xlfn.IFS(AX105="No Issues",10, AX105="Complaint Filed",3, AX105="Confirmed Breach",-15, TRUE,0)
  + IFERROR(_xlfn.XLOOKUP(AY105,'Lookup Tables'!$M$2:$M$6,'Lookup Tables'!$N$2:$N$6,0),0)
  + IFERROR(_xlfn.XLOOKUP(AZ105,'Lookup Tables'!$P$2:$P$6,'Lookup Tables'!$Q$2:$Q$6,0),0)
  + _xlfn.IFS(BA105="Formal Board Committee",5, BA105="Board Oversight Mentioned",2, TRUE,0)
  + _xlfn.IFS(BB105="Yes — Quantified Targets",5, BB105="Yes — Discretionary Only",2, TRUE,0)
  + _xlfn.IFS(BC105="Reasonable Assurance",5, BC105="Limited Assurance",3, BC105="Management Review Only",1, TRUE,0)
))</f>
        <v>0</v>
      </c>
      <c r="BF105" s="3"/>
      <c r="BG105" s="3"/>
      <c r="BH105" s="3"/>
      <c r="BI105" s="3"/>
      <c r="BJ105" s="3"/>
      <c r="BK105" s="3"/>
      <c r="BL105" s="3"/>
      <c r="BM105" s="3"/>
      <c r="BN105" s="3"/>
      <c r="BO105" s="3"/>
      <c r="BP105" s="3"/>
      <c r="BQ105" s="3"/>
      <c r="BR105" s="3"/>
      <c r="BS105" s="42">
        <f t="array" ref="BS105">MIN(100, MAX(0,
  IFERROR(_xlfn.XLOOKUP(BG105,'Lookup Tables'!$A$11:$A$16,'Lookup Tables'!$B$11:$B$16,0),0)
  + IFERROR(_xlfn.XLOOKUP(BR105,'Lookup Tables'!$M$11:$M$14,'Lookup Tables'!$N$11:$N$14,0),0)
  + IFERROR(_xlfn.XLOOKUP(BQ105,'Lookup Tables'!$J$11:$J$15,'Lookup Tables'!$K$11:$K$15,0),0)
  + IFERROR(_xlfn.XLOOKUP(BH105,'Lookup Tables'!$D$11:$D$15,'Lookup Tables'!$E$11:$E$15,0),0)
  + IFERROR(_xlfn.XLOOKUP(BJ105,'Lookup Tables'!$G$11:$G$16,'Lookup Tables'!$H$11:$H$16,0),0)
  + IFERROR(_xlfn.XLOOKUP(BN105,'Lookup Tables'!$P$11:$P$15,'Lookup Tables'!$Q$11:$Q$15,0),0)
  + _xlfn.IFS(BM105="No Evidence",10, BM105="Unknown",3, BM105="Likely",0, BM105="Confirmed",-10, TRUE,3)
  + IFERROR(_xlfn.XLOOKUP(BP105,'Lookup Tables'!$J$21:$J$24,'Lookup Tables'!$K$21:$K$24,0),0)
))</f>
        <v>3</v>
      </c>
      <c r="BT105" s="3"/>
      <c r="BU105" s="3"/>
      <c r="BV105" s="3"/>
      <c r="BW105" s="3"/>
      <c r="BX105" s="3"/>
      <c r="BY105" s="3"/>
      <c r="BZ105" s="3"/>
      <c r="CA105" s="3"/>
      <c r="CB105" s="3"/>
      <c r="CC105" s="3"/>
      <c r="CD105" s="3"/>
      <c r="CE105" s="44">
        <f t="array" ref="CE105">MIN(100, MAX(0,
  IF(ISNUMBER(BV105)*AND(BV105&gt;0), 10, 0)
  + _xlfn.IFS(BY105="Independently Verified",25, BY105="Yes",15, TRUE,0)
  + IFERROR(_xlfn.XLOOKUP(BZ105,'Lookup Tables'!$A$21:$A$24,'Lookup Tables'!$B$21:$B$24,0),0)
  + IFERROR(_xlfn.XLOOKUP(CA105,'Lookup Tables'!$D$21:$D$24,'Lookup Tables'!$E$21:$E$24,0),0)
  + _xlfn.IFS(ISNUMBER(CB105)*AND(CB105&gt;=11),15, ISNUMBER(CB105)*AND(CB105&gt;=6),10, ISNUMBER(CB105)*AND(CB105&gt;=1),5, TRUE,0)
  + IFERROR(_xlfn.XLOOKUP(CC105,'Lookup Tables'!$G$21:$G$25,'Lookup Tables'!$H$21:$H$25,0),0)
  - IF(ISNUMBER(BW105)*AND(ISNUMBER(BV105))*AND(BW105&gt;BV105), 20, 0)
  - IF(AND(BY105="Yes", ISNUMBER(BW105), BW105&gt;60), 10, 0)
))</f>
        <v>0</v>
      </c>
      <c r="CF105" s="3"/>
      <c r="CG105" s="3"/>
      <c r="CH105" s="3"/>
      <c r="CI105" s="3"/>
      <c r="CJ105" s="3"/>
      <c r="CK105" s="3"/>
      <c r="CL105" s="3"/>
      <c r="CM105" s="3"/>
      <c r="CN105" s="3"/>
      <c r="CO105" s="3"/>
      <c r="CP105" s="3"/>
      <c r="CQ105" s="3"/>
      <c r="CR105" s="3">
        <f t="shared" si="77"/>
        <v>0</v>
      </c>
      <c r="CS105" s="3">
        <f t="shared" si="78"/>
        <v>0</v>
      </c>
      <c r="CT105" s="3">
        <f t="shared" si="79"/>
        <v>0</v>
      </c>
      <c r="CU105" s="3">
        <f>MIN(100,
  CR105*15
  + CS105*6
  + CT105*3
  + IFERROR(_xlfn.XLOOKUP(CW105,'Lookup Tables'!$M$21:$M$25,'Lookup Tables'!$N$21:$N$25,0),0)
)</f>
        <v>0</v>
      </c>
      <c r="CV105" s="3" t="str">
        <f t="shared" si="80"/>
        <v>No failures</v>
      </c>
      <c r="CW105" s="3"/>
      <c r="CX105" s="3"/>
      <c r="CY105" s="3"/>
      <c r="CZ105" s="3"/>
      <c r="DA105" s="3" t="str">
        <f t="shared" si="81"/>
        <v>Yes</v>
      </c>
      <c r="DB105" s="3" t="str">
        <f t="shared" si="82"/>
        <v>No</v>
      </c>
      <c r="DC105" s="3"/>
      <c r="DD105" s="3"/>
      <c r="DE105" s="3"/>
      <c r="DF105" s="3"/>
      <c r="DG105" s="3"/>
      <c r="DH105" s="3"/>
      <c r="DI105" s="3"/>
      <c r="DJ105" s="3"/>
      <c r="DK105" s="3"/>
      <c r="DL105" s="3" t="str">
        <f t="shared" si="83"/>
        <v>Clear</v>
      </c>
      <c r="DM105" s="3" t="str">
        <f t="shared" si="84"/>
        <v>Yes</v>
      </c>
      <c r="DN105" s="3">
        <f t="array" ref="DN105">MIN(100,
  IF(ISNUMBER(V105), _xlfn.IFS(V105&gt;=3,25, V105=2,15, V105=1,5, TRUE,0), 0)
  + IFERROR(_xlfn.IFS(VALUE(LEFT(DF105,1))=5,25, VALUE(LEFT(DF105,1))=4,20, VALUE(LEFT(DF105,1))=3,15, VALUE(LEFT(DF105,1))=2,8, TRUE,0), 15)
  + IFERROR(_xlfn.IFS(VALUE(LEFT(DG105,1))=5,25, VALUE(LEFT(DG105,1))=4,20, VALUE(LEFT(DG105,1))=3,15, VALUE(LEFT(DG105,1))=2,8, TRUE,0), 15)
  + _xlfn.IFS(DH105="Fully Verified",25, DH105="Partially Verified",12, TRUE,0)
)</f>
        <v>30</v>
      </c>
      <c r="DO105" s="3" t="str">
        <f t="array" ref="DO105">_xlfn.IFS(
  ISBLANK(AR105), "Insufficient Evidence",
  AND(AR105&gt;=65, AJ105="Approved"), "Strong",
  AR105&gt;=65, "Adequate",
  AR105&gt;=40, "Adequate",
  AR105&gt;=20, "Weak",
  TRUE, "Insufficient Evidence"
)</f>
        <v>Insufficient Evidence</v>
      </c>
      <c r="DP105" s="3" t="str">
        <f t="array" ref="DP105">_xlfn.IFS(
  ISBLANK(BS105), "Insufficient Evidence",
  BS105&gt;=65, "Strong",
  BS105&gt;=40, "Adequate",
  BS105&gt;=20, "Weak",
  TRUE, "Insufficient Evidence"
)</f>
        <v>Insufficient Evidence</v>
      </c>
      <c r="DQ105" s="3" t="str">
        <f t="array" ref="DQ105">_xlfn.IFS(
  ISBLANK(BE105), "Insufficient Evidence",
  OR(AW105="Confirmed Violation", AX105="Confirmed Breach"), "Severe — Hard Trigger",
  BE105&gt;=65, "Strong",
  BE105&gt;=40, "Adequate",
  BE105&gt;=20, "Weak",
  TRUE, "Insufficient Evidence"
)</f>
        <v>Insufficient Evidence</v>
      </c>
      <c r="DR105" s="3" t="str">
        <f t="array" ref="DR105">_xlfn.IFS(
  ISBLANK(CU105), "Insufficient Evidence",
  CU105&lt;=20, "Low Risk",
  CU105&lt;=50, "Moderate Risk",
  CU105&lt;=75, "High Risk",
  TRUE, "Very High Risk"
)</f>
        <v>Low Risk</v>
      </c>
      <c r="DS105" s="3" t="str">
        <f t="array" ref="DS105">_xlfn.IFS(
  ISBLANK(CE105), "Insufficient Evidence",
  AND(ISNUMBER(BW105),ISNUMBER(BV105),BW105&gt;BV105), "Overclaiming Risk",
  CE105&gt;=65, "Strong",
  CE105&gt;=40, "Adequate",
  TRUE, "Weak"
)</f>
        <v>Weak</v>
      </c>
      <c r="DT105" s="3">
        <f t="shared" si="85"/>
        <v>11.7</v>
      </c>
      <c r="DU105" s="3" t="str">
        <f t="array" ref="DU105">_xlfn.IFS(
  DV105="Upgraded to Clear", "Clear",
  DV105="Downgraded to Watchlist", "Watchlist",
  DV105="Downgraded to Exclusion", "Exclusion Risk",
  DB105="Yes — Automatic", "Exclusion Risk",
  OR(AW105="Confirmed Violation", AX105="Confirmed Breach"), "Exclusion Risk",
  OR(V105=0, ISBLANK(V105), DN105&lt;20), "Insufficient Evidence",
  AND(DT105&gt;=65, DA105="No", DB105="No"), "Clear",
  OR(DT105&gt;=40, DA105="Yes"), "Watchlist",
  TRUE, "Exclusion Risk"
)</f>
        <v>Insufficient Evidence</v>
      </c>
      <c r="DV105" s="3"/>
      <c r="DW105" s="3" t="str">
        <f t="array" ref="DW105">_xlfn.IFS(
  DU105="Exclusion Risk", "Exclude — Hard Trigger",
  DU105="Insufficient Evidence", "Watchlist — Further Evidence Needed",
  DU105="Watchlist", "Watchlist — Further Evidence Needed",
  AND(DU105="Clear", DT105&gt;=80), "Include — No Conditions",
  DU105="Clear", "Include — Monitor",
  TRUE, "Watchlist — Further Evidence Needed"
)</f>
        <v>Watchlist — Further Evidence Needed</v>
      </c>
      <c r="DX105" s="3"/>
      <c r="DY105" s="3"/>
      <c r="DZ105" s="3"/>
      <c r="EA105" s="3"/>
      <c r="EB105" s="3" t="str">
        <f t="shared" si="86"/>
        <v>MISSING — No sources reviewed</v>
      </c>
      <c r="EC105" s="3" t="str">
        <f t="shared" si="87"/>
        <v/>
      </c>
    </row>
    <row r="106" spans="1:133" ht="18" customHeight="1" x14ac:dyDescent="0.15">
      <c r="A106" s="5" t="s">
        <v>618</v>
      </c>
      <c r="B106" s="5" t="s">
        <v>619</v>
      </c>
      <c r="C106" s="5" t="str">
        <f>IF(ISBLANK('Universe Tracker'!D81),"",'Universe Tracker'!D81)</f>
        <v>ES0167050915</v>
      </c>
      <c r="D106" s="5"/>
      <c r="E106" s="5"/>
      <c r="F106" s="5" t="str">
        <f>IF(ISBLANK('Universe Tracker'!F81),"",'Universe Tracker'!F81)</f>
        <v>Industrials</v>
      </c>
      <c r="G106" s="5" t="str">
        <f>IF(ISBLANK('Universe Tracker'!G81),"",'Universe Tracker'!G81)</f>
        <v>Industrial Services</v>
      </c>
      <c r="H106" s="5"/>
      <c r="I106" s="5"/>
      <c r="J106" s="5" t="str">
        <f t="shared" si="75"/>
        <v>OCI1_ES0167050915</v>
      </c>
      <c r="K106" s="5"/>
      <c r="L106" s="5"/>
      <c r="M106" s="5"/>
      <c r="N106" s="5"/>
      <c r="O106" s="5"/>
      <c r="P106" s="5"/>
      <c r="Q106" s="5"/>
      <c r="R106" s="5"/>
      <c r="S106" s="5"/>
      <c r="T106" s="5"/>
      <c r="U106" s="5"/>
      <c r="V106" s="5"/>
      <c r="W106" s="5"/>
      <c r="X106" s="5"/>
      <c r="Y106" s="5" t="str">
        <f t="shared" si="76"/>
        <v>Insufficient</v>
      </c>
      <c r="Z106" s="5"/>
      <c r="AA106" s="5"/>
      <c r="AB106" s="5"/>
      <c r="AC106" s="5"/>
      <c r="AD106" s="5"/>
      <c r="AE106" s="5"/>
      <c r="AF106" s="5"/>
      <c r="AG106" s="5"/>
      <c r="AH106" s="5"/>
      <c r="AI106" s="5"/>
      <c r="AJ106" s="5"/>
      <c r="AK106" s="5"/>
      <c r="AL106" s="5"/>
      <c r="AM106" s="5"/>
      <c r="AN106" s="5"/>
      <c r="AO106" s="5"/>
      <c r="AP106" s="5"/>
      <c r="AQ106" s="5"/>
      <c r="AR106" s="40">
        <f t="array" ref="AR106">MIN(100, MAX(0,
  IFERROR(_xlfn.XLOOKUP(AJ106,'Lookup Tables'!$A$2:$A$7,'Lookup Tables'!$B$2:$B$7,0),0)
  + IF(Z106="Yes", IF(IFERROR(_xlfn.XLOOKUP(AJ106,'Lookup Tables'!$A$2:$A$7,'Lookup Tables'!$B$2:$B$7,0),0)&lt;20, 5, 0), 0)
  + _xlfn.IFS(AB106="Yes", IF(ISNUMBER(AC106)*AND(AC106&lt;=2030),15,10), AB106="Long-term Only", 5, AB106="No", 0, TRUE, 0)
  + _xlfn.IFS(AF106="Full",10, AF106="Partial",5, AF106="Scope 2 Only",3, TRUE,0)
  + _xlfn.IFS(AG106="Yes", IF(ISNUMBER(AH106)*AND(AH106&gt;=5),10,6), AG106="Partial",4, TRUE,0)
  + _xlfn.IFS(AI106="Yes",5, AI106="Partial (material categories only)",3, TRUE,0)
  + _xlfn.IFS(AL106="Yes — Detailed",10, AL106="Yes — High Level",5, TRUE,0)
  + _xlfn.IFS(AM106="Yes — Quantified",15, AM106="Yes — Directional Only",7, TRUE,0)
  + _xlfn.IFS(AP106="Formal",5, AP106="Referenced",2, TRUE,0)
  + _xlfn.IFS(AQ106="No Issues Found",5, AQ106="Concern Identified",-5, AQ106="Severe Contradiction",-15, TRUE,0)
  + _xlfn.IFS(BC106="Reasonable Assurance",5, BC106="Limited Assurance",3, TRUE,0)
  - IF(AND(Z106="Yes", AI106="No"), 10, 0)
  - IF(AND(Z106="Yes", AM106="No"), 10, 0)
))</f>
        <v>0</v>
      </c>
      <c r="AS106" s="5"/>
      <c r="AT106" s="5"/>
      <c r="AU106" s="5"/>
      <c r="AV106" s="5"/>
      <c r="AW106" s="5"/>
      <c r="AX106" s="5"/>
      <c r="AY106" s="5"/>
      <c r="AZ106" s="5"/>
      <c r="BA106" s="5"/>
      <c r="BB106" s="5"/>
      <c r="BC106" s="5"/>
      <c r="BD106" s="5"/>
      <c r="BE106" s="39">
        <f t="array" ref="BE106">MIN(100, MAX(0,
  IFERROR(_xlfn.XLOOKUP(AT106,'Lookup Tables'!$D$2:$D$6,'Lookup Tables'!$E$2:$E$6,0),0)
  + IFERROR(_xlfn.XLOOKUP(AV106,'Lookup Tables'!$G$2:$G$5,'Lookup Tables'!$H$2:$H$5,0),0)
  + IFERROR(_xlfn.XLOOKUP(AW106,'Lookup Tables'!$J$2:$J$5,'Lookup Tables'!$K$2:$K$5,0),0)
  + _xlfn.IFS(AX106="No Issues",10, AX106="Complaint Filed",3, AX106="Confirmed Breach",-15, TRUE,0)
  + IFERROR(_xlfn.XLOOKUP(AY106,'Lookup Tables'!$M$2:$M$6,'Lookup Tables'!$N$2:$N$6,0),0)
  + IFERROR(_xlfn.XLOOKUP(AZ106,'Lookup Tables'!$P$2:$P$6,'Lookup Tables'!$Q$2:$Q$6,0),0)
  + _xlfn.IFS(BA106="Formal Board Committee",5, BA106="Board Oversight Mentioned",2, TRUE,0)
  + _xlfn.IFS(BB106="Yes — Quantified Targets",5, BB106="Yes — Discretionary Only",2, TRUE,0)
  + _xlfn.IFS(BC106="Reasonable Assurance",5, BC106="Limited Assurance",3, BC106="Management Review Only",1, TRUE,0)
))</f>
        <v>0</v>
      </c>
      <c r="BF106" s="5"/>
      <c r="BG106" s="5"/>
      <c r="BH106" s="5"/>
      <c r="BI106" s="5"/>
      <c r="BJ106" s="5"/>
      <c r="BK106" s="5"/>
      <c r="BL106" s="5"/>
      <c r="BM106" s="5"/>
      <c r="BN106" s="5"/>
      <c r="BO106" s="5"/>
      <c r="BP106" s="5"/>
      <c r="BQ106" s="5"/>
      <c r="BR106" s="5"/>
      <c r="BS106" s="41">
        <f t="array" ref="BS106">MIN(100, MAX(0,
  IFERROR(_xlfn.XLOOKUP(BG106,'Lookup Tables'!$A$11:$A$16,'Lookup Tables'!$B$11:$B$16,0),0)
  + IFERROR(_xlfn.XLOOKUP(BR106,'Lookup Tables'!$M$11:$M$14,'Lookup Tables'!$N$11:$N$14,0),0)
  + IFERROR(_xlfn.XLOOKUP(BQ106,'Lookup Tables'!$J$11:$J$15,'Lookup Tables'!$K$11:$K$15,0),0)
  + IFERROR(_xlfn.XLOOKUP(BH106,'Lookup Tables'!$D$11:$D$15,'Lookup Tables'!$E$11:$E$15,0),0)
  + IFERROR(_xlfn.XLOOKUP(BJ106,'Lookup Tables'!$G$11:$G$16,'Lookup Tables'!$H$11:$H$16,0),0)
  + IFERROR(_xlfn.XLOOKUP(BN106,'Lookup Tables'!$P$11:$P$15,'Lookup Tables'!$Q$11:$Q$15,0),0)
  + _xlfn.IFS(BM106="No Evidence",10, BM106="Unknown",3, BM106="Likely",0, BM106="Confirmed",-10, TRUE,3)
  + IFERROR(_xlfn.XLOOKUP(BP106,'Lookup Tables'!$J$21:$J$24,'Lookup Tables'!$K$21:$K$24,0),0)
))</f>
        <v>3</v>
      </c>
      <c r="BT106" s="5"/>
      <c r="BU106" s="5"/>
      <c r="BV106" s="5"/>
      <c r="BW106" s="5"/>
      <c r="BX106" s="5"/>
      <c r="BY106" s="5"/>
      <c r="BZ106" s="5"/>
      <c r="CA106" s="5"/>
      <c r="CB106" s="5"/>
      <c r="CC106" s="5"/>
      <c r="CD106" s="5"/>
      <c r="CE106" s="43">
        <f t="array" ref="CE106">MIN(100, MAX(0,
  IF(ISNUMBER(BV106)*AND(BV106&gt;0), 10, 0)
  + _xlfn.IFS(BY106="Independently Verified",25, BY106="Yes",15, TRUE,0)
  + IFERROR(_xlfn.XLOOKUP(BZ106,'Lookup Tables'!$A$21:$A$24,'Lookup Tables'!$B$21:$B$24,0),0)
  + IFERROR(_xlfn.XLOOKUP(CA106,'Lookup Tables'!$D$21:$D$24,'Lookup Tables'!$E$21:$E$24,0),0)
  + _xlfn.IFS(ISNUMBER(CB106)*AND(CB106&gt;=11),15, ISNUMBER(CB106)*AND(CB106&gt;=6),10, ISNUMBER(CB106)*AND(CB106&gt;=1),5, TRUE,0)
  + IFERROR(_xlfn.XLOOKUP(CC106,'Lookup Tables'!$G$21:$G$25,'Lookup Tables'!$H$21:$H$25,0),0)
  - IF(ISNUMBER(BW106)*AND(ISNUMBER(BV106))*AND(BW106&gt;BV106), 20, 0)
  - IF(AND(BY106="Yes", ISNUMBER(BW106), BW106&gt;60), 10, 0)
))</f>
        <v>0</v>
      </c>
      <c r="CF106" s="5"/>
      <c r="CG106" s="5"/>
      <c r="CH106" s="5"/>
      <c r="CI106" s="5"/>
      <c r="CJ106" s="5"/>
      <c r="CK106" s="5"/>
      <c r="CL106" s="5"/>
      <c r="CM106" s="5"/>
      <c r="CN106" s="5"/>
      <c r="CO106" s="5"/>
      <c r="CP106" s="5"/>
      <c r="CQ106" s="5"/>
      <c r="CR106" s="5">
        <f t="shared" si="77"/>
        <v>0</v>
      </c>
      <c r="CS106" s="5">
        <f t="shared" si="78"/>
        <v>0</v>
      </c>
      <c r="CT106" s="5">
        <f t="shared" si="79"/>
        <v>0</v>
      </c>
      <c r="CU106" s="5">
        <f>MIN(100,
  CR106*15
  + CS106*6
  + CT106*3
  + IFERROR(_xlfn.XLOOKUP(CW106,'Lookup Tables'!$M$21:$M$25,'Lookup Tables'!$N$21:$N$25,0),0)
)</f>
        <v>0</v>
      </c>
      <c r="CV106" s="5" t="str">
        <f t="shared" si="80"/>
        <v>No failures</v>
      </c>
      <c r="CW106" s="5"/>
      <c r="CX106" s="5"/>
      <c r="CY106" s="5"/>
      <c r="CZ106" s="5"/>
      <c r="DA106" s="5" t="str">
        <f t="shared" si="81"/>
        <v>Yes</v>
      </c>
      <c r="DB106" s="5" t="str">
        <f t="shared" si="82"/>
        <v>No</v>
      </c>
      <c r="DC106" s="5"/>
      <c r="DD106" s="5"/>
      <c r="DE106" s="5"/>
      <c r="DF106" s="5"/>
      <c r="DG106" s="5"/>
      <c r="DH106" s="5"/>
      <c r="DI106" s="5"/>
      <c r="DJ106" s="5"/>
      <c r="DK106" s="5"/>
      <c r="DL106" s="5" t="str">
        <f t="shared" si="83"/>
        <v>Clear</v>
      </c>
      <c r="DM106" s="5" t="str">
        <f t="shared" si="84"/>
        <v>Yes</v>
      </c>
      <c r="DN106" s="5">
        <f t="array" ref="DN106">MIN(100,
  IF(ISNUMBER(V106), _xlfn.IFS(V106&gt;=3,25, V106=2,15, V106=1,5, TRUE,0), 0)
  + IFERROR(_xlfn.IFS(VALUE(LEFT(DF106,1))=5,25, VALUE(LEFT(DF106,1))=4,20, VALUE(LEFT(DF106,1))=3,15, VALUE(LEFT(DF106,1))=2,8, TRUE,0), 15)
  + IFERROR(_xlfn.IFS(VALUE(LEFT(DG106,1))=5,25, VALUE(LEFT(DG106,1))=4,20, VALUE(LEFT(DG106,1))=3,15, VALUE(LEFT(DG106,1))=2,8, TRUE,0), 15)
  + _xlfn.IFS(DH106="Fully Verified",25, DH106="Partially Verified",12, TRUE,0)
)</f>
        <v>30</v>
      </c>
      <c r="DO106" s="5" t="str">
        <f t="array" ref="DO106">_xlfn.IFS(
  ISBLANK(AR106), "Insufficient Evidence",
  AND(AR106&gt;=65, AJ106="Approved"), "Strong",
  AR106&gt;=65, "Adequate",
  AR106&gt;=40, "Adequate",
  AR106&gt;=20, "Weak",
  TRUE, "Insufficient Evidence"
)</f>
        <v>Insufficient Evidence</v>
      </c>
      <c r="DP106" s="5" t="str">
        <f t="array" ref="DP106">_xlfn.IFS(
  ISBLANK(BS106), "Insufficient Evidence",
  BS106&gt;=65, "Strong",
  BS106&gt;=40, "Adequate",
  BS106&gt;=20, "Weak",
  TRUE, "Insufficient Evidence"
)</f>
        <v>Insufficient Evidence</v>
      </c>
      <c r="DQ106" s="5" t="str">
        <f t="array" ref="DQ106">_xlfn.IFS(
  ISBLANK(BE106), "Insufficient Evidence",
  OR(AW106="Confirmed Violation", AX106="Confirmed Breach"), "Severe — Hard Trigger",
  BE106&gt;=65, "Strong",
  BE106&gt;=40, "Adequate",
  BE106&gt;=20, "Weak",
  TRUE, "Insufficient Evidence"
)</f>
        <v>Insufficient Evidence</v>
      </c>
      <c r="DR106" s="5" t="str">
        <f t="array" ref="DR106">_xlfn.IFS(
  ISBLANK(CU106), "Insufficient Evidence",
  CU106&lt;=20, "Low Risk",
  CU106&lt;=50, "Moderate Risk",
  CU106&lt;=75, "High Risk",
  TRUE, "Very High Risk"
)</f>
        <v>Low Risk</v>
      </c>
      <c r="DS106" s="5" t="str">
        <f t="array" ref="DS106">_xlfn.IFS(
  ISBLANK(CE106), "Insufficient Evidence",
  AND(ISNUMBER(BW106),ISNUMBER(BV106),BW106&gt;BV106), "Overclaiming Risk",
  CE106&gt;=65, "Strong",
  CE106&gt;=40, "Adequate",
  TRUE, "Weak"
)</f>
        <v>Weak</v>
      </c>
      <c r="DT106" s="5">
        <f t="shared" si="85"/>
        <v>11.7</v>
      </c>
      <c r="DU106" s="5" t="str">
        <f t="array" ref="DU106">_xlfn.IFS(
  DV106="Upgraded to Clear", "Clear",
  DV106="Downgraded to Watchlist", "Watchlist",
  DV106="Downgraded to Exclusion", "Exclusion Risk",
  DB106="Yes — Automatic", "Exclusion Risk",
  OR(AW106="Confirmed Violation", AX106="Confirmed Breach"), "Exclusion Risk",
  OR(V106=0, ISBLANK(V106), DN106&lt;20), "Insufficient Evidence",
  AND(DT106&gt;=65, DA106="No", DB106="No"), "Clear",
  OR(DT106&gt;=40, DA106="Yes"), "Watchlist",
  TRUE, "Exclusion Risk"
)</f>
        <v>Insufficient Evidence</v>
      </c>
      <c r="DV106" s="5"/>
      <c r="DW106" s="5" t="str">
        <f t="array" ref="DW106">_xlfn.IFS(
  DU106="Exclusion Risk", "Exclude — Hard Trigger",
  DU106="Insufficient Evidence", "Watchlist — Further Evidence Needed",
  DU106="Watchlist", "Watchlist — Further Evidence Needed",
  AND(DU106="Clear", DT106&gt;=80), "Include — No Conditions",
  DU106="Clear", "Include — Monitor",
  TRUE, "Watchlist — Further Evidence Needed"
)</f>
        <v>Watchlist — Further Evidence Needed</v>
      </c>
      <c r="DX106" s="5"/>
      <c r="DY106" s="5"/>
      <c r="DZ106" s="5"/>
      <c r="EA106" s="5"/>
      <c r="EB106" s="5" t="str">
        <f t="shared" si="86"/>
        <v>MISSING — No sources reviewed</v>
      </c>
      <c r="EC106" s="5" t="str">
        <f t="shared" si="87"/>
        <v/>
      </c>
    </row>
    <row r="107" spans="1:133" ht="18" customHeight="1" x14ac:dyDescent="0.15">
      <c r="A107" s="5" t="s">
        <v>622</v>
      </c>
      <c r="B107" s="5" t="s">
        <v>623</v>
      </c>
      <c r="C107" s="5" t="str">
        <f>IF(ISBLANK('Universe Tracker'!D82),"",'Universe Tracker'!D82)</f>
        <v>NL0011585146</v>
      </c>
      <c r="D107" s="5"/>
      <c r="E107" s="5"/>
      <c r="F107" s="5" t="str">
        <f>IF(ISBLANK('Universe Tracker'!F82),"",'Universe Tracker'!F82)</f>
        <v>Consumer Discretionary</v>
      </c>
      <c r="G107" s="5" t="str">
        <f>IF(ISBLANK('Universe Tracker'!G82),"",'Universe Tracker'!G82)</f>
        <v>Consumer Discretionary Products</v>
      </c>
      <c r="H107" s="5"/>
      <c r="I107" s="5"/>
      <c r="J107" s="5" t="str">
        <f t="shared" ref="J107:J170" si="88">IF(ISBLANK(B107),"",B107&amp;"_"&amp;C107)</f>
        <v>2FE_NL0011585146</v>
      </c>
      <c r="K107" s="5"/>
      <c r="L107" s="5"/>
      <c r="M107" s="5"/>
      <c r="N107" s="5"/>
      <c r="O107" s="5"/>
      <c r="P107" s="5"/>
      <c r="Q107" s="5"/>
      <c r="R107" s="5"/>
      <c r="S107" s="5"/>
      <c r="T107" s="5"/>
      <c r="U107" s="5"/>
      <c r="V107" s="5"/>
      <c r="W107" s="5"/>
      <c r="X107" s="5"/>
      <c r="Y107" s="5" t="str">
        <f t="shared" ref="Y107:Y170" si="89">IF(AND(V107&gt;=2,K107="Yes",L107="Yes"),"Sufficient",IF(AND(V107&gt;=1,OR(K107="Yes",L107="Yes")),"Thin","Insufficient"))</f>
        <v>Insufficient</v>
      </c>
      <c r="Z107" s="5"/>
      <c r="AA107" s="5"/>
      <c r="AB107" s="5"/>
      <c r="AC107" s="5"/>
      <c r="AD107" s="5"/>
      <c r="AE107" s="5"/>
      <c r="AF107" s="5"/>
      <c r="AG107" s="5"/>
      <c r="AH107" s="5"/>
      <c r="AI107" s="5"/>
      <c r="AJ107" s="5"/>
      <c r="AK107" s="5"/>
      <c r="AL107" s="5"/>
      <c r="AM107" s="5"/>
      <c r="AN107" s="5"/>
      <c r="AO107" s="5"/>
      <c r="AP107" s="5"/>
      <c r="AQ107" s="5"/>
      <c r="AR107" s="40">
        <f t="array" ref="AR107">MIN(100, MAX(0,
  IFERROR(_xlfn.XLOOKUP(AJ107,'Lookup Tables'!$A$2:$A$7,'Lookup Tables'!$B$2:$B$7,0),0)
  + IF(Z107="Yes", IF(IFERROR(_xlfn.XLOOKUP(AJ107,'Lookup Tables'!$A$2:$A$7,'Lookup Tables'!$B$2:$B$7,0),0)&lt;20, 5, 0), 0)
  + _xlfn.IFS(AB107="Yes", IF(ISNUMBER(AC107)*AND(AC107&lt;=2030),15,10), AB107="Long-term Only", 5, AB107="No", 0, TRUE, 0)
  + _xlfn.IFS(AF107="Full",10, AF107="Partial",5, AF107="Scope 2 Only",3, TRUE,0)
  + _xlfn.IFS(AG107="Yes", IF(ISNUMBER(AH107)*AND(AH107&gt;=5),10,6), AG107="Partial",4, TRUE,0)
  + _xlfn.IFS(AI107="Yes",5, AI107="Partial (material categories only)",3, TRUE,0)
  + _xlfn.IFS(AL107="Yes — Detailed",10, AL107="Yes — High Level",5, TRUE,0)
  + _xlfn.IFS(AM107="Yes — Quantified",15, AM107="Yes — Directional Only",7, TRUE,0)
  + _xlfn.IFS(AP107="Formal",5, AP107="Referenced",2, TRUE,0)
  + _xlfn.IFS(AQ107="No Issues Found",5, AQ107="Concern Identified",-5, AQ107="Severe Contradiction",-15, TRUE,0)
  + _xlfn.IFS(BC107="Reasonable Assurance",5, BC107="Limited Assurance",3, TRUE,0)
  - IF(AND(Z107="Yes", AI107="No"), 10, 0)
  - IF(AND(Z107="Yes", AM107="No"), 10, 0)
))</f>
        <v>0</v>
      </c>
      <c r="AS107" s="5"/>
      <c r="AT107" s="5"/>
      <c r="AU107" s="5"/>
      <c r="AV107" s="5"/>
      <c r="AW107" s="5"/>
      <c r="AX107" s="5"/>
      <c r="AY107" s="5"/>
      <c r="AZ107" s="5"/>
      <c r="BA107" s="5"/>
      <c r="BB107" s="5"/>
      <c r="BC107" s="5"/>
      <c r="BD107" s="5"/>
      <c r="BE107" s="39">
        <f t="array" ref="BE107">MIN(100, MAX(0,
  IFERROR(_xlfn.XLOOKUP(AT107,'Lookup Tables'!$D$2:$D$6,'Lookup Tables'!$E$2:$E$6,0),0)
  + IFERROR(_xlfn.XLOOKUP(AV107,'Lookup Tables'!$G$2:$G$5,'Lookup Tables'!$H$2:$H$5,0),0)
  + IFERROR(_xlfn.XLOOKUP(AW107,'Lookup Tables'!$J$2:$J$5,'Lookup Tables'!$K$2:$K$5,0),0)
  + _xlfn.IFS(AX107="No Issues",10, AX107="Complaint Filed",3, AX107="Confirmed Breach",-15, TRUE,0)
  + IFERROR(_xlfn.XLOOKUP(AY107,'Lookup Tables'!$M$2:$M$6,'Lookup Tables'!$N$2:$N$6,0),0)
  + IFERROR(_xlfn.XLOOKUP(AZ107,'Lookup Tables'!$P$2:$P$6,'Lookup Tables'!$Q$2:$Q$6,0),0)
  + _xlfn.IFS(BA107="Formal Board Committee",5, BA107="Board Oversight Mentioned",2, TRUE,0)
  + _xlfn.IFS(BB107="Yes — Quantified Targets",5, BB107="Yes — Discretionary Only",2, TRUE,0)
  + _xlfn.IFS(BC107="Reasonable Assurance",5, BC107="Limited Assurance",3, BC107="Management Review Only",1, TRUE,0)
))</f>
        <v>0</v>
      </c>
      <c r="BF107" s="5"/>
      <c r="BG107" s="5"/>
      <c r="BH107" s="5"/>
      <c r="BI107" s="5"/>
      <c r="BJ107" s="5"/>
      <c r="BK107" s="5"/>
      <c r="BL107" s="5"/>
      <c r="BM107" s="5"/>
      <c r="BN107" s="5"/>
      <c r="BO107" s="5"/>
      <c r="BP107" s="5"/>
      <c r="BQ107" s="5"/>
      <c r="BR107" s="5"/>
      <c r="BS107" s="41">
        <f t="array" ref="BS107">MIN(100, MAX(0,
  IFERROR(_xlfn.XLOOKUP(BG107,'Lookup Tables'!$A$11:$A$16,'Lookup Tables'!$B$11:$B$16,0),0)
  + IFERROR(_xlfn.XLOOKUP(BR107,'Lookup Tables'!$M$11:$M$14,'Lookup Tables'!$N$11:$N$14,0),0)
  + IFERROR(_xlfn.XLOOKUP(BQ107,'Lookup Tables'!$J$11:$J$15,'Lookup Tables'!$K$11:$K$15,0),0)
  + IFERROR(_xlfn.XLOOKUP(BH107,'Lookup Tables'!$D$11:$D$15,'Lookup Tables'!$E$11:$E$15,0),0)
  + IFERROR(_xlfn.XLOOKUP(BJ107,'Lookup Tables'!$G$11:$G$16,'Lookup Tables'!$H$11:$H$16,0),0)
  + IFERROR(_xlfn.XLOOKUP(BN107,'Lookup Tables'!$P$11:$P$15,'Lookup Tables'!$Q$11:$Q$15,0),0)
  + _xlfn.IFS(BM107="No Evidence",10, BM107="Unknown",3, BM107="Likely",0, BM107="Confirmed",-10, TRUE,3)
  + IFERROR(_xlfn.XLOOKUP(BP107,'Lookup Tables'!$J$21:$J$24,'Lookup Tables'!$K$21:$K$24,0),0)
))</f>
        <v>3</v>
      </c>
      <c r="BT107" s="5"/>
      <c r="BU107" s="5"/>
      <c r="BV107" s="5"/>
      <c r="BW107" s="5"/>
      <c r="BX107" s="5"/>
      <c r="BY107" s="5"/>
      <c r="BZ107" s="5"/>
      <c r="CA107" s="5"/>
      <c r="CB107" s="5"/>
      <c r="CC107" s="5"/>
      <c r="CD107" s="5"/>
      <c r="CE107" s="43">
        <f t="array" ref="CE107">MIN(100, MAX(0,
  IF(ISNUMBER(BV107)*AND(BV107&gt;0), 10, 0)
  + _xlfn.IFS(BY107="Independently Verified",25, BY107="Yes",15, TRUE,0)
  + IFERROR(_xlfn.XLOOKUP(BZ107,'Lookup Tables'!$A$21:$A$24,'Lookup Tables'!$B$21:$B$24,0),0)
  + IFERROR(_xlfn.XLOOKUP(CA107,'Lookup Tables'!$D$21:$D$24,'Lookup Tables'!$E$21:$E$24,0),0)
  + _xlfn.IFS(ISNUMBER(CB107)*AND(CB107&gt;=11),15, ISNUMBER(CB107)*AND(CB107&gt;=6),10, ISNUMBER(CB107)*AND(CB107&gt;=1),5, TRUE,0)
  + IFERROR(_xlfn.XLOOKUP(CC107,'Lookup Tables'!$G$21:$G$25,'Lookup Tables'!$H$21:$H$25,0),0)
  - IF(ISNUMBER(BW107)*AND(ISNUMBER(BV107))*AND(BW107&gt;BV107), 20, 0)
  - IF(AND(BY107="Yes", ISNUMBER(BW107), BW107&gt;60), 10, 0)
))</f>
        <v>0</v>
      </c>
      <c r="CF107" s="5"/>
      <c r="CG107" s="5"/>
      <c r="CH107" s="5"/>
      <c r="CI107" s="5"/>
      <c r="CJ107" s="5"/>
      <c r="CK107" s="5"/>
      <c r="CL107" s="5"/>
      <c r="CM107" s="5"/>
      <c r="CN107" s="5"/>
      <c r="CO107" s="5"/>
      <c r="CP107" s="5"/>
      <c r="CQ107" s="5"/>
      <c r="CR107" s="5">
        <f t="shared" ref="CR107:CR170" si="90">COUNTIF(CJ107:CQ107,"FAIL")</f>
        <v>0</v>
      </c>
      <c r="CS107" s="5">
        <f t="shared" ref="CS107:CS170" si="91">COUNTIF(CJ107:CQ107,"PARTIAL")</f>
        <v>0</v>
      </c>
      <c r="CT107" s="5">
        <f t="shared" ref="CT107:CT170" si="92">COUNTIF(CJ107:CQ107,"MISSING")</f>
        <v>0</v>
      </c>
      <c r="CU107" s="5">
        <f>MIN(100,
  CR107*15
  + CS107*6
  + CT107*3
  + IFERROR(_xlfn.XLOOKUP(CW107,'Lookup Tables'!$M$21:$M$25,'Lookup Tables'!$N$21:$N$25,0),0)
)</f>
        <v>0</v>
      </c>
      <c r="CV107" s="5" t="str">
        <f t="shared" ref="CV107:CV170" si="93">IFERROR(
CHOOSE(
MATCH("FAIL",CJ107:CQ107,0),
"1-Specificity","2-Metric","3-Baseline","4-Target",
"5-Time Horizon","6-Scope","7-Verification","8-Consistency"
),
IFERROR(
CHOOSE(
MATCH("PARTIAL",CJ107:CQ107,0),
"1-Specificity","2-Metric","3-Baseline","4-Target",
"5-Time Horizon","6-Scope","7-Verification","8-Consistency"
),
"No failures"
)
)</f>
        <v>No failures</v>
      </c>
      <c r="CW107" s="5"/>
      <c r="CX107" s="5"/>
      <c r="CY107" s="5"/>
      <c r="CZ107" s="5"/>
      <c r="DA107" s="5" t="str">
        <f t="shared" ref="DA107:DA170" si="94">IF(OR(CU107&gt;=50,CW107="Material",CW107="Severe",AS107="Material",AS107="Severe",BF107="Material",BF107="Severe — Exclusion Trigger",AND(ISNUMBER(BS107),BS107&lt;30)),"Yes","No")</f>
        <v>Yes</v>
      </c>
      <c r="DB107" s="5" t="str">
        <f t="shared" ref="DB107:DB170" si="95">IF(OR(CR107&gt;=6,AW107="Confirmed Violation",AX107="Confirmed Breach"),"Yes — Automatic",IF(CW107="Severe","Yes — Requires Captain Confirmation","No"))</f>
        <v>No</v>
      </c>
      <c r="DC107" s="5"/>
      <c r="DD107" s="5"/>
      <c r="DE107" s="5"/>
      <c r="DF107" s="5"/>
      <c r="DG107" s="5"/>
      <c r="DH107" s="5"/>
      <c r="DI107" s="5"/>
      <c r="DJ107" s="5"/>
      <c r="DK107" s="5"/>
      <c r="DL107" s="5" t="str">
        <f t="shared" ref="DL107:DL170" si="96">IF(OR(IFERROR(VALUE(LEFT(DF107,1)),99)&lt;=2,IFERROR(VALUE(LEFT(DG107,1)),99)&lt;=2),"Flagged","Clear")</f>
        <v>Clear</v>
      </c>
      <c r="DM107" s="5" t="str">
        <f t="shared" ref="DM107:DM170" si="97">IF(OR(DA107="Yes",DB107&lt;&gt;"No",DH107="Unverified",DL107="Flagged"),"Yes","No")</f>
        <v>Yes</v>
      </c>
      <c r="DN107" s="5">
        <f t="array" ref="DN107">MIN(100,
  IF(ISNUMBER(V107), _xlfn.IFS(V107&gt;=3,25, V107=2,15, V107=1,5, TRUE,0), 0)
  + IFERROR(_xlfn.IFS(VALUE(LEFT(DF107,1))=5,25, VALUE(LEFT(DF107,1))=4,20, VALUE(LEFT(DF107,1))=3,15, VALUE(LEFT(DF107,1))=2,8, TRUE,0), 15)
  + IFERROR(_xlfn.IFS(VALUE(LEFT(DG107,1))=5,25, VALUE(LEFT(DG107,1))=4,20, VALUE(LEFT(DG107,1))=3,15, VALUE(LEFT(DG107,1))=2,8, TRUE,0), 15)
  + _xlfn.IFS(DH107="Fully Verified",25, DH107="Partially Verified",12, TRUE,0)
)</f>
        <v>30</v>
      </c>
      <c r="DO107" s="5" t="str">
        <f t="array" ref="DO107">_xlfn.IFS(
  ISBLANK(AR107), "Insufficient Evidence",
  AND(AR107&gt;=65, AJ107="Approved"), "Strong",
  AR107&gt;=65, "Adequate",
  AR107&gt;=40, "Adequate",
  AR107&gt;=20, "Weak",
  TRUE, "Insufficient Evidence"
)</f>
        <v>Insufficient Evidence</v>
      </c>
      <c r="DP107" s="5" t="str">
        <f t="array" ref="DP107">_xlfn.IFS(
  ISBLANK(BS107), "Insufficient Evidence",
  BS107&gt;=65, "Strong",
  BS107&gt;=40, "Adequate",
  BS107&gt;=20, "Weak",
  TRUE, "Insufficient Evidence"
)</f>
        <v>Insufficient Evidence</v>
      </c>
      <c r="DQ107" s="5" t="str">
        <f t="array" ref="DQ107">_xlfn.IFS(
  ISBLANK(BE107), "Insufficient Evidence",
  OR(AW107="Confirmed Violation", AX107="Confirmed Breach"), "Severe — Hard Trigger",
  BE107&gt;=65, "Strong",
  BE107&gt;=40, "Adequate",
  BE107&gt;=20, "Weak",
  TRUE, "Insufficient Evidence"
)</f>
        <v>Insufficient Evidence</v>
      </c>
      <c r="DR107" s="5" t="str">
        <f t="array" ref="DR107">_xlfn.IFS(
  ISBLANK(CU107), "Insufficient Evidence",
  CU107&lt;=20, "Low Risk",
  CU107&lt;=50, "Moderate Risk",
  CU107&lt;=75, "High Risk",
  TRUE, "Very High Risk"
)</f>
        <v>Low Risk</v>
      </c>
      <c r="DS107" s="5" t="str">
        <f t="array" ref="DS107">_xlfn.IFS(
  ISBLANK(CE107), "Insufficient Evidence",
  AND(ISNUMBER(BW107),ISNUMBER(BV107),BW107&gt;BV107), "Overclaiming Risk",
  CE107&gt;=65, "Strong",
  CE107&gt;=40, "Adequate",
  TRUE, "Weak"
)</f>
        <v>Weak</v>
      </c>
      <c r="DT107" s="5">
        <f t="shared" ref="DT107:DT170" si="98">IF(DB107="Yes — Automatic",0,ROUND((IF(ISNUMBER(AR107),AR107,0)*0.3+IF(ISNUMBER(BS107),BS107,0)*0.2+IF(ISNUMBER(BE107),BE107,0)*0.2+IF(ISNUMBER(CE107),CE107,0)*0.15+(100-IF(ISNUMBER(CU107),CU107,50))*0.15)*IF(DN107&gt;=75,1,IF(DN107&gt;=50,0.9,IF(DN107&gt;=25,0.75,0.6))),1))</f>
        <v>11.7</v>
      </c>
      <c r="DU107" s="5" t="str">
        <f t="array" ref="DU107">_xlfn.IFS(
  DV107="Upgraded to Clear", "Clear",
  DV107="Downgraded to Watchlist", "Watchlist",
  DV107="Downgraded to Exclusion", "Exclusion Risk",
  DB107="Yes — Automatic", "Exclusion Risk",
  OR(AW107="Confirmed Violation", AX107="Confirmed Breach"), "Exclusion Risk",
  OR(V107=0, ISBLANK(V107), DN107&lt;20), "Insufficient Evidence",
  AND(DT107&gt;=65, DA107="No", DB107="No"), "Clear",
  OR(DT107&gt;=40, DA107="Yes"), "Watchlist",
  TRUE, "Exclusion Risk"
)</f>
        <v>Insufficient Evidence</v>
      </c>
      <c r="DV107" s="5"/>
      <c r="DW107" s="5" t="str">
        <f t="array" ref="DW107">_xlfn.IFS(
  DU107="Exclusion Risk", "Exclude — Hard Trigger",
  DU107="Insufficient Evidence", "Watchlist — Further Evidence Needed",
  DU107="Watchlist", "Watchlist — Further Evidence Needed",
  AND(DU107="Clear", DT107&gt;=80), "Include — No Conditions",
  DU107="Clear", "Include — Monitor",
  TRUE, "Watchlist — Further Evidence Needed"
)</f>
        <v>Watchlist — Further Evidence Needed</v>
      </c>
      <c r="DX107" s="5"/>
      <c r="DY107" s="5"/>
      <c r="DZ107" s="5"/>
      <c r="EA107" s="5"/>
      <c r="EB107" s="5" t="str">
        <f t="shared" ref="EB107:EB170" si="99">IF(OR(V107=0, ISBLANK(V107)), "MISSING — No sources reviewed", "")</f>
        <v>MISSING — No sources reviewed</v>
      </c>
      <c r="EC107" s="5" t="str">
        <f t="shared" ref="EC107:EC170" si="100">IF(AND(NOT(ISBLANK(DC107)), ISBLANK(DE107)), "PAGE REF MISSING", "")</f>
        <v/>
      </c>
    </row>
    <row r="108" spans="1:133" ht="18" customHeight="1" x14ac:dyDescent="0.15">
      <c r="A108" s="5" t="s">
        <v>626</v>
      </c>
      <c r="B108" s="5" t="s">
        <v>627</v>
      </c>
      <c r="C108" s="5" t="str">
        <f>IF(ISBLANK('Universe Tracker'!D83),"",'Universe Tracker'!D83)</f>
        <v>IT0004764699</v>
      </c>
      <c r="D108" s="5"/>
      <c r="E108" s="5"/>
      <c r="F108" s="5" t="str">
        <f>IF(ISBLANK('Universe Tracker'!F83),"",'Universe Tracker'!F83)</f>
        <v>Consumer Discretionary</v>
      </c>
      <c r="G108" s="5" t="str">
        <f>IF(ISBLANK('Universe Tracker'!G83),"",'Universe Tracker'!G83)</f>
        <v>Retail &amp; Whsle - Discretionary</v>
      </c>
      <c r="H108" s="5"/>
      <c r="I108" s="5"/>
      <c r="J108" s="5" t="str">
        <f t="shared" si="88"/>
        <v>8BU_IT0004764699</v>
      </c>
      <c r="K108" s="5"/>
      <c r="L108" s="5"/>
      <c r="M108" s="5"/>
      <c r="N108" s="5"/>
      <c r="O108" s="5"/>
      <c r="P108" s="5"/>
      <c r="Q108" s="5"/>
      <c r="R108" s="5"/>
      <c r="S108" s="5"/>
      <c r="T108" s="5"/>
      <c r="U108" s="5"/>
      <c r="V108" s="5"/>
      <c r="W108" s="5"/>
      <c r="X108" s="5"/>
      <c r="Y108" s="5" t="str">
        <f t="shared" si="89"/>
        <v>Insufficient</v>
      </c>
      <c r="Z108" s="5"/>
      <c r="AA108" s="5"/>
      <c r="AB108" s="5"/>
      <c r="AC108" s="5"/>
      <c r="AD108" s="5"/>
      <c r="AE108" s="5"/>
      <c r="AF108" s="5"/>
      <c r="AG108" s="5"/>
      <c r="AH108" s="5"/>
      <c r="AI108" s="5"/>
      <c r="AJ108" s="5"/>
      <c r="AK108" s="5"/>
      <c r="AL108" s="5"/>
      <c r="AM108" s="5"/>
      <c r="AN108" s="5"/>
      <c r="AO108" s="5"/>
      <c r="AP108" s="5"/>
      <c r="AQ108" s="5"/>
      <c r="AR108" s="40">
        <f t="array" ref="AR108">MIN(100, MAX(0,
  IFERROR(_xlfn.XLOOKUP(AJ108,'Lookup Tables'!$A$2:$A$7,'Lookup Tables'!$B$2:$B$7,0),0)
  + IF(Z108="Yes", IF(IFERROR(_xlfn.XLOOKUP(AJ108,'Lookup Tables'!$A$2:$A$7,'Lookup Tables'!$B$2:$B$7,0),0)&lt;20, 5, 0), 0)
  + _xlfn.IFS(AB108="Yes", IF(ISNUMBER(AC108)*AND(AC108&lt;=2030),15,10), AB108="Long-term Only", 5, AB108="No", 0, TRUE, 0)
  + _xlfn.IFS(AF108="Full",10, AF108="Partial",5, AF108="Scope 2 Only",3, TRUE,0)
  + _xlfn.IFS(AG108="Yes", IF(ISNUMBER(AH108)*AND(AH108&gt;=5),10,6), AG108="Partial",4, TRUE,0)
  + _xlfn.IFS(AI108="Yes",5, AI108="Partial (material categories only)",3, TRUE,0)
  + _xlfn.IFS(AL108="Yes — Detailed",10, AL108="Yes — High Level",5, TRUE,0)
  + _xlfn.IFS(AM108="Yes — Quantified",15, AM108="Yes — Directional Only",7, TRUE,0)
  + _xlfn.IFS(AP108="Formal",5, AP108="Referenced",2, TRUE,0)
  + _xlfn.IFS(AQ108="No Issues Found",5, AQ108="Concern Identified",-5, AQ108="Severe Contradiction",-15, TRUE,0)
  + _xlfn.IFS(BC108="Reasonable Assurance",5, BC108="Limited Assurance",3, TRUE,0)
  - IF(AND(Z108="Yes", AI108="No"), 10, 0)
  - IF(AND(Z108="Yes", AM108="No"), 10, 0)
))</f>
        <v>0</v>
      </c>
      <c r="AS108" s="5"/>
      <c r="AT108" s="5"/>
      <c r="AU108" s="5"/>
      <c r="AV108" s="5"/>
      <c r="AW108" s="5"/>
      <c r="AX108" s="5"/>
      <c r="AY108" s="5"/>
      <c r="AZ108" s="5"/>
      <c r="BA108" s="5"/>
      <c r="BB108" s="5"/>
      <c r="BC108" s="5"/>
      <c r="BD108" s="5"/>
      <c r="BE108" s="39">
        <f t="array" ref="BE108">MIN(100, MAX(0,
  IFERROR(_xlfn.XLOOKUP(AT108,'Lookup Tables'!$D$2:$D$6,'Lookup Tables'!$E$2:$E$6,0),0)
  + IFERROR(_xlfn.XLOOKUP(AV108,'Lookup Tables'!$G$2:$G$5,'Lookup Tables'!$H$2:$H$5,0),0)
  + IFERROR(_xlfn.XLOOKUP(AW108,'Lookup Tables'!$J$2:$J$5,'Lookup Tables'!$K$2:$K$5,0),0)
  + _xlfn.IFS(AX108="No Issues",10, AX108="Complaint Filed",3, AX108="Confirmed Breach",-15, TRUE,0)
  + IFERROR(_xlfn.XLOOKUP(AY108,'Lookup Tables'!$M$2:$M$6,'Lookup Tables'!$N$2:$N$6,0),0)
  + IFERROR(_xlfn.XLOOKUP(AZ108,'Lookup Tables'!$P$2:$P$6,'Lookup Tables'!$Q$2:$Q$6,0),0)
  + _xlfn.IFS(BA108="Formal Board Committee",5, BA108="Board Oversight Mentioned",2, TRUE,0)
  + _xlfn.IFS(BB108="Yes — Quantified Targets",5, BB108="Yes — Discretionary Only",2, TRUE,0)
  + _xlfn.IFS(BC108="Reasonable Assurance",5, BC108="Limited Assurance",3, BC108="Management Review Only",1, TRUE,0)
))</f>
        <v>0</v>
      </c>
      <c r="BF108" s="5"/>
      <c r="BG108" s="5"/>
      <c r="BH108" s="5"/>
      <c r="BI108" s="5"/>
      <c r="BJ108" s="5"/>
      <c r="BK108" s="5"/>
      <c r="BL108" s="5"/>
      <c r="BM108" s="5"/>
      <c r="BN108" s="5"/>
      <c r="BO108" s="5"/>
      <c r="BP108" s="5"/>
      <c r="BQ108" s="5"/>
      <c r="BR108" s="5"/>
      <c r="BS108" s="41">
        <f t="array" ref="BS108">MIN(100, MAX(0,
  IFERROR(_xlfn.XLOOKUP(BG108,'Lookup Tables'!$A$11:$A$16,'Lookup Tables'!$B$11:$B$16,0),0)
  + IFERROR(_xlfn.XLOOKUP(BR108,'Lookup Tables'!$M$11:$M$14,'Lookup Tables'!$N$11:$N$14,0),0)
  + IFERROR(_xlfn.XLOOKUP(BQ108,'Lookup Tables'!$J$11:$J$15,'Lookup Tables'!$K$11:$K$15,0),0)
  + IFERROR(_xlfn.XLOOKUP(BH108,'Lookup Tables'!$D$11:$D$15,'Lookup Tables'!$E$11:$E$15,0),0)
  + IFERROR(_xlfn.XLOOKUP(BJ108,'Lookup Tables'!$G$11:$G$16,'Lookup Tables'!$H$11:$H$16,0),0)
  + IFERROR(_xlfn.XLOOKUP(BN108,'Lookup Tables'!$P$11:$P$15,'Lookup Tables'!$Q$11:$Q$15,0),0)
  + _xlfn.IFS(BM108="No Evidence",10, BM108="Unknown",3, BM108="Likely",0, BM108="Confirmed",-10, TRUE,3)
  + IFERROR(_xlfn.XLOOKUP(BP108,'Lookup Tables'!$J$21:$J$24,'Lookup Tables'!$K$21:$K$24,0),0)
))</f>
        <v>3</v>
      </c>
      <c r="BT108" s="5"/>
      <c r="BU108" s="5"/>
      <c r="BV108" s="5"/>
      <c r="BW108" s="5"/>
      <c r="BX108" s="5"/>
      <c r="BY108" s="5"/>
      <c r="BZ108" s="5"/>
      <c r="CA108" s="5"/>
      <c r="CB108" s="5"/>
      <c r="CC108" s="5"/>
      <c r="CD108" s="5"/>
      <c r="CE108" s="43">
        <f t="array" ref="CE108">MIN(100, MAX(0,
  IF(ISNUMBER(BV108)*AND(BV108&gt;0), 10, 0)
  + _xlfn.IFS(BY108="Independently Verified",25, BY108="Yes",15, TRUE,0)
  + IFERROR(_xlfn.XLOOKUP(BZ108,'Lookup Tables'!$A$21:$A$24,'Lookup Tables'!$B$21:$B$24,0),0)
  + IFERROR(_xlfn.XLOOKUP(CA108,'Lookup Tables'!$D$21:$D$24,'Lookup Tables'!$E$21:$E$24,0),0)
  + _xlfn.IFS(ISNUMBER(CB108)*AND(CB108&gt;=11),15, ISNUMBER(CB108)*AND(CB108&gt;=6),10, ISNUMBER(CB108)*AND(CB108&gt;=1),5, TRUE,0)
  + IFERROR(_xlfn.XLOOKUP(CC108,'Lookup Tables'!$G$21:$G$25,'Lookup Tables'!$H$21:$H$25,0),0)
  - IF(ISNUMBER(BW108)*AND(ISNUMBER(BV108))*AND(BW108&gt;BV108), 20, 0)
  - IF(AND(BY108="Yes", ISNUMBER(BW108), BW108&gt;60), 10, 0)
))</f>
        <v>0</v>
      </c>
      <c r="CF108" s="5"/>
      <c r="CG108" s="5"/>
      <c r="CH108" s="5"/>
      <c r="CI108" s="5"/>
      <c r="CJ108" s="5"/>
      <c r="CK108" s="5"/>
      <c r="CL108" s="5"/>
      <c r="CM108" s="5"/>
      <c r="CN108" s="5"/>
      <c r="CO108" s="5"/>
      <c r="CP108" s="5"/>
      <c r="CQ108" s="5"/>
      <c r="CR108" s="5">
        <f t="shared" si="90"/>
        <v>0</v>
      </c>
      <c r="CS108" s="5">
        <f t="shared" si="91"/>
        <v>0</v>
      </c>
      <c r="CT108" s="5">
        <f t="shared" si="92"/>
        <v>0</v>
      </c>
      <c r="CU108" s="5">
        <f>MIN(100,
  CR108*15
  + CS108*6
  + CT108*3
  + IFERROR(_xlfn.XLOOKUP(CW108,'Lookup Tables'!$M$21:$M$25,'Lookup Tables'!$N$21:$N$25,0),0)
)</f>
        <v>0</v>
      </c>
      <c r="CV108" s="5" t="str">
        <f t="shared" si="93"/>
        <v>No failures</v>
      </c>
      <c r="CW108" s="5"/>
      <c r="CX108" s="5"/>
      <c r="CY108" s="5"/>
      <c r="CZ108" s="5"/>
      <c r="DA108" s="5" t="str">
        <f t="shared" si="94"/>
        <v>Yes</v>
      </c>
      <c r="DB108" s="5" t="str">
        <f t="shared" si="95"/>
        <v>No</v>
      </c>
      <c r="DC108" s="5"/>
      <c r="DD108" s="5"/>
      <c r="DE108" s="5"/>
      <c r="DF108" s="5"/>
      <c r="DG108" s="5"/>
      <c r="DH108" s="5"/>
      <c r="DI108" s="5"/>
      <c r="DJ108" s="5"/>
      <c r="DK108" s="5"/>
      <c r="DL108" s="5" t="str">
        <f t="shared" si="96"/>
        <v>Clear</v>
      </c>
      <c r="DM108" s="5" t="str">
        <f t="shared" si="97"/>
        <v>Yes</v>
      </c>
      <c r="DN108" s="5">
        <f t="array" ref="DN108">MIN(100,
  IF(ISNUMBER(V108), _xlfn.IFS(V108&gt;=3,25, V108=2,15, V108=1,5, TRUE,0), 0)
  + IFERROR(_xlfn.IFS(VALUE(LEFT(DF108,1))=5,25, VALUE(LEFT(DF108,1))=4,20, VALUE(LEFT(DF108,1))=3,15, VALUE(LEFT(DF108,1))=2,8, TRUE,0), 15)
  + IFERROR(_xlfn.IFS(VALUE(LEFT(DG108,1))=5,25, VALUE(LEFT(DG108,1))=4,20, VALUE(LEFT(DG108,1))=3,15, VALUE(LEFT(DG108,1))=2,8, TRUE,0), 15)
  + _xlfn.IFS(DH108="Fully Verified",25, DH108="Partially Verified",12, TRUE,0)
)</f>
        <v>30</v>
      </c>
      <c r="DO108" s="5" t="str">
        <f t="array" ref="DO108">_xlfn.IFS(
  ISBLANK(AR108), "Insufficient Evidence",
  AND(AR108&gt;=65, AJ108="Approved"), "Strong",
  AR108&gt;=65, "Adequate",
  AR108&gt;=40, "Adequate",
  AR108&gt;=20, "Weak",
  TRUE, "Insufficient Evidence"
)</f>
        <v>Insufficient Evidence</v>
      </c>
      <c r="DP108" s="5" t="str">
        <f t="array" ref="DP108">_xlfn.IFS(
  ISBLANK(BS108), "Insufficient Evidence",
  BS108&gt;=65, "Strong",
  BS108&gt;=40, "Adequate",
  BS108&gt;=20, "Weak",
  TRUE, "Insufficient Evidence"
)</f>
        <v>Insufficient Evidence</v>
      </c>
      <c r="DQ108" s="5" t="str">
        <f t="array" ref="DQ108">_xlfn.IFS(
  ISBLANK(BE108), "Insufficient Evidence",
  OR(AW108="Confirmed Violation", AX108="Confirmed Breach"), "Severe — Hard Trigger",
  BE108&gt;=65, "Strong",
  BE108&gt;=40, "Adequate",
  BE108&gt;=20, "Weak",
  TRUE, "Insufficient Evidence"
)</f>
        <v>Insufficient Evidence</v>
      </c>
      <c r="DR108" s="5" t="str">
        <f t="array" ref="DR108">_xlfn.IFS(
  ISBLANK(CU108), "Insufficient Evidence",
  CU108&lt;=20, "Low Risk",
  CU108&lt;=50, "Moderate Risk",
  CU108&lt;=75, "High Risk",
  TRUE, "Very High Risk"
)</f>
        <v>Low Risk</v>
      </c>
      <c r="DS108" s="5" t="str">
        <f t="array" ref="DS108">_xlfn.IFS(
  ISBLANK(CE108), "Insufficient Evidence",
  AND(ISNUMBER(BW108),ISNUMBER(BV108),BW108&gt;BV108), "Overclaiming Risk",
  CE108&gt;=65, "Strong",
  CE108&gt;=40, "Adequate",
  TRUE, "Weak"
)</f>
        <v>Weak</v>
      </c>
      <c r="DT108" s="5">
        <f t="shared" si="98"/>
        <v>11.7</v>
      </c>
      <c r="DU108" s="5" t="str">
        <f t="array" ref="DU108">_xlfn.IFS(
  DV108="Upgraded to Clear", "Clear",
  DV108="Downgraded to Watchlist", "Watchlist",
  DV108="Downgraded to Exclusion", "Exclusion Risk",
  DB108="Yes — Automatic", "Exclusion Risk",
  OR(AW108="Confirmed Violation", AX108="Confirmed Breach"), "Exclusion Risk",
  OR(V108=0, ISBLANK(V108), DN108&lt;20), "Insufficient Evidence",
  AND(DT108&gt;=65, DA108="No", DB108="No"), "Clear",
  OR(DT108&gt;=40, DA108="Yes"), "Watchlist",
  TRUE, "Exclusion Risk"
)</f>
        <v>Insufficient Evidence</v>
      </c>
      <c r="DV108" s="5"/>
      <c r="DW108" s="5" t="str">
        <f t="array" ref="DW108">_xlfn.IFS(
  DU108="Exclusion Risk", "Exclude — Hard Trigger",
  DU108="Insufficient Evidence", "Watchlist — Further Evidence Needed",
  DU108="Watchlist", "Watchlist — Further Evidence Needed",
  AND(DU108="Clear", DT108&gt;=80), "Include — No Conditions",
  DU108="Clear", "Include — Monitor",
  TRUE, "Watchlist — Further Evidence Needed"
)</f>
        <v>Watchlist — Further Evidence Needed</v>
      </c>
      <c r="DX108" s="5"/>
      <c r="DY108" s="5"/>
      <c r="DZ108" s="5"/>
      <c r="EA108" s="5"/>
      <c r="EB108" s="5" t="str">
        <f t="shared" si="99"/>
        <v>MISSING — No sources reviewed</v>
      </c>
      <c r="EC108" s="5" t="str">
        <f t="shared" si="100"/>
        <v/>
      </c>
    </row>
    <row r="109" spans="1:133" ht="18" customHeight="1" x14ac:dyDescent="0.15">
      <c r="A109" s="5" t="s">
        <v>630</v>
      </c>
      <c r="B109" s="5" t="s">
        <v>631</v>
      </c>
      <c r="C109" s="5" t="str">
        <f>IF(ISBLANK('Universe Tracker'!D84),"",'Universe Tracker'!D84)</f>
        <v>ES0144580Y14</v>
      </c>
      <c r="D109" s="5"/>
      <c r="E109" s="5"/>
      <c r="F109" s="5" t="str">
        <f>IF(ISBLANK('Universe Tracker'!F84),"",'Universe Tracker'!F84)</f>
        <v>Utilities</v>
      </c>
      <c r="G109" s="5" t="str">
        <f>IF(ISBLANK('Universe Tracker'!G84),"",'Universe Tracker'!G84)</f>
        <v>Utilities</v>
      </c>
      <c r="H109" s="5"/>
      <c r="I109" s="5"/>
      <c r="J109" s="5" t="str">
        <f t="shared" si="88"/>
        <v>IBE1_ES0144580Y14</v>
      </c>
      <c r="K109" s="5"/>
      <c r="L109" s="5"/>
      <c r="M109" s="5"/>
      <c r="N109" s="5"/>
      <c r="O109" s="5"/>
      <c r="P109" s="5"/>
      <c r="Q109" s="5"/>
      <c r="R109" s="5"/>
      <c r="S109" s="5"/>
      <c r="T109" s="5"/>
      <c r="U109" s="5"/>
      <c r="V109" s="5"/>
      <c r="W109" s="5"/>
      <c r="X109" s="5"/>
      <c r="Y109" s="5" t="str">
        <f t="shared" si="89"/>
        <v>Insufficient</v>
      </c>
      <c r="Z109" s="5"/>
      <c r="AA109" s="5"/>
      <c r="AB109" s="5"/>
      <c r="AC109" s="5"/>
      <c r="AD109" s="5"/>
      <c r="AE109" s="5"/>
      <c r="AF109" s="5"/>
      <c r="AG109" s="5"/>
      <c r="AH109" s="5"/>
      <c r="AI109" s="5"/>
      <c r="AJ109" s="5"/>
      <c r="AK109" s="5"/>
      <c r="AL109" s="5"/>
      <c r="AM109" s="5"/>
      <c r="AN109" s="5"/>
      <c r="AO109" s="5"/>
      <c r="AP109" s="5"/>
      <c r="AQ109" s="5"/>
      <c r="AR109" s="40">
        <f t="array" ref="AR109">MIN(100, MAX(0,
  IFERROR(_xlfn.XLOOKUP(AJ109,'Lookup Tables'!$A$2:$A$7,'Lookup Tables'!$B$2:$B$7,0),0)
  + IF(Z109="Yes", IF(IFERROR(_xlfn.XLOOKUP(AJ109,'Lookup Tables'!$A$2:$A$7,'Lookup Tables'!$B$2:$B$7,0),0)&lt;20, 5, 0), 0)
  + _xlfn.IFS(AB109="Yes", IF(ISNUMBER(AC109)*AND(AC109&lt;=2030),15,10), AB109="Long-term Only", 5, AB109="No", 0, TRUE, 0)
  + _xlfn.IFS(AF109="Full",10, AF109="Partial",5, AF109="Scope 2 Only",3, TRUE,0)
  + _xlfn.IFS(AG109="Yes", IF(ISNUMBER(AH109)*AND(AH109&gt;=5),10,6), AG109="Partial",4, TRUE,0)
  + _xlfn.IFS(AI109="Yes",5, AI109="Partial (material categories only)",3, TRUE,0)
  + _xlfn.IFS(AL109="Yes — Detailed",10, AL109="Yes — High Level",5, TRUE,0)
  + _xlfn.IFS(AM109="Yes — Quantified",15, AM109="Yes — Directional Only",7, TRUE,0)
  + _xlfn.IFS(AP109="Formal",5, AP109="Referenced",2, TRUE,0)
  + _xlfn.IFS(AQ109="No Issues Found",5, AQ109="Concern Identified",-5, AQ109="Severe Contradiction",-15, TRUE,0)
  + _xlfn.IFS(BC109="Reasonable Assurance",5, BC109="Limited Assurance",3, TRUE,0)
  - IF(AND(Z109="Yes", AI109="No"), 10, 0)
  - IF(AND(Z109="Yes", AM109="No"), 10, 0)
))</f>
        <v>0</v>
      </c>
      <c r="AS109" s="5"/>
      <c r="AT109" s="5"/>
      <c r="AU109" s="5"/>
      <c r="AV109" s="5"/>
      <c r="AW109" s="5"/>
      <c r="AX109" s="5"/>
      <c r="AY109" s="5"/>
      <c r="AZ109" s="5"/>
      <c r="BA109" s="5"/>
      <c r="BB109" s="5"/>
      <c r="BC109" s="5"/>
      <c r="BD109" s="5"/>
      <c r="BE109" s="39">
        <f t="array" ref="BE109">MIN(100, MAX(0,
  IFERROR(_xlfn.XLOOKUP(AT109,'Lookup Tables'!$D$2:$D$6,'Lookup Tables'!$E$2:$E$6,0),0)
  + IFERROR(_xlfn.XLOOKUP(AV109,'Lookup Tables'!$G$2:$G$5,'Lookup Tables'!$H$2:$H$5,0),0)
  + IFERROR(_xlfn.XLOOKUP(AW109,'Lookup Tables'!$J$2:$J$5,'Lookup Tables'!$K$2:$K$5,0),0)
  + _xlfn.IFS(AX109="No Issues",10, AX109="Complaint Filed",3, AX109="Confirmed Breach",-15, TRUE,0)
  + IFERROR(_xlfn.XLOOKUP(AY109,'Lookup Tables'!$M$2:$M$6,'Lookup Tables'!$N$2:$N$6,0),0)
  + IFERROR(_xlfn.XLOOKUP(AZ109,'Lookup Tables'!$P$2:$P$6,'Lookup Tables'!$Q$2:$Q$6,0),0)
  + _xlfn.IFS(BA109="Formal Board Committee",5, BA109="Board Oversight Mentioned",2, TRUE,0)
  + _xlfn.IFS(BB109="Yes — Quantified Targets",5, BB109="Yes — Discretionary Only",2, TRUE,0)
  + _xlfn.IFS(BC109="Reasonable Assurance",5, BC109="Limited Assurance",3, BC109="Management Review Only",1, TRUE,0)
))</f>
        <v>0</v>
      </c>
      <c r="BF109" s="5"/>
      <c r="BG109" s="5"/>
      <c r="BH109" s="5"/>
      <c r="BI109" s="5"/>
      <c r="BJ109" s="5"/>
      <c r="BK109" s="5"/>
      <c r="BL109" s="5"/>
      <c r="BM109" s="5"/>
      <c r="BN109" s="5"/>
      <c r="BO109" s="5"/>
      <c r="BP109" s="5"/>
      <c r="BQ109" s="5"/>
      <c r="BR109" s="5"/>
      <c r="BS109" s="41">
        <f t="array" ref="BS109">MIN(100, MAX(0,
  IFERROR(_xlfn.XLOOKUP(BG109,'Lookup Tables'!$A$11:$A$16,'Lookup Tables'!$B$11:$B$16,0),0)
  + IFERROR(_xlfn.XLOOKUP(BR109,'Lookup Tables'!$M$11:$M$14,'Lookup Tables'!$N$11:$N$14,0),0)
  + IFERROR(_xlfn.XLOOKUP(BQ109,'Lookup Tables'!$J$11:$J$15,'Lookup Tables'!$K$11:$K$15,0),0)
  + IFERROR(_xlfn.XLOOKUP(BH109,'Lookup Tables'!$D$11:$D$15,'Lookup Tables'!$E$11:$E$15,0),0)
  + IFERROR(_xlfn.XLOOKUP(BJ109,'Lookup Tables'!$G$11:$G$16,'Lookup Tables'!$H$11:$H$16,0),0)
  + IFERROR(_xlfn.XLOOKUP(BN109,'Lookup Tables'!$P$11:$P$15,'Lookup Tables'!$Q$11:$Q$15,0),0)
  + _xlfn.IFS(BM109="No Evidence",10, BM109="Unknown",3, BM109="Likely",0, BM109="Confirmed",-10, TRUE,3)
  + IFERROR(_xlfn.XLOOKUP(BP109,'Lookup Tables'!$J$21:$J$24,'Lookup Tables'!$K$21:$K$24,0),0)
))</f>
        <v>3</v>
      </c>
      <c r="BT109" s="5"/>
      <c r="BU109" s="5"/>
      <c r="BV109" s="5"/>
      <c r="BW109" s="5"/>
      <c r="BX109" s="5"/>
      <c r="BY109" s="5"/>
      <c r="BZ109" s="5"/>
      <c r="CA109" s="5"/>
      <c r="CB109" s="5"/>
      <c r="CC109" s="5"/>
      <c r="CD109" s="5"/>
      <c r="CE109" s="43">
        <f t="array" ref="CE109">MIN(100, MAX(0,
  IF(ISNUMBER(BV109)*AND(BV109&gt;0), 10, 0)
  + _xlfn.IFS(BY109="Independently Verified",25, BY109="Yes",15, TRUE,0)
  + IFERROR(_xlfn.XLOOKUP(BZ109,'Lookup Tables'!$A$21:$A$24,'Lookup Tables'!$B$21:$B$24,0),0)
  + IFERROR(_xlfn.XLOOKUP(CA109,'Lookup Tables'!$D$21:$D$24,'Lookup Tables'!$E$21:$E$24,0),0)
  + _xlfn.IFS(ISNUMBER(CB109)*AND(CB109&gt;=11),15, ISNUMBER(CB109)*AND(CB109&gt;=6),10, ISNUMBER(CB109)*AND(CB109&gt;=1),5, TRUE,0)
  + IFERROR(_xlfn.XLOOKUP(CC109,'Lookup Tables'!$G$21:$G$25,'Lookup Tables'!$H$21:$H$25,0),0)
  - IF(ISNUMBER(BW109)*AND(ISNUMBER(BV109))*AND(BW109&gt;BV109), 20, 0)
  - IF(AND(BY109="Yes", ISNUMBER(BW109), BW109&gt;60), 10, 0)
))</f>
        <v>0</v>
      </c>
      <c r="CF109" s="5"/>
      <c r="CG109" s="5"/>
      <c r="CH109" s="5"/>
      <c r="CI109" s="5"/>
      <c r="CJ109" s="5"/>
      <c r="CK109" s="5"/>
      <c r="CL109" s="5"/>
      <c r="CM109" s="5"/>
      <c r="CN109" s="5"/>
      <c r="CO109" s="5"/>
      <c r="CP109" s="5"/>
      <c r="CQ109" s="5"/>
      <c r="CR109" s="5">
        <f t="shared" si="90"/>
        <v>0</v>
      </c>
      <c r="CS109" s="5">
        <f t="shared" si="91"/>
        <v>0</v>
      </c>
      <c r="CT109" s="5">
        <f t="shared" si="92"/>
        <v>0</v>
      </c>
      <c r="CU109" s="5">
        <f>MIN(100,
  CR109*15
  + CS109*6
  + CT109*3
  + IFERROR(_xlfn.XLOOKUP(CW109,'Lookup Tables'!$M$21:$M$25,'Lookup Tables'!$N$21:$N$25,0),0)
)</f>
        <v>0</v>
      </c>
      <c r="CV109" s="5" t="str">
        <f t="shared" si="93"/>
        <v>No failures</v>
      </c>
      <c r="CW109" s="5"/>
      <c r="CX109" s="5"/>
      <c r="CY109" s="5"/>
      <c r="CZ109" s="5"/>
      <c r="DA109" s="5" t="str">
        <f t="shared" si="94"/>
        <v>Yes</v>
      </c>
      <c r="DB109" s="5" t="str">
        <f t="shared" si="95"/>
        <v>No</v>
      </c>
      <c r="DC109" s="5"/>
      <c r="DD109" s="5"/>
      <c r="DE109" s="5"/>
      <c r="DF109" s="5"/>
      <c r="DG109" s="5"/>
      <c r="DH109" s="5"/>
      <c r="DI109" s="5"/>
      <c r="DJ109" s="5"/>
      <c r="DK109" s="5"/>
      <c r="DL109" s="5" t="str">
        <f t="shared" si="96"/>
        <v>Clear</v>
      </c>
      <c r="DM109" s="5" t="str">
        <f t="shared" si="97"/>
        <v>Yes</v>
      </c>
      <c r="DN109" s="5">
        <f t="array" ref="DN109">MIN(100,
  IF(ISNUMBER(V109), _xlfn.IFS(V109&gt;=3,25, V109=2,15, V109=1,5, TRUE,0), 0)
  + IFERROR(_xlfn.IFS(VALUE(LEFT(DF109,1))=5,25, VALUE(LEFT(DF109,1))=4,20, VALUE(LEFT(DF109,1))=3,15, VALUE(LEFT(DF109,1))=2,8, TRUE,0), 15)
  + IFERROR(_xlfn.IFS(VALUE(LEFT(DG109,1))=5,25, VALUE(LEFT(DG109,1))=4,20, VALUE(LEFT(DG109,1))=3,15, VALUE(LEFT(DG109,1))=2,8, TRUE,0), 15)
  + _xlfn.IFS(DH109="Fully Verified",25, DH109="Partially Verified",12, TRUE,0)
)</f>
        <v>30</v>
      </c>
      <c r="DO109" s="5" t="str">
        <f t="array" ref="DO109">_xlfn.IFS(
  ISBLANK(AR109), "Insufficient Evidence",
  AND(AR109&gt;=65, AJ109="Approved"), "Strong",
  AR109&gt;=65, "Adequate",
  AR109&gt;=40, "Adequate",
  AR109&gt;=20, "Weak",
  TRUE, "Insufficient Evidence"
)</f>
        <v>Insufficient Evidence</v>
      </c>
      <c r="DP109" s="5" t="str">
        <f t="array" ref="DP109">_xlfn.IFS(
  ISBLANK(BS109), "Insufficient Evidence",
  BS109&gt;=65, "Strong",
  BS109&gt;=40, "Adequate",
  BS109&gt;=20, "Weak",
  TRUE, "Insufficient Evidence"
)</f>
        <v>Insufficient Evidence</v>
      </c>
      <c r="DQ109" s="5" t="str">
        <f t="array" ref="DQ109">_xlfn.IFS(
  ISBLANK(BE109), "Insufficient Evidence",
  OR(AW109="Confirmed Violation", AX109="Confirmed Breach"), "Severe — Hard Trigger",
  BE109&gt;=65, "Strong",
  BE109&gt;=40, "Adequate",
  BE109&gt;=20, "Weak",
  TRUE, "Insufficient Evidence"
)</f>
        <v>Insufficient Evidence</v>
      </c>
      <c r="DR109" s="5" t="str">
        <f t="array" ref="DR109">_xlfn.IFS(
  ISBLANK(CU109), "Insufficient Evidence",
  CU109&lt;=20, "Low Risk",
  CU109&lt;=50, "Moderate Risk",
  CU109&lt;=75, "High Risk",
  TRUE, "Very High Risk"
)</f>
        <v>Low Risk</v>
      </c>
      <c r="DS109" s="5" t="str">
        <f t="array" ref="DS109">_xlfn.IFS(
  ISBLANK(CE109), "Insufficient Evidence",
  AND(ISNUMBER(BW109),ISNUMBER(BV109),BW109&gt;BV109), "Overclaiming Risk",
  CE109&gt;=65, "Strong",
  CE109&gt;=40, "Adequate",
  TRUE, "Weak"
)</f>
        <v>Weak</v>
      </c>
      <c r="DT109" s="5">
        <f t="shared" si="98"/>
        <v>11.7</v>
      </c>
      <c r="DU109" s="5" t="str">
        <f t="array" ref="DU109">_xlfn.IFS(
  DV109="Upgraded to Clear", "Clear",
  DV109="Downgraded to Watchlist", "Watchlist",
  DV109="Downgraded to Exclusion", "Exclusion Risk",
  DB109="Yes — Automatic", "Exclusion Risk",
  OR(AW109="Confirmed Violation", AX109="Confirmed Breach"), "Exclusion Risk",
  OR(V109=0, ISBLANK(V109), DN109&lt;20), "Insufficient Evidence",
  AND(DT109&gt;=65, DA109="No", DB109="No"), "Clear",
  OR(DT109&gt;=40, DA109="Yes"), "Watchlist",
  TRUE, "Exclusion Risk"
)</f>
        <v>Insufficient Evidence</v>
      </c>
      <c r="DV109" s="5"/>
      <c r="DW109" s="5" t="str">
        <f t="array" ref="DW109">_xlfn.IFS(
  DU109="Exclusion Risk", "Exclude — Hard Trigger",
  DU109="Insufficient Evidence", "Watchlist — Further Evidence Needed",
  DU109="Watchlist", "Watchlist — Further Evidence Needed",
  AND(DU109="Clear", DT109&gt;=80), "Include — No Conditions",
  DU109="Clear", "Include — Monitor",
  TRUE, "Watchlist — Further Evidence Needed"
)</f>
        <v>Watchlist — Further Evidence Needed</v>
      </c>
      <c r="DX109" s="5"/>
      <c r="DY109" s="5"/>
      <c r="DZ109" s="5"/>
      <c r="EA109" s="5"/>
      <c r="EB109" s="5" t="str">
        <f t="shared" si="99"/>
        <v>MISSING — No sources reviewed</v>
      </c>
      <c r="EC109" s="5" t="str">
        <f t="shared" si="100"/>
        <v/>
      </c>
    </row>
    <row r="110" spans="1:133" ht="18" customHeight="1" x14ac:dyDescent="0.15">
      <c r="A110" s="5" t="s">
        <v>634</v>
      </c>
      <c r="B110" s="5" t="s">
        <v>635</v>
      </c>
      <c r="C110" s="5" t="str">
        <f>IF(ISBLANK('Universe Tracker'!D85),"",'Universe Tracker'!D85)</f>
        <v>SE0005190238</v>
      </c>
      <c r="D110" s="5"/>
      <c r="E110" s="5"/>
      <c r="F110" s="5" t="str">
        <f>IF(ISBLANK('Universe Tracker'!F85),"",'Universe Tracker'!F85)</f>
        <v>Communications</v>
      </c>
      <c r="G110" s="5" t="str">
        <f>IF(ISBLANK('Universe Tracker'!G85),"",'Universe Tracker'!G85)</f>
        <v>Telecommunications</v>
      </c>
      <c r="H110" s="5"/>
      <c r="I110" s="5"/>
      <c r="J110" s="5" t="str">
        <f t="shared" si="88"/>
        <v>NCYD_SE0005190238</v>
      </c>
      <c r="K110" s="5"/>
      <c r="L110" s="5"/>
      <c r="M110" s="5"/>
      <c r="N110" s="5"/>
      <c r="O110" s="5"/>
      <c r="P110" s="5"/>
      <c r="Q110" s="5"/>
      <c r="R110" s="5"/>
      <c r="S110" s="5"/>
      <c r="T110" s="5"/>
      <c r="U110" s="5"/>
      <c r="V110" s="5"/>
      <c r="W110" s="5"/>
      <c r="X110" s="5"/>
      <c r="Y110" s="5" t="str">
        <f t="shared" si="89"/>
        <v>Insufficient</v>
      </c>
      <c r="Z110" s="5"/>
      <c r="AA110" s="5"/>
      <c r="AB110" s="5"/>
      <c r="AC110" s="5"/>
      <c r="AD110" s="5"/>
      <c r="AE110" s="5"/>
      <c r="AF110" s="5"/>
      <c r="AG110" s="5"/>
      <c r="AH110" s="5"/>
      <c r="AI110" s="5"/>
      <c r="AJ110" s="5"/>
      <c r="AK110" s="5"/>
      <c r="AL110" s="5"/>
      <c r="AM110" s="5"/>
      <c r="AN110" s="5"/>
      <c r="AO110" s="5"/>
      <c r="AP110" s="5"/>
      <c r="AQ110" s="5"/>
      <c r="AR110" s="40">
        <f t="array" ref="AR110">MIN(100, MAX(0,
  IFERROR(_xlfn.XLOOKUP(AJ110,'Lookup Tables'!$A$2:$A$7,'Lookup Tables'!$B$2:$B$7,0),0)
  + IF(Z110="Yes", IF(IFERROR(_xlfn.XLOOKUP(AJ110,'Lookup Tables'!$A$2:$A$7,'Lookup Tables'!$B$2:$B$7,0),0)&lt;20, 5, 0), 0)
  + _xlfn.IFS(AB110="Yes", IF(ISNUMBER(AC110)*AND(AC110&lt;=2030),15,10), AB110="Long-term Only", 5, AB110="No", 0, TRUE, 0)
  + _xlfn.IFS(AF110="Full",10, AF110="Partial",5, AF110="Scope 2 Only",3, TRUE,0)
  + _xlfn.IFS(AG110="Yes", IF(ISNUMBER(AH110)*AND(AH110&gt;=5),10,6), AG110="Partial",4, TRUE,0)
  + _xlfn.IFS(AI110="Yes",5, AI110="Partial (material categories only)",3, TRUE,0)
  + _xlfn.IFS(AL110="Yes — Detailed",10, AL110="Yes — High Level",5, TRUE,0)
  + _xlfn.IFS(AM110="Yes — Quantified",15, AM110="Yes — Directional Only",7, TRUE,0)
  + _xlfn.IFS(AP110="Formal",5, AP110="Referenced",2, TRUE,0)
  + _xlfn.IFS(AQ110="No Issues Found",5, AQ110="Concern Identified",-5, AQ110="Severe Contradiction",-15, TRUE,0)
  + _xlfn.IFS(BC110="Reasonable Assurance",5, BC110="Limited Assurance",3, TRUE,0)
  - IF(AND(Z110="Yes", AI110="No"), 10, 0)
  - IF(AND(Z110="Yes", AM110="No"), 10, 0)
))</f>
        <v>0</v>
      </c>
      <c r="AS110" s="5"/>
      <c r="AT110" s="5"/>
      <c r="AU110" s="5"/>
      <c r="AV110" s="5"/>
      <c r="AW110" s="5"/>
      <c r="AX110" s="5"/>
      <c r="AY110" s="5"/>
      <c r="AZ110" s="5"/>
      <c r="BA110" s="5"/>
      <c r="BB110" s="5"/>
      <c r="BC110" s="5"/>
      <c r="BD110" s="5"/>
      <c r="BE110" s="39">
        <f t="array" ref="BE110">MIN(100, MAX(0,
  IFERROR(_xlfn.XLOOKUP(AT110,'Lookup Tables'!$D$2:$D$6,'Lookup Tables'!$E$2:$E$6,0),0)
  + IFERROR(_xlfn.XLOOKUP(AV110,'Lookup Tables'!$G$2:$G$5,'Lookup Tables'!$H$2:$H$5,0),0)
  + IFERROR(_xlfn.XLOOKUP(AW110,'Lookup Tables'!$J$2:$J$5,'Lookup Tables'!$K$2:$K$5,0),0)
  + _xlfn.IFS(AX110="No Issues",10, AX110="Complaint Filed",3, AX110="Confirmed Breach",-15, TRUE,0)
  + IFERROR(_xlfn.XLOOKUP(AY110,'Lookup Tables'!$M$2:$M$6,'Lookup Tables'!$N$2:$N$6,0),0)
  + IFERROR(_xlfn.XLOOKUP(AZ110,'Lookup Tables'!$P$2:$P$6,'Lookup Tables'!$Q$2:$Q$6,0),0)
  + _xlfn.IFS(BA110="Formal Board Committee",5, BA110="Board Oversight Mentioned",2, TRUE,0)
  + _xlfn.IFS(BB110="Yes — Quantified Targets",5, BB110="Yes — Discretionary Only",2, TRUE,0)
  + _xlfn.IFS(BC110="Reasonable Assurance",5, BC110="Limited Assurance",3, BC110="Management Review Only",1, TRUE,0)
))</f>
        <v>0</v>
      </c>
      <c r="BF110" s="5"/>
      <c r="BG110" s="5"/>
      <c r="BH110" s="5"/>
      <c r="BI110" s="5"/>
      <c r="BJ110" s="5"/>
      <c r="BK110" s="5"/>
      <c r="BL110" s="5"/>
      <c r="BM110" s="5"/>
      <c r="BN110" s="5"/>
      <c r="BO110" s="5"/>
      <c r="BP110" s="5"/>
      <c r="BQ110" s="5"/>
      <c r="BR110" s="5"/>
      <c r="BS110" s="41">
        <f t="array" ref="BS110">MIN(100, MAX(0,
  IFERROR(_xlfn.XLOOKUP(BG110,'Lookup Tables'!$A$11:$A$16,'Lookup Tables'!$B$11:$B$16,0),0)
  + IFERROR(_xlfn.XLOOKUP(BR110,'Lookup Tables'!$M$11:$M$14,'Lookup Tables'!$N$11:$N$14,0),0)
  + IFERROR(_xlfn.XLOOKUP(BQ110,'Lookup Tables'!$J$11:$J$15,'Lookup Tables'!$K$11:$K$15,0),0)
  + IFERROR(_xlfn.XLOOKUP(BH110,'Lookup Tables'!$D$11:$D$15,'Lookup Tables'!$E$11:$E$15,0),0)
  + IFERROR(_xlfn.XLOOKUP(BJ110,'Lookup Tables'!$G$11:$G$16,'Lookup Tables'!$H$11:$H$16,0),0)
  + IFERROR(_xlfn.XLOOKUP(BN110,'Lookup Tables'!$P$11:$P$15,'Lookup Tables'!$Q$11:$Q$15,0),0)
  + _xlfn.IFS(BM110="No Evidence",10, BM110="Unknown",3, BM110="Likely",0, BM110="Confirmed",-10, TRUE,3)
  + IFERROR(_xlfn.XLOOKUP(BP110,'Lookup Tables'!$J$21:$J$24,'Lookup Tables'!$K$21:$K$24,0),0)
))</f>
        <v>3</v>
      </c>
      <c r="BT110" s="5"/>
      <c r="BU110" s="5"/>
      <c r="BV110" s="5"/>
      <c r="BW110" s="5"/>
      <c r="BX110" s="5"/>
      <c r="BY110" s="5"/>
      <c r="BZ110" s="5"/>
      <c r="CA110" s="5"/>
      <c r="CB110" s="5"/>
      <c r="CC110" s="5"/>
      <c r="CD110" s="5"/>
      <c r="CE110" s="43">
        <f t="array" ref="CE110">MIN(100, MAX(0,
  IF(ISNUMBER(BV110)*AND(BV110&gt;0), 10, 0)
  + _xlfn.IFS(BY110="Independently Verified",25, BY110="Yes",15, TRUE,0)
  + IFERROR(_xlfn.XLOOKUP(BZ110,'Lookup Tables'!$A$21:$A$24,'Lookup Tables'!$B$21:$B$24,0),0)
  + IFERROR(_xlfn.XLOOKUP(CA110,'Lookup Tables'!$D$21:$D$24,'Lookup Tables'!$E$21:$E$24,0),0)
  + _xlfn.IFS(ISNUMBER(CB110)*AND(CB110&gt;=11),15, ISNUMBER(CB110)*AND(CB110&gt;=6),10, ISNUMBER(CB110)*AND(CB110&gt;=1),5, TRUE,0)
  + IFERROR(_xlfn.XLOOKUP(CC110,'Lookup Tables'!$G$21:$G$25,'Lookup Tables'!$H$21:$H$25,0),0)
  - IF(ISNUMBER(BW110)*AND(ISNUMBER(BV110))*AND(BW110&gt;BV110), 20, 0)
  - IF(AND(BY110="Yes", ISNUMBER(BW110), BW110&gt;60), 10, 0)
))</f>
        <v>0</v>
      </c>
      <c r="CF110" s="5"/>
      <c r="CG110" s="5"/>
      <c r="CH110" s="5"/>
      <c r="CI110" s="5"/>
      <c r="CJ110" s="5"/>
      <c r="CK110" s="5"/>
      <c r="CL110" s="5"/>
      <c r="CM110" s="5"/>
      <c r="CN110" s="5"/>
      <c r="CO110" s="5"/>
      <c r="CP110" s="5"/>
      <c r="CQ110" s="5"/>
      <c r="CR110" s="5">
        <f t="shared" si="90"/>
        <v>0</v>
      </c>
      <c r="CS110" s="5">
        <f t="shared" si="91"/>
        <v>0</v>
      </c>
      <c r="CT110" s="5">
        <f t="shared" si="92"/>
        <v>0</v>
      </c>
      <c r="CU110" s="5">
        <f>MIN(100,
  CR110*15
  + CS110*6
  + CT110*3
  + IFERROR(_xlfn.XLOOKUP(CW110,'Lookup Tables'!$M$21:$M$25,'Lookup Tables'!$N$21:$N$25,0),0)
)</f>
        <v>0</v>
      </c>
      <c r="CV110" s="5" t="str">
        <f t="shared" si="93"/>
        <v>No failures</v>
      </c>
      <c r="CW110" s="5"/>
      <c r="CX110" s="5"/>
      <c r="CY110" s="5"/>
      <c r="CZ110" s="5"/>
      <c r="DA110" s="5" t="str">
        <f t="shared" si="94"/>
        <v>Yes</v>
      </c>
      <c r="DB110" s="5" t="str">
        <f t="shared" si="95"/>
        <v>No</v>
      </c>
      <c r="DC110" s="5"/>
      <c r="DD110" s="5"/>
      <c r="DE110" s="5"/>
      <c r="DF110" s="5"/>
      <c r="DG110" s="5"/>
      <c r="DH110" s="5"/>
      <c r="DI110" s="5"/>
      <c r="DJ110" s="5"/>
      <c r="DK110" s="5"/>
      <c r="DL110" s="5" t="str">
        <f t="shared" si="96"/>
        <v>Clear</v>
      </c>
      <c r="DM110" s="5" t="str">
        <f t="shared" si="97"/>
        <v>Yes</v>
      </c>
      <c r="DN110" s="5">
        <f t="array" ref="DN110">MIN(100,
  IF(ISNUMBER(V110), _xlfn.IFS(V110&gt;=3,25, V110=2,15, V110=1,5, TRUE,0), 0)
  + IFERROR(_xlfn.IFS(VALUE(LEFT(DF110,1))=5,25, VALUE(LEFT(DF110,1))=4,20, VALUE(LEFT(DF110,1))=3,15, VALUE(LEFT(DF110,1))=2,8, TRUE,0), 15)
  + IFERROR(_xlfn.IFS(VALUE(LEFT(DG110,1))=5,25, VALUE(LEFT(DG110,1))=4,20, VALUE(LEFT(DG110,1))=3,15, VALUE(LEFT(DG110,1))=2,8, TRUE,0), 15)
  + _xlfn.IFS(DH110="Fully Verified",25, DH110="Partially Verified",12, TRUE,0)
)</f>
        <v>30</v>
      </c>
      <c r="DO110" s="5" t="str">
        <f t="array" ref="DO110">_xlfn.IFS(
  ISBLANK(AR110), "Insufficient Evidence",
  AND(AR110&gt;=65, AJ110="Approved"), "Strong",
  AR110&gt;=65, "Adequate",
  AR110&gt;=40, "Adequate",
  AR110&gt;=20, "Weak",
  TRUE, "Insufficient Evidence"
)</f>
        <v>Insufficient Evidence</v>
      </c>
      <c r="DP110" s="5" t="str">
        <f t="array" ref="DP110">_xlfn.IFS(
  ISBLANK(BS110), "Insufficient Evidence",
  BS110&gt;=65, "Strong",
  BS110&gt;=40, "Adequate",
  BS110&gt;=20, "Weak",
  TRUE, "Insufficient Evidence"
)</f>
        <v>Insufficient Evidence</v>
      </c>
      <c r="DQ110" s="5" t="str">
        <f t="array" ref="DQ110">_xlfn.IFS(
  ISBLANK(BE110), "Insufficient Evidence",
  OR(AW110="Confirmed Violation", AX110="Confirmed Breach"), "Severe — Hard Trigger",
  BE110&gt;=65, "Strong",
  BE110&gt;=40, "Adequate",
  BE110&gt;=20, "Weak",
  TRUE, "Insufficient Evidence"
)</f>
        <v>Insufficient Evidence</v>
      </c>
      <c r="DR110" s="5" t="str">
        <f t="array" ref="DR110">_xlfn.IFS(
  ISBLANK(CU110), "Insufficient Evidence",
  CU110&lt;=20, "Low Risk",
  CU110&lt;=50, "Moderate Risk",
  CU110&lt;=75, "High Risk",
  TRUE, "Very High Risk"
)</f>
        <v>Low Risk</v>
      </c>
      <c r="DS110" s="5" t="str">
        <f t="array" ref="DS110">_xlfn.IFS(
  ISBLANK(CE110), "Insufficient Evidence",
  AND(ISNUMBER(BW110),ISNUMBER(BV110),BW110&gt;BV110), "Overclaiming Risk",
  CE110&gt;=65, "Strong",
  CE110&gt;=40, "Adequate",
  TRUE, "Weak"
)</f>
        <v>Weak</v>
      </c>
      <c r="DT110" s="5">
        <f t="shared" si="98"/>
        <v>11.7</v>
      </c>
      <c r="DU110" s="5" t="str">
        <f t="array" ref="DU110">_xlfn.IFS(
  DV110="Upgraded to Clear", "Clear",
  DV110="Downgraded to Watchlist", "Watchlist",
  DV110="Downgraded to Exclusion", "Exclusion Risk",
  DB110="Yes — Automatic", "Exclusion Risk",
  OR(AW110="Confirmed Violation", AX110="Confirmed Breach"), "Exclusion Risk",
  OR(V110=0, ISBLANK(V110), DN110&lt;20), "Insufficient Evidence",
  AND(DT110&gt;=65, DA110="No", DB110="No"), "Clear",
  OR(DT110&gt;=40, DA110="Yes"), "Watchlist",
  TRUE, "Exclusion Risk"
)</f>
        <v>Insufficient Evidence</v>
      </c>
      <c r="DV110" s="5"/>
      <c r="DW110" s="5" t="str">
        <f t="array" ref="DW110">_xlfn.IFS(
  DU110="Exclusion Risk", "Exclude — Hard Trigger",
  DU110="Insufficient Evidence", "Watchlist — Further Evidence Needed",
  DU110="Watchlist", "Watchlist — Further Evidence Needed",
  AND(DU110="Clear", DT110&gt;=80), "Include — No Conditions",
  DU110="Clear", "Include — Monitor",
  TRUE, "Watchlist — Further Evidence Needed"
)</f>
        <v>Watchlist — Further Evidence Needed</v>
      </c>
      <c r="DX110" s="5"/>
      <c r="DY110" s="5"/>
      <c r="DZ110" s="5"/>
      <c r="EA110" s="5"/>
      <c r="EB110" s="5" t="str">
        <f t="shared" si="99"/>
        <v>MISSING — No sources reviewed</v>
      </c>
      <c r="EC110" s="5" t="str">
        <f t="shared" si="100"/>
        <v/>
      </c>
    </row>
    <row r="111" spans="1:133" ht="18" customHeight="1" x14ac:dyDescent="0.15">
      <c r="A111" s="5" t="s">
        <v>640</v>
      </c>
      <c r="B111" s="5" t="s">
        <v>641</v>
      </c>
      <c r="C111" s="5" t="str">
        <f>IF(ISBLANK('Universe Tracker'!D86),"",'Universe Tracker'!D86)</f>
        <v>ES0140609019</v>
      </c>
      <c r="D111" s="5"/>
      <c r="E111" s="5"/>
      <c r="F111" s="5" t="str">
        <f>IF(ISBLANK('Universe Tracker'!F86),"",'Universe Tracker'!F86)</f>
        <v>Financials</v>
      </c>
      <c r="G111" s="5" t="str">
        <f>IF(ISBLANK('Universe Tracker'!G86),"",'Universe Tracker'!G86)</f>
        <v>Banking</v>
      </c>
      <c r="H111" s="5"/>
      <c r="I111" s="5"/>
      <c r="J111" s="5" t="str">
        <f t="shared" si="88"/>
        <v>48CA_ES0140609019</v>
      </c>
      <c r="K111" s="5"/>
      <c r="L111" s="5"/>
      <c r="M111" s="5"/>
      <c r="N111" s="5"/>
      <c r="O111" s="5"/>
      <c r="P111" s="5"/>
      <c r="Q111" s="5"/>
      <c r="R111" s="5"/>
      <c r="S111" s="5"/>
      <c r="T111" s="5"/>
      <c r="U111" s="5"/>
      <c r="V111" s="5"/>
      <c r="W111" s="5"/>
      <c r="X111" s="5"/>
      <c r="Y111" s="5" t="str">
        <f t="shared" si="89"/>
        <v>Insufficient</v>
      </c>
      <c r="Z111" s="5"/>
      <c r="AA111" s="5"/>
      <c r="AB111" s="5"/>
      <c r="AC111" s="5"/>
      <c r="AD111" s="5"/>
      <c r="AE111" s="5"/>
      <c r="AF111" s="5"/>
      <c r="AG111" s="5"/>
      <c r="AH111" s="5"/>
      <c r="AI111" s="5"/>
      <c r="AJ111" s="5"/>
      <c r="AK111" s="5"/>
      <c r="AL111" s="5"/>
      <c r="AM111" s="5"/>
      <c r="AN111" s="5"/>
      <c r="AO111" s="5"/>
      <c r="AP111" s="5"/>
      <c r="AQ111" s="5"/>
      <c r="AR111" s="40">
        <f t="array" ref="AR111">MIN(100, MAX(0,
  IFERROR(_xlfn.XLOOKUP(AJ111,'Lookup Tables'!$A$2:$A$7,'Lookup Tables'!$B$2:$B$7,0),0)
  + IF(Z111="Yes", IF(IFERROR(_xlfn.XLOOKUP(AJ111,'Lookup Tables'!$A$2:$A$7,'Lookup Tables'!$B$2:$B$7,0),0)&lt;20, 5, 0), 0)
  + _xlfn.IFS(AB111="Yes", IF(ISNUMBER(AC111)*AND(AC111&lt;=2030),15,10), AB111="Long-term Only", 5, AB111="No", 0, TRUE, 0)
  + _xlfn.IFS(AF111="Full",10, AF111="Partial",5, AF111="Scope 2 Only",3, TRUE,0)
  + _xlfn.IFS(AG111="Yes", IF(ISNUMBER(AH111)*AND(AH111&gt;=5),10,6), AG111="Partial",4, TRUE,0)
  + _xlfn.IFS(AI111="Yes",5, AI111="Partial (material categories only)",3, TRUE,0)
  + _xlfn.IFS(AL111="Yes — Detailed",10, AL111="Yes — High Level",5, TRUE,0)
  + _xlfn.IFS(AM111="Yes — Quantified",15, AM111="Yes — Directional Only",7, TRUE,0)
  + _xlfn.IFS(AP111="Formal",5, AP111="Referenced",2, TRUE,0)
  + _xlfn.IFS(AQ111="No Issues Found",5, AQ111="Concern Identified",-5, AQ111="Severe Contradiction",-15, TRUE,0)
  + _xlfn.IFS(BC111="Reasonable Assurance",5, BC111="Limited Assurance",3, TRUE,0)
  - IF(AND(Z111="Yes", AI111="No"), 10, 0)
  - IF(AND(Z111="Yes", AM111="No"), 10, 0)
))</f>
        <v>0</v>
      </c>
      <c r="AS111" s="5"/>
      <c r="AT111" s="5"/>
      <c r="AU111" s="5"/>
      <c r="AV111" s="5"/>
      <c r="AW111" s="5"/>
      <c r="AX111" s="5"/>
      <c r="AY111" s="5"/>
      <c r="AZ111" s="5"/>
      <c r="BA111" s="5"/>
      <c r="BB111" s="5"/>
      <c r="BC111" s="5"/>
      <c r="BD111" s="5"/>
      <c r="BE111" s="39">
        <f t="array" ref="BE111">MIN(100, MAX(0,
  IFERROR(_xlfn.XLOOKUP(AT111,'Lookup Tables'!$D$2:$D$6,'Lookup Tables'!$E$2:$E$6,0),0)
  + IFERROR(_xlfn.XLOOKUP(AV111,'Lookup Tables'!$G$2:$G$5,'Lookup Tables'!$H$2:$H$5,0),0)
  + IFERROR(_xlfn.XLOOKUP(AW111,'Lookup Tables'!$J$2:$J$5,'Lookup Tables'!$K$2:$K$5,0),0)
  + _xlfn.IFS(AX111="No Issues",10, AX111="Complaint Filed",3, AX111="Confirmed Breach",-15, TRUE,0)
  + IFERROR(_xlfn.XLOOKUP(AY111,'Lookup Tables'!$M$2:$M$6,'Lookup Tables'!$N$2:$N$6,0),0)
  + IFERROR(_xlfn.XLOOKUP(AZ111,'Lookup Tables'!$P$2:$P$6,'Lookup Tables'!$Q$2:$Q$6,0),0)
  + _xlfn.IFS(BA111="Formal Board Committee",5, BA111="Board Oversight Mentioned",2, TRUE,0)
  + _xlfn.IFS(BB111="Yes — Quantified Targets",5, BB111="Yes — Discretionary Only",2, TRUE,0)
  + _xlfn.IFS(BC111="Reasonable Assurance",5, BC111="Limited Assurance",3, BC111="Management Review Only",1, TRUE,0)
))</f>
        <v>0</v>
      </c>
      <c r="BF111" s="5"/>
      <c r="BG111" s="5"/>
      <c r="BH111" s="5"/>
      <c r="BI111" s="5"/>
      <c r="BJ111" s="5"/>
      <c r="BK111" s="5"/>
      <c r="BL111" s="5"/>
      <c r="BM111" s="5"/>
      <c r="BN111" s="5"/>
      <c r="BO111" s="5"/>
      <c r="BP111" s="5"/>
      <c r="BQ111" s="5"/>
      <c r="BR111" s="5"/>
      <c r="BS111" s="41">
        <f t="array" ref="BS111">MIN(100, MAX(0,
  IFERROR(_xlfn.XLOOKUP(BG111,'Lookup Tables'!$A$11:$A$16,'Lookup Tables'!$B$11:$B$16,0),0)
  + IFERROR(_xlfn.XLOOKUP(BR111,'Lookup Tables'!$M$11:$M$14,'Lookup Tables'!$N$11:$N$14,0),0)
  + IFERROR(_xlfn.XLOOKUP(BQ111,'Lookup Tables'!$J$11:$J$15,'Lookup Tables'!$K$11:$K$15,0),0)
  + IFERROR(_xlfn.XLOOKUP(BH111,'Lookup Tables'!$D$11:$D$15,'Lookup Tables'!$E$11:$E$15,0),0)
  + IFERROR(_xlfn.XLOOKUP(BJ111,'Lookup Tables'!$G$11:$G$16,'Lookup Tables'!$H$11:$H$16,0),0)
  + IFERROR(_xlfn.XLOOKUP(BN111,'Lookup Tables'!$P$11:$P$15,'Lookup Tables'!$Q$11:$Q$15,0),0)
  + _xlfn.IFS(BM111="No Evidence",10, BM111="Unknown",3, BM111="Likely",0, BM111="Confirmed",-10, TRUE,3)
  + IFERROR(_xlfn.XLOOKUP(BP111,'Lookup Tables'!$J$21:$J$24,'Lookup Tables'!$K$21:$K$24,0),0)
))</f>
        <v>3</v>
      </c>
      <c r="BT111" s="5"/>
      <c r="BU111" s="5"/>
      <c r="BV111" s="5"/>
      <c r="BW111" s="5"/>
      <c r="BX111" s="5"/>
      <c r="BY111" s="5"/>
      <c r="BZ111" s="5"/>
      <c r="CA111" s="5"/>
      <c r="CB111" s="5"/>
      <c r="CC111" s="5"/>
      <c r="CD111" s="5"/>
      <c r="CE111" s="43">
        <f t="array" ref="CE111">MIN(100, MAX(0,
  IF(ISNUMBER(BV111)*AND(BV111&gt;0), 10, 0)
  + _xlfn.IFS(BY111="Independently Verified",25, BY111="Yes",15, TRUE,0)
  + IFERROR(_xlfn.XLOOKUP(BZ111,'Lookup Tables'!$A$21:$A$24,'Lookup Tables'!$B$21:$B$24,0),0)
  + IFERROR(_xlfn.XLOOKUP(CA111,'Lookup Tables'!$D$21:$D$24,'Lookup Tables'!$E$21:$E$24,0),0)
  + _xlfn.IFS(ISNUMBER(CB111)*AND(CB111&gt;=11),15, ISNUMBER(CB111)*AND(CB111&gt;=6),10, ISNUMBER(CB111)*AND(CB111&gt;=1),5, TRUE,0)
  + IFERROR(_xlfn.XLOOKUP(CC111,'Lookup Tables'!$G$21:$G$25,'Lookup Tables'!$H$21:$H$25,0),0)
  - IF(ISNUMBER(BW111)*AND(ISNUMBER(BV111))*AND(BW111&gt;BV111), 20, 0)
  - IF(AND(BY111="Yes", ISNUMBER(BW111), BW111&gt;60), 10, 0)
))</f>
        <v>0</v>
      </c>
      <c r="CF111" s="5"/>
      <c r="CG111" s="5"/>
      <c r="CH111" s="5"/>
      <c r="CI111" s="5"/>
      <c r="CJ111" s="5"/>
      <c r="CK111" s="5"/>
      <c r="CL111" s="5"/>
      <c r="CM111" s="5"/>
      <c r="CN111" s="5"/>
      <c r="CO111" s="5"/>
      <c r="CP111" s="5"/>
      <c r="CQ111" s="5"/>
      <c r="CR111" s="5">
        <f t="shared" si="90"/>
        <v>0</v>
      </c>
      <c r="CS111" s="5">
        <f t="shared" si="91"/>
        <v>0</v>
      </c>
      <c r="CT111" s="5">
        <f t="shared" si="92"/>
        <v>0</v>
      </c>
      <c r="CU111" s="5">
        <f>MIN(100,
  CR111*15
  + CS111*6
  + CT111*3
  + IFERROR(_xlfn.XLOOKUP(CW111,'Lookup Tables'!$M$21:$M$25,'Lookup Tables'!$N$21:$N$25,0),0)
)</f>
        <v>0</v>
      </c>
      <c r="CV111" s="5" t="str">
        <f t="shared" si="93"/>
        <v>No failures</v>
      </c>
      <c r="CW111" s="5"/>
      <c r="CX111" s="5"/>
      <c r="CY111" s="5"/>
      <c r="CZ111" s="5"/>
      <c r="DA111" s="5" t="str">
        <f t="shared" si="94"/>
        <v>Yes</v>
      </c>
      <c r="DB111" s="5" t="str">
        <f t="shared" si="95"/>
        <v>No</v>
      </c>
      <c r="DC111" s="5"/>
      <c r="DD111" s="5"/>
      <c r="DE111" s="5"/>
      <c r="DF111" s="5"/>
      <c r="DG111" s="5"/>
      <c r="DH111" s="5"/>
      <c r="DI111" s="5"/>
      <c r="DJ111" s="5"/>
      <c r="DK111" s="5"/>
      <c r="DL111" s="5" t="str">
        <f t="shared" si="96"/>
        <v>Clear</v>
      </c>
      <c r="DM111" s="5" t="str">
        <f t="shared" si="97"/>
        <v>Yes</v>
      </c>
      <c r="DN111" s="5">
        <f t="array" ref="DN111">MIN(100,
  IF(ISNUMBER(V111), _xlfn.IFS(V111&gt;=3,25, V111=2,15, V111=1,5, TRUE,0), 0)
  + IFERROR(_xlfn.IFS(VALUE(LEFT(DF111,1))=5,25, VALUE(LEFT(DF111,1))=4,20, VALUE(LEFT(DF111,1))=3,15, VALUE(LEFT(DF111,1))=2,8, TRUE,0), 15)
  + IFERROR(_xlfn.IFS(VALUE(LEFT(DG111,1))=5,25, VALUE(LEFT(DG111,1))=4,20, VALUE(LEFT(DG111,1))=3,15, VALUE(LEFT(DG111,1))=2,8, TRUE,0), 15)
  + _xlfn.IFS(DH111="Fully Verified",25, DH111="Partially Verified",12, TRUE,0)
)</f>
        <v>30</v>
      </c>
      <c r="DO111" s="5" t="str">
        <f t="array" ref="DO111">_xlfn.IFS(
  ISBLANK(AR111), "Insufficient Evidence",
  AND(AR111&gt;=65, AJ111="Approved"), "Strong",
  AR111&gt;=65, "Adequate",
  AR111&gt;=40, "Adequate",
  AR111&gt;=20, "Weak",
  TRUE, "Insufficient Evidence"
)</f>
        <v>Insufficient Evidence</v>
      </c>
      <c r="DP111" s="5" t="str">
        <f t="array" ref="DP111">_xlfn.IFS(
  ISBLANK(BS111), "Insufficient Evidence",
  BS111&gt;=65, "Strong",
  BS111&gt;=40, "Adequate",
  BS111&gt;=20, "Weak",
  TRUE, "Insufficient Evidence"
)</f>
        <v>Insufficient Evidence</v>
      </c>
      <c r="DQ111" s="5" t="str">
        <f t="array" ref="DQ111">_xlfn.IFS(
  ISBLANK(BE111), "Insufficient Evidence",
  OR(AW111="Confirmed Violation", AX111="Confirmed Breach"), "Severe — Hard Trigger",
  BE111&gt;=65, "Strong",
  BE111&gt;=40, "Adequate",
  BE111&gt;=20, "Weak",
  TRUE, "Insufficient Evidence"
)</f>
        <v>Insufficient Evidence</v>
      </c>
      <c r="DR111" s="5" t="str">
        <f t="array" ref="DR111">_xlfn.IFS(
  ISBLANK(CU111), "Insufficient Evidence",
  CU111&lt;=20, "Low Risk",
  CU111&lt;=50, "Moderate Risk",
  CU111&lt;=75, "High Risk",
  TRUE, "Very High Risk"
)</f>
        <v>Low Risk</v>
      </c>
      <c r="DS111" s="5" t="str">
        <f t="array" ref="DS111">_xlfn.IFS(
  ISBLANK(CE111), "Insufficient Evidence",
  AND(ISNUMBER(BW111),ISNUMBER(BV111),BW111&gt;BV111), "Overclaiming Risk",
  CE111&gt;=65, "Strong",
  CE111&gt;=40, "Adequate",
  TRUE, "Weak"
)</f>
        <v>Weak</v>
      </c>
      <c r="DT111" s="5">
        <f t="shared" si="98"/>
        <v>11.7</v>
      </c>
      <c r="DU111" s="5" t="str">
        <f t="array" ref="DU111">_xlfn.IFS(
  DV111="Upgraded to Clear", "Clear",
  DV111="Downgraded to Watchlist", "Watchlist",
  DV111="Downgraded to Exclusion", "Exclusion Risk",
  DB111="Yes — Automatic", "Exclusion Risk",
  OR(AW111="Confirmed Violation", AX111="Confirmed Breach"), "Exclusion Risk",
  OR(V111=0, ISBLANK(V111), DN111&lt;20), "Insufficient Evidence",
  AND(DT111&gt;=65, DA111="No", DB111="No"), "Clear",
  OR(DT111&gt;=40, DA111="Yes"), "Watchlist",
  TRUE, "Exclusion Risk"
)</f>
        <v>Insufficient Evidence</v>
      </c>
      <c r="DV111" s="5"/>
      <c r="DW111" s="5" t="str">
        <f t="array" ref="DW111">_xlfn.IFS(
  DU111="Exclusion Risk", "Exclude — Hard Trigger",
  DU111="Insufficient Evidence", "Watchlist — Further Evidence Needed",
  DU111="Watchlist", "Watchlist — Further Evidence Needed",
  AND(DU111="Clear", DT111&gt;=80), "Include — No Conditions",
  DU111="Clear", "Include — Monitor",
  TRUE, "Watchlist — Further Evidence Needed"
)</f>
        <v>Watchlist — Further Evidence Needed</v>
      </c>
      <c r="DX111" s="5"/>
      <c r="DY111" s="5"/>
      <c r="DZ111" s="5"/>
      <c r="EA111" s="5"/>
      <c r="EB111" s="5" t="str">
        <f t="shared" si="99"/>
        <v>MISSING — No sources reviewed</v>
      </c>
      <c r="EC111" s="5" t="str">
        <f t="shared" si="100"/>
        <v/>
      </c>
    </row>
    <row r="112" spans="1:133" ht="18" customHeight="1" x14ac:dyDescent="0.15">
      <c r="A112" s="5" t="s">
        <v>644</v>
      </c>
      <c r="B112" s="5" t="s">
        <v>645</v>
      </c>
      <c r="C112" s="5" t="str">
        <f>IF(ISBLANK('Universe Tracker'!D87),"",'Universe Tracker'!D87)</f>
        <v>JE00B4T3BW64</v>
      </c>
      <c r="D112" s="5"/>
      <c r="E112" s="5"/>
      <c r="F112" s="5" t="str">
        <f>IF(ISBLANK('Universe Tracker'!F87),"",'Universe Tracker'!F87)</f>
        <v>Materials</v>
      </c>
      <c r="G112" s="5" t="str">
        <f>IF(ISBLANK('Universe Tracker'!G87),"",'Universe Tracker'!G87)</f>
        <v>Materials</v>
      </c>
      <c r="H112" s="5"/>
      <c r="I112" s="5"/>
      <c r="J112" s="5" t="str">
        <f t="shared" si="88"/>
        <v>8GC_JE00B4T3BW64</v>
      </c>
      <c r="K112" s="5"/>
      <c r="L112" s="5"/>
      <c r="M112" s="5"/>
      <c r="N112" s="5"/>
      <c r="O112" s="5"/>
      <c r="P112" s="5"/>
      <c r="Q112" s="5"/>
      <c r="R112" s="5"/>
      <c r="S112" s="5"/>
      <c r="T112" s="5"/>
      <c r="U112" s="5"/>
      <c r="V112" s="5"/>
      <c r="W112" s="5"/>
      <c r="X112" s="5"/>
      <c r="Y112" s="5" t="str">
        <f t="shared" si="89"/>
        <v>Insufficient</v>
      </c>
      <c r="Z112" s="5"/>
      <c r="AA112" s="5"/>
      <c r="AB112" s="5"/>
      <c r="AC112" s="5"/>
      <c r="AD112" s="5"/>
      <c r="AE112" s="5"/>
      <c r="AF112" s="5"/>
      <c r="AG112" s="5"/>
      <c r="AH112" s="5"/>
      <c r="AI112" s="5"/>
      <c r="AJ112" s="5"/>
      <c r="AK112" s="5"/>
      <c r="AL112" s="5"/>
      <c r="AM112" s="5"/>
      <c r="AN112" s="5"/>
      <c r="AO112" s="5"/>
      <c r="AP112" s="5"/>
      <c r="AQ112" s="5"/>
      <c r="AR112" s="40">
        <f t="array" ref="AR112">MIN(100, MAX(0,
  IFERROR(_xlfn.XLOOKUP(AJ112,'Lookup Tables'!$A$2:$A$7,'Lookup Tables'!$B$2:$B$7,0),0)
  + IF(Z112="Yes", IF(IFERROR(_xlfn.XLOOKUP(AJ112,'Lookup Tables'!$A$2:$A$7,'Lookup Tables'!$B$2:$B$7,0),0)&lt;20, 5, 0), 0)
  + _xlfn.IFS(AB112="Yes", IF(ISNUMBER(AC112)*AND(AC112&lt;=2030),15,10), AB112="Long-term Only", 5, AB112="No", 0, TRUE, 0)
  + _xlfn.IFS(AF112="Full",10, AF112="Partial",5, AF112="Scope 2 Only",3, TRUE,0)
  + _xlfn.IFS(AG112="Yes", IF(ISNUMBER(AH112)*AND(AH112&gt;=5),10,6), AG112="Partial",4, TRUE,0)
  + _xlfn.IFS(AI112="Yes",5, AI112="Partial (material categories only)",3, TRUE,0)
  + _xlfn.IFS(AL112="Yes — Detailed",10, AL112="Yes — High Level",5, TRUE,0)
  + _xlfn.IFS(AM112="Yes — Quantified",15, AM112="Yes — Directional Only",7, TRUE,0)
  + _xlfn.IFS(AP112="Formal",5, AP112="Referenced",2, TRUE,0)
  + _xlfn.IFS(AQ112="No Issues Found",5, AQ112="Concern Identified",-5, AQ112="Severe Contradiction",-15, TRUE,0)
  + _xlfn.IFS(BC112="Reasonable Assurance",5, BC112="Limited Assurance",3, TRUE,0)
  - IF(AND(Z112="Yes", AI112="No"), 10, 0)
  - IF(AND(Z112="Yes", AM112="No"), 10, 0)
))</f>
        <v>0</v>
      </c>
      <c r="AS112" s="5"/>
      <c r="AT112" s="5"/>
      <c r="AU112" s="5"/>
      <c r="AV112" s="5"/>
      <c r="AW112" s="5"/>
      <c r="AX112" s="5"/>
      <c r="AY112" s="5"/>
      <c r="AZ112" s="5"/>
      <c r="BA112" s="5"/>
      <c r="BB112" s="5"/>
      <c r="BC112" s="5"/>
      <c r="BD112" s="5"/>
      <c r="BE112" s="39">
        <f t="array" ref="BE112">MIN(100, MAX(0,
  IFERROR(_xlfn.XLOOKUP(AT112,'Lookup Tables'!$D$2:$D$6,'Lookup Tables'!$E$2:$E$6,0),0)
  + IFERROR(_xlfn.XLOOKUP(AV112,'Lookup Tables'!$G$2:$G$5,'Lookup Tables'!$H$2:$H$5,0),0)
  + IFERROR(_xlfn.XLOOKUP(AW112,'Lookup Tables'!$J$2:$J$5,'Lookup Tables'!$K$2:$K$5,0),0)
  + _xlfn.IFS(AX112="No Issues",10, AX112="Complaint Filed",3, AX112="Confirmed Breach",-15, TRUE,0)
  + IFERROR(_xlfn.XLOOKUP(AY112,'Lookup Tables'!$M$2:$M$6,'Lookup Tables'!$N$2:$N$6,0),0)
  + IFERROR(_xlfn.XLOOKUP(AZ112,'Lookup Tables'!$P$2:$P$6,'Lookup Tables'!$Q$2:$Q$6,0),0)
  + _xlfn.IFS(BA112="Formal Board Committee",5, BA112="Board Oversight Mentioned",2, TRUE,0)
  + _xlfn.IFS(BB112="Yes — Quantified Targets",5, BB112="Yes — Discretionary Only",2, TRUE,0)
  + _xlfn.IFS(BC112="Reasonable Assurance",5, BC112="Limited Assurance",3, BC112="Management Review Only",1, TRUE,0)
))</f>
        <v>0</v>
      </c>
      <c r="BF112" s="5"/>
      <c r="BG112" s="5"/>
      <c r="BH112" s="5"/>
      <c r="BI112" s="5"/>
      <c r="BJ112" s="5"/>
      <c r="BK112" s="5"/>
      <c r="BL112" s="5"/>
      <c r="BM112" s="5"/>
      <c r="BN112" s="5"/>
      <c r="BO112" s="5"/>
      <c r="BP112" s="5"/>
      <c r="BQ112" s="5"/>
      <c r="BR112" s="5"/>
      <c r="BS112" s="41">
        <f t="array" ref="BS112">MIN(100, MAX(0,
  IFERROR(_xlfn.XLOOKUP(BG112,'Lookup Tables'!$A$11:$A$16,'Lookup Tables'!$B$11:$B$16,0),0)
  + IFERROR(_xlfn.XLOOKUP(BR112,'Lookup Tables'!$M$11:$M$14,'Lookup Tables'!$N$11:$N$14,0),0)
  + IFERROR(_xlfn.XLOOKUP(BQ112,'Lookup Tables'!$J$11:$J$15,'Lookup Tables'!$K$11:$K$15,0),0)
  + IFERROR(_xlfn.XLOOKUP(BH112,'Lookup Tables'!$D$11:$D$15,'Lookup Tables'!$E$11:$E$15,0),0)
  + IFERROR(_xlfn.XLOOKUP(BJ112,'Lookup Tables'!$G$11:$G$16,'Lookup Tables'!$H$11:$H$16,0),0)
  + IFERROR(_xlfn.XLOOKUP(BN112,'Lookup Tables'!$P$11:$P$15,'Lookup Tables'!$Q$11:$Q$15,0),0)
  + _xlfn.IFS(BM112="No Evidence",10, BM112="Unknown",3, BM112="Likely",0, BM112="Confirmed",-10, TRUE,3)
  + IFERROR(_xlfn.XLOOKUP(BP112,'Lookup Tables'!$J$21:$J$24,'Lookup Tables'!$K$21:$K$24,0),0)
))</f>
        <v>3</v>
      </c>
      <c r="BT112" s="5"/>
      <c r="BU112" s="5"/>
      <c r="BV112" s="5"/>
      <c r="BW112" s="5"/>
      <c r="BX112" s="5"/>
      <c r="BY112" s="5"/>
      <c r="BZ112" s="5"/>
      <c r="CA112" s="5"/>
      <c r="CB112" s="5"/>
      <c r="CC112" s="5"/>
      <c r="CD112" s="5"/>
      <c r="CE112" s="43">
        <f t="array" ref="CE112">MIN(100, MAX(0,
  IF(ISNUMBER(BV112)*AND(BV112&gt;0), 10, 0)
  + _xlfn.IFS(BY112="Independently Verified",25, BY112="Yes",15, TRUE,0)
  + IFERROR(_xlfn.XLOOKUP(BZ112,'Lookup Tables'!$A$21:$A$24,'Lookup Tables'!$B$21:$B$24,0),0)
  + IFERROR(_xlfn.XLOOKUP(CA112,'Lookup Tables'!$D$21:$D$24,'Lookup Tables'!$E$21:$E$24,0),0)
  + _xlfn.IFS(ISNUMBER(CB112)*AND(CB112&gt;=11),15, ISNUMBER(CB112)*AND(CB112&gt;=6),10, ISNUMBER(CB112)*AND(CB112&gt;=1),5, TRUE,0)
  + IFERROR(_xlfn.XLOOKUP(CC112,'Lookup Tables'!$G$21:$G$25,'Lookup Tables'!$H$21:$H$25,0),0)
  - IF(ISNUMBER(BW112)*AND(ISNUMBER(BV112))*AND(BW112&gt;BV112), 20, 0)
  - IF(AND(BY112="Yes", ISNUMBER(BW112), BW112&gt;60), 10, 0)
))</f>
        <v>0</v>
      </c>
      <c r="CF112" s="5"/>
      <c r="CG112" s="5"/>
      <c r="CH112" s="5"/>
      <c r="CI112" s="5"/>
      <c r="CJ112" s="5"/>
      <c r="CK112" s="5"/>
      <c r="CL112" s="5"/>
      <c r="CM112" s="5"/>
      <c r="CN112" s="5"/>
      <c r="CO112" s="5"/>
      <c r="CP112" s="5"/>
      <c r="CQ112" s="5"/>
      <c r="CR112" s="5">
        <f t="shared" si="90"/>
        <v>0</v>
      </c>
      <c r="CS112" s="5">
        <f t="shared" si="91"/>
        <v>0</v>
      </c>
      <c r="CT112" s="5">
        <f t="shared" si="92"/>
        <v>0</v>
      </c>
      <c r="CU112" s="5">
        <f>MIN(100,
  CR112*15
  + CS112*6
  + CT112*3
  + IFERROR(_xlfn.XLOOKUP(CW112,'Lookup Tables'!$M$21:$M$25,'Lookup Tables'!$N$21:$N$25,0),0)
)</f>
        <v>0</v>
      </c>
      <c r="CV112" s="5" t="str">
        <f t="shared" si="93"/>
        <v>No failures</v>
      </c>
      <c r="CW112" s="5"/>
      <c r="CX112" s="5"/>
      <c r="CY112" s="5"/>
      <c r="CZ112" s="5"/>
      <c r="DA112" s="5" t="str">
        <f t="shared" si="94"/>
        <v>Yes</v>
      </c>
      <c r="DB112" s="5" t="str">
        <f t="shared" si="95"/>
        <v>No</v>
      </c>
      <c r="DC112" s="5"/>
      <c r="DD112" s="5"/>
      <c r="DE112" s="5"/>
      <c r="DF112" s="5"/>
      <c r="DG112" s="5"/>
      <c r="DH112" s="5"/>
      <c r="DI112" s="5"/>
      <c r="DJ112" s="5"/>
      <c r="DK112" s="5"/>
      <c r="DL112" s="5" t="str">
        <f t="shared" si="96"/>
        <v>Clear</v>
      </c>
      <c r="DM112" s="5" t="str">
        <f t="shared" si="97"/>
        <v>Yes</v>
      </c>
      <c r="DN112" s="5">
        <f t="array" ref="DN112">MIN(100,
  IF(ISNUMBER(V112), _xlfn.IFS(V112&gt;=3,25, V112=2,15, V112=1,5, TRUE,0), 0)
  + IFERROR(_xlfn.IFS(VALUE(LEFT(DF112,1))=5,25, VALUE(LEFT(DF112,1))=4,20, VALUE(LEFT(DF112,1))=3,15, VALUE(LEFT(DF112,1))=2,8, TRUE,0), 15)
  + IFERROR(_xlfn.IFS(VALUE(LEFT(DG112,1))=5,25, VALUE(LEFT(DG112,1))=4,20, VALUE(LEFT(DG112,1))=3,15, VALUE(LEFT(DG112,1))=2,8, TRUE,0), 15)
  + _xlfn.IFS(DH112="Fully Verified",25, DH112="Partially Verified",12, TRUE,0)
)</f>
        <v>30</v>
      </c>
      <c r="DO112" s="5" t="str">
        <f t="array" ref="DO112">_xlfn.IFS(
  ISBLANK(AR112), "Insufficient Evidence",
  AND(AR112&gt;=65, AJ112="Approved"), "Strong",
  AR112&gt;=65, "Adequate",
  AR112&gt;=40, "Adequate",
  AR112&gt;=20, "Weak",
  TRUE, "Insufficient Evidence"
)</f>
        <v>Insufficient Evidence</v>
      </c>
      <c r="DP112" s="5" t="str">
        <f t="array" ref="DP112">_xlfn.IFS(
  ISBLANK(BS112), "Insufficient Evidence",
  BS112&gt;=65, "Strong",
  BS112&gt;=40, "Adequate",
  BS112&gt;=20, "Weak",
  TRUE, "Insufficient Evidence"
)</f>
        <v>Insufficient Evidence</v>
      </c>
      <c r="DQ112" s="5" t="str">
        <f t="array" ref="DQ112">_xlfn.IFS(
  ISBLANK(BE112), "Insufficient Evidence",
  OR(AW112="Confirmed Violation", AX112="Confirmed Breach"), "Severe — Hard Trigger",
  BE112&gt;=65, "Strong",
  BE112&gt;=40, "Adequate",
  BE112&gt;=20, "Weak",
  TRUE, "Insufficient Evidence"
)</f>
        <v>Insufficient Evidence</v>
      </c>
      <c r="DR112" s="5" t="str">
        <f t="array" ref="DR112">_xlfn.IFS(
  ISBLANK(CU112), "Insufficient Evidence",
  CU112&lt;=20, "Low Risk",
  CU112&lt;=50, "Moderate Risk",
  CU112&lt;=75, "High Risk",
  TRUE, "Very High Risk"
)</f>
        <v>Low Risk</v>
      </c>
      <c r="DS112" s="5" t="str">
        <f t="array" ref="DS112">_xlfn.IFS(
  ISBLANK(CE112), "Insufficient Evidence",
  AND(ISNUMBER(BW112),ISNUMBER(BV112),BW112&gt;BV112), "Overclaiming Risk",
  CE112&gt;=65, "Strong",
  CE112&gt;=40, "Adequate",
  TRUE, "Weak"
)</f>
        <v>Weak</v>
      </c>
      <c r="DT112" s="5">
        <f t="shared" si="98"/>
        <v>11.7</v>
      </c>
      <c r="DU112" s="5" t="str">
        <f t="array" ref="DU112">_xlfn.IFS(
  DV112="Upgraded to Clear", "Clear",
  DV112="Downgraded to Watchlist", "Watchlist",
  DV112="Downgraded to Exclusion", "Exclusion Risk",
  DB112="Yes — Automatic", "Exclusion Risk",
  OR(AW112="Confirmed Violation", AX112="Confirmed Breach"), "Exclusion Risk",
  OR(V112=0, ISBLANK(V112), DN112&lt;20), "Insufficient Evidence",
  AND(DT112&gt;=65, DA112="No", DB112="No"), "Clear",
  OR(DT112&gt;=40, DA112="Yes"), "Watchlist",
  TRUE, "Exclusion Risk"
)</f>
        <v>Insufficient Evidence</v>
      </c>
      <c r="DV112" s="5"/>
      <c r="DW112" s="5" t="str">
        <f t="array" ref="DW112">_xlfn.IFS(
  DU112="Exclusion Risk", "Exclude — Hard Trigger",
  DU112="Insufficient Evidence", "Watchlist — Further Evidence Needed",
  DU112="Watchlist", "Watchlist — Further Evidence Needed",
  AND(DU112="Clear", DT112&gt;=80), "Include — No Conditions",
  DU112="Clear", "Include — Monitor",
  TRUE, "Watchlist — Further Evidence Needed"
)</f>
        <v>Watchlist — Further Evidence Needed</v>
      </c>
      <c r="DX112" s="5"/>
      <c r="DY112" s="5"/>
      <c r="DZ112" s="5"/>
      <c r="EA112" s="5"/>
      <c r="EB112" s="5" t="str">
        <f t="shared" si="99"/>
        <v>MISSING — No sources reviewed</v>
      </c>
      <c r="EC112" s="5" t="str">
        <f t="shared" si="100"/>
        <v/>
      </c>
    </row>
    <row r="113" spans="1:133" ht="18" customHeight="1" x14ac:dyDescent="0.15">
      <c r="A113" s="5" t="s">
        <v>648</v>
      </c>
      <c r="B113" s="5" t="s">
        <v>649</v>
      </c>
      <c r="C113" s="5" t="str">
        <f>IF(ISBLANK('Universe Tracker'!D88),"",'Universe Tracker'!D88)</f>
        <v>AT0000652011</v>
      </c>
      <c r="D113" s="5"/>
      <c r="E113" s="5"/>
      <c r="F113" s="5" t="str">
        <f>IF(ISBLANK('Universe Tracker'!F88),"",'Universe Tracker'!F88)</f>
        <v>Financials</v>
      </c>
      <c r="G113" s="5" t="str">
        <f>IF(ISBLANK('Universe Tracker'!G88),"",'Universe Tracker'!G88)</f>
        <v>Banking</v>
      </c>
      <c r="H113" s="5"/>
      <c r="I113" s="5"/>
      <c r="J113" s="5" t="str">
        <f t="shared" si="88"/>
        <v>EBO_AT0000652011</v>
      </c>
      <c r="K113" s="5"/>
      <c r="L113" s="5"/>
      <c r="M113" s="5"/>
      <c r="N113" s="5"/>
      <c r="O113" s="5"/>
      <c r="P113" s="5"/>
      <c r="Q113" s="5"/>
      <c r="R113" s="5"/>
      <c r="S113" s="5"/>
      <c r="T113" s="5"/>
      <c r="U113" s="5"/>
      <c r="V113" s="5"/>
      <c r="W113" s="5"/>
      <c r="X113" s="5"/>
      <c r="Y113" s="5" t="str">
        <f t="shared" si="89"/>
        <v>Insufficient</v>
      </c>
      <c r="Z113" s="5"/>
      <c r="AA113" s="5"/>
      <c r="AB113" s="5"/>
      <c r="AC113" s="5"/>
      <c r="AD113" s="5"/>
      <c r="AE113" s="5"/>
      <c r="AF113" s="5"/>
      <c r="AG113" s="5"/>
      <c r="AH113" s="5"/>
      <c r="AI113" s="5"/>
      <c r="AJ113" s="5"/>
      <c r="AK113" s="5"/>
      <c r="AL113" s="5"/>
      <c r="AM113" s="5"/>
      <c r="AN113" s="5"/>
      <c r="AO113" s="5"/>
      <c r="AP113" s="5"/>
      <c r="AQ113" s="5"/>
      <c r="AR113" s="40">
        <f t="array" ref="AR113">MIN(100, MAX(0,
  IFERROR(_xlfn.XLOOKUP(AJ113,'Lookup Tables'!$A$2:$A$7,'Lookup Tables'!$B$2:$B$7,0),0)
  + IF(Z113="Yes", IF(IFERROR(_xlfn.XLOOKUP(AJ113,'Lookup Tables'!$A$2:$A$7,'Lookup Tables'!$B$2:$B$7,0),0)&lt;20, 5, 0), 0)
  + _xlfn.IFS(AB113="Yes", IF(ISNUMBER(AC113)*AND(AC113&lt;=2030),15,10), AB113="Long-term Only", 5, AB113="No", 0, TRUE, 0)
  + _xlfn.IFS(AF113="Full",10, AF113="Partial",5, AF113="Scope 2 Only",3, TRUE,0)
  + _xlfn.IFS(AG113="Yes", IF(ISNUMBER(AH113)*AND(AH113&gt;=5),10,6), AG113="Partial",4, TRUE,0)
  + _xlfn.IFS(AI113="Yes",5, AI113="Partial (material categories only)",3, TRUE,0)
  + _xlfn.IFS(AL113="Yes — Detailed",10, AL113="Yes — High Level",5, TRUE,0)
  + _xlfn.IFS(AM113="Yes — Quantified",15, AM113="Yes — Directional Only",7, TRUE,0)
  + _xlfn.IFS(AP113="Formal",5, AP113="Referenced",2, TRUE,0)
  + _xlfn.IFS(AQ113="No Issues Found",5, AQ113="Concern Identified",-5, AQ113="Severe Contradiction",-15, TRUE,0)
  + _xlfn.IFS(BC113="Reasonable Assurance",5, BC113="Limited Assurance",3, TRUE,0)
  - IF(AND(Z113="Yes", AI113="No"), 10, 0)
  - IF(AND(Z113="Yes", AM113="No"), 10, 0)
))</f>
        <v>0</v>
      </c>
      <c r="AS113" s="5"/>
      <c r="AT113" s="5"/>
      <c r="AU113" s="5"/>
      <c r="AV113" s="5"/>
      <c r="AW113" s="5"/>
      <c r="AX113" s="5"/>
      <c r="AY113" s="5"/>
      <c r="AZ113" s="5"/>
      <c r="BA113" s="5"/>
      <c r="BB113" s="5"/>
      <c r="BC113" s="5"/>
      <c r="BD113" s="5"/>
      <c r="BE113" s="39">
        <f t="array" ref="BE113">MIN(100, MAX(0,
  IFERROR(_xlfn.XLOOKUP(AT113,'Lookup Tables'!$D$2:$D$6,'Lookup Tables'!$E$2:$E$6,0),0)
  + IFERROR(_xlfn.XLOOKUP(AV113,'Lookup Tables'!$G$2:$G$5,'Lookup Tables'!$H$2:$H$5,0),0)
  + IFERROR(_xlfn.XLOOKUP(AW113,'Lookup Tables'!$J$2:$J$5,'Lookup Tables'!$K$2:$K$5,0),0)
  + _xlfn.IFS(AX113="No Issues",10, AX113="Complaint Filed",3, AX113="Confirmed Breach",-15, TRUE,0)
  + IFERROR(_xlfn.XLOOKUP(AY113,'Lookup Tables'!$M$2:$M$6,'Lookup Tables'!$N$2:$N$6,0),0)
  + IFERROR(_xlfn.XLOOKUP(AZ113,'Lookup Tables'!$P$2:$P$6,'Lookup Tables'!$Q$2:$Q$6,0),0)
  + _xlfn.IFS(BA113="Formal Board Committee",5, BA113="Board Oversight Mentioned",2, TRUE,0)
  + _xlfn.IFS(BB113="Yes — Quantified Targets",5, BB113="Yes — Discretionary Only",2, TRUE,0)
  + _xlfn.IFS(BC113="Reasonable Assurance",5, BC113="Limited Assurance",3, BC113="Management Review Only",1, TRUE,0)
))</f>
        <v>0</v>
      </c>
      <c r="BF113" s="5"/>
      <c r="BG113" s="5"/>
      <c r="BH113" s="5"/>
      <c r="BI113" s="5"/>
      <c r="BJ113" s="5"/>
      <c r="BK113" s="5"/>
      <c r="BL113" s="5"/>
      <c r="BM113" s="5"/>
      <c r="BN113" s="5"/>
      <c r="BO113" s="5"/>
      <c r="BP113" s="5"/>
      <c r="BQ113" s="5"/>
      <c r="BR113" s="5"/>
      <c r="BS113" s="41">
        <f t="array" ref="BS113">MIN(100, MAX(0,
  IFERROR(_xlfn.XLOOKUP(BG113,'Lookup Tables'!$A$11:$A$16,'Lookup Tables'!$B$11:$B$16,0),0)
  + IFERROR(_xlfn.XLOOKUP(BR113,'Lookup Tables'!$M$11:$M$14,'Lookup Tables'!$N$11:$N$14,0),0)
  + IFERROR(_xlfn.XLOOKUP(BQ113,'Lookup Tables'!$J$11:$J$15,'Lookup Tables'!$K$11:$K$15,0),0)
  + IFERROR(_xlfn.XLOOKUP(BH113,'Lookup Tables'!$D$11:$D$15,'Lookup Tables'!$E$11:$E$15,0),0)
  + IFERROR(_xlfn.XLOOKUP(BJ113,'Lookup Tables'!$G$11:$G$16,'Lookup Tables'!$H$11:$H$16,0),0)
  + IFERROR(_xlfn.XLOOKUP(BN113,'Lookup Tables'!$P$11:$P$15,'Lookup Tables'!$Q$11:$Q$15,0),0)
  + _xlfn.IFS(BM113="No Evidence",10, BM113="Unknown",3, BM113="Likely",0, BM113="Confirmed",-10, TRUE,3)
  + IFERROR(_xlfn.XLOOKUP(BP113,'Lookup Tables'!$J$21:$J$24,'Lookup Tables'!$K$21:$K$24,0),0)
))</f>
        <v>3</v>
      </c>
      <c r="BT113" s="5"/>
      <c r="BU113" s="5"/>
      <c r="BV113" s="5"/>
      <c r="BW113" s="5"/>
      <c r="BX113" s="5"/>
      <c r="BY113" s="5"/>
      <c r="BZ113" s="5"/>
      <c r="CA113" s="5"/>
      <c r="CB113" s="5"/>
      <c r="CC113" s="5"/>
      <c r="CD113" s="5"/>
      <c r="CE113" s="43">
        <f t="array" ref="CE113">MIN(100, MAX(0,
  IF(ISNUMBER(BV113)*AND(BV113&gt;0), 10, 0)
  + _xlfn.IFS(BY113="Independently Verified",25, BY113="Yes",15, TRUE,0)
  + IFERROR(_xlfn.XLOOKUP(BZ113,'Lookup Tables'!$A$21:$A$24,'Lookup Tables'!$B$21:$B$24,0),0)
  + IFERROR(_xlfn.XLOOKUP(CA113,'Lookup Tables'!$D$21:$D$24,'Lookup Tables'!$E$21:$E$24,0),0)
  + _xlfn.IFS(ISNUMBER(CB113)*AND(CB113&gt;=11),15, ISNUMBER(CB113)*AND(CB113&gt;=6),10, ISNUMBER(CB113)*AND(CB113&gt;=1),5, TRUE,0)
  + IFERROR(_xlfn.XLOOKUP(CC113,'Lookup Tables'!$G$21:$G$25,'Lookup Tables'!$H$21:$H$25,0),0)
  - IF(ISNUMBER(BW113)*AND(ISNUMBER(BV113))*AND(BW113&gt;BV113), 20, 0)
  - IF(AND(BY113="Yes", ISNUMBER(BW113), BW113&gt;60), 10, 0)
))</f>
        <v>0</v>
      </c>
      <c r="CF113" s="5"/>
      <c r="CG113" s="5"/>
      <c r="CH113" s="5"/>
      <c r="CI113" s="5"/>
      <c r="CJ113" s="5"/>
      <c r="CK113" s="5"/>
      <c r="CL113" s="5"/>
      <c r="CM113" s="5"/>
      <c r="CN113" s="5"/>
      <c r="CO113" s="5"/>
      <c r="CP113" s="5"/>
      <c r="CQ113" s="5"/>
      <c r="CR113" s="5">
        <f t="shared" si="90"/>
        <v>0</v>
      </c>
      <c r="CS113" s="5">
        <f t="shared" si="91"/>
        <v>0</v>
      </c>
      <c r="CT113" s="5">
        <f t="shared" si="92"/>
        <v>0</v>
      </c>
      <c r="CU113" s="5">
        <f>MIN(100,
  CR113*15
  + CS113*6
  + CT113*3
  + IFERROR(_xlfn.XLOOKUP(CW113,'Lookup Tables'!$M$21:$M$25,'Lookup Tables'!$N$21:$N$25,0),0)
)</f>
        <v>0</v>
      </c>
      <c r="CV113" s="5" t="str">
        <f t="shared" si="93"/>
        <v>No failures</v>
      </c>
      <c r="CW113" s="5"/>
      <c r="CX113" s="5"/>
      <c r="CY113" s="5"/>
      <c r="CZ113" s="5"/>
      <c r="DA113" s="5" t="str">
        <f t="shared" si="94"/>
        <v>Yes</v>
      </c>
      <c r="DB113" s="5" t="str">
        <f t="shared" si="95"/>
        <v>No</v>
      </c>
      <c r="DC113" s="5"/>
      <c r="DD113" s="5"/>
      <c r="DE113" s="5"/>
      <c r="DF113" s="5"/>
      <c r="DG113" s="5"/>
      <c r="DH113" s="5"/>
      <c r="DI113" s="5"/>
      <c r="DJ113" s="5"/>
      <c r="DK113" s="5"/>
      <c r="DL113" s="5" t="str">
        <f t="shared" si="96"/>
        <v>Clear</v>
      </c>
      <c r="DM113" s="5" t="str">
        <f t="shared" si="97"/>
        <v>Yes</v>
      </c>
      <c r="DN113" s="5">
        <f t="array" ref="DN113">MIN(100,
  IF(ISNUMBER(V113), _xlfn.IFS(V113&gt;=3,25, V113=2,15, V113=1,5, TRUE,0), 0)
  + IFERROR(_xlfn.IFS(VALUE(LEFT(DF113,1))=5,25, VALUE(LEFT(DF113,1))=4,20, VALUE(LEFT(DF113,1))=3,15, VALUE(LEFT(DF113,1))=2,8, TRUE,0), 15)
  + IFERROR(_xlfn.IFS(VALUE(LEFT(DG113,1))=5,25, VALUE(LEFT(DG113,1))=4,20, VALUE(LEFT(DG113,1))=3,15, VALUE(LEFT(DG113,1))=2,8, TRUE,0), 15)
  + _xlfn.IFS(DH113="Fully Verified",25, DH113="Partially Verified",12, TRUE,0)
)</f>
        <v>30</v>
      </c>
      <c r="DO113" s="5" t="str">
        <f t="array" ref="DO113">_xlfn.IFS(
  ISBLANK(AR113), "Insufficient Evidence",
  AND(AR113&gt;=65, AJ113="Approved"), "Strong",
  AR113&gt;=65, "Adequate",
  AR113&gt;=40, "Adequate",
  AR113&gt;=20, "Weak",
  TRUE, "Insufficient Evidence"
)</f>
        <v>Insufficient Evidence</v>
      </c>
      <c r="DP113" s="5" t="str">
        <f t="array" ref="DP113">_xlfn.IFS(
  ISBLANK(BS113), "Insufficient Evidence",
  BS113&gt;=65, "Strong",
  BS113&gt;=40, "Adequate",
  BS113&gt;=20, "Weak",
  TRUE, "Insufficient Evidence"
)</f>
        <v>Insufficient Evidence</v>
      </c>
      <c r="DQ113" s="5" t="str">
        <f t="array" ref="DQ113">_xlfn.IFS(
  ISBLANK(BE113), "Insufficient Evidence",
  OR(AW113="Confirmed Violation", AX113="Confirmed Breach"), "Severe — Hard Trigger",
  BE113&gt;=65, "Strong",
  BE113&gt;=40, "Adequate",
  BE113&gt;=20, "Weak",
  TRUE, "Insufficient Evidence"
)</f>
        <v>Insufficient Evidence</v>
      </c>
      <c r="DR113" s="5" t="str">
        <f t="array" ref="DR113">_xlfn.IFS(
  ISBLANK(CU113), "Insufficient Evidence",
  CU113&lt;=20, "Low Risk",
  CU113&lt;=50, "Moderate Risk",
  CU113&lt;=75, "High Risk",
  TRUE, "Very High Risk"
)</f>
        <v>Low Risk</v>
      </c>
      <c r="DS113" s="5" t="str">
        <f t="array" ref="DS113">_xlfn.IFS(
  ISBLANK(CE113), "Insufficient Evidence",
  AND(ISNUMBER(BW113),ISNUMBER(BV113),BW113&gt;BV113), "Overclaiming Risk",
  CE113&gt;=65, "Strong",
  CE113&gt;=40, "Adequate",
  TRUE, "Weak"
)</f>
        <v>Weak</v>
      </c>
      <c r="DT113" s="5">
        <f t="shared" si="98"/>
        <v>11.7</v>
      </c>
      <c r="DU113" s="5" t="str">
        <f t="array" ref="DU113">_xlfn.IFS(
  DV113="Upgraded to Clear", "Clear",
  DV113="Downgraded to Watchlist", "Watchlist",
  DV113="Downgraded to Exclusion", "Exclusion Risk",
  DB113="Yes — Automatic", "Exclusion Risk",
  OR(AW113="Confirmed Violation", AX113="Confirmed Breach"), "Exclusion Risk",
  OR(V113=0, ISBLANK(V113), DN113&lt;20), "Insufficient Evidence",
  AND(DT113&gt;=65, DA113="No", DB113="No"), "Clear",
  OR(DT113&gt;=40, DA113="Yes"), "Watchlist",
  TRUE, "Exclusion Risk"
)</f>
        <v>Insufficient Evidence</v>
      </c>
      <c r="DV113" s="5"/>
      <c r="DW113" s="5" t="str">
        <f t="array" ref="DW113">_xlfn.IFS(
  DU113="Exclusion Risk", "Exclude — Hard Trigger",
  DU113="Insufficient Evidence", "Watchlist — Further Evidence Needed",
  DU113="Watchlist", "Watchlist — Further Evidence Needed",
  AND(DU113="Clear", DT113&gt;=80), "Include — No Conditions",
  DU113="Clear", "Include — Monitor",
  TRUE, "Watchlist — Further Evidence Needed"
)</f>
        <v>Watchlist — Further Evidence Needed</v>
      </c>
      <c r="DX113" s="5"/>
      <c r="DY113" s="5"/>
      <c r="DZ113" s="5"/>
      <c r="EA113" s="5"/>
      <c r="EB113" s="5" t="str">
        <f t="shared" si="99"/>
        <v>MISSING — No sources reviewed</v>
      </c>
      <c r="EC113" s="5" t="str">
        <f t="shared" si="100"/>
        <v/>
      </c>
    </row>
    <row r="114" spans="1:133" ht="18" customHeight="1" x14ac:dyDescent="0.15">
      <c r="A114" s="5" t="s">
        <v>652</v>
      </c>
      <c r="B114" s="5" t="s">
        <v>653</v>
      </c>
      <c r="C114" s="5" t="str">
        <f>IF(ISBLANK('Universe Tracker'!D89),"",'Universe Tracker'!D89)</f>
        <v>CH0210483332</v>
      </c>
      <c r="D114" s="5"/>
      <c r="E114" s="5"/>
      <c r="F114" s="5" t="str">
        <f>IF(ISBLANK('Universe Tracker'!F89),"",'Universe Tracker'!F89)</f>
        <v>Consumer Discretionary</v>
      </c>
      <c r="G114" s="5" t="str">
        <f>IF(ISBLANK('Universe Tracker'!G89),"",'Universe Tracker'!G89)</f>
        <v>Consumer Discretionary Products</v>
      </c>
      <c r="H114" s="5"/>
      <c r="I114" s="5"/>
      <c r="J114" s="5" t="str">
        <f t="shared" si="88"/>
        <v>RITN_CH0210483332</v>
      </c>
      <c r="K114" s="5"/>
      <c r="L114" s="5"/>
      <c r="M114" s="5"/>
      <c r="N114" s="5"/>
      <c r="O114" s="5"/>
      <c r="P114" s="5"/>
      <c r="Q114" s="5"/>
      <c r="R114" s="5"/>
      <c r="S114" s="5"/>
      <c r="T114" s="5"/>
      <c r="U114" s="5"/>
      <c r="V114" s="5"/>
      <c r="W114" s="5"/>
      <c r="X114" s="5"/>
      <c r="Y114" s="5" t="str">
        <f t="shared" si="89"/>
        <v>Insufficient</v>
      </c>
      <c r="Z114" s="5"/>
      <c r="AA114" s="5"/>
      <c r="AB114" s="5"/>
      <c r="AC114" s="5"/>
      <c r="AD114" s="5"/>
      <c r="AE114" s="5"/>
      <c r="AF114" s="5"/>
      <c r="AG114" s="5"/>
      <c r="AH114" s="5"/>
      <c r="AI114" s="5"/>
      <c r="AJ114" s="5"/>
      <c r="AK114" s="5"/>
      <c r="AL114" s="5"/>
      <c r="AM114" s="5"/>
      <c r="AN114" s="5"/>
      <c r="AO114" s="5"/>
      <c r="AP114" s="5"/>
      <c r="AQ114" s="5"/>
      <c r="AR114" s="40">
        <f t="array" ref="AR114">MIN(100, MAX(0,
  IFERROR(_xlfn.XLOOKUP(AJ114,'Lookup Tables'!$A$2:$A$7,'Lookup Tables'!$B$2:$B$7,0),0)
  + IF(Z114="Yes", IF(IFERROR(_xlfn.XLOOKUP(AJ114,'Lookup Tables'!$A$2:$A$7,'Lookup Tables'!$B$2:$B$7,0),0)&lt;20, 5, 0), 0)
  + _xlfn.IFS(AB114="Yes", IF(ISNUMBER(AC114)*AND(AC114&lt;=2030),15,10), AB114="Long-term Only", 5, AB114="No", 0, TRUE, 0)
  + _xlfn.IFS(AF114="Full",10, AF114="Partial",5, AF114="Scope 2 Only",3, TRUE,0)
  + _xlfn.IFS(AG114="Yes", IF(ISNUMBER(AH114)*AND(AH114&gt;=5),10,6), AG114="Partial",4, TRUE,0)
  + _xlfn.IFS(AI114="Yes",5, AI114="Partial (material categories only)",3, TRUE,0)
  + _xlfn.IFS(AL114="Yes — Detailed",10, AL114="Yes — High Level",5, TRUE,0)
  + _xlfn.IFS(AM114="Yes — Quantified",15, AM114="Yes — Directional Only",7, TRUE,0)
  + _xlfn.IFS(AP114="Formal",5, AP114="Referenced",2, TRUE,0)
  + _xlfn.IFS(AQ114="No Issues Found",5, AQ114="Concern Identified",-5, AQ114="Severe Contradiction",-15, TRUE,0)
  + _xlfn.IFS(BC114="Reasonable Assurance",5, BC114="Limited Assurance",3, TRUE,0)
  - IF(AND(Z114="Yes", AI114="No"), 10, 0)
  - IF(AND(Z114="Yes", AM114="No"), 10, 0)
))</f>
        <v>0</v>
      </c>
      <c r="AS114" s="5"/>
      <c r="AT114" s="5"/>
      <c r="AU114" s="5"/>
      <c r="AV114" s="5"/>
      <c r="AW114" s="5"/>
      <c r="AX114" s="5"/>
      <c r="AY114" s="5"/>
      <c r="AZ114" s="5"/>
      <c r="BA114" s="5"/>
      <c r="BB114" s="5"/>
      <c r="BC114" s="5"/>
      <c r="BD114" s="5"/>
      <c r="BE114" s="39">
        <f t="array" ref="BE114">MIN(100, MAX(0,
  IFERROR(_xlfn.XLOOKUP(AT114,'Lookup Tables'!$D$2:$D$6,'Lookup Tables'!$E$2:$E$6,0),0)
  + IFERROR(_xlfn.XLOOKUP(AV114,'Lookup Tables'!$G$2:$G$5,'Lookup Tables'!$H$2:$H$5,0),0)
  + IFERROR(_xlfn.XLOOKUP(AW114,'Lookup Tables'!$J$2:$J$5,'Lookup Tables'!$K$2:$K$5,0),0)
  + _xlfn.IFS(AX114="No Issues",10, AX114="Complaint Filed",3, AX114="Confirmed Breach",-15, TRUE,0)
  + IFERROR(_xlfn.XLOOKUP(AY114,'Lookup Tables'!$M$2:$M$6,'Lookup Tables'!$N$2:$N$6,0),0)
  + IFERROR(_xlfn.XLOOKUP(AZ114,'Lookup Tables'!$P$2:$P$6,'Lookup Tables'!$Q$2:$Q$6,0),0)
  + _xlfn.IFS(BA114="Formal Board Committee",5, BA114="Board Oversight Mentioned",2, TRUE,0)
  + _xlfn.IFS(BB114="Yes — Quantified Targets",5, BB114="Yes — Discretionary Only",2, TRUE,0)
  + _xlfn.IFS(BC114="Reasonable Assurance",5, BC114="Limited Assurance",3, BC114="Management Review Only",1, TRUE,0)
))</f>
        <v>0</v>
      </c>
      <c r="BF114" s="5"/>
      <c r="BG114" s="5"/>
      <c r="BH114" s="5"/>
      <c r="BI114" s="5"/>
      <c r="BJ114" s="5"/>
      <c r="BK114" s="5"/>
      <c r="BL114" s="5"/>
      <c r="BM114" s="5"/>
      <c r="BN114" s="5"/>
      <c r="BO114" s="5"/>
      <c r="BP114" s="5"/>
      <c r="BQ114" s="5"/>
      <c r="BR114" s="5"/>
      <c r="BS114" s="41">
        <f t="array" ref="BS114">MIN(100, MAX(0,
  IFERROR(_xlfn.XLOOKUP(BG114,'Lookup Tables'!$A$11:$A$16,'Lookup Tables'!$B$11:$B$16,0),0)
  + IFERROR(_xlfn.XLOOKUP(BR114,'Lookup Tables'!$M$11:$M$14,'Lookup Tables'!$N$11:$N$14,0),0)
  + IFERROR(_xlfn.XLOOKUP(BQ114,'Lookup Tables'!$J$11:$J$15,'Lookup Tables'!$K$11:$K$15,0),0)
  + IFERROR(_xlfn.XLOOKUP(BH114,'Lookup Tables'!$D$11:$D$15,'Lookup Tables'!$E$11:$E$15,0),0)
  + IFERROR(_xlfn.XLOOKUP(BJ114,'Lookup Tables'!$G$11:$G$16,'Lookup Tables'!$H$11:$H$16,0),0)
  + IFERROR(_xlfn.XLOOKUP(BN114,'Lookup Tables'!$P$11:$P$15,'Lookup Tables'!$Q$11:$Q$15,0),0)
  + _xlfn.IFS(BM114="No Evidence",10, BM114="Unknown",3, BM114="Likely",0, BM114="Confirmed",-10, TRUE,3)
  + IFERROR(_xlfn.XLOOKUP(BP114,'Lookup Tables'!$J$21:$J$24,'Lookup Tables'!$K$21:$K$24,0),0)
))</f>
        <v>3</v>
      </c>
      <c r="BT114" s="5"/>
      <c r="BU114" s="5"/>
      <c r="BV114" s="5"/>
      <c r="BW114" s="5"/>
      <c r="BX114" s="5"/>
      <c r="BY114" s="5"/>
      <c r="BZ114" s="5"/>
      <c r="CA114" s="5"/>
      <c r="CB114" s="5"/>
      <c r="CC114" s="5"/>
      <c r="CD114" s="5"/>
      <c r="CE114" s="43">
        <f t="array" ref="CE114">MIN(100, MAX(0,
  IF(ISNUMBER(BV114)*AND(BV114&gt;0), 10, 0)
  + _xlfn.IFS(BY114="Independently Verified",25, BY114="Yes",15, TRUE,0)
  + IFERROR(_xlfn.XLOOKUP(BZ114,'Lookup Tables'!$A$21:$A$24,'Lookup Tables'!$B$21:$B$24,0),0)
  + IFERROR(_xlfn.XLOOKUP(CA114,'Lookup Tables'!$D$21:$D$24,'Lookup Tables'!$E$21:$E$24,0),0)
  + _xlfn.IFS(ISNUMBER(CB114)*AND(CB114&gt;=11),15, ISNUMBER(CB114)*AND(CB114&gt;=6),10, ISNUMBER(CB114)*AND(CB114&gt;=1),5, TRUE,0)
  + IFERROR(_xlfn.XLOOKUP(CC114,'Lookup Tables'!$G$21:$G$25,'Lookup Tables'!$H$21:$H$25,0),0)
  - IF(ISNUMBER(BW114)*AND(ISNUMBER(BV114))*AND(BW114&gt;BV114), 20, 0)
  - IF(AND(BY114="Yes", ISNUMBER(BW114), BW114&gt;60), 10, 0)
))</f>
        <v>0</v>
      </c>
      <c r="CF114" s="5"/>
      <c r="CG114" s="5"/>
      <c r="CH114" s="5"/>
      <c r="CI114" s="5"/>
      <c r="CJ114" s="5"/>
      <c r="CK114" s="5"/>
      <c r="CL114" s="5"/>
      <c r="CM114" s="5"/>
      <c r="CN114" s="5"/>
      <c r="CO114" s="5"/>
      <c r="CP114" s="5"/>
      <c r="CQ114" s="5"/>
      <c r="CR114" s="5">
        <f t="shared" si="90"/>
        <v>0</v>
      </c>
      <c r="CS114" s="5">
        <f t="shared" si="91"/>
        <v>0</v>
      </c>
      <c r="CT114" s="5">
        <f t="shared" si="92"/>
        <v>0</v>
      </c>
      <c r="CU114" s="5">
        <f>MIN(100,
  CR114*15
  + CS114*6
  + CT114*3
  + IFERROR(_xlfn.XLOOKUP(CW114,'Lookup Tables'!$M$21:$M$25,'Lookup Tables'!$N$21:$N$25,0),0)
)</f>
        <v>0</v>
      </c>
      <c r="CV114" s="5" t="str">
        <f t="shared" si="93"/>
        <v>No failures</v>
      </c>
      <c r="CW114" s="5"/>
      <c r="CX114" s="5"/>
      <c r="CY114" s="5"/>
      <c r="CZ114" s="5"/>
      <c r="DA114" s="5" t="str">
        <f t="shared" si="94"/>
        <v>Yes</v>
      </c>
      <c r="DB114" s="5" t="str">
        <f t="shared" si="95"/>
        <v>No</v>
      </c>
      <c r="DC114" s="5"/>
      <c r="DD114" s="5"/>
      <c r="DE114" s="5"/>
      <c r="DF114" s="5"/>
      <c r="DG114" s="5"/>
      <c r="DH114" s="5"/>
      <c r="DI114" s="5"/>
      <c r="DJ114" s="5"/>
      <c r="DK114" s="5"/>
      <c r="DL114" s="5" t="str">
        <f t="shared" si="96"/>
        <v>Clear</v>
      </c>
      <c r="DM114" s="5" t="str">
        <f t="shared" si="97"/>
        <v>Yes</v>
      </c>
      <c r="DN114" s="5">
        <f t="array" ref="DN114">MIN(100,
  IF(ISNUMBER(V114), _xlfn.IFS(V114&gt;=3,25, V114=2,15, V114=1,5, TRUE,0), 0)
  + IFERROR(_xlfn.IFS(VALUE(LEFT(DF114,1))=5,25, VALUE(LEFT(DF114,1))=4,20, VALUE(LEFT(DF114,1))=3,15, VALUE(LEFT(DF114,1))=2,8, TRUE,0), 15)
  + IFERROR(_xlfn.IFS(VALUE(LEFT(DG114,1))=5,25, VALUE(LEFT(DG114,1))=4,20, VALUE(LEFT(DG114,1))=3,15, VALUE(LEFT(DG114,1))=2,8, TRUE,0), 15)
  + _xlfn.IFS(DH114="Fully Verified",25, DH114="Partially Verified",12, TRUE,0)
)</f>
        <v>30</v>
      </c>
      <c r="DO114" s="5" t="str">
        <f t="array" ref="DO114">_xlfn.IFS(
  ISBLANK(AR114), "Insufficient Evidence",
  AND(AR114&gt;=65, AJ114="Approved"), "Strong",
  AR114&gt;=65, "Adequate",
  AR114&gt;=40, "Adequate",
  AR114&gt;=20, "Weak",
  TRUE, "Insufficient Evidence"
)</f>
        <v>Insufficient Evidence</v>
      </c>
      <c r="DP114" s="5" t="str">
        <f t="array" ref="DP114">_xlfn.IFS(
  ISBLANK(BS114), "Insufficient Evidence",
  BS114&gt;=65, "Strong",
  BS114&gt;=40, "Adequate",
  BS114&gt;=20, "Weak",
  TRUE, "Insufficient Evidence"
)</f>
        <v>Insufficient Evidence</v>
      </c>
      <c r="DQ114" s="5" t="str">
        <f t="array" ref="DQ114">_xlfn.IFS(
  ISBLANK(BE114), "Insufficient Evidence",
  OR(AW114="Confirmed Violation", AX114="Confirmed Breach"), "Severe — Hard Trigger",
  BE114&gt;=65, "Strong",
  BE114&gt;=40, "Adequate",
  BE114&gt;=20, "Weak",
  TRUE, "Insufficient Evidence"
)</f>
        <v>Insufficient Evidence</v>
      </c>
      <c r="DR114" s="5" t="str">
        <f t="array" ref="DR114">_xlfn.IFS(
  ISBLANK(CU114), "Insufficient Evidence",
  CU114&lt;=20, "Low Risk",
  CU114&lt;=50, "Moderate Risk",
  CU114&lt;=75, "High Risk",
  TRUE, "Very High Risk"
)</f>
        <v>Low Risk</v>
      </c>
      <c r="DS114" s="5" t="str">
        <f t="array" ref="DS114">_xlfn.IFS(
  ISBLANK(CE114), "Insufficient Evidence",
  AND(ISNUMBER(BW114),ISNUMBER(BV114),BW114&gt;BV114), "Overclaiming Risk",
  CE114&gt;=65, "Strong",
  CE114&gt;=40, "Adequate",
  TRUE, "Weak"
)</f>
        <v>Weak</v>
      </c>
      <c r="DT114" s="5">
        <f t="shared" si="98"/>
        <v>11.7</v>
      </c>
      <c r="DU114" s="5" t="str">
        <f t="array" ref="DU114">_xlfn.IFS(
  DV114="Upgraded to Clear", "Clear",
  DV114="Downgraded to Watchlist", "Watchlist",
  DV114="Downgraded to Exclusion", "Exclusion Risk",
  DB114="Yes — Automatic", "Exclusion Risk",
  OR(AW114="Confirmed Violation", AX114="Confirmed Breach"), "Exclusion Risk",
  OR(V114=0, ISBLANK(V114), DN114&lt;20), "Insufficient Evidence",
  AND(DT114&gt;=65, DA114="No", DB114="No"), "Clear",
  OR(DT114&gt;=40, DA114="Yes"), "Watchlist",
  TRUE, "Exclusion Risk"
)</f>
        <v>Insufficient Evidence</v>
      </c>
      <c r="DV114" s="5"/>
      <c r="DW114" s="5" t="str">
        <f t="array" ref="DW114">_xlfn.IFS(
  DU114="Exclusion Risk", "Exclude — Hard Trigger",
  DU114="Insufficient Evidence", "Watchlist — Further Evidence Needed",
  DU114="Watchlist", "Watchlist — Further Evidence Needed",
  AND(DU114="Clear", DT114&gt;=80), "Include — No Conditions",
  DU114="Clear", "Include — Monitor",
  TRUE, "Watchlist — Further Evidence Needed"
)</f>
        <v>Watchlist — Further Evidence Needed</v>
      </c>
      <c r="DX114" s="5"/>
      <c r="DY114" s="5"/>
      <c r="DZ114" s="5"/>
      <c r="EA114" s="5"/>
      <c r="EB114" s="5" t="str">
        <f t="shared" si="99"/>
        <v>MISSING — No sources reviewed</v>
      </c>
      <c r="EC114" s="5" t="str">
        <f t="shared" si="100"/>
        <v/>
      </c>
    </row>
    <row r="115" spans="1:133" ht="18" customHeight="1" x14ac:dyDescent="0.15">
      <c r="A115" s="5" t="s">
        <v>656</v>
      </c>
      <c r="B115" s="5" t="s">
        <v>657</v>
      </c>
      <c r="C115" s="5" t="str">
        <f>IF(ISBLANK('Universe Tracker'!D90),"",'Universe Tracker'!D90)</f>
        <v>CH0466642201</v>
      </c>
      <c r="D115" s="5"/>
      <c r="E115" s="5"/>
      <c r="F115" s="5" t="str">
        <f>IF(ISBLANK('Universe Tracker'!F90),"",'Universe Tracker'!F90)</f>
        <v>Financials</v>
      </c>
      <c r="G115" s="5" t="str">
        <f>IF(ISBLANK('Universe Tracker'!G90),"",'Universe Tracker'!G90)</f>
        <v>Insurance</v>
      </c>
      <c r="H115" s="5"/>
      <c r="I115" s="5"/>
      <c r="J115" s="5" t="str">
        <f t="shared" si="88"/>
        <v>HVXA_CH0466642201</v>
      </c>
      <c r="K115" s="5"/>
      <c r="L115" s="5"/>
      <c r="M115" s="5"/>
      <c r="N115" s="5"/>
      <c r="O115" s="5"/>
      <c r="P115" s="5"/>
      <c r="Q115" s="5"/>
      <c r="R115" s="5"/>
      <c r="S115" s="5"/>
      <c r="T115" s="5"/>
      <c r="U115" s="5"/>
      <c r="V115" s="5"/>
      <c r="W115" s="5"/>
      <c r="X115" s="5"/>
      <c r="Y115" s="5" t="str">
        <f t="shared" si="89"/>
        <v>Insufficient</v>
      </c>
      <c r="Z115" s="5"/>
      <c r="AA115" s="5"/>
      <c r="AB115" s="5"/>
      <c r="AC115" s="5"/>
      <c r="AD115" s="5"/>
      <c r="AE115" s="5"/>
      <c r="AF115" s="5"/>
      <c r="AG115" s="5"/>
      <c r="AH115" s="5"/>
      <c r="AI115" s="5"/>
      <c r="AJ115" s="5"/>
      <c r="AK115" s="5"/>
      <c r="AL115" s="5"/>
      <c r="AM115" s="5"/>
      <c r="AN115" s="5"/>
      <c r="AO115" s="5"/>
      <c r="AP115" s="5"/>
      <c r="AQ115" s="5"/>
      <c r="AR115" s="40">
        <f t="array" ref="AR115">MIN(100, MAX(0,
  IFERROR(_xlfn.XLOOKUP(AJ115,'Lookup Tables'!$A$2:$A$7,'Lookup Tables'!$B$2:$B$7,0),0)
  + IF(Z115="Yes", IF(IFERROR(_xlfn.XLOOKUP(AJ115,'Lookup Tables'!$A$2:$A$7,'Lookup Tables'!$B$2:$B$7,0),0)&lt;20, 5, 0), 0)
  + _xlfn.IFS(AB115="Yes", IF(ISNUMBER(AC115)*AND(AC115&lt;=2030),15,10), AB115="Long-term Only", 5, AB115="No", 0, TRUE, 0)
  + _xlfn.IFS(AF115="Full",10, AF115="Partial",5, AF115="Scope 2 Only",3, TRUE,0)
  + _xlfn.IFS(AG115="Yes", IF(ISNUMBER(AH115)*AND(AH115&gt;=5),10,6), AG115="Partial",4, TRUE,0)
  + _xlfn.IFS(AI115="Yes",5, AI115="Partial (material categories only)",3, TRUE,0)
  + _xlfn.IFS(AL115="Yes — Detailed",10, AL115="Yes — High Level",5, TRUE,0)
  + _xlfn.IFS(AM115="Yes — Quantified",15, AM115="Yes — Directional Only",7, TRUE,0)
  + _xlfn.IFS(AP115="Formal",5, AP115="Referenced",2, TRUE,0)
  + _xlfn.IFS(AQ115="No Issues Found",5, AQ115="Concern Identified",-5, AQ115="Severe Contradiction",-15, TRUE,0)
  + _xlfn.IFS(BC115="Reasonable Assurance",5, BC115="Limited Assurance",3, TRUE,0)
  - IF(AND(Z115="Yes", AI115="No"), 10, 0)
  - IF(AND(Z115="Yes", AM115="No"), 10, 0)
))</f>
        <v>0</v>
      </c>
      <c r="AS115" s="5"/>
      <c r="AT115" s="5"/>
      <c r="AU115" s="5"/>
      <c r="AV115" s="5"/>
      <c r="AW115" s="5"/>
      <c r="AX115" s="5"/>
      <c r="AY115" s="5"/>
      <c r="AZ115" s="5"/>
      <c r="BA115" s="5"/>
      <c r="BB115" s="5"/>
      <c r="BC115" s="5"/>
      <c r="BD115" s="5"/>
      <c r="BE115" s="39">
        <f t="array" ref="BE115">MIN(100, MAX(0,
  IFERROR(_xlfn.XLOOKUP(AT115,'Lookup Tables'!$D$2:$D$6,'Lookup Tables'!$E$2:$E$6,0),0)
  + IFERROR(_xlfn.XLOOKUP(AV115,'Lookup Tables'!$G$2:$G$5,'Lookup Tables'!$H$2:$H$5,0),0)
  + IFERROR(_xlfn.XLOOKUP(AW115,'Lookup Tables'!$J$2:$J$5,'Lookup Tables'!$K$2:$K$5,0),0)
  + _xlfn.IFS(AX115="No Issues",10, AX115="Complaint Filed",3, AX115="Confirmed Breach",-15, TRUE,0)
  + IFERROR(_xlfn.XLOOKUP(AY115,'Lookup Tables'!$M$2:$M$6,'Lookup Tables'!$N$2:$N$6,0),0)
  + IFERROR(_xlfn.XLOOKUP(AZ115,'Lookup Tables'!$P$2:$P$6,'Lookup Tables'!$Q$2:$Q$6,0),0)
  + _xlfn.IFS(BA115="Formal Board Committee",5, BA115="Board Oversight Mentioned",2, TRUE,0)
  + _xlfn.IFS(BB115="Yes — Quantified Targets",5, BB115="Yes — Discretionary Only",2, TRUE,0)
  + _xlfn.IFS(BC115="Reasonable Assurance",5, BC115="Limited Assurance",3, BC115="Management Review Only",1, TRUE,0)
))</f>
        <v>0</v>
      </c>
      <c r="BF115" s="5"/>
      <c r="BG115" s="5"/>
      <c r="BH115" s="5"/>
      <c r="BI115" s="5"/>
      <c r="BJ115" s="5"/>
      <c r="BK115" s="5"/>
      <c r="BL115" s="5"/>
      <c r="BM115" s="5"/>
      <c r="BN115" s="5"/>
      <c r="BO115" s="5"/>
      <c r="BP115" s="5"/>
      <c r="BQ115" s="5"/>
      <c r="BR115" s="5"/>
      <c r="BS115" s="41">
        <f t="array" ref="BS115">MIN(100, MAX(0,
  IFERROR(_xlfn.XLOOKUP(BG115,'Lookup Tables'!$A$11:$A$16,'Lookup Tables'!$B$11:$B$16,0),0)
  + IFERROR(_xlfn.XLOOKUP(BR115,'Lookup Tables'!$M$11:$M$14,'Lookup Tables'!$N$11:$N$14,0),0)
  + IFERROR(_xlfn.XLOOKUP(BQ115,'Lookup Tables'!$J$11:$J$15,'Lookup Tables'!$K$11:$K$15,0),0)
  + IFERROR(_xlfn.XLOOKUP(BH115,'Lookup Tables'!$D$11:$D$15,'Lookup Tables'!$E$11:$E$15,0),0)
  + IFERROR(_xlfn.XLOOKUP(BJ115,'Lookup Tables'!$G$11:$G$16,'Lookup Tables'!$H$11:$H$16,0),0)
  + IFERROR(_xlfn.XLOOKUP(BN115,'Lookup Tables'!$P$11:$P$15,'Lookup Tables'!$Q$11:$Q$15,0),0)
  + _xlfn.IFS(BM115="No Evidence",10, BM115="Unknown",3, BM115="Likely",0, BM115="Confirmed",-10, TRUE,3)
  + IFERROR(_xlfn.XLOOKUP(BP115,'Lookup Tables'!$J$21:$J$24,'Lookup Tables'!$K$21:$K$24,0),0)
))</f>
        <v>3</v>
      </c>
      <c r="BT115" s="5"/>
      <c r="BU115" s="5"/>
      <c r="BV115" s="5"/>
      <c r="BW115" s="5"/>
      <c r="BX115" s="5"/>
      <c r="BY115" s="5"/>
      <c r="BZ115" s="5"/>
      <c r="CA115" s="5"/>
      <c r="CB115" s="5"/>
      <c r="CC115" s="5"/>
      <c r="CD115" s="5"/>
      <c r="CE115" s="43">
        <f t="array" ref="CE115">MIN(100, MAX(0,
  IF(ISNUMBER(BV115)*AND(BV115&gt;0), 10, 0)
  + _xlfn.IFS(BY115="Independently Verified",25, BY115="Yes",15, TRUE,0)
  + IFERROR(_xlfn.XLOOKUP(BZ115,'Lookup Tables'!$A$21:$A$24,'Lookup Tables'!$B$21:$B$24,0),0)
  + IFERROR(_xlfn.XLOOKUP(CA115,'Lookup Tables'!$D$21:$D$24,'Lookup Tables'!$E$21:$E$24,0),0)
  + _xlfn.IFS(ISNUMBER(CB115)*AND(CB115&gt;=11),15, ISNUMBER(CB115)*AND(CB115&gt;=6),10, ISNUMBER(CB115)*AND(CB115&gt;=1),5, TRUE,0)
  + IFERROR(_xlfn.XLOOKUP(CC115,'Lookup Tables'!$G$21:$G$25,'Lookup Tables'!$H$21:$H$25,0),0)
  - IF(ISNUMBER(BW115)*AND(ISNUMBER(BV115))*AND(BW115&gt;BV115), 20, 0)
  - IF(AND(BY115="Yes", ISNUMBER(BW115), BW115&gt;60), 10, 0)
))</f>
        <v>0</v>
      </c>
      <c r="CF115" s="5"/>
      <c r="CG115" s="5"/>
      <c r="CH115" s="5"/>
      <c r="CI115" s="5"/>
      <c r="CJ115" s="5"/>
      <c r="CK115" s="5"/>
      <c r="CL115" s="5"/>
      <c r="CM115" s="5"/>
      <c r="CN115" s="5"/>
      <c r="CO115" s="5"/>
      <c r="CP115" s="5"/>
      <c r="CQ115" s="5"/>
      <c r="CR115" s="5">
        <f t="shared" si="90"/>
        <v>0</v>
      </c>
      <c r="CS115" s="5">
        <f t="shared" si="91"/>
        <v>0</v>
      </c>
      <c r="CT115" s="5">
        <f t="shared" si="92"/>
        <v>0</v>
      </c>
      <c r="CU115" s="5">
        <f>MIN(100,
  CR115*15
  + CS115*6
  + CT115*3
  + IFERROR(_xlfn.XLOOKUP(CW115,'Lookup Tables'!$M$21:$M$25,'Lookup Tables'!$N$21:$N$25,0),0)
)</f>
        <v>0</v>
      </c>
      <c r="CV115" s="5" t="str">
        <f t="shared" si="93"/>
        <v>No failures</v>
      </c>
      <c r="CW115" s="5"/>
      <c r="CX115" s="5"/>
      <c r="CY115" s="5"/>
      <c r="CZ115" s="5"/>
      <c r="DA115" s="5" t="str">
        <f t="shared" si="94"/>
        <v>Yes</v>
      </c>
      <c r="DB115" s="5" t="str">
        <f t="shared" si="95"/>
        <v>No</v>
      </c>
      <c r="DC115" s="5"/>
      <c r="DD115" s="5"/>
      <c r="DE115" s="5"/>
      <c r="DF115" s="5"/>
      <c r="DG115" s="5"/>
      <c r="DH115" s="5"/>
      <c r="DI115" s="5"/>
      <c r="DJ115" s="5"/>
      <c r="DK115" s="5"/>
      <c r="DL115" s="5" t="str">
        <f t="shared" si="96"/>
        <v>Clear</v>
      </c>
      <c r="DM115" s="5" t="str">
        <f t="shared" si="97"/>
        <v>Yes</v>
      </c>
      <c r="DN115" s="5">
        <f t="array" ref="DN115">MIN(100,
  IF(ISNUMBER(V115), _xlfn.IFS(V115&gt;=3,25, V115=2,15, V115=1,5, TRUE,0), 0)
  + IFERROR(_xlfn.IFS(VALUE(LEFT(DF115,1))=5,25, VALUE(LEFT(DF115,1))=4,20, VALUE(LEFT(DF115,1))=3,15, VALUE(LEFT(DF115,1))=2,8, TRUE,0), 15)
  + IFERROR(_xlfn.IFS(VALUE(LEFT(DG115,1))=5,25, VALUE(LEFT(DG115,1))=4,20, VALUE(LEFT(DG115,1))=3,15, VALUE(LEFT(DG115,1))=2,8, TRUE,0), 15)
  + _xlfn.IFS(DH115="Fully Verified",25, DH115="Partially Verified",12, TRUE,0)
)</f>
        <v>30</v>
      </c>
      <c r="DO115" s="5" t="str">
        <f t="array" ref="DO115">_xlfn.IFS(
  ISBLANK(AR115), "Insufficient Evidence",
  AND(AR115&gt;=65, AJ115="Approved"), "Strong",
  AR115&gt;=65, "Adequate",
  AR115&gt;=40, "Adequate",
  AR115&gt;=20, "Weak",
  TRUE, "Insufficient Evidence"
)</f>
        <v>Insufficient Evidence</v>
      </c>
      <c r="DP115" s="5" t="str">
        <f t="array" ref="DP115">_xlfn.IFS(
  ISBLANK(BS115), "Insufficient Evidence",
  BS115&gt;=65, "Strong",
  BS115&gt;=40, "Adequate",
  BS115&gt;=20, "Weak",
  TRUE, "Insufficient Evidence"
)</f>
        <v>Insufficient Evidence</v>
      </c>
      <c r="DQ115" s="5" t="str">
        <f t="array" ref="DQ115">_xlfn.IFS(
  ISBLANK(BE115), "Insufficient Evidence",
  OR(AW115="Confirmed Violation", AX115="Confirmed Breach"), "Severe — Hard Trigger",
  BE115&gt;=65, "Strong",
  BE115&gt;=40, "Adequate",
  BE115&gt;=20, "Weak",
  TRUE, "Insufficient Evidence"
)</f>
        <v>Insufficient Evidence</v>
      </c>
      <c r="DR115" s="5" t="str">
        <f t="array" ref="DR115">_xlfn.IFS(
  ISBLANK(CU115), "Insufficient Evidence",
  CU115&lt;=20, "Low Risk",
  CU115&lt;=50, "Moderate Risk",
  CU115&lt;=75, "High Risk",
  TRUE, "Very High Risk"
)</f>
        <v>Low Risk</v>
      </c>
      <c r="DS115" s="5" t="str">
        <f t="array" ref="DS115">_xlfn.IFS(
  ISBLANK(CE115), "Insufficient Evidence",
  AND(ISNUMBER(BW115),ISNUMBER(BV115),BW115&gt;BV115), "Overclaiming Risk",
  CE115&gt;=65, "Strong",
  CE115&gt;=40, "Adequate",
  TRUE, "Weak"
)</f>
        <v>Weak</v>
      </c>
      <c r="DT115" s="5">
        <f t="shared" si="98"/>
        <v>11.7</v>
      </c>
      <c r="DU115" s="5" t="str">
        <f t="array" ref="DU115">_xlfn.IFS(
  DV115="Upgraded to Clear", "Clear",
  DV115="Downgraded to Watchlist", "Watchlist",
  DV115="Downgraded to Exclusion", "Exclusion Risk",
  DB115="Yes — Automatic", "Exclusion Risk",
  OR(AW115="Confirmed Violation", AX115="Confirmed Breach"), "Exclusion Risk",
  OR(V115=0, ISBLANK(V115), DN115&lt;20), "Insufficient Evidence",
  AND(DT115&gt;=65, DA115="No", DB115="No"), "Clear",
  OR(DT115&gt;=40, DA115="Yes"), "Watchlist",
  TRUE, "Exclusion Risk"
)</f>
        <v>Insufficient Evidence</v>
      </c>
      <c r="DV115" s="5"/>
      <c r="DW115" s="5" t="str">
        <f t="array" ref="DW115">_xlfn.IFS(
  DU115="Exclusion Risk", "Exclude — Hard Trigger",
  DU115="Insufficient Evidence", "Watchlist — Further Evidence Needed",
  DU115="Watchlist", "Watchlist — Further Evidence Needed",
  AND(DU115="Clear", DT115&gt;=80), "Include — No Conditions",
  DU115="Clear", "Include — Monitor",
  TRUE, "Watchlist — Further Evidence Needed"
)</f>
        <v>Watchlist — Further Evidence Needed</v>
      </c>
      <c r="DX115" s="5"/>
      <c r="DY115" s="5"/>
      <c r="DZ115" s="5"/>
      <c r="EA115" s="5"/>
      <c r="EB115" s="5" t="str">
        <f t="shared" si="99"/>
        <v>MISSING — No sources reviewed</v>
      </c>
      <c r="EC115" s="5" t="str">
        <f t="shared" si="100"/>
        <v/>
      </c>
    </row>
    <row r="116" spans="1:133" ht="18" customHeight="1" x14ac:dyDescent="0.15">
      <c r="A116" s="5" t="s">
        <v>660</v>
      </c>
      <c r="B116" s="5" t="s">
        <v>661</v>
      </c>
      <c r="C116" s="5" t="str">
        <f>IF(ISBLANK('Universe Tracker'!D91),"",'Universe Tracker'!D91)</f>
        <v>ES0113679I37</v>
      </c>
      <c r="D116" s="5"/>
      <c r="E116" s="5"/>
      <c r="F116" s="5" t="str">
        <f>IF(ISBLANK('Universe Tracker'!F91),"",'Universe Tracker'!F91)</f>
        <v>Financials</v>
      </c>
      <c r="G116" s="5" t="str">
        <f>IF(ISBLANK('Universe Tracker'!G91),"",'Universe Tracker'!G91)</f>
        <v>Banking</v>
      </c>
      <c r="H116" s="5"/>
      <c r="I116" s="5"/>
      <c r="J116" s="5" t="str">
        <f t="shared" si="88"/>
        <v>BAKA_ES0113679I37</v>
      </c>
      <c r="K116" s="5"/>
      <c r="L116" s="5"/>
      <c r="M116" s="5"/>
      <c r="N116" s="5"/>
      <c r="O116" s="5"/>
      <c r="P116" s="5"/>
      <c r="Q116" s="5"/>
      <c r="R116" s="5"/>
      <c r="S116" s="5"/>
      <c r="T116" s="5"/>
      <c r="U116" s="5"/>
      <c r="V116" s="5"/>
      <c r="W116" s="5"/>
      <c r="X116" s="5"/>
      <c r="Y116" s="5" t="str">
        <f t="shared" si="89"/>
        <v>Insufficient</v>
      </c>
      <c r="Z116" s="5"/>
      <c r="AA116" s="5"/>
      <c r="AB116" s="5"/>
      <c r="AC116" s="5"/>
      <c r="AD116" s="5"/>
      <c r="AE116" s="5"/>
      <c r="AF116" s="5"/>
      <c r="AG116" s="5"/>
      <c r="AH116" s="5"/>
      <c r="AI116" s="5"/>
      <c r="AJ116" s="5"/>
      <c r="AK116" s="5"/>
      <c r="AL116" s="5"/>
      <c r="AM116" s="5"/>
      <c r="AN116" s="5"/>
      <c r="AO116" s="5"/>
      <c r="AP116" s="5"/>
      <c r="AQ116" s="5"/>
      <c r="AR116" s="40">
        <f t="array" ref="AR116">MIN(100, MAX(0,
  IFERROR(_xlfn.XLOOKUP(AJ116,'Lookup Tables'!$A$2:$A$7,'Lookup Tables'!$B$2:$B$7,0),0)
  + IF(Z116="Yes", IF(IFERROR(_xlfn.XLOOKUP(AJ116,'Lookup Tables'!$A$2:$A$7,'Lookup Tables'!$B$2:$B$7,0),0)&lt;20, 5, 0), 0)
  + _xlfn.IFS(AB116="Yes", IF(ISNUMBER(AC116)*AND(AC116&lt;=2030),15,10), AB116="Long-term Only", 5, AB116="No", 0, TRUE, 0)
  + _xlfn.IFS(AF116="Full",10, AF116="Partial",5, AF116="Scope 2 Only",3, TRUE,0)
  + _xlfn.IFS(AG116="Yes", IF(ISNUMBER(AH116)*AND(AH116&gt;=5),10,6), AG116="Partial",4, TRUE,0)
  + _xlfn.IFS(AI116="Yes",5, AI116="Partial (material categories only)",3, TRUE,0)
  + _xlfn.IFS(AL116="Yes — Detailed",10, AL116="Yes — High Level",5, TRUE,0)
  + _xlfn.IFS(AM116="Yes — Quantified",15, AM116="Yes — Directional Only",7, TRUE,0)
  + _xlfn.IFS(AP116="Formal",5, AP116="Referenced",2, TRUE,0)
  + _xlfn.IFS(AQ116="No Issues Found",5, AQ116="Concern Identified",-5, AQ116="Severe Contradiction",-15, TRUE,0)
  + _xlfn.IFS(BC116="Reasonable Assurance",5, BC116="Limited Assurance",3, TRUE,0)
  - IF(AND(Z116="Yes", AI116="No"), 10, 0)
  - IF(AND(Z116="Yes", AM116="No"), 10, 0)
))</f>
        <v>0</v>
      </c>
      <c r="AS116" s="5"/>
      <c r="AT116" s="5"/>
      <c r="AU116" s="5"/>
      <c r="AV116" s="5"/>
      <c r="AW116" s="5"/>
      <c r="AX116" s="5"/>
      <c r="AY116" s="5"/>
      <c r="AZ116" s="5"/>
      <c r="BA116" s="5"/>
      <c r="BB116" s="5"/>
      <c r="BC116" s="5"/>
      <c r="BD116" s="5"/>
      <c r="BE116" s="39">
        <f t="array" ref="BE116">MIN(100, MAX(0,
  IFERROR(_xlfn.XLOOKUP(AT116,'Lookup Tables'!$D$2:$D$6,'Lookup Tables'!$E$2:$E$6,0),0)
  + IFERROR(_xlfn.XLOOKUP(AV116,'Lookup Tables'!$G$2:$G$5,'Lookup Tables'!$H$2:$H$5,0),0)
  + IFERROR(_xlfn.XLOOKUP(AW116,'Lookup Tables'!$J$2:$J$5,'Lookup Tables'!$K$2:$K$5,0),0)
  + _xlfn.IFS(AX116="No Issues",10, AX116="Complaint Filed",3, AX116="Confirmed Breach",-15, TRUE,0)
  + IFERROR(_xlfn.XLOOKUP(AY116,'Lookup Tables'!$M$2:$M$6,'Lookup Tables'!$N$2:$N$6,0),0)
  + IFERROR(_xlfn.XLOOKUP(AZ116,'Lookup Tables'!$P$2:$P$6,'Lookup Tables'!$Q$2:$Q$6,0),0)
  + _xlfn.IFS(BA116="Formal Board Committee",5, BA116="Board Oversight Mentioned",2, TRUE,0)
  + _xlfn.IFS(BB116="Yes — Quantified Targets",5, BB116="Yes — Discretionary Only",2, TRUE,0)
  + _xlfn.IFS(BC116="Reasonable Assurance",5, BC116="Limited Assurance",3, BC116="Management Review Only",1, TRUE,0)
))</f>
        <v>0</v>
      </c>
      <c r="BF116" s="5"/>
      <c r="BG116" s="5"/>
      <c r="BH116" s="5"/>
      <c r="BI116" s="5"/>
      <c r="BJ116" s="5"/>
      <c r="BK116" s="5"/>
      <c r="BL116" s="5"/>
      <c r="BM116" s="5"/>
      <c r="BN116" s="5"/>
      <c r="BO116" s="5"/>
      <c r="BP116" s="5"/>
      <c r="BQ116" s="5"/>
      <c r="BR116" s="5"/>
      <c r="BS116" s="41">
        <f t="array" ref="BS116">MIN(100, MAX(0,
  IFERROR(_xlfn.XLOOKUP(BG116,'Lookup Tables'!$A$11:$A$16,'Lookup Tables'!$B$11:$B$16,0),0)
  + IFERROR(_xlfn.XLOOKUP(BR116,'Lookup Tables'!$M$11:$M$14,'Lookup Tables'!$N$11:$N$14,0),0)
  + IFERROR(_xlfn.XLOOKUP(BQ116,'Lookup Tables'!$J$11:$J$15,'Lookup Tables'!$K$11:$K$15,0),0)
  + IFERROR(_xlfn.XLOOKUP(BH116,'Lookup Tables'!$D$11:$D$15,'Lookup Tables'!$E$11:$E$15,0),0)
  + IFERROR(_xlfn.XLOOKUP(BJ116,'Lookup Tables'!$G$11:$G$16,'Lookup Tables'!$H$11:$H$16,0),0)
  + IFERROR(_xlfn.XLOOKUP(BN116,'Lookup Tables'!$P$11:$P$15,'Lookup Tables'!$Q$11:$Q$15,0),0)
  + _xlfn.IFS(BM116="No Evidence",10, BM116="Unknown",3, BM116="Likely",0, BM116="Confirmed",-10, TRUE,3)
  + IFERROR(_xlfn.XLOOKUP(BP116,'Lookup Tables'!$J$21:$J$24,'Lookup Tables'!$K$21:$K$24,0),0)
))</f>
        <v>3</v>
      </c>
      <c r="BT116" s="5"/>
      <c r="BU116" s="5"/>
      <c r="BV116" s="5"/>
      <c r="BW116" s="5"/>
      <c r="BX116" s="5"/>
      <c r="BY116" s="5"/>
      <c r="BZ116" s="5"/>
      <c r="CA116" s="5"/>
      <c r="CB116" s="5"/>
      <c r="CC116" s="5"/>
      <c r="CD116" s="5"/>
      <c r="CE116" s="43">
        <f t="array" ref="CE116">MIN(100, MAX(0,
  IF(ISNUMBER(BV116)*AND(BV116&gt;0), 10, 0)
  + _xlfn.IFS(BY116="Independently Verified",25, BY116="Yes",15, TRUE,0)
  + IFERROR(_xlfn.XLOOKUP(BZ116,'Lookup Tables'!$A$21:$A$24,'Lookup Tables'!$B$21:$B$24,0),0)
  + IFERROR(_xlfn.XLOOKUP(CA116,'Lookup Tables'!$D$21:$D$24,'Lookup Tables'!$E$21:$E$24,0),0)
  + _xlfn.IFS(ISNUMBER(CB116)*AND(CB116&gt;=11),15, ISNUMBER(CB116)*AND(CB116&gt;=6),10, ISNUMBER(CB116)*AND(CB116&gt;=1),5, TRUE,0)
  + IFERROR(_xlfn.XLOOKUP(CC116,'Lookup Tables'!$G$21:$G$25,'Lookup Tables'!$H$21:$H$25,0),0)
  - IF(ISNUMBER(BW116)*AND(ISNUMBER(BV116))*AND(BW116&gt;BV116), 20, 0)
  - IF(AND(BY116="Yes", ISNUMBER(BW116), BW116&gt;60), 10, 0)
))</f>
        <v>0</v>
      </c>
      <c r="CF116" s="5"/>
      <c r="CG116" s="5"/>
      <c r="CH116" s="5"/>
      <c r="CI116" s="5"/>
      <c r="CJ116" s="5"/>
      <c r="CK116" s="5"/>
      <c r="CL116" s="5"/>
      <c r="CM116" s="5"/>
      <c r="CN116" s="5"/>
      <c r="CO116" s="5"/>
      <c r="CP116" s="5"/>
      <c r="CQ116" s="5"/>
      <c r="CR116" s="5">
        <f t="shared" si="90"/>
        <v>0</v>
      </c>
      <c r="CS116" s="5">
        <f t="shared" si="91"/>
        <v>0</v>
      </c>
      <c r="CT116" s="5">
        <f t="shared" si="92"/>
        <v>0</v>
      </c>
      <c r="CU116" s="5">
        <f>MIN(100,
  CR116*15
  + CS116*6
  + CT116*3
  + IFERROR(_xlfn.XLOOKUP(CW116,'Lookup Tables'!$M$21:$M$25,'Lookup Tables'!$N$21:$N$25,0),0)
)</f>
        <v>0</v>
      </c>
      <c r="CV116" s="5" t="str">
        <f t="shared" si="93"/>
        <v>No failures</v>
      </c>
      <c r="CW116" s="5"/>
      <c r="CX116" s="5"/>
      <c r="CY116" s="5"/>
      <c r="CZ116" s="5"/>
      <c r="DA116" s="5" t="str">
        <f t="shared" si="94"/>
        <v>Yes</v>
      </c>
      <c r="DB116" s="5" t="str">
        <f t="shared" si="95"/>
        <v>No</v>
      </c>
      <c r="DC116" s="5"/>
      <c r="DD116" s="5"/>
      <c r="DE116" s="5"/>
      <c r="DF116" s="5"/>
      <c r="DG116" s="5"/>
      <c r="DH116" s="5"/>
      <c r="DI116" s="5"/>
      <c r="DJ116" s="5"/>
      <c r="DK116" s="5"/>
      <c r="DL116" s="5" t="str">
        <f t="shared" si="96"/>
        <v>Clear</v>
      </c>
      <c r="DM116" s="5" t="str">
        <f t="shared" si="97"/>
        <v>Yes</v>
      </c>
      <c r="DN116" s="5">
        <f t="array" ref="DN116">MIN(100,
  IF(ISNUMBER(V116), _xlfn.IFS(V116&gt;=3,25, V116=2,15, V116=1,5, TRUE,0), 0)
  + IFERROR(_xlfn.IFS(VALUE(LEFT(DF116,1))=5,25, VALUE(LEFT(DF116,1))=4,20, VALUE(LEFT(DF116,1))=3,15, VALUE(LEFT(DF116,1))=2,8, TRUE,0), 15)
  + IFERROR(_xlfn.IFS(VALUE(LEFT(DG116,1))=5,25, VALUE(LEFT(DG116,1))=4,20, VALUE(LEFT(DG116,1))=3,15, VALUE(LEFT(DG116,1))=2,8, TRUE,0), 15)
  + _xlfn.IFS(DH116="Fully Verified",25, DH116="Partially Verified",12, TRUE,0)
)</f>
        <v>30</v>
      </c>
      <c r="DO116" s="5" t="str">
        <f t="array" ref="DO116">_xlfn.IFS(
  ISBLANK(AR116), "Insufficient Evidence",
  AND(AR116&gt;=65, AJ116="Approved"), "Strong",
  AR116&gt;=65, "Adequate",
  AR116&gt;=40, "Adequate",
  AR116&gt;=20, "Weak",
  TRUE, "Insufficient Evidence"
)</f>
        <v>Insufficient Evidence</v>
      </c>
      <c r="DP116" s="5" t="str">
        <f t="array" ref="DP116">_xlfn.IFS(
  ISBLANK(BS116), "Insufficient Evidence",
  BS116&gt;=65, "Strong",
  BS116&gt;=40, "Adequate",
  BS116&gt;=20, "Weak",
  TRUE, "Insufficient Evidence"
)</f>
        <v>Insufficient Evidence</v>
      </c>
      <c r="DQ116" s="5" t="str">
        <f t="array" ref="DQ116">_xlfn.IFS(
  ISBLANK(BE116), "Insufficient Evidence",
  OR(AW116="Confirmed Violation", AX116="Confirmed Breach"), "Severe — Hard Trigger",
  BE116&gt;=65, "Strong",
  BE116&gt;=40, "Adequate",
  BE116&gt;=20, "Weak",
  TRUE, "Insufficient Evidence"
)</f>
        <v>Insufficient Evidence</v>
      </c>
      <c r="DR116" s="5" t="str">
        <f t="array" ref="DR116">_xlfn.IFS(
  ISBLANK(CU116), "Insufficient Evidence",
  CU116&lt;=20, "Low Risk",
  CU116&lt;=50, "Moderate Risk",
  CU116&lt;=75, "High Risk",
  TRUE, "Very High Risk"
)</f>
        <v>Low Risk</v>
      </c>
      <c r="DS116" s="5" t="str">
        <f t="array" ref="DS116">_xlfn.IFS(
  ISBLANK(CE116), "Insufficient Evidence",
  AND(ISNUMBER(BW116),ISNUMBER(BV116),BW116&gt;BV116), "Overclaiming Risk",
  CE116&gt;=65, "Strong",
  CE116&gt;=40, "Adequate",
  TRUE, "Weak"
)</f>
        <v>Weak</v>
      </c>
      <c r="DT116" s="5">
        <f t="shared" si="98"/>
        <v>11.7</v>
      </c>
      <c r="DU116" s="5" t="str">
        <f t="array" ref="DU116">_xlfn.IFS(
  DV116="Upgraded to Clear", "Clear",
  DV116="Downgraded to Watchlist", "Watchlist",
  DV116="Downgraded to Exclusion", "Exclusion Risk",
  DB116="Yes — Automatic", "Exclusion Risk",
  OR(AW116="Confirmed Violation", AX116="Confirmed Breach"), "Exclusion Risk",
  OR(V116=0, ISBLANK(V116), DN116&lt;20), "Insufficient Evidence",
  AND(DT116&gt;=65, DA116="No", DB116="No"), "Clear",
  OR(DT116&gt;=40, DA116="Yes"), "Watchlist",
  TRUE, "Exclusion Risk"
)</f>
        <v>Insufficient Evidence</v>
      </c>
      <c r="DV116" s="5"/>
      <c r="DW116" s="5" t="str">
        <f t="array" ref="DW116">_xlfn.IFS(
  DU116="Exclusion Risk", "Exclude — Hard Trigger",
  DU116="Insufficient Evidence", "Watchlist — Further Evidence Needed",
  DU116="Watchlist", "Watchlist — Further Evidence Needed",
  AND(DU116="Clear", DT116&gt;=80), "Include — No Conditions",
  DU116="Clear", "Include — Monitor",
  TRUE, "Watchlist — Further Evidence Needed"
)</f>
        <v>Watchlist — Further Evidence Needed</v>
      </c>
      <c r="DX116" s="5"/>
      <c r="DY116" s="5"/>
      <c r="DZ116" s="5"/>
      <c r="EA116" s="5"/>
      <c r="EB116" s="5" t="str">
        <f t="shared" si="99"/>
        <v>MISSING — No sources reviewed</v>
      </c>
      <c r="EC116" s="5" t="str">
        <f t="shared" si="100"/>
        <v/>
      </c>
    </row>
    <row r="117" spans="1:133" ht="18" customHeight="1" x14ac:dyDescent="0.15">
      <c r="A117" s="5" t="s">
        <v>664</v>
      </c>
      <c r="B117" s="5" t="s">
        <v>665</v>
      </c>
      <c r="C117" s="5" t="str">
        <f>IF(ISBLANK('Universe Tracker'!D92),"",'Universe Tracker'!D92)</f>
        <v>IT0000072170</v>
      </c>
      <c r="D117" s="5"/>
      <c r="E117" s="5"/>
      <c r="F117" s="5" t="str">
        <f>IF(ISBLANK('Universe Tracker'!F92),"",'Universe Tracker'!F92)</f>
        <v>Financials</v>
      </c>
      <c r="G117" s="5" t="str">
        <f>IF(ISBLANK('Universe Tracker'!G92),"",'Universe Tracker'!G92)</f>
        <v>Banking</v>
      </c>
      <c r="H117" s="5"/>
      <c r="I117" s="5"/>
      <c r="J117" s="5" t="str">
        <f t="shared" si="88"/>
        <v>ZS3_IT0000072170</v>
      </c>
      <c r="K117" s="5"/>
      <c r="L117" s="5"/>
      <c r="M117" s="5"/>
      <c r="N117" s="5"/>
      <c r="O117" s="5"/>
      <c r="P117" s="5"/>
      <c r="Q117" s="5"/>
      <c r="R117" s="5"/>
      <c r="S117" s="5"/>
      <c r="T117" s="5"/>
      <c r="U117" s="5"/>
      <c r="V117" s="5"/>
      <c r="W117" s="5"/>
      <c r="X117" s="5"/>
      <c r="Y117" s="5" t="str">
        <f t="shared" si="89"/>
        <v>Insufficient</v>
      </c>
      <c r="Z117" s="5"/>
      <c r="AA117" s="5"/>
      <c r="AB117" s="5"/>
      <c r="AC117" s="5"/>
      <c r="AD117" s="5"/>
      <c r="AE117" s="5"/>
      <c r="AF117" s="5"/>
      <c r="AG117" s="5"/>
      <c r="AH117" s="5"/>
      <c r="AI117" s="5"/>
      <c r="AJ117" s="5"/>
      <c r="AK117" s="5"/>
      <c r="AL117" s="5"/>
      <c r="AM117" s="5"/>
      <c r="AN117" s="5"/>
      <c r="AO117" s="5"/>
      <c r="AP117" s="5"/>
      <c r="AQ117" s="5"/>
      <c r="AR117" s="40">
        <f t="array" ref="AR117">MIN(100, MAX(0,
  IFERROR(_xlfn.XLOOKUP(AJ117,'Lookup Tables'!$A$2:$A$7,'Lookup Tables'!$B$2:$B$7,0),0)
  + IF(Z117="Yes", IF(IFERROR(_xlfn.XLOOKUP(AJ117,'Lookup Tables'!$A$2:$A$7,'Lookup Tables'!$B$2:$B$7,0),0)&lt;20, 5, 0), 0)
  + _xlfn.IFS(AB117="Yes", IF(ISNUMBER(AC117)*AND(AC117&lt;=2030),15,10), AB117="Long-term Only", 5, AB117="No", 0, TRUE, 0)
  + _xlfn.IFS(AF117="Full",10, AF117="Partial",5, AF117="Scope 2 Only",3, TRUE,0)
  + _xlfn.IFS(AG117="Yes", IF(ISNUMBER(AH117)*AND(AH117&gt;=5),10,6), AG117="Partial",4, TRUE,0)
  + _xlfn.IFS(AI117="Yes",5, AI117="Partial (material categories only)",3, TRUE,0)
  + _xlfn.IFS(AL117="Yes — Detailed",10, AL117="Yes — High Level",5, TRUE,0)
  + _xlfn.IFS(AM117="Yes — Quantified",15, AM117="Yes — Directional Only",7, TRUE,0)
  + _xlfn.IFS(AP117="Formal",5, AP117="Referenced",2, TRUE,0)
  + _xlfn.IFS(AQ117="No Issues Found",5, AQ117="Concern Identified",-5, AQ117="Severe Contradiction",-15, TRUE,0)
  + _xlfn.IFS(BC117="Reasonable Assurance",5, BC117="Limited Assurance",3, TRUE,0)
  - IF(AND(Z117="Yes", AI117="No"), 10, 0)
  - IF(AND(Z117="Yes", AM117="No"), 10, 0)
))</f>
        <v>0</v>
      </c>
      <c r="AS117" s="5"/>
      <c r="AT117" s="5"/>
      <c r="AU117" s="5"/>
      <c r="AV117" s="5"/>
      <c r="AW117" s="5"/>
      <c r="AX117" s="5"/>
      <c r="AY117" s="5"/>
      <c r="AZ117" s="5"/>
      <c r="BA117" s="5"/>
      <c r="BB117" s="5"/>
      <c r="BC117" s="5"/>
      <c r="BD117" s="5"/>
      <c r="BE117" s="39">
        <f t="array" ref="BE117">MIN(100, MAX(0,
  IFERROR(_xlfn.XLOOKUP(AT117,'Lookup Tables'!$D$2:$D$6,'Lookup Tables'!$E$2:$E$6,0),0)
  + IFERROR(_xlfn.XLOOKUP(AV117,'Lookup Tables'!$G$2:$G$5,'Lookup Tables'!$H$2:$H$5,0),0)
  + IFERROR(_xlfn.XLOOKUP(AW117,'Lookup Tables'!$J$2:$J$5,'Lookup Tables'!$K$2:$K$5,0),0)
  + _xlfn.IFS(AX117="No Issues",10, AX117="Complaint Filed",3, AX117="Confirmed Breach",-15, TRUE,0)
  + IFERROR(_xlfn.XLOOKUP(AY117,'Lookup Tables'!$M$2:$M$6,'Lookup Tables'!$N$2:$N$6,0),0)
  + IFERROR(_xlfn.XLOOKUP(AZ117,'Lookup Tables'!$P$2:$P$6,'Lookup Tables'!$Q$2:$Q$6,0),0)
  + _xlfn.IFS(BA117="Formal Board Committee",5, BA117="Board Oversight Mentioned",2, TRUE,0)
  + _xlfn.IFS(BB117="Yes — Quantified Targets",5, BB117="Yes — Discretionary Only",2, TRUE,0)
  + _xlfn.IFS(BC117="Reasonable Assurance",5, BC117="Limited Assurance",3, BC117="Management Review Only",1, TRUE,0)
))</f>
        <v>0</v>
      </c>
      <c r="BF117" s="5"/>
      <c r="BG117" s="5"/>
      <c r="BH117" s="5"/>
      <c r="BI117" s="5"/>
      <c r="BJ117" s="5"/>
      <c r="BK117" s="5"/>
      <c r="BL117" s="5"/>
      <c r="BM117" s="5"/>
      <c r="BN117" s="5"/>
      <c r="BO117" s="5"/>
      <c r="BP117" s="5"/>
      <c r="BQ117" s="5"/>
      <c r="BR117" s="5"/>
      <c r="BS117" s="41">
        <f t="array" ref="BS117">MIN(100, MAX(0,
  IFERROR(_xlfn.XLOOKUP(BG117,'Lookup Tables'!$A$11:$A$16,'Lookup Tables'!$B$11:$B$16,0),0)
  + IFERROR(_xlfn.XLOOKUP(BR117,'Lookup Tables'!$M$11:$M$14,'Lookup Tables'!$N$11:$N$14,0),0)
  + IFERROR(_xlfn.XLOOKUP(BQ117,'Lookup Tables'!$J$11:$J$15,'Lookup Tables'!$K$11:$K$15,0),0)
  + IFERROR(_xlfn.XLOOKUP(BH117,'Lookup Tables'!$D$11:$D$15,'Lookup Tables'!$E$11:$E$15,0),0)
  + IFERROR(_xlfn.XLOOKUP(BJ117,'Lookup Tables'!$G$11:$G$16,'Lookup Tables'!$H$11:$H$16,0),0)
  + IFERROR(_xlfn.XLOOKUP(BN117,'Lookup Tables'!$P$11:$P$15,'Lookup Tables'!$Q$11:$Q$15,0),0)
  + _xlfn.IFS(BM117="No Evidence",10, BM117="Unknown",3, BM117="Likely",0, BM117="Confirmed",-10, TRUE,3)
  + IFERROR(_xlfn.XLOOKUP(BP117,'Lookup Tables'!$J$21:$J$24,'Lookup Tables'!$K$21:$K$24,0),0)
))</f>
        <v>3</v>
      </c>
      <c r="BT117" s="5"/>
      <c r="BU117" s="5"/>
      <c r="BV117" s="5"/>
      <c r="BW117" s="5"/>
      <c r="BX117" s="5"/>
      <c r="BY117" s="5"/>
      <c r="BZ117" s="5"/>
      <c r="CA117" s="5"/>
      <c r="CB117" s="5"/>
      <c r="CC117" s="5"/>
      <c r="CD117" s="5"/>
      <c r="CE117" s="43">
        <f t="array" ref="CE117">MIN(100, MAX(0,
  IF(ISNUMBER(BV117)*AND(BV117&gt;0), 10, 0)
  + _xlfn.IFS(BY117="Independently Verified",25, BY117="Yes",15, TRUE,0)
  + IFERROR(_xlfn.XLOOKUP(BZ117,'Lookup Tables'!$A$21:$A$24,'Lookup Tables'!$B$21:$B$24,0),0)
  + IFERROR(_xlfn.XLOOKUP(CA117,'Lookup Tables'!$D$21:$D$24,'Lookup Tables'!$E$21:$E$24,0),0)
  + _xlfn.IFS(ISNUMBER(CB117)*AND(CB117&gt;=11),15, ISNUMBER(CB117)*AND(CB117&gt;=6),10, ISNUMBER(CB117)*AND(CB117&gt;=1),5, TRUE,0)
  + IFERROR(_xlfn.XLOOKUP(CC117,'Lookup Tables'!$G$21:$G$25,'Lookup Tables'!$H$21:$H$25,0),0)
  - IF(ISNUMBER(BW117)*AND(ISNUMBER(BV117))*AND(BW117&gt;BV117), 20, 0)
  - IF(AND(BY117="Yes", ISNUMBER(BW117), BW117&gt;60), 10, 0)
))</f>
        <v>0</v>
      </c>
      <c r="CF117" s="5"/>
      <c r="CG117" s="5"/>
      <c r="CH117" s="5"/>
      <c r="CI117" s="5"/>
      <c r="CJ117" s="5"/>
      <c r="CK117" s="5"/>
      <c r="CL117" s="5"/>
      <c r="CM117" s="5"/>
      <c r="CN117" s="5"/>
      <c r="CO117" s="5"/>
      <c r="CP117" s="5"/>
      <c r="CQ117" s="5"/>
      <c r="CR117" s="5">
        <f t="shared" si="90"/>
        <v>0</v>
      </c>
      <c r="CS117" s="5">
        <f t="shared" si="91"/>
        <v>0</v>
      </c>
      <c r="CT117" s="5">
        <f t="shared" si="92"/>
        <v>0</v>
      </c>
      <c r="CU117" s="5">
        <f>MIN(100,
  CR117*15
  + CS117*6
  + CT117*3
  + IFERROR(_xlfn.XLOOKUP(CW117,'Lookup Tables'!$M$21:$M$25,'Lookup Tables'!$N$21:$N$25,0),0)
)</f>
        <v>0</v>
      </c>
      <c r="CV117" s="5" t="str">
        <f t="shared" si="93"/>
        <v>No failures</v>
      </c>
      <c r="CW117" s="5"/>
      <c r="CX117" s="5"/>
      <c r="CY117" s="5"/>
      <c r="CZ117" s="5"/>
      <c r="DA117" s="5" t="str">
        <f t="shared" si="94"/>
        <v>Yes</v>
      </c>
      <c r="DB117" s="5" t="str">
        <f t="shared" si="95"/>
        <v>No</v>
      </c>
      <c r="DC117" s="5"/>
      <c r="DD117" s="5"/>
      <c r="DE117" s="5"/>
      <c r="DF117" s="5"/>
      <c r="DG117" s="5"/>
      <c r="DH117" s="5"/>
      <c r="DI117" s="5"/>
      <c r="DJ117" s="5"/>
      <c r="DK117" s="5"/>
      <c r="DL117" s="5" t="str">
        <f t="shared" si="96"/>
        <v>Clear</v>
      </c>
      <c r="DM117" s="5" t="str">
        <f t="shared" si="97"/>
        <v>Yes</v>
      </c>
      <c r="DN117" s="5">
        <f t="array" ref="DN117">MIN(100,
  IF(ISNUMBER(V117), _xlfn.IFS(V117&gt;=3,25, V117=2,15, V117=1,5, TRUE,0), 0)
  + IFERROR(_xlfn.IFS(VALUE(LEFT(DF117,1))=5,25, VALUE(LEFT(DF117,1))=4,20, VALUE(LEFT(DF117,1))=3,15, VALUE(LEFT(DF117,1))=2,8, TRUE,0), 15)
  + IFERROR(_xlfn.IFS(VALUE(LEFT(DG117,1))=5,25, VALUE(LEFT(DG117,1))=4,20, VALUE(LEFT(DG117,1))=3,15, VALUE(LEFT(DG117,1))=2,8, TRUE,0), 15)
  + _xlfn.IFS(DH117="Fully Verified",25, DH117="Partially Verified",12, TRUE,0)
)</f>
        <v>30</v>
      </c>
      <c r="DO117" s="5" t="str">
        <f t="array" ref="DO117">_xlfn.IFS(
  ISBLANK(AR117), "Insufficient Evidence",
  AND(AR117&gt;=65, AJ117="Approved"), "Strong",
  AR117&gt;=65, "Adequate",
  AR117&gt;=40, "Adequate",
  AR117&gt;=20, "Weak",
  TRUE, "Insufficient Evidence"
)</f>
        <v>Insufficient Evidence</v>
      </c>
      <c r="DP117" s="5" t="str">
        <f t="array" ref="DP117">_xlfn.IFS(
  ISBLANK(BS117), "Insufficient Evidence",
  BS117&gt;=65, "Strong",
  BS117&gt;=40, "Adequate",
  BS117&gt;=20, "Weak",
  TRUE, "Insufficient Evidence"
)</f>
        <v>Insufficient Evidence</v>
      </c>
      <c r="DQ117" s="5" t="str">
        <f t="array" ref="DQ117">_xlfn.IFS(
  ISBLANK(BE117), "Insufficient Evidence",
  OR(AW117="Confirmed Violation", AX117="Confirmed Breach"), "Severe — Hard Trigger",
  BE117&gt;=65, "Strong",
  BE117&gt;=40, "Adequate",
  BE117&gt;=20, "Weak",
  TRUE, "Insufficient Evidence"
)</f>
        <v>Insufficient Evidence</v>
      </c>
      <c r="DR117" s="5" t="str">
        <f t="array" ref="DR117">_xlfn.IFS(
  ISBLANK(CU117), "Insufficient Evidence",
  CU117&lt;=20, "Low Risk",
  CU117&lt;=50, "Moderate Risk",
  CU117&lt;=75, "High Risk",
  TRUE, "Very High Risk"
)</f>
        <v>Low Risk</v>
      </c>
      <c r="DS117" s="5" t="str">
        <f t="array" ref="DS117">_xlfn.IFS(
  ISBLANK(CE117), "Insufficient Evidence",
  AND(ISNUMBER(BW117),ISNUMBER(BV117),BW117&gt;BV117), "Overclaiming Risk",
  CE117&gt;=65, "Strong",
  CE117&gt;=40, "Adequate",
  TRUE, "Weak"
)</f>
        <v>Weak</v>
      </c>
      <c r="DT117" s="5">
        <f t="shared" si="98"/>
        <v>11.7</v>
      </c>
      <c r="DU117" s="5" t="str">
        <f t="array" ref="DU117">_xlfn.IFS(
  DV117="Upgraded to Clear", "Clear",
  DV117="Downgraded to Watchlist", "Watchlist",
  DV117="Downgraded to Exclusion", "Exclusion Risk",
  DB117="Yes — Automatic", "Exclusion Risk",
  OR(AW117="Confirmed Violation", AX117="Confirmed Breach"), "Exclusion Risk",
  OR(V117=0, ISBLANK(V117), DN117&lt;20), "Insufficient Evidence",
  AND(DT117&gt;=65, DA117="No", DB117="No"), "Clear",
  OR(DT117&gt;=40, DA117="Yes"), "Watchlist",
  TRUE, "Exclusion Risk"
)</f>
        <v>Insufficient Evidence</v>
      </c>
      <c r="DV117" s="5"/>
      <c r="DW117" s="5" t="str">
        <f t="array" ref="DW117">_xlfn.IFS(
  DU117="Exclusion Risk", "Exclude — Hard Trigger",
  DU117="Insufficient Evidence", "Watchlist — Further Evidence Needed",
  DU117="Watchlist", "Watchlist — Further Evidence Needed",
  AND(DU117="Clear", DT117&gt;=80), "Include — No Conditions",
  DU117="Clear", "Include — Monitor",
  TRUE, "Watchlist — Further Evidence Needed"
)</f>
        <v>Watchlist — Further Evidence Needed</v>
      </c>
      <c r="DX117" s="5"/>
      <c r="DY117" s="5"/>
      <c r="DZ117" s="5"/>
      <c r="EA117" s="5"/>
      <c r="EB117" s="5" t="str">
        <f t="shared" si="99"/>
        <v>MISSING — No sources reviewed</v>
      </c>
      <c r="EC117" s="5" t="str">
        <f t="shared" si="100"/>
        <v/>
      </c>
    </row>
    <row r="118" spans="1:133" ht="18" customHeight="1" x14ac:dyDescent="0.15">
      <c r="A118" s="5" t="s">
        <v>668</v>
      </c>
      <c r="B118" s="5" t="s">
        <v>669</v>
      </c>
      <c r="C118" s="5" t="str">
        <f>IF(ISBLANK('Universe Tracker'!D93),"",'Universe Tracker'!D93)</f>
        <v>PLKGHM000017</v>
      </c>
      <c r="D118" s="5"/>
      <c r="E118" s="5"/>
      <c r="F118" s="5" t="str">
        <f>IF(ISBLANK('Universe Tracker'!F93),"",'Universe Tracker'!F93)</f>
        <v>Materials</v>
      </c>
      <c r="G118" s="5" t="str">
        <f>IF(ISBLANK('Universe Tracker'!G93),"",'Universe Tracker'!G93)</f>
        <v>Materials</v>
      </c>
      <c r="H118" s="5"/>
      <c r="I118" s="5"/>
      <c r="J118" s="5" t="str">
        <f t="shared" si="88"/>
        <v>KGHA_PLKGHM000017</v>
      </c>
      <c r="K118" s="5"/>
      <c r="L118" s="5"/>
      <c r="M118" s="5"/>
      <c r="N118" s="5"/>
      <c r="O118" s="5"/>
      <c r="P118" s="5"/>
      <c r="Q118" s="5"/>
      <c r="R118" s="5"/>
      <c r="S118" s="5"/>
      <c r="T118" s="5"/>
      <c r="U118" s="5"/>
      <c r="V118" s="5"/>
      <c r="W118" s="5"/>
      <c r="X118" s="5"/>
      <c r="Y118" s="5" t="str">
        <f t="shared" si="89"/>
        <v>Insufficient</v>
      </c>
      <c r="Z118" s="5"/>
      <c r="AA118" s="5"/>
      <c r="AB118" s="5"/>
      <c r="AC118" s="5"/>
      <c r="AD118" s="5"/>
      <c r="AE118" s="5"/>
      <c r="AF118" s="5"/>
      <c r="AG118" s="5"/>
      <c r="AH118" s="5"/>
      <c r="AI118" s="5"/>
      <c r="AJ118" s="5"/>
      <c r="AK118" s="5"/>
      <c r="AL118" s="5"/>
      <c r="AM118" s="5"/>
      <c r="AN118" s="5"/>
      <c r="AO118" s="5"/>
      <c r="AP118" s="5"/>
      <c r="AQ118" s="5"/>
      <c r="AR118" s="40">
        <f t="array" ref="AR118">MIN(100, MAX(0,
  IFERROR(_xlfn.XLOOKUP(AJ118,'Lookup Tables'!$A$2:$A$7,'Lookup Tables'!$B$2:$B$7,0),0)
  + IF(Z118="Yes", IF(IFERROR(_xlfn.XLOOKUP(AJ118,'Lookup Tables'!$A$2:$A$7,'Lookup Tables'!$B$2:$B$7,0),0)&lt;20, 5, 0), 0)
  + _xlfn.IFS(AB118="Yes", IF(ISNUMBER(AC118)*AND(AC118&lt;=2030),15,10), AB118="Long-term Only", 5, AB118="No", 0, TRUE, 0)
  + _xlfn.IFS(AF118="Full",10, AF118="Partial",5, AF118="Scope 2 Only",3, TRUE,0)
  + _xlfn.IFS(AG118="Yes", IF(ISNUMBER(AH118)*AND(AH118&gt;=5),10,6), AG118="Partial",4, TRUE,0)
  + _xlfn.IFS(AI118="Yes",5, AI118="Partial (material categories only)",3, TRUE,0)
  + _xlfn.IFS(AL118="Yes — Detailed",10, AL118="Yes — High Level",5, TRUE,0)
  + _xlfn.IFS(AM118="Yes — Quantified",15, AM118="Yes — Directional Only",7, TRUE,0)
  + _xlfn.IFS(AP118="Formal",5, AP118="Referenced",2, TRUE,0)
  + _xlfn.IFS(AQ118="No Issues Found",5, AQ118="Concern Identified",-5, AQ118="Severe Contradiction",-15, TRUE,0)
  + _xlfn.IFS(BC118="Reasonable Assurance",5, BC118="Limited Assurance",3, TRUE,0)
  - IF(AND(Z118="Yes", AI118="No"), 10, 0)
  - IF(AND(Z118="Yes", AM118="No"), 10, 0)
))</f>
        <v>0</v>
      </c>
      <c r="AS118" s="5"/>
      <c r="AT118" s="5"/>
      <c r="AU118" s="5"/>
      <c r="AV118" s="5"/>
      <c r="AW118" s="5"/>
      <c r="AX118" s="5"/>
      <c r="AY118" s="5"/>
      <c r="AZ118" s="5"/>
      <c r="BA118" s="5"/>
      <c r="BB118" s="5"/>
      <c r="BC118" s="5"/>
      <c r="BD118" s="5"/>
      <c r="BE118" s="39">
        <f t="array" ref="BE118">MIN(100, MAX(0,
  IFERROR(_xlfn.XLOOKUP(AT118,'Lookup Tables'!$D$2:$D$6,'Lookup Tables'!$E$2:$E$6,0),0)
  + IFERROR(_xlfn.XLOOKUP(AV118,'Lookup Tables'!$G$2:$G$5,'Lookup Tables'!$H$2:$H$5,0),0)
  + IFERROR(_xlfn.XLOOKUP(AW118,'Lookup Tables'!$J$2:$J$5,'Lookup Tables'!$K$2:$K$5,0),0)
  + _xlfn.IFS(AX118="No Issues",10, AX118="Complaint Filed",3, AX118="Confirmed Breach",-15, TRUE,0)
  + IFERROR(_xlfn.XLOOKUP(AY118,'Lookup Tables'!$M$2:$M$6,'Lookup Tables'!$N$2:$N$6,0),0)
  + IFERROR(_xlfn.XLOOKUP(AZ118,'Lookup Tables'!$P$2:$P$6,'Lookup Tables'!$Q$2:$Q$6,0),0)
  + _xlfn.IFS(BA118="Formal Board Committee",5, BA118="Board Oversight Mentioned",2, TRUE,0)
  + _xlfn.IFS(BB118="Yes — Quantified Targets",5, BB118="Yes — Discretionary Only",2, TRUE,0)
  + _xlfn.IFS(BC118="Reasonable Assurance",5, BC118="Limited Assurance",3, BC118="Management Review Only",1, TRUE,0)
))</f>
        <v>0</v>
      </c>
      <c r="BF118" s="5"/>
      <c r="BG118" s="5"/>
      <c r="BH118" s="5"/>
      <c r="BI118" s="5"/>
      <c r="BJ118" s="5"/>
      <c r="BK118" s="5"/>
      <c r="BL118" s="5"/>
      <c r="BM118" s="5"/>
      <c r="BN118" s="5"/>
      <c r="BO118" s="5"/>
      <c r="BP118" s="5"/>
      <c r="BQ118" s="5"/>
      <c r="BR118" s="5"/>
      <c r="BS118" s="41">
        <f t="array" ref="BS118">MIN(100, MAX(0,
  IFERROR(_xlfn.XLOOKUP(BG118,'Lookup Tables'!$A$11:$A$16,'Lookup Tables'!$B$11:$B$16,0),0)
  + IFERROR(_xlfn.XLOOKUP(BR118,'Lookup Tables'!$M$11:$M$14,'Lookup Tables'!$N$11:$N$14,0),0)
  + IFERROR(_xlfn.XLOOKUP(BQ118,'Lookup Tables'!$J$11:$J$15,'Lookup Tables'!$K$11:$K$15,0),0)
  + IFERROR(_xlfn.XLOOKUP(BH118,'Lookup Tables'!$D$11:$D$15,'Lookup Tables'!$E$11:$E$15,0),0)
  + IFERROR(_xlfn.XLOOKUP(BJ118,'Lookup Tables'!$G$11:$G$16,'Lookup Tables'!$H$11:$H$16,0),0)
  + IFERROR(_xlfn.XLOOKUP(BN118,'Lookup Tables'!$P$11:$P$15,'Lookup Tables'!$Q$11:$Q$15,0),0)
  + _xlfn.IFS(BM118="No Evidence",10, BM118="Unknown",3, BM118="Likely",0, BM118="Confirmed",-10, TRUE,3)
  + IFERROR(_xlfn.XLOOKUP(BP118,'Lookup Tables'!$J$21:$J$24,'Lookup Tables'!$K$21:$K$24,0),0)
))</f>
        <v>3</v>
      </c>
      <c r="BT118" s="5"/>
      <c r="BU118" s="5"/>
      <c r="BV118" s="5"/>
      <c r="BW118" s="5"/>
      <c r="BX118" s="5"/>
      <c r="BY118" s="5"/>
      <c r="BZ118" s="5"/>
      <c r="CA118" s="5"/>
      <c r="CB118" s="5"/>
      <c r="CC118" s="5"/>
      <c r="CD118" s="5"/>
      <c r="CE118" s="43">
        <f t="array" ref="CE118">MIN(100, MAX(0,
  IF(ISNUMBER(BV118)*AND(BV118&gt;0), 10, 0)
  + _xlfn.IFS(BY118="Independently Verified",25, BY118="Yes",15, TRUE,0)
  + IFERROR(_xlfn.XLOOKUP(BZ118,'Lookup Tables'!$A$21:$A$24,'Lookup Tables'!$B$21:$B$24,0),0)
  + IFERROR(_xlfn.XLOOKUP(CA118,'Lookup Tables'!$D$21:$D$24,'Lookup Tables'!$E$21:$E$24,0),0)
  + _xlfn.IFS(ISNUMBER(CB118)*AND(CB118&gt;=11),15, ISNUMBER(CB118)*AND(CB118&gt;=6),10, ISNUMBER(CB118)*AND(CB118&gt;=1),5, TRUE,0)
  + IFERROR(_xlfn.XLOOKUP(CC118,'Lookup Tables'!$G$21:$G$25,'Lookup Tables'!$H$21:$H$25,0),0)
  - IF(ISNUMBER(BW118)*AND(ISNUMBER(BV118))*AND(BW118&gt;BV118), 20, 0)
  - IF(AND(BY118="Yes", ISNUMBER(BW118), BW118&gt;60), 10, 0)
))</f>
        <v>0</v>
      </c>
      <c r="CF118" s="5"/>
      <c r="CG118" s="5"/>
      <c r="CH118" s="5"/>
      <c r="CI118" s="5"/>
      <c r="CJ118" s="5"/>
      <c r="CK118" s="5"/>
      <c r="CL118" s="5"/>
      <c r="CM118" s="5"/>
      <c r="CN118" s="5"/>
      <c r="CO118" s="5"/>
      <c r="CP118" s="5"/>
      <c r="CQ118" s="5"/>
      <c r="CR118" s="5">
        <f t="shared" si="90"/>
        <v>0</v>
      </c>
      <c r="CS118" s="5">
        <f t="shared" si="91"/>
        <v>0</v>
      </c>
      <c r="CT118" s="5">
        <f t="shared" si="92"/>
        <v>0</v>
      </c>
      <c r="CU118" s="5">
        <f>MIN(100,
  CR118*15
  + CS118*6
  + CT118*3
  + IFERROR(_xlfn.XLOOKUP(CW118,'Lookup Tables'!$M$21:$M$25,'Lookup Tables'!$N$21:$N$25,0),0)
)</f>
        <v>0</v>
      </c>
      <c r="CV118" s="5" t="str">
        <f t="shared" si="93"/>
        <v>No failures</v>
      </c>
      <c r="CW118" s="5"/>
      <c r="CX118" s="5"/>
      <c r="CY118" s="5"/>
      <c r="CZ118" s="5"/>
      <c r="DA118" s="5" t="str">
        <f t="shared" si="94"/>
        <v>Yes</v>
      </c>
      <c r="DB118" s="5" t="str">
        <f t="shared" si="95"/>
        <v>No</v>
      </c>
      <c r="DC118" s="5"/>
      <c r="DD118" s="5"/>
      <c r="DE118" s="5"/>
      <c r="DF118" s="5"/>
      <c r="DG118" s="5"/>
      <c r="DH118" s="5"/>
      <c r="DI118" s="5"/>
      <c r="DJ118" s="5"/>
      <c r="DK118" s="5"/>
      <c r="DL118" s="5" t="str">
        <f t="shared" si="96"/>
        <v>Clear</v>
      </c>
      <c r="DM118" s="5" t="str">
        <f t="shared" si="97"/>
        <v>Yes</v>
      </c>
      <c r="DN118" s="5">
        <f t="array" ref="DN118">MIN(100,
  IF(ISNUMBER(V118), _xlfn.IFS(V118&gt;=3,25, V118=2,15, V118=1,5, TRUE,0), 0)
  + IFERROR(_xlfn.IFS(VALUE(LEFT(DF118,1))=5,25, VALUE(LEFT(DF118,1))=4,20, VALUE(LEFT(DF118,1))=3,15, VALUE(LEFT(DF118,1))=2,8, TRUE,0), 15)
  + IFERROR(_xlfn.IFS(VALUE(LEFT(DG118,1))=5,25, VALUE(LEFT(DG118,1))=4,20, VALUE(LEFT(DG118,1))=3,15, VALUE(LEFT(DG118,1))=2,8, TRUE,0), 15)
  + _xlfn.IFS(DH118="Fully Verified",25, DH118="Partially Verified",12, TRUE,0)
)</f>
        <v>30</v>
      </c>
      <c r="DO118" s="5" t="str">
        <f t="array" ref="DO118">_xlfn.IFS(
  ISBLANK(AR118), "Insufficient Evidence",
  AND(AR118&gt;=65, AJ118="Approved"), "Strong",
  AR118&gt;=65, "Adequate",
  AR118&gt;=40, "Adequate",
  AR118&gt;=20, "Weak",
  TRUE, "Insufficient Evidence"
)</f>
        <v>Insufficient Evidence</v>
      </c>
      <c r="DP118" s="5" t="str">
        <f t="array" ref="DP118">_xlfn.IFS(
  ISBLANK(BS118), "Insufficient Evidence",
  BS118&gt;=65, "Strong",
  BS118&gt;=40, "Adequate",
  BS118&gt;=20, "Weak",
  TRUE, "Insufficient Evidence"
)</f>
        <v>Insufficient Evidence</v>
      </c>
      <c r="DQ118" s="5" t="str">
        <f t="array" ref="DQ118">_xlfn.IFS(
  ISBLANK(BE118), "Insufficient Evidence",
  OR(AW118="Confirmed Violation", AX118="Confirmed Breach"), "Severe — Hard Trigger",
  BE118&gt;=65, "Strong",
  BE118&gt;=40, "Adequate",
  BE118&gt;=20, "Weak",
  TRUE, "Insufficient Evidence"
)</f>
        <v>Insufficient Evidence</v>
      </c>
      <c r="DR118" s="5" t="str">
        <f t="array" ref="DR118">_xlfn.IFS(
  ISBLANK(CU118), "Insufficient Evidence",
  CU118&lt;=20, "Low Risk",
  CU118&lt;=50, "Moderate Risk",
  CU118&lt;=75, "High Risk",
  TRUE, "Very High Risk"
)</f>
        <v>Low Risk</v>
      </c>
      <c r="DS118" s="5" t="str">
        <f t="array" ref="DS118">_xlfn.IFS(
  ISBLANK(CE118), "Insufficient Evidence",
  AND(ISNUMBER(BW118),ISNUMBER(BV118),BW118&gt;BV118), "Overclaiming Risk",
  CE118&gt;=65, "Strong",
  CE118&gt;=40, "Adequate",
  TRUE, "Weak"
)</f>
        <v>Weak</v>
      </c>
      <c r="DT118" s="5">
        <f t="shared" si="98"/>
        <v>11.7</v>
      </c>
      <c r="DU118" s="5" t="str">
        <f t="array" ref="DU118">_xlfn.IFS(
  DV118="Upgraded to Clear", "Clear",
  DV118="Downgraded to Watchlist", "Watchlist",
  DV118="Downgraded to Exclusion", "Exclusion Risk",
  DB118="Yes — Automatic", "Exclusion Risk",
  OR(AW118="Confirmed Violation", AX118="Confirmed Breach"), "Exclusion Risk",
  OR(V118=0, ISBLANK(V118), DN118&lt;20), "Insufficient Evidence",
  AND(DT118&gt;=65, DA118="No", DB118="No"), "Clear",
  OR(DT118&gt;=40, DA118="Yes"), "Watchlist",
  TRUE, "Exclusion Risk"
)</f>
        <v>Insufficient Evidence</v>
      </c>
      <c r="DV118" s="5"/>
      <c r="DW118" s="5" t="str">
        <f t="array" ref="DW118">_xlfn.IFS(
  DU118="Exclusion Risk", "Exclude — Hard Trigger",
  DU118="Insufficient Evidence", "Watchlist — Further Evidence Needed",
  DU118="Watchlist", "Watchlist — Further Evidence Needed",
  AND(DU118="Clear", DT118&gt;=80), "Include — No Conditions",
  DU118="Clear", "Include — Monitor",
  TRUE, "Watchlist — Further Evidence Needed"
)</f>
        <v>Watchlist — Further Evidence Needed</v>
      </c>
      <c r="DX118" s="5"/>
      <c r="DY118" s="5"/>
      <c r="DZ118" s="5"/>
      <c r="EA118" s="5"/>
      <c r="EB118" s="5" t="str">
        <f t="shared" si="99"/>
        <v>MISSING — No sources reviewed</v>
      </c>
      <c r="EC118" s="5" t="str">
        <f t="shared" si="100"/>
        <v/>
      </c>
    </row>
    <row r="119" spans="1:133" ht="18" customHeight="1" x14ac:dyDescent="0.15">
      <c r="A119" s="5" t="s">
        <v>672</v>
      </c>
      <c r="B119" s="5" t="s">
        <v>673</v>
      </c>
      <c r="C119" s="5" t="str">
        <f>IF(ISBLANK('Universe Tracker'!D94),"",'Universe Tracker'!D94)</f>
        <v>SE0018245953</v>
      </c>
      <c r="D119" s="5"/>
      <c r="E119" s="5"/>
      <c r="F119" s="5" t="str">
        <f>IF(ISBLANK('Universe Tracker'!F94),"",'Universe Tracker'!F94)</f>
        <v>Health Care</v>
      </c>
      <c r="G119" s="5" t="str">
        <f>IF(ISBLANK('Universe Tracker'!G94),"",'Universe Tracker'!G94)</f>
        <v>Health Care</v>
      </c>
      <c r="H119" s="5"/>
      <c r="I119" s="5"/>
      <c r="J119" s="5" t="str">
        <f t="shared" si="88"/>
        <v>61L0_SE0018245953</v>
      </c>
      <c r="K119" s="5"/>
      <c r="L119" s="5"/>
      <c r="M119" s="5"/>
      <c r="N119" s="5"/>
      <c r="O119" s="5"/>
      <c r="P119" s="5"/>
      <c r="Q119" s="5"/>
      <c r="R119" s="5"/>
      <c r="S119" s="5"/>
      <c r="T119" s="5"/>
      <c r="U119" s="5"/>
      <c r="V119" s="5"/>
      <c r="W119" s="5"/>
      <c r="X119" s="5"/>
      <c r="Y119" s="5" t="str">
        <f t="shared" si="89"/>
        <v>Insufficient</v>
      </c>
      <c r="Z119" s="5"/>
      <c r="AA119" s="5"/>
      <c r="AB119" s="5"/>
      <c r="AC119" s="5"/>
      <c r="AD119" s="5"/>
      <c r="AE119" s="5"/>
      <c r="AF119" s="5"/>
      <c r="AG119" s="5"/>
      <c r="AH119" s="5"/>
      <c r="AI119" s="5"/>
      <c r="AJ119" s="5"/>
      <c r="AK119" s="5"/>
      <c r="AL119" s="5"/>
      <c r="AM119" s="5"/>
      <c r="AN119" s="5"/>
      <c r="AO119" s="5"/>
      <c r="AP119" s="5"/>
      <c r="AQ119" s="5"/>
      <c r="AR119" s="40">
        <f t="array" ref="AR119">MIN(100, MAX(0,
  IFERROR(_xlfn.XLOOKUP(AJ119,'Lookup Tables'!$A$2:$A$7,'Lookup Tables'!$B$2:$B$7,0),0)
  + IF(Z119="Yes", IF(IFERROR(_xlfn.XLOOKUP(AJ119,'Lookup Tables'!$A$2:$A$7,'Lookup Tables'!$B$2:$B$7,0),0)&lt;20, 5, 0), 0)
  + _xlfn.IFS(AB119="Yes", IF(ISNUMBER(AC119)*AND(AC119&lt;=2030),15,10), AB119="Long-term Only", 5, AB119="No", 0, TRUE, 0)
  + _xlfn.IFS(AF119="Full",10, AF119="Partial",5, AF119="Scope 2 Only",3, TRUE,0)
  + _xlfn.IFS(AG119="Yes", IF(ISNUMBER(AH119)*AND(AH119&gt;=5),10,6), AG119="Partial",4, TRUE,0)
  + _xlfn.IFS(AI119="Yes",5, AI119="Partial (material categories only)",3, TRUE,0)
  + _xlfn.IFS(AL119="Yes — Detailed",10, AL119="Yes — High Level",5, TRUE,0)
  + _xlfn.IFS(AM119="Yes — Quantified",15, AM119="Yes — Directional Only",7, TRUE,0)
  + _xlfn.IFS(AP119="Formal",5, AP119="Referenced",2, TRUE,0)
  + _xlfn.IFS(AQ119="No Issues Found",5, AQ119="Concern Identified",-5, AQ119="Severe Contradiction",-15, TRUE,0)
  + _xlfn.IFS(BC119="Reasonable Assurance",5, BC119="Limited Assurance",3, TRUE,0)
  - IF(AND(Z119="Yes", AI119="No"), 10, 0)
  - IF(AND(Z119="Yes", AM119="No"), 10, 0)
))</f>
        <v>0</v>
      </c>
      <c r="AS119" s="5"/>
      <c r="AT119" s="5"/>
      <c r="AU119" s="5"/>
      <c r="AV119" s="5"/>
      <c r="AW119" s="5"/>
      <c r="AX119" s="5"/>
      <c r="AY119" s="5"/>
      <c r="AZ119" s="5"/>
      <c r="BA119" s="5"/>
      <c r="BB119" s="5"/>
      <c r="BC119" s="5"/>
      <c r="BD119" s="5"/>
      <c r="BE119" s="39">
        <f t="array" ref="BE119">MIN(100, MAX(0,
  IFERROR(_xlfn.XLOOKUP(AT119,'Lookup Tables'!$D$2:$D$6,'Lookup Tables'!$E$2:$E$6,0),0)
  + IFERROR(_xlfn.XLOOKUP(AV119,'Lookup Tables'!$G$2:$G$5,'Lookup Tables'!$H$2:$H$5,0),0)
  + IFERROR(_xlfn.XLOOKUP(AW119,'Lookup Tables'!$J$2:$J$5,'Lookup Tables'!$K$2:$K$5,0),0)
  + _xlfn.IFS(AX119="No Issues",10, AX119="Complaint Filed",3, AX119="Confirmed Breach",-15, TRUE,0)
  + IFERROR(_xlfn.XLOOKUP(AY119,'Lookup Tables'!$M$2:$M$6,'Lookup Tables'!$N$2:$N$6,0),0)
  + IFERROR(_xlfn.XLOOKUP(AZ119,'Lookup Tables'!$P$2:$P$6,'Lookup Tables'!$Q$2:$Q$6,0),0)
  + _xlfn.IFS(BA119="Formal Board Committee",5, BA119="Board Oversight Mentioned",2, TRUE,0)
  + _xlfn.IFS(BB119="Yes — Quantified Targets",5, BB119="Yes — Discretionary Only",2, TRUE,0)
  + _xlfn.IFS(BC119="Reasonable Assurance",5, BC119="Limited Assurance",3, BC119="Management Review Only",1, TRUE,0)
))</f>
        <v>0</v>
      </c>
      <c r="BF119" s="5"/>
      <c r="BG119" s="5"/>
      <c r="BH119" s="5"/>
      <c r="BI119" s="5"/>
      <c r="BJ119" s="5"/>
      <c r="BK119" s="5"/>
      <c r="BL119" s="5"/>
      <c r="BM119" s="5"/>
      <c r="BN119" s="5"/>
      <c r="BO119" s="5"/>
      <c r="BP119" s="5"/>
      <c r="BQ119" s="5"/>
      <c r="BR119" s="5"/>
      <c r="BS119" s="41">
        <f t="array" ref="BS119">MIN(100, MAX(0,
  IFERROR(_xlfn.XLOOKUP(BG119,'Lookup Tables'!$A$11:$A$16,'Lookup Tables'!$B$11:$B$16,0),0)
  + IFERROR(_xlfn.XLOOKUP(BR119,'Lookup Tables'!$M$11:$M$14,'Lookup Tables'!$N$11:$N$14,0),0)
  + IFERROR(_xlfn.XLOOKUP(BQ119,'Lookup Tables'!$J$11:$J$15,'Lookup Tables'!$K$11:$K$15,0),0)
  + IFERROR(_xlfn.XLOOKUP(BH119,'Lookup Tables'!$D$11:$D$15,'Lookup Tables'!$E$11:$E$15,0),0)
  + IFERROR(_xlfn.XLOOKUP(BJ119,'Lookup Tables'!$G$11:$G$16,'Lookup Tables'!$H$11:$H$16,0),0)
  + IFERROR(_xlfn.XLOOKUP(BN119,'Lookup Tables'!$P$11:$P$15,'Lookup Tables'!$Q$11:$Q$15,0),0)
  + _xlfn.IFS(BM119="No Evidence",10, BM119="Unknown",3, BM119="Likely",0, BM119="Confirmed",-10, TRUE,3)
  + IFERROR(_xlfn.XLOOKUP(BP119,'Lookup Tables'!$J$21:$J$24,'Lookup Tables'!$K$21:$K$24,0),0)
))</f>
        <v>3</v>
      </c>
      <c r="BT119" s="5"/>
      <c r="BU119" s="5"/>
      <c r="BV119" s="5"/>
      <c r="BW119" s="5"/>
      <c r="BX119" s="5"/>
      <c r="BY119" s="5"/>
      <c r="BZ119" s="5"/>
      <c r="CA119" s="5"/>
      <c r="CB119" s="5"/>
      <c r="CC119" s="5"/>
      <c r="CD119" s="5"/>
      <c r="CE119" s="43">
        <f t="array" ref="CE119">MIN(100, MAX(0,
  IF(ISNUMBER(BV119)*AND(BV119&gt;0), 10, 0)
  + _xlfn.IFS(BY119="Independently Verified",25, BY119="Yes",15, TRUE,0)
  + IFERROR(_xlfn.XLOOKUP(BZ119,'Lookup Tables'!$A$21:$A$24,'Lookup Tables'!$B$21:$B$24,0),0)
  + IFERROR(_xlfn.XLOOKUP(CA119,'Lookup Tables'!$D$21:$D$24,'Lookup Tables'!$E$21:$E$24,0),0)
  + _xlfn.IFS(ISNUMBER(CB119)*AND(CB119&gt;=11),15, ISNUMBER(CB119)*AND(CB119&gt;=6),10, ISNUMBER(CB119)*AND(CB119&gt;=1),5, TRUE,0)
  + IFERROR(_xlfn.XLOOKUP(CC119,'Lookup Tables'!$G$21:$G$25,'Lookup Tables'!$H$21:$H$25,0),0)
  - IF(ISNUMBER(BW119)*AND(ISNUMBER(BV119))*AND(BW119&gt;BV119), 20, 0)
  - IF(AND(BY119="Yes", ISNUMBER(BW119), BW119&gt;60), 10, 0)
))</f>
        <v>0</v>
      </c>
      <c r="CF119" s="5"/>
      <c r="CG119" s="5"/>
      <c r="CH119" s="5"/>
      <c r="CI119" s="5"/>
      <c r="CJ119" s="5"/>
      <c r="CK119" s="5"/>
      <c r="CL119" s="5"/>
      <c r="CM119" s="5"/>
      <c r="CN119" s="5"/>
      <c r="CO119" s="5"/>
      <c r="CP119" s="5"/>
      <c r="CQ119" s="5"/>
      <c r="CR119" s="5">
        <f t="shared" si="90"/>
        <v>0</v>
      </c>
      <c r="CS119" s="5">
        <f t="shared" si="91"/>
        <v>0</v>
      </c>
      <c r="CT119" s="5">
        <f t="shared" si="92"/>
        <v>0</v>
      </c>
      <c r="CU119" s="5">
        <f>MIN(100,
  CR119*15
  + CS119*6
  + CT119*3
  + IFERROR(_xlfn.XLOOKUP(CW119,'Lookup Tables'!$M$21:$M$25,'Lookup Tables'!$N$21:$N$25,0),0)
)</f>
        <v>0</v>
      </c>
      <c r="CV119" s="5" t="str">
        <f t="shared" si="93"/>
        <v>No failures</v>
      </c>
      <c r="CW119" s="5"/>
      <c r="CX119" s="5"/>
      <c r="CY119" s="5"/>
      <c r="CZ119" s="5"/>
      <c r="DA119" s="5" t="str">
        <f t="shared" si="94"/>
        <v>Yes</v>
      </c>
      <c r="DB119" s="5" t="str">
        <f t="shared" si="95"/>
        <v>No</v>
      </c>
      <c r="DC119" s="5"/>
      <c r="DD119" s="5"/>
      <c r="DE119" s="5"/>
      <c r="DF119" s="5"/>
      <c r="DG119" s="5"/>
      <c r="DH119" s="5"/>
      <c r="DI119" s="5"/>
      <c r="DJ119" s="5"/>
      <c r="DK119" s="5"/>
      <c r="DL119" s="5" t="str">
        <f t="shared" si="96"/>
        <v>Clear</v>
      </c>
      <c r="DM119" s="5" t="str">
        <f t="shared" si="97"/>
        <v>Yes</v>
      </c>
      <c r="DN119" s="5">
        <f t="array" ref="DN119">MIN(100,
  IF(ISNUMBER(V119), _xlfn.IFS(V119&gt;=3,25, V119=2,15, V119=1,5, TRUE,0), 0)
  + IFERROR(_xlfn.IFS(VALUE(LEFT(DF119,1))=5,25, VALUE(LEFT(DF119,1))=4,20, VALUE(LEFT(DF119,1))=3,15, VALUE(LEFT(DF119,1))=2,8, TRUE,0), 15)
  + IFERROR(_xlfn.IFS(VALUE(LEFT(DG119,1))=5,25, VALUE(LEFT(DG119,1))=4,20, VALUE(LEFT(DG119,1))=3,15, VALUE(LEFT(DG119,1))=2,8, TRUE,0), 15)
  + _xlfn.IFS(DH119="Fully Verified",25, DH119="Partially Verified",12, TRUE,0)
)</f>
        <v>30</v>
      </c>
      <c r="DO119" s="5" t="str">
        <f t="array" ref="DO119">_xlfn.IFS(
  ISBLANK(AR119), "Insufficient Evidence",
  AND(AR119&gt;=65, AJ119="Approved"), "Strong",
  AR119&gt;=65, "Adequate",
  AR119&gt;=40, "Adequate",
  AR119&gt;=20, "Weak",
  TRUE, "Insufficient Evidence"
)</f>
        <v>Insufficient Evidence</v>
      </c>
      <c r="DP119" s="5" t="str">
        <f t="array" ref="DP119">_xlfn.IFS(
  ISBLANK(BS119), "Insufficient Evidence",
  BS119&gt;=65, "Strong",
  BS119&gt;=40, "Adequate",
  BS119&gt;=20, "Weak",
  TRUE, "Insufficient Evidence"
)</f>
        <v>Insufficient Evidence</v>
      </c>
      <c r="DQ119" s="5" t="str">
        <f t="array" ref="DQ119">_xlfn.IFS(
  ISBLANK(BE119), "Insufficient Evidence",
  OR(AW119="Confirmed Violation", AX119="Confirmed Breach"), "Severe — Hard Trigger",
  BE119&gt;=65, "Strong",
  BE119&gt;=40, "Adequate",
  BE119&gt;=20, "Weak",
  TRUE, "Insufficient Evidence"
)</f>
        <v>Insufficient Evidence</v>
      </c>
      <c r="DR119" s="5" t="str">
        <f t="array" ref="DR119">_xlfn.IFS(
  ISBLANK(CU119), "Insufficient Evidence",
  CU119&lt;=20, "Low Risk",
  CU119&lt;=50, "Moderate Risk",
  CU119&lt;=75, "High Risk",
  TRUE, "Very High Risk"
)</f>
        <v>Low Risk</v>
      </c>
      <c r="DS119" s="5" t="str">
        <f t="array" ref="DS119">_xlfn.IFS(
  ISBLANK(CE119), "Insufficient Evidence",
  AND(ISNUMBER(BW119),ISNUMBER(BV119),BW119&gt;BV119), "Overclaiming Risk",
  CE119&gt;=65, "Strong",
  CE119&gt;=40, "Adequate",
  TRUE, "Weak"
)</f>
        <v>Weak</v>
      </c>
      <c r="DT119" s="5">
        <f t="shared" si="98"/>
        <v>11.7</v>
      </c>
      <c r="DU119" s="5" t="str">
        <f t="array" ref="DU119">_xlfn.IFS(
  DV119="Upgraded to Clear", "Clear",
  DV119="Downgraded to Watchlist", "Watchlist",
  DV119="Downgraded to Exclusion", "Exclusion Risk",
  DB119="Yes — Automatic", "Exclusion Risk",
  OR(AW119="Confirmed Violation", AX119="Confirmed Breach"), "Exclusion Risk",
  OR(V119=0, ISBLANK(V119), DN119&lt;20), "Insufficient Evidence",
  AND(DT119&gt;=65, DA119="No", DB119="No"), "Clear",
  OR(DT119&gt;=40, DA119="Yes"), "Watchlist",
  TRUE, "Exclusion Risk"
)</f>
        <v>Insufficient Evidence</v>
      </c>
      <c r="DV119" s="5"/>
      <c r="DW119" s="5" t="str">
        <f t="array" ref="DW119">_xlfn.IFS(
  DU119="Exclusion Risk", "Exclude — Hard Trigger",
  DU119="Insufficient Evidence", "Watchlist — Further Evidence Needed",
  DU119="Watchlist", "Watchlist — Further Evidence Needed",
  AND(DU119="Clear", DT119&gt;=80), "Include — No Conditions",
  DU119="Clear", "Include — Monitor",
  TRUE, "Watchlist — Further Evidence Needed"
)</f>
        <v>Watchlist — Further Evidence Needed</v>
      </c>
      <c r="DX119" s="5"/>
      <c r="DY119" s="5"/>
      <c r="DZ119" s="5"/>
      <c r="EA119" s="5"/>
      <c r="EB119" s="5" t="str">
        <f t="shared" si="99"/>
        <v>MISSING — No sources reviewed</v>
      </c>
      <c r="EC119" s="5" t="str">
        <f t="shared" si="100"/>
        <v/>
      </c>
    </row>
    <row r="120" spans="1:133" ht="18" customHeight="1" x14ac:dyDescent="0.15">
      <c r="A120" s="5" t="s">
        <v>676</v>
      </c>
      <c r="B120" s="5" t="s">
        <v>677</v>
      </c>
      <c r="C120" s="5" t="str">
        <f>IF(ISBLANK('Universe Tracker'!D95),"",'Universe Tracker'!D95)</f>
        <v>DE0008430026</v>
      </c>
      <c r="D120" s="5"/>
      <c r="E120" s="5"/>
      <c r="F120" s="5" t="str">
        <f>IF(ISBLANK('Universe Tracker'!F95),"",'Universe Tracker'!F95)</f>
        <v>Financials</v>
      </c>
      <c r="G120" s="5" t="str">
        <f>IF(ISBLANK('Universe Tracker'!G95),"",'Universe Tracker'!G95)</f>
        <v>Insurance</v>
      </c>
      <c r="H120" s="5"/>
      <c r="I120" s="5"/>
      <c r="J120" s="5" t="str">
        <f t="shared" si="88"/>
        <v>MUV2_DE0008430026</v>
      </c>
      <c r="K120" s="5"/>
      <c r="L120" s="5"/>
      <c r="M120" s="5"/>
      <c r="N120" s="5"/>
      <c r="O120" s="5"/>
      <c r="P120" s="5"/>
      <c r="Q120" s="5"/>
      <c r="R120" s="5"/>
      <c r="S120" s="5"/>
      <c r="T120" s="5"/>
      <c r="U120" s="5"/>
      <c r="V120" s="5"/>
      <c r="W120" s="5"/>
      <c r="X120" s="5"/>
      <c r="Y120" s="5" t="str">
        <f t="shared" si="89"/>
        <v>Insufficient</v>
      </c>
      <c r="Z120" s="5"/>
      <c r="AA120" s="5"/>
      <c r="AB120" s="5"/>
      <c r="AC120" s="5"/>
      <c r="AD120" s="5"/>
      <c r="AE120" s="5"/>
      <c r="AF120" s="5"/>
      <c r="AG120" s="5"/>
      <c r="AH120" s="5"/>
      <c r="AI120" s="5"/>
      <c r="AJ120" s="5"/>
      <c r="AK120" s="5"/>
      <c r="AL120" s="5"/>
      <c r="AM120" s="5"/>
      <c r="AN120" s="5"/>
      <c r="AO120" s="5"/>
      <c r="AP120" s="5"/>
      <c r="AQ120" s="5"/>
      <c r="AR120" s="40">
        <f t="array" ref="AR120">MIN(100, MAX(0,
  IFERROR(_xlfn.XLOOKUP(AJ120,'Lookup Tables'!$A$2:$A$7,'Lookup Tables'!$B$2:$B$7,0),0)
  + IF(Z120="Yes", IF(IFERROR(_xlfn.XLOOKUP(AJ120,'Lookup Tables'!$A$2:$A$7,'Lookup Tables'!$B$2:$B$7,0),0)&lt;20, 5, 0), 0)
  + _xlfn.IFS(AB120="Yes", IF(ISNUMBER(AC120)*AND(AC120&lt;=2030),15,10), AB120="Long-term Only", 5, AB120="No", 0, TRUE, 0)
  + _xlfn.IFS(AF120="Full",10, AF120="Partial",5, AF120="Scope 2 Only",3, TRUE,0)
  + _xlfn.IFS(AG120="Yes", IF(ISNUMBER(AH120)*AND(AH120&gt;=5),10,6), AG120="Partial",4, TRUE,0)
  + _xlfn.IFS(AI120="Yes",5, AI120="Partial (material categories only)",3, TRUE,0)
  + _xlfn.IFS(AL120="Yes — Detailed",10, AL120="Yes — High Level",5, TRUE,0)
  + _xlfn.IFS(AM120="Yes — Quantified",15, AM120="Yes — Directional Only",7, TRUE,0)
  + _xlfn.IFS(AP120="Formal",5, AP120="Referenced",2, TRUE,0)
  + _xlfn.IFS(AQ120="No Issues Found",5, AQ120="Concern Identified",-5, AQ120="Severe Contradiction",-15, TRUE,0)
  + _xlfn.IFS(BC120="Reasonable Assurance",5, BC120="Limited Assurance",3, TRUE,0)
  - IF(AND(Z120="Yes", AI120="No"), 10, 0)
  - IF(AND(Z120="Yes", AM120="No"), 10, 0)
))</f>
        <v>0</v>
      </c>
      <c r="AS120" s="5"/>
      <c r="AT120" s="5"/>
      <c r="AU120" s="5"/>
      <c r="AV120" s="5"/>
      <c r="AW120" s="5"/>
      <c r="AX120" s="5"/>
      <c r="AY120" s="5"/>
      <c r="AZ120" s="5"/>
      <c r="BA120" s="5"/>
      <c r="BB120" s="5"/>
      <c r="BC120" s="5"/>
      <c r="BD120" s="5"/>
      <c r="BE120" s="39">
        <f t="array" ref="BE120">MIN(100, MAX(0,
  IFERROR(_xlfn.XLOOKUP(AT120,'Lookup Tables'!$D$2:$D$6,'Lookup Tables'!$E$2:$E$6,0),0)
  + IFERROR(_xlfn.XLOOKUP(AV120,'Lookup Tables'!$G$2:$G$5,'Lookup Tables'!$H$2:$H$5,0),0)
  + IFERROR(_xlfn.XLOOKUP(AW120,'Lookup Tables'!$J$2:$J$5,'Lookup Tables'!$K$2:$K$5,0),0)
  + _xlfn.IFS(AX120="No Issues",10, AX120="Complaint Filed",3, AX120="Confirmed Breach",-15, TRUE,0)
  + IFERROR(_xlfn.XLOOKUP(AY120,'Lookup Tables'!$M$2:$M$6,'Lookup Tables'!$N$2:$N$6,0),0)
  + IFERROR(_xlfn.XLOOKUP(AZ120,'Lookup Tables'!$P$2:$P$6,'Lookup Tables'!$Q$2:$Q$6,0),0)
  + _xlfn.IFS(BA120="Formal Board Committee",5, BA120="Board Oversight Mentioned",2, TRUE,0)
  + _xlfn.IFS(BB120="Yes — Quantified Targets",5, BB120="Yes — Discretionary Only",2, TRUE,0)
  + _xlfn.IFS(BC120="Reasonable Assurance",5, BC120="Limited Assurance",3, BC120="Management Review Only",1, TRUE,0)
))</f>
        <v>0</v>
      </c>
      <c r="BF120" s="5"/>
      <c r="BG120" s="5"/>
      <c r="BH120" s="5"/>
      <c r="BI120" s="5"/>
      <c r="BJ120" s="5"/>
      <c r="BK120" s="5"/>
      <c r="BL120" s="5"/>
      <c r="BM120" s="5"/>
      <c r="BN120" s="5"/>
      <c r="BO120" s="5"/>
      <c r="BP120" s="5"/>
      <c r="BQ120" s="5"/>
      <c r="BR120" s="5"/>
      <c r="BS120" s="41">
        <f t="array" ref="BS120">MIN(100, MAX(0,
  IFERROR(_xlfn.XLOOKUP(BG120,'Lookup Tables'!$A$11:$A$16,'Lookup Tables'!$B$11:$B$16,0),0)
  + IFERROR(_xlfn.XLOOKUP(BR120,'Lookup Tables'!$M$11:$M$14,'Lookup Tables'!$N$11:$N$14,0),0)
  + IFERROR(_xlfn.XLOOKUP(BQ120,'Lookup Tables'!$J$11:$J$15,'Lookup Tables'!$K$11:$K$15,0),0)
  + IFERROR(_xlfn.XLOOKUP(BH120,'Lookup Tables'!$D$11:$D$15,'Lookup Tables'!$E$11:$E$15,0),0)
  + IFERROR(_xlfn.XLOOKUP(BJ120,'Lookup Tables'!$G$11:$G$16,'Lookup Tables'!$H$11:$H$16,0),0)
  + IFERROR(_xlfn.XLOOKUP(BN120,'Lookup Tables'!$P$11:$P$15,'Lookup Tables'!$Q$11:$Q$15,0),0)
  + _xlfn.IFS(BM120="No Evidence",10, BM120="Unknown",3, BM120="Likely",0, BM120="Confirmed",-10, TRUE,3)
  + IFERROR(_xlfn.XLOOKUP(BP120,'Lookup Tables'!$J$21:$J$24,'Lookup Tables'!$K$21:$K$24,0),0)
))</f>
        <v>3</v>
      </c>
      <c r="BT120" s="5"/>
      <c r="BU120" s="5"/>
      <c r="BV120" s="5"/>
      <c r="BW120" s="5"/>
      <c r="BX120" s="5"/>
      <c r="BY120" s="5"/>
      <c r="BZ120" s="5"/>
      <c r="CA120" s="5"/>
      <c r="CB120" s="5"/>
      <c r="CC120" s="5"/>
      <c r="CD120" s="5"/>
      <c r="CE120" s="43">
        <f t="array" ref="CE120">MIN(100, MAX(0,
  IF(ISNUMBER(BV120)*AND(BV120&gt;0), 10, 0)
  + _xlfn.IFS(BY120="Independently Verified",25, BY120="Yes",15, TRUE,0)
  + IFERROR(_xlfn.XLOOKUP(BZ120,'Lookup Tables'!$A$21:$A$24,'Lookup Tables'!$B$21:$B$24,0),0)
  + IFERROR(_xlfn.XLOOKUP(CA120,'Lookup Tables'!$D$21:$D$24,'Lookup Tables'!$E$21:$E$24,0),0)
  + _xlfn.IFS(ISNUMBER(CB120)*AND(CB120&gt;=11),15, ISNUMBER(CB120)*AND(CB120&gt;=6),10, ISNUMBER(CB120)*AND(CB120&gt;=1),5, TRUE,0)
  + IFERROR(_xlfn.XLOOKUP(CC120,'Lookup Tables'!$G$21:$G$25,'Lookup Tables'!$H$21:$H$25,0),0)
  - IF(ISNUMBER(BW120)*AND(ISNUMBER(BV120))*AND(BW120&gt;BV120), 20, 0)
  - IF(AND(BY120="Yes", ISNUMBER(BW120), BW120&gt;60), 10, 0)
))</f>
        <v>0</v>
      </c>
      <c r="CF120" s="5"/>
      <c r="CG120" s="5"/>
      <c r="CH120" s="5"/>
      <c r="CI120" s="5"/>
      <c r="CJ120" s="5"/>
      <c r="CK120" s="5"/>
      <c r="CL120" s="5"/>
      <c r="CM120" s="5"/>
      <c r="CN120" s="5"/>
      <c r="CO120" s="5"/>
      <c r="CP120" s="5"/>
      <c r="CQ120" s="5"/>
      <c r="CR120" s="5">
        <f t="shared" si="90"/>
        <v>0</v>
      </c>
      <c r="CS120" s="5">
        <f t="shared" si="91"/>
        <v>0</v>
      </c>
      <c r="CT120" s="5">
        <f t="shared" si="92"/>
        <v>0</v>
      </c>
      <c r="CU120" s="5">
        <f>MIN(100,
  CR120*15
  + CS120*6
  + CT120*3
  + IFERROR(_xlfn.XLOOKUP(CW120,'Lookup Tables'!$M$21:$M$25,'Lookup Tables'!$N$21:$N$25,0),0)
)</f>
        <v>0</v>
      </c>
      <c r="CV120" s="5" t="str">
        <f t="shared" si="93"/>
        <v>No failures</v>
      </c>
      <c r="CW120" s="5"/>
      <c r="CX120" s="5"/>
      <c r="CY120" s="5"/>
      <c r="CZ120" s="5"/>
      <c r="DA120" s="5" t="str">
        <f t="shared" si="94"/>
        <v>Yes</v>
      </c>
      <c r="DB120" s="5" t="str">
        <f t="shared" si="95"/>
        <v>No</v>
      </c>
      <c r="DC120" s="5"/>
      <c r="DD120" s="5"/>
      <c r="DE120" s="5"/>
      <c r="DF120" s="5"/>
      <c r="DG120" s="5"/>
      <c r="DH120" s="5"/>
      <c r="DI120" s="5"/>
      <c r="DJ120" s="5"/>
      <c r="DK120" s="5"/>
      <c r="DL120" s="5" t="str">
        <f t="shared" si="96"/>
        <v>Clear</v>
      </c>
      <c r="DM120" s="5" t="str">
        <f t="shared" si="97"/>
        <v>Yes</v>
      </c>
      <c r="DN120" s="5">
        <f t="array" ref="DN120">MIN(100,
  IF(ISNUMBER(V120), _xlfn.IFS(V120&gt;=3,25, V120=2,15, V120=1,5, TRUE,0), 0)
  + IFERROR(_xlfn.IFS(VALUE(LEFT(DF120,1))=5,25, VALUE(LEFT(DF120,1))=4,20, VALUE(LEFT(DF120,1))=3,15, VALUE(LEFT(DF120,1))=2,8, TRUE,0), 15)
  + IFERROR(_xlfn.IFS(VALUE(LEFT(DG120,1))=5,25, VALUE(LEFT(DG120,1))=4,20, VALUE(LEFT(DG120,1))=3,15, VALUE(LEFT(DG120,1))=2,8, TRUE,0), 15)
  + _xlfn.IFS(DH120="Fully Verified",25, DH120="Partially Verified",12, TRUE,0)
)</f>
        <v>30</v>
      </c>
      <c r="DO120" s="5" t="str">
        <f t="array" ref="DO120">_xlfn.IFS(
  ISBLANK(AR120), "Insufficient Evidence",
  AND(AR120&gt;=65, AJ120="Approved"), "Strong",
  AR120&gt;=65, "Adequate",
  AR120&gt;=40, "Adequate",
  AR120&gt;=20, "Weak",
  TRUE, "Insufficient Evidence"
)</f>
        <v>Insufficient Evidence</v>
      </c>
      <c r="DP120" s="5" t="str">
        <f t="array" ref="DP120">_xlfn.IFS(
  ISBLANK(BS120), "Insufficient Evidence",
  BS120&gt;=65, "Strong",
  BS120&gt;=40, "Adequate",
  BS120&gt;=20, "Weak",
  TRUE, "Insufficient Evidence"
)</f>
        <v>Insufficient Evidence</v>
      </c>
      <c r="DQ120" s="5" t="str">
        <f t="array" ref="DQ120">_xlfn.IFS(
  ISBLANK(BE120), "Insufficient Evidence",
  OR(AW120="Confirmed Violation", AX120="Confirmed Breach"), "Severe — Hard Trigger",
  BE120&gt;=65, "Strong",
  BE120&gt;=40, "Adequate",
  BE120&gt;=20, "Weak",
  TRUE, "Insufficient Evidence"
)</f>
        <v>Insufficient Evidence</v>
      </c>
      <c r="DR120" s="5" t="str">
        <f t="array" ref="DR120">_xlfn.IFS(
  ISBLANK(CU120), "Insufficient Evidence",
  CU120&lt;=20, "Low Risk",
  CU120&lt;=50, "Moderate Risk",
  CU120&lt;=75, "High Risk",
  TRUE, "Very High Risk"
)</f>
        <v>Low Risk</v>
      </c>
      <c r="DS120" s="5" t="str">
        <f t="array" ref="DS120">_xlfn.IFS(
  ISBLANK(CE120), "Insufficient Evidence",
  AND(ISNUMBER(BW120),ISNUMBER(BV120),BW120&gt;BV120), "Overclaiming Risk",
  CE120&gt;=65, "Strong",
  CE120&gt;=40, "Adequate",
  TRUE, "Weak"
)</f>
        <v>Weak</v>
      </c>
      <c r="DT120" s="5">
        <f t="shared" si="98"/>
        <v>11.7</v>
      </c>
      <c r="DU120" s="5" t="str">
        <f t="array" ref="DU120">_xlfn.IFS(
  DV120="Upgraded to Clear", "Clear",
  DV120="Downgraded to Watchlist", "Watchlist",
  DV120="Downgraded to Exclusion", "Exclusion Risk",
  DB120="Yes — Automatic", "Exclusion Risk",
  OR(AW120="Confirmed Violation", AX120="Confirmed Breach"), "Exclusion Risk",
  OR(V120=0, ISBLANK(V120), DN120&lt;20), "Insufficient Evidence",
  AND(DT120&gt;=65, DA120="No", DB120="No"), "Clear",
  OR(DT120&gt;=40, DA120="Yes"), "Watchlist",
  TRUE, "Exclusion Risk"
)</f>
        <v>Insufficient Evidence</v>
      </c>
      <c r="DV120" s="5"/>
      <c r="DW120" s="5" t="str">
        <f t="array" ref="DW120">_xlfn.IFS(
  DU120="Exclusion Risk", "Exclude — Hard Trigger",
  DU120="Insufficient Evidence", "Watchlist — Further Evidence Needed",
  DU120="Watchlist", "Watchlist — Further Evidence Needed",
  AND(DU120="Clear", DT120&gt;=80), "Include — No Conditions",
  DU120="Clear", "Include — Monitor",
  TRUE, "Watchlist — Further Evidence Needed"
)</f>
        <v>Watchlist — Further Evidence Needed</v>
      </c>
      <c r="DX120" s="5"/>
      <c r="DY120" s="5"/>
      <c r="DZ120" s="5"/>
      <c r="EA120" s="5"/>
      <c r="EB120" s="5" t="str">
        <f t="shared" si="99"/>
        <v>MISSING — No sources reviewed</v>
      </c>
      <c r="EC120" s="5" t="str">
        <f t="shared" si="100"/>
        <v/>
      </c>
    </row>
    <row r="121" spans="1:133" ht="18" customHeight="1" x14ac:dyDescent="0.15">
      <c r="A121" s="5" t="s">
        <v>680</v>
      </c>
      <c r="B121" s="5" t="s">
        <v>681</v>
      </c>
      <c r="C121" s="5" t="str">
        <f>IF(ISBLANK('Universe Tracker'!D96),"",'Universe Tracker'!D96)</f>
        <v>SE0015811955</v>
      </c>
      <c r="D121" s="5"/>
      <c r="E121" s="5"/>
      <c r="F121" s="5" t="str">
        <f>IF(ISBLANK('Universe Tracker'!F96),"",'Universe Tracker'!F96)</f>
        <v>Financials</v>
      </c>
      <c r="G121" s="5" t="str">
        <f>IF(ISBLANK('Universe Tracker'!G96),"",'Universe Tracker'!G96)</f>
        <v>Financial Services</v>
      </c>
      <c r="H121" s="5"/>
      <c r="I121" s="5"/>
      <c r="J121" s="5" t="str">
        <f t="shared" si="88"/>
        <v>IVS_SE0015811955</v>
      </c>
      <c r="K121" s="5"/>
      <c r="L121" s="5"/>
      <c r="M121" s="5"/>
      <c r="N121" s="5"/>
      <c r="O121" s="5"/>
      <c r="P121" s="5"/>
      <c r="Q121" s="5"/>
      <c r="R121" s="5"/>
      <c r="S121" s="5"/>
      <c r="T121" s="5"/>
      <c r="U121" s="5"/>
      <c r="V121" s="5"/>
      <c r="W121" s="5"/>
      <c r="X121" s="5"/>
      <c r="Y121" s="5" t="str">
        <f t="shared" si="89"/>
        <v>Insufficient</v>
      </c>
      <c r="Z121" s="5"/>
      <c r="AA121" s="5"/>
      <c r="AB121" s="5"/>
      <c r="AC121" s="5"/>
      <c r="AD121" s="5"/>
      <c r="AE121" s="5"/>
      <c r="AF121" s="5"/>
      <c r="AG121" s="5"/>
      <c r="AH121" s="5"/>
      <c r="AI121" s="5"/>
      <c r="AJ121" s="5"/>
      <c r="AK121" s="5"/>
      <c r="AL121" s="5"/>
      <c r="AM121" s="5"/>
      <c r="AN121" s="5"/>
      <c r="AO121" s="5"/>
      <c r="AP121" s="5"/>
      <c r="AQ121" s="5"/>
      <c r="AR121" s="40">
        <f t="array" ref="AR121">MIN(100, MAX(0,
  IFERROR(_xlfn.XLOOKUP(AJ121,'Lookup Tables'!$A$2:$A$7,'Lookup Tables'!$B$2:$B$7,0),0)
  + IF(Z121="Yes", IF(IFERROR(_xlfn.XLOOKUP(AJ121,'Lookup Tables'!$A$2:$A$7,'Lookup Tables'!$B$2:$B$7,0),0)&lt;20, 5, 0), 0)
  + _xlfn.IFS(AB121="Yes", IF(ISNUMBER(AC121)*AND(AC121&lt;=2030),15,10), AB121="Long-term Only", 5, AB121="No", 0, TRUE, 0)
  + _xlfn.IFS(AF121="Full",10, AF121="Partial",5, AF121="Scope 2 Only",3, TRUE,0)
  + _xlfn.IFS(AG121="Yes", IF(ISNUMBER(AH121)*AND(AH121&gt;=5),10,6), AG121="Partial",4, TRUE,0)
  + _xlfn.IFS(AI121="Yes",5, AI121="Partial (material categories only)",3, TRUE,0)
  + _xlfn.IFS(AL121="Yes — Detailed",10, AL121="Yes — High Level",5, TRUE,0)
  + _xlfn.IFS(AM121="Yes — Quantified",15, AM121="Yes — Directional Only",7, TRUE,0)
  + _xlfn.IFS(AP121="Formal",5, AP121="Referenced",2, TRUE,0)
  + _xlfn.IFS(AQ121="No Issues Found",5, AQ121="Concern Identified",-5, AQ121="Severe Contradiction",-15, TRUE,0)
  + _xlfn.IFS(BC121="Reasonable Assurance",5, BC121="Limited Assurance",3, TRUE,0)
  - IF(AND(Z121="Yes", AI121="No"), 10, 0)
  - IF(AND(Z121="Yes", AM121="No"), 10, 0)
))</f>
        <v>0</v>
      </c>
      <c r="AS121" s="5"/>
      <c r="AT121" s="5"/>
      <c r="AU121" s="5"/>
      <c r="AV121" s="5"/>
      <c r="AW121" s="5"/>
      <c r="AX121" s="5"/>
      <c r="AY121" s="5"/>
      <c r="AZ121" s="5"/>
      <c r="BA121" s="5"/>
      <c r="BB121" s="5"/>
      <c r="BC121" s="5"/>
      <c r="BD121" s="5"/>
      <c r="BE121" s="39">
        <f t="array" ref="BE121">MIN(100, MAX(0,
  IFERROR(_xlfn.XLOOKUP(AT121,'Lookup Tables'!$D$2:$D$6,'Lookup Tables'!$E$2:$E$6,0),0)
  + IFERROR(_xlfn.XLOOKUP(AV121,'Lookup Tables'!$G$2:$G$5,'Lookup Tables'!$H$2:$H$5,0),0)
  + IFERROR(_xlfn.XLOOKUP(AW121,'Lookup Tables'!$J$2:$J$5,'Lookup Tables'!$K$2:$K$5,0),0)
  + _xlfn.IFS(AX121="No Issues",10, AX121="Complaint Filed",3, AX121="Confirmed Breach",-15, TRUE,0)
  + IFERROR(_xlfn.XLOOKUP(AY121,'Lookup Tables'!$M$2:$M$6,'Lookup Tables'!$N$2:$N$6,0),0)
  + IFERROR(_xlfn.XLOOKUP(AZ121,'Lookup Tables'!$P$2:$P$6,'Lookup Tables'!$Q$2:$Q$6,0),0)
  + _xlfn.IFS(BA121="Formal Board Committee",5, BA121="Board Oversight Mentioned",2, TRUE,0)
  + _xlfn.IFS(BB121="Yes — Quantified Targets",5, BB121="Yes — Discretionary Only",2, TRUE,0)
  + _xlfn.IFS(BC121="Reasonable Assurance",5, BC121="Limited Assurance",3, BC121="Management Review Only",1, TRUE,0)
))</f>
        <v>0</v>
      </c>
      <c r="BF121" s="5"/>
      <c r="BG121" s="5"/>
      <c r="BH121" s="5"/>
      <c r="BI121" s="5"/>
      <c r="BJ121" s="5"/>
      <c r="BK121" s="5"/>
      <c r="BL121" s="5"/>
      <c r="BM121" s="5"/>
      <c r="BN121" s="5"/>
      <c r="BO121" s="5"/>
      <c r="BP121" s="5"/>
      <c r="BQ121" s="5"/>
      <c r="BR121" s="5"/>
      <c r="BS121" s="41">
        <f t="array" ref="BS121">MIN(100, MAX(0,
  IFERROR(_xlfn.XLOOKUP(BG121,'Lookup Tables'!$A$11:$A$16,'Lookup Tables'!$B$11:$B$16,0),0)
  + IFERROR(_xlfn.XLOOKUP(BR121,'Lookup Tables'!$M$11:$M$14,'Lookup Tables'!$N$11:$N$14,0),0)
  + IFERROR(_xlfn.XLOOKUP(BQ121,'Lookup Tables'!$J$11:$J$15,'Lookup Tables'!$K$11:$K$15,0),0)
  + IFERROR(_xlfn.XLOOKUP(BH121,'Lookup Tables'!$D$11:$D$15,'Lookup Tables'!$E$11:$E$15,0),0)
  + IFERROR(_xlfn.XLOOKUP(BJ121,'Lookup Tables'!$G$11:$G$16,'Lookup Tables'!$H$11:$H$16,0),0)
  + IFERROR(_xlfn.XLOOKUP(BN121,'Lookup Tables'!$P$11:$P$15,'Lookup Tables'!$Q$11:$Q$15,0),0)
  + _xlfn.IFS(BM121="No Evidence",10, BM121="Unknown",3, BM121="Likely",0, BM121="Confirmed",-10, TRUE,3)
  + IFERROR(_xlfn.XLOOKUP(BP121,'Lookup Tables'!$J$21:$J$24,'Lookup Tables'!$K$21:$K$24,0),0)
))</f>
        <v>3</v>
      </c>
      <c r="BT121" s="5"/>
      <c r="BU121" s="5"/>
      <c r="BV121" s="5"/>
      <c r="BW121" s="5"/>
      <c r="BX121" s="5"/>
      <c r="BY121" s="5"/>
      <c r="BZ121" s="5"/>
      <c r="CA121" s="5"/>
      <c r="CB121" s="5"/>
      <c r="CC121" s="5"/>
      <c r="CD121" s="5"/>
      <c r="CE121" s="43">
        <f t="array" ref="CE121">MIN(100, MAX(0,
  IF(ISNUMBER(BV121)*AND(BV121&gt;0), 10, 0)
  + _xlfn.IFS(BY121="Independently Verified",25, BY121="Yes",15, TRUE,0)
  + IFERROR(_xlfn.XLOOKUP(BZ121,'Lookup Tables'!$A$21:$A$24,'Lookup Tables'!$B$21:$B$24,0),0)
  + IFERROR(_xlfn.XLOOKUP(CA121,'Lookup Tables'!$D$21:$D$24,'Lookup Tables'!$E$21:$E$24,0),0)
  + _xlfn.IFS(ISNUMBER(CB121)*AND(CB121&gt;=11),15, ISNUMBER(CB121)*AND(CB121&gt;=6),10, ISNUMBER(CB121)*AND(CB121&gt;=1),5, TRUE,0)
  + IFERROR(_xlfn.XLOOKUP(CC121,'Lookup Tables'!$G$21:$G$25,'Lookup Tables'!$H$21:$H$25,0),0)
  - IF(ISNUMBER(BW121)*AND(ISNUMBER(BV121))*AND(BW121&gt;BV121), 20, 0)
  - IF(AND(BY121="Yes", ISNUMBER(BW121), BW121&gt;60), 10, 0)
))</f>
        <v>0</v>
      </c>
      <c r="CF121" s="5"/>
      <c r="CG121" s="5"/>
      <c r="CH121" s="5"/>
      <c r="CI121" s="5"/>
      <c r="CJ121" s="5"/>
      <c r="CK121" s="5"/>
      <c r="CL121" s="5"/>
      <c r="CM121" s="5"/>
      <c r="CN121" s="5"/>
      <c r="CO121" s="5"/>
      <c r="CP121" s="5"/>
      <c r="CQ121" s="5"/>
      <c r="CR121" s="5">
        <f t="shared" si="90"/>
        <v>0</v>
      </c>
      <c r="CS121" s="5">
        <f t="shared" si="91"/>
        <v>0</v>
      </c>
      <c r="CT121" s="5">
        <f t="shared" si="92"/>
        <v>0</v>
      </c>
      <c r="CU121" s="5">
        <f>MIN(100,
  CR121*15
  + CS121*6
  + CT121*3
  + IFERROR(_xlfn.XLOOKUP(CW121,'Lookup Tables'!$M$21:$M$25,'Lookup Tables'!$N$21:$N$25,0),0)
)</f>
        <v>0</v>
      </c>
      <c r="CV121" s="5" t="str">
        <f t="shared" si="93"/>
        <v>No failures</v>
      </c>
      <c r="CW121" s="5"/>
      <c r="CX121" s="5"/>
      <c r="CY121" s="5"/>
      <c r="CZ121" s="5"/>
      <c r="DA121" s="5" t="str">
        <f t="shared" si="94"/>
        <v>Yes</v>
      </c>
      <c r="DB121" s="5" t="str">
        <f t="shared" si="95"/>
        <v>No</v>
      </c>
      <c r="DC121" s="5"/>
      <c r="DD121" s="5"/>
      <c r="DE121" s="5"/>
      <c r="DF121" s="5"/>
      <c r="DG121" s="5"/>
      <c r="DH121" s="5"/>
      <c r="DI121" s="5"/>
      <c r="DJ121" s="5"/>
      <c r="DK121" s="5"/>
      <c r="DL121" s="5" t="str">
        <f t="shared" si="96"/>
        <v>Clear</v>
      </c>
      <c r="DM121" s="5" t="str">
        <f t="shared" si="97"/>
        <v>Yes</v>
      </c>
      <c r="DN121" s="5">
        <f t="array" ref="DN121">MIN(100,
  IF(ISNUMBER(V121), _xlfn.IFS(V121&gt;=3,25, V121=2,15, V121=1,5, TRUE,0), 0)
  + IFERROR(_xlfn.IFS(VALUE(LEFT(DF121,1))=5,25, VALUE(LEFT(DF121,1))=4,20, VALUE(LEFT(DF121,1))=3,15, VALUE(LEFT(DF121,1))=2,8, TRUE,0), 15)
  + IFERROR(_xlfn.IFS(VALUE(LEFT(DG121,1))=5,25, VALUE(LEFT(DG121,1))=4,20, VALUE(LEFT(DG121,1))=3,15, VALUE(LEFT(DG121,1))=2,8, TRUE,0), 15)
  + _xlfn.IFS(DH121="Fully Verified",25, DH121="Partially Verified",12, TRUE,0)
)</f>
        <v>30</v>
      </c>
      <c r="DO121" s="5" t="str">
        <f t="array" ref="DO121">_xlfn.IFS(
  ISBLANK(AR121), "Insufficient Evidence",
  AND(AR121&gt;=65, AJ121="Approved"), "Strong",
  AR121&gt;=65, "Adequate",
  AR121&gt;=40, "Adequate",
  AR121&gt;=20, "Weak",
  TRUE, "Insufficient Evidence"
)</f>
        <v>Insufficient Evidence</v>
      </c>
      <c r="DP121" s="5" t="str">
        <f t="array" ref="DP121">_xlfn.IFS(
  ISBLANK(BS121), "Insufficient Evidence",
  BS121&gt;=65, "Strong",
  BS121&gt;=40, "Adequate",
  BS121&gt;=20, "Weak",
  TRUE, "Insufficient Evidence"
)</f>
        <v>Insufficient Evidence</v>
      </c>
      <c r="DQ121" s="5" t="str">
        <f t="array" ref="DQ121">_xlfn.IFS(
  ISBLANK(BE121), "Insufficient Evidence",
  OR(AW121="Confirmed Violation", AX121="Confirmed Breach"), "Severe — Hard Trigger",
  BE121&gt;=65, "Strong",
  BE121&gt;=40, "Adequate",
  BE121&gt;=20, "Weak",
  TRUE, "Insufficient Evidence"
)</f>
        <v>Insufficient Evidence</v>
      </c>
      <c r="DR121" s="5" t="str">
        <f t="array" ref="DR121">_xlfn.IFS(
  ISBLANK(CU121), "Insufficient Evidence",
  CU121&lt;=20, "Low Risk",
  CU121&lt;=50, "Moderate Risk",
  CU121&lt;=75, "High Risk",
  TRUE, "Very High Risk"
)</f>
        <v>Low Risk</v>
      </c>
      <c r="DS121" s="5" t="str">
        <f t="array" ref="DS121">_xlfn.IFS(
  ISBLANK(CE121), "Insufficient Evidence",
  AND(ISNUMBER(BW121),ISNUMBER(BV121),BW121&gt;BV121), "Overclaiming Risk",
  CE121&gt;=65, "Strong",
  CE121&gt;=40, "Adequate",
  TRUE, "Weak"
)</f>
        <v>Weak</v>
      </c>
      <c r="DT121" s="5">
        <f t="shared" si="98"/>
        <v>11.7</v>
      </c>
      <c r="DU121" s="5" t="str">
        <f t="array" ref="DU121">_xlfn.IFS(
  DV121="Upgraded to Clear", "Clear",
  DV121="Downgraded to Watchlist", "Watchlist",
  DV121="Downgraded to Exclusion", "Exclusion Risk",
  DB121="Yes — Automatic", "Exclusion Risk",
  OR(AW121="Confirmed Violation", AX121="Confirmed Breach"), "Exclusion Risk",
  OR(V121=0, ISBLANK(V121), DN121&lt;20), "Insufficient Evidence",
  AND(DT121&gt;=65, DA121="No", DB121="No"), "Clear",
  OR(DT121&gt;=40, DA121="Yes"), "Watchlist",
  TRUE, "Exclusion Risk"
)</f>
        <v>Insufficient Evidence</v>
      </c>
      <c r="DV121" s="5"/>
      <c r="DW121" s="5" t="str">
        <f t="array" ref="DW121">_xlfn.IFS(
  DU121="Exclusion Risk", "Exclude — Hard Trigger",
  DU121="Insufficient Evidence", "Watchlist — Further Evidence Needed",
  DU121="Watchlist", "Watchlist — Further Evidence Needed",
  AND(DU121="Clear", DT121&gt;=80), "Include — No Conditions",
  DU121="Clear", "Include — Monitor",
  TRUE, "Watchlist — Further Evidence Needed"
)</f>
        <v>Watchlist — Further Evidence Needed</v>
      </c>
      <c r="DX121" s="5"/>
      <c r="DY121" s="5"/>
      <c r="DZ121" s="5"/>
      <c r="EA121" s="5"/>
      <c r="EB121" s="5" t="str">
        <f t="shared" si="99"/>
        <v>MISSING — No sources reviewed</v>
      </c>
      <c r="EC121" s="5" t="str">
        <f t="shared" si="100"/>
        <v/>
      </c>
    </row>
    <row r="122" spans="1:133" ht="18" customHeight="1" x14ac:dyDescent="0.15">
      <c r="A122" s="5" t="s">
        <v>684</v>
      </c>
      <c r="B122" s="5" t="s">
        <v>685</v>
      </c>
      <c r="C122" s="5" t="str">
        <f>IF(ISBLANK('Universe Tracker'!D97),"",'Universe Tracker'!D97)</f>
        <v>IT0000072618</v>
      </c>
      <c r="D122" s="5"/>
      <c r="E122" s="5"/>
      <c r="F122" s="5" t="str">
        <f>IF(ISBLANK('Universe Tracker'!F97),"",'Universe Tracker'!F97)</f>
        <v>Financials</v>
      </c>
      <c r="G122" s="5" t="str">
        <f>IF(ISBLANK('Universe Tracker'!G97),"",'Universe Tracker'!G97)</f>
        <v>Banking</v>
      </c>
      <c r="H122" s="5"/>
      <c r="I122" s="5"/>
      <c r="J122" s="5" t="str">
        <f t="shared" si="88"/>
        <v>IES_IT0000072618</v>
      </c>
      <c r="K122" s="5"/>
      <c r="L122" s="5"/>
      <c r="M122" s="5"/>
      <c r="N122" s="5"/>
      <c r="O122" s="5"/>
      <c r="P122" s="5"/>
      <c r="Q122" s="5"/>
      <c r="R122" s="5"/>
      <c r="S122" s="5"/>
      <c r="T122" s="5"/>
      <c r="U122" s="5"/>
      <c r="V122" s="5"/>
      <c r="W122" s="5"/>
      <c r="X122" s="5"/>
      <c r="Y122" s="5" t="str">
        <f t="shared" si="89"/>
        <v>Insufficient</v>
      </c>
      <c r="Z122" s="5"/>
      <c r="AA122" s="5"/>
      <c r="AB122" s="5"/>
      <c r="AC122" s="5"/>
      <c r="AD122" s="5"/>
      <c r="AE122" s="5"/>
      <c r="AF122" s="5"/>
      <c r="AG122" s="5"/>
      <c r="AH122" s="5"/>
      <c r="AI122" s="5"/>
      <c r="AJ122" s="5"/>
      <c r="AK122" s="5"/>
      <c r="AL122" s="5"/>
      <c r="AM122" s="5"/>
      <c r="AN122" s="5"/>
      <c r="AO122" s="5"/>
      <c r="AP122" s="5"/>
      <c r="AQ122" s="5"/>
      <c r="AR122" s="40">
        <f t="array" ref="AR122">MIN(100, MAX(0,
  IFERROR(_xlfn.XLOOKUP(AJ122,'Lookup Tables'!$A$2:$A$7,'Lookup Tables'!$B$2:$B$7,0),0)
  + IF(Z122="Yes", IF(IFERROR(_xlfn.XLOOKUP(AJ122,'Lookup Tables'!$A$2:$A$7,'Lookup Tables'!$B$2:$B$7,0),0)&lt;20, 5, 0), 0)
  + _xlfn.IFS(AB122="Yes", IF(ISNUMBER(AC122)*AND(AC122&lt;=2030),15,10), AB122="Long-term Only", 5, AB122="No", 0, TRUE, 0)
  + _xlfn.IFS(AF122="Full",10, AF122="Partial",5, AF122="Scope 2 Only",3, TRUE,0)
  + _xlfn.IFS(AG122="Yes", IF(ISNUMBER(AH122)*AND(AH122&gt;=5),10,6), AG122="Partial",4, TRUE,0)
  + _xlfn.IFS(AI122="Yes",5, AI122="Partial (material categories only)",3, TRUE,0)
  + _xlfn.IFS(AL122="Yes — Detailed",10, AL122="Yes — High Level",5, TRUE,0)
  + _xlfn.IFS(AM122="Yes — Quantified",15, AM122="Yes — Directional Only",7, TRUE,0)
  + _xlfn.IFS(AP122="Formal",5, AP122="Referenced",2, TRUE,0)
  + _xlfn.IFS(AQ122="No Issues Found",5, AQ122="Concern Identified",-5, AQ122="Severe Contradiction",-15, TRUE,0)
  + _xlfn.IFS(BC122="Reasonable Assurance",5, BC122="Limited Assurance",3, TRUE,0)
  - IF(AND(Z122="Yes", AI122="No"), 10, 0)
  - IF(AND(Z122="Yes", AM122="No"), 10, 0)
))</f>
        <v>0</v>
      </c>
      <c r="AS122" s="5"/>
      <c r="AT122" s="5"/>
      <c r="AU122" s="5"/>
      <c r="AV122" s="5"/>
      <c r="AW122" s="5"/>
      <c r="AX122" s="5"/>
      <c r="AY122" s="5"/>
      <c r="AZ122" s="5"/>
      <c r="BA122" s="5"/>
      <c r="BB122" s="5"/>
      <c r="BC122" s="5"/>
      <c r="BD122" s="5"/>
      <c r="BE122" s="39">
        <f t="array" ref="BE122">MIN(100, MAX(0,
  IFERROR(_xlfn.XLOOKUP(AT122,'Lookup Tables'!$D$2:$D$6,'Lookup Tables'!$E$2:$E$6,0),0)
  + IFERROR(_xlfn.XLOOKUP(AV122,'Lookup Tables'!$G$2:$G$5,'Lookup Tables'!$H$2:$H$5,0),0)
  + IFERROR(_xlfn.XLOOKUP(AW122,'Lookup Tables'!$J$2:$J$5,'Lookup Tables'!$K$2:$K$5,0),0)
  + _xlfn.IFS(AX122="No Issues",10, AX122="Complaint Filed",3, AX122="Confirmed Breach",-15, TRUE,0)
  + IFERROR(_xlfn.XLOOKUP(AY122,'Lookup Tables'!$M$2:$M$6,'Lookup Tables'!$N$2:$N$6,0),0)
  + IFERROR(_xlfn.XLOOKUP(AZ122,'Lookup Tables'!$P$2:$P$6,'Lookup Tables'!$Q$2:$Q$6,0),0)
  + _xlfn.IFS(BA122="Formal Board Committee",5, BA122="Board Oversight Mentioned",2, TRUE,0)
  + _xlfn.IFS(BB122="Yes — Quantified Targets",5, BB122="Yes — Discretionary Only",2, TRUE,0)
  + _xlfn.IFS(BC122="Reasonable Assurance",5, BC122="Limited Assurance",3, BC122="Management Review Only",1, TRUE,0)
))</f>
        <v>0</v>
      </c>
      <c r="BF122" s="5"/>
      <c r="BG122" s="5"/>
      <c r="BH122" s="5"/>
      <c r="BI122" s="5"/>
      <c r="BJ122" s="5"/>
      <c r="BK122" s="5"/>
      <c r="BL122" s="5"/>
      <c r="BM122" s="5"/>
      <c r="BN122" s="5"/>
      <c r="BO122" s="5"/>
      <c r="BP122" s="5"/>
      <c r="BQ122" s="5"/>
      <c r="BR122" s="5"/>
      <c r="BS122" s="41">
        <f t="array" ref="BS122">MIN(100, MAX(0,
  IFERROR(_xlfn.XLOOKUP(BG122,'Lookup Tables'!$A$11:$A$16,'Lookup Tables'!$B$11:$B$16,0),0)
  + IFERROR(_xlfn.XLOOKUP(BR122,'Lookup Tables'!$M$11:$M$14,'Lookup Tables'!$N$11:$N$14,0),0)
  + IFERROR(_xlfn.XLOOKUP(BQ122,'Lookup Tables'!$J$11:$J$15,'Lookup Tables'!$K$11:$K$15,0),0)
  + IFERROR(_xlfn.XLOOKUP(BH122,'Lookup Tables'!$D$11:$D$15,'Lookup Tables'!$E$11:$E$15,0),0)
  + IFERROR(_xlfn.XLOOKUP(BJ122,'Lookup Tables'!$G$11:$G$16,'Lookup Tables'!$H$11:$H$16,0),0)
  + IFERROR(_xlfn.XLOOKUP(BN122,'Lookup Tables'!$P$11:$P$15,'Lookup Tables'!$Q$11:$Q$15,0),0)
  + _xlfn.IFS(BM122="No Evidence",10, BM122="Unknown",3, BM122="Likely",0, BM122="Confirmed",-10, TRUE,3)
  + IFERROR(_xlfn.XLOOKUP(BP122,'Lookup Tables'!$J$21:$J$24,'Lookup Tables'!$K$21:$K$24,0),0)
))</f>
        <v>3</v>
      </c>
      <c r="BT122" s="5"/>
      <c r="BU122" s="5"/>
      <c r="BV122" s="5"/>
      <c r="BW122" s="5"/>
      <c r="BX122" s="5"/>
      <c r="BY122" s="5"/>
      <c r="BZ122" s="5"/>
      <c r="CA122" s="5"/>
      <c r="CB122" s="5"/>
      <c r="CC122" s="5"/>
      <c r="CD122" s="5"/>
      <c r="CE122" s="43">
        <f t="array" ref="CE122">MIN(100, MAX(0,
  IF(ISNUMBER(BV122)*AND(BV122&gt;0), 10, 0)
  + _xlfn.IFS(BY122="Independently Verified",25, BY122="Yes",15, TRUE,0)
  + IFERROR(_xlfn.XLOOKUP(BZ122,'Lookup Tables'!$A$21:$A$24,'Lookup Tables'!$B$21:$B$24,0),0)
  + IFERROR(_xlfn.XLOOKUP(CA122,'Lookup Tables'!$D$21:$D$24,'Lookup Tables'!$E$21:$E$24,0),0)
  + _xlfn.IFS(ISNUMBER(CB122)*AND(CB122&gt;=11),15, ISNUMBER(CB122)*AND(CB122&gt;=6),10, ISNUMBER(CB122)*AND(CB122&gt;=1),5, TRUE,0)
  + IFERROR(_xlfn.XLOOKUP(CC122,'Lookup Tables'!$G$21:$G$25,'Lookup Tables'!$H$21:$H$25,0),0)
  - IF(ISNUMBER(BW122)*AND(ISNUMBER(BV122))*AND(BW122&gt;BV122), 20, 0)
  - IF(AND(BY122="Yes", ISNUMBER(BW122), BW122&gt;60), 10, 0)
))</f>
        <v>0</v>
      </c>
      <c r="CF122" s="5"/>
      <c r="CG122" s="5"/>
      <c r="CH122" s="5"/>
      <c r="CI122" s="5"/>
      <c r="CJ122" s="5"/>
      <c r="CK122" s="5"/>
      <c r="CL122" s="5"/>
      <c r="CM122" s="5"/>
      <c r="CN122" s="5"/>
      <c r="CO122" s="5"/>
      <c r="CP122" s="5"/>
      <c r="CQ122" s="5"/>
      <c r="CR122" s="5">
        <f t="shared" si="90"/>
        <v>0</v>
      </c>
      <c r="CS122" s="5">
        <f t="shared" si="91"/>
        <v>0</v>
      </c>
      <c r="CT122" s="5">
        <f t="shared" si="92"/>
        <v>0</v>
      </c>
      <c r="CU122" s="5">
        <f>MIN(100,
  CR122*15
  + CS122*6
  + CT122*3
  + IFERROR(_xlfn.XLOOKUP(CW122,'Lookup Tables'!$M$21:$M$25,'Lookup Tables'!$N$21:$N$25,0),0)
)</f>
        <v>0</v>
      </c>
      <c r="CV122" s="5" t="str">
        <f t="shared" si="93"/>
        <v>No failures</v>
      </c>
      <c r="CW122" s="5"/>
      <c r="CX122" s="5"/>
      <c r="CY122" s="5"/>
      <c r="CZ122" s="5"/>
      <c r="DA122" s="5" t="str">
        <f t="shared" si="94"/>
        <v>Yes</v>
      </c>
      <c r="DB122" s="5" t="str">
        <f t="shared" si="95"/>
        <v>No</v>
      </c>
      <c r="DC122" s="5"/>
      <c r="DD122" s="5"/>
      <c r="DE122" s="5"/>
      <c r="DF122" s="5"/>
      <c r="DG122" s="5"/>
      <c r="DH122" s="5"/>
      <c r="DI122" s="5"/>
      <c r="DJ122" s="5"/>
      <c r="DK122" s="5"/>
      <c r="DL122" s="5" t="str">
        <f t="shared" si="96"/>
        <v>Clear</v>
      </c>
      <c r="DM122" s="5" t="str">
        <f t="shared" si="97"/>
        <v>Yes</v>
      </c>
      <c r="DN122" s="5">
        <f t="array" ref="DN122">MIN(100,
  IF(ISNUMBER(V122), _xlfn.IFS(V122&gt;=3,25, V122=2,15, V122=1,5, TRUE,0), 0)
  + IFERROR(_xlfn.IFS(VALUE(LEFT(DF122,1))=5,25, VALUE(LEFT(DF122,1))=4,20, VALUE(LEFT(DF122,1))=3,15, VALUE(LEFT(DF122,1))=2,8, TRUE,0), 15)
  + IFERROR(_xlfn.IFS(VALUE(LEFT(DG122,1))=5,25, VALUE(LEFT(DG122,1))=4,20, VALUE(LEFT(DG122,1))=3,15, VALUE(LEFT(DG122,1))=2,8, TRUE,0), 15)
  + _xlfn.IFS(DH122="Fully Verified",25, DH122="Partially Verified",12, TRUE,0)
)</f>
        <v>30</v>
      </c>
      <c r="DO122" s="5" t="str">
        <f t="array" ref="DO122">_xlfn.IFS(
  ISBLANK(AR122), "Insufficient Evidence",
  AND(AR122&gt;=65, AJ122="Approved"), "Strong",
  AR122&gt;=65, "Adequate",
  AR122&gt;=40, "Adequate",
  AR122&gt;=20, "Weak",
  TRUE, "Insufficient Evidence"
)</f>
        <v>Insufficient Evidence</v>
      </c>
      <c r="DP122" s="5" t="str">
        <f t="array" ref="DP122">_xlfn.IFS(
  ISBLANK(BS122), "Insufficient Evidence",
  BS122&gt;=65, "Strong",
  BS122&gt;=40, "Adequate",
  BS122&gt;=20, "Weak",
  TRUE, "Insufficient Evidence"
)</f>
        <v>Insufficient Evidence</v>
      </c>
      <c r="DQ122" s="5" t="str">
        <f t="array" ref="DQ122">_xlfn.IFS(
  ISBLANK(BE122), "Insufficient Evidence",
  OR(AW122="Confirmed Violation", AX122="Confirmed Breach"), "Severe — Hard Trigger",
  BE122&gt;=65, "Strong",
  BE122&gt;=40, "Adequate",
  BE122&gt;=20, "Weak",
  TRUE, "Insufficient Evidence"
)</f>
        <v>Insufficient Evidence</v>
      </c>
      <c r="DR122" s="5" t="str">
        <f t="array" ref="DR122">_xlfn.IFS(
  ISBLANK(CU122), "Insufficient Evidence",
  CU122&lt;=20, "Low Risk",
  CU122&lt;=50, "Moderate Risk",
  CU122&lt;=75, "High Risk",
  TRUE, "Very High Risk"
)</f>
        <v>Low Risk</v>
      </c>
      <c r="DS122" s="5" t="str">
        <f t="array" ref="DS122">_xlfn.IFS(
  ISBLANK(CE122), "Insufficient Evidence",
  AND(ISNUMBER(BW122),ISNUMBER(BV122),BW122&gt;BV122), "Overclaiming Risk",
  CE122&gt;=65, "Strong",
  CE122&gt;=40, "Adequate",
  TRUE, "Weak"
)</f>
        <v>Weak</v>
      </c>
      <c r="DT122" s="5">
        <f t="shared" si="98"/>
        <v>11.7</v>
      </c>
      <c r="DU122" s="5" t="str">
        <f t="array" ref="DU122">_xlfn.IFS(
  DV122="Upgraded to Clear", "Clear",
  DV122="Downgraded to Watchlist", "Watchlist",
  DV122="Downgraded to Exclusion", "Exclusion Risk",
  DB122="Yes — Automatic", "Exclusion Risk",
  OR(AW122="Confirmed Violation", AX122="Confirmed Breach"), "Exclusion Risk",
  OR(V122=0, ISBLANK(V122), DN122&lt;20), "Insufficient Evidence",
  AND(DT122&gt;=65, DA122="No", DB122="No"), "Clear",
  OR(DT122&gt;=40, DA122="Yes"), "Watchlist",
  TRUE, "Exclusion Risk"
)</f>
        <v>Insufficient Evidence</v>
      </c>
      <c r="DV122" s="5"/>
      <c r="DW122" s="5" t="str">
        <f t="array" ref="DW122">_xlfn.IFS(
  DU122="Exclusion Risk", "Exclude — Hard Trigger",
  DU122="Insufficient Evidence", "Watchlist — Further Evidence Needed",
  DU122="Watchlist", "Watchlist — Further Evidence Needed",
  AND(DU122="Clear", DT122&gt;=80), "Include — No Conditions",
  DU122="Clear", "Include — Monitor",
  TRUE, "Watchlist — Further Evidence Needed"
)</f>
        <v>Watchlist — Further Evidence Needed</v>
      </c>
      <c r="DX122" s="5"/>
      <c r="DY122" s="5"/>
      <c r="DZ122" s="5"/>
      <c r="EA122" s="5"/>
      <c r="EB122" s="5" t="str">
        <f t="shared" si="99"/>
        <v>MISSING — No sources reviewed</v>
      </c>
      <c r="EC122" s="5" t="str">
        <f t="shared" si="100"/>
        <v/>
      </c>
    </row>
    <row r="123" spans="1:133" ht="18" customHeight="1" x14ac:dyDescent="0.15">
      <c r="A123" s="5" t="s">
        <v>688</v>
      </c>
      <c r="B123" s="5" t="s">
        <v>689</v>
      </c>
      <c r="C123" s="5" t="str">
        <f>IF(ISBLANK('Universe Tracker'!D98),"",'Universe Tracker'!D98)</f>
        <v>GB0007973794</v>
      </c>
      <c r="D123" s="5"/>
      <c r="E123" s="5"/>
      <c r="F123" s="5" t="str">
        <f>IF(ISBLANK('Universe Tracker'!F98),"",'Universe Tracker'!F98)</f>
        <v>Technology</v>
      </c>
      <c r="G123" s="5" t="str">
        <f>IF(ISBLANK('Universe Tracker'!G98),"",'Universe Tracker'!G98)</f>
        <v>Software &amp; Tech Services</v>
      </c>
      <c r="H123" s="5"/>
      <c r="I123" s="5"/>
      <c r="J123" s="5" t="str">
        <f t="shared" si="88"/>
        <v>SEO_GB0007973794</v>
      </c>
      <c r="K123" s="5"/>
      <c r="L123" s="5"/>
      <c r="M123" s="5"/>
      <c r="N123" s="5"/>
      <c r="O123" s="5"/>
      <c r="P123" s="5"/>
      <c r="Q123" s="5"/>
      <c r="R123" s="5"/>
      <c r="S123" s="5"/>
      <c r="T123" s="5"/>
      <c r="U123" s="5"/>
      <c r="V123" s="5"/>
      <c r="W123" s="5"/>
      <c r="X123" s="5"/>
      <c r="Y123" s="5" t="str">
        <f t="shared" si="89"/>
        <v>Insufficient</v>
      </c>
      <c r="Z123" s="5"/>
      <c r="AA123" s="5"/>
      <c r="AB123" s="5"/>
      <c r="AC123" s="5"/>
      <c r="AD123" s="5"/>
      <c r="AE123" s="5"/>
      <c r="AF123" s="5"/>
      <c r="AG123" s="5"/>
      <c r="AH123" s="5"/>
      <c r="AI123" s="5"/>
      <c r="AJ123" s="5"/>
      <c r="AK123" s="5"/>
      <c r="AL123" s="5"/>
      <c r="AM123" s="5"/>
      <c r="AN123" s="5"/>
      <c r="AO123" s="5"/>
      <c r="AP123" s="5"/>
      <c r="AQ123" s="5"/>
      <c r="AR123" s="40">
        <f t="array" ref="AR123">MIN(100, MAX(0,
  IFERROR(_xlfn.XLOOKUP(AJ123,'Lookup Tables'!$A$2:$A$7,'Lookup Tables'!$B$2:$B$7,0),0)
  + IF(Z123="Yes", IF(IFERROR(_xlfn.XLOOKUP(AJ123,'Lookup Tables'!$A$2:$A$7,'Lookup Tables'!$B$2:$B$7,0),0)&lt;20, 5, 0), 0)
  + _xlfn.IFS(AB123="Yes", IF(ISNUMBER(AC123)*AND(AC123&lt;=2030),15,10), AB123="Long-term Only", 5, AB123="No", 0, TRUE, 0)
  + _xlfn.IFS(AF123="Full",10, AF123="Partial",5, AF123="Scope 2 Only",3, TRUE,0)
  + _xlfn.IFS(AG123="Yes", IF(ISNUMBER(AH123)*AND(AH123&gt;=5),10,6), AG123="Partial",4, TRUE,0)
  + _xlfn.IFS(AI123="Yes",5, AI123="Partial (material categories only)",3, TRUE,0)
  + _xlfn.IFS(AL123="Yes — Detailed",10, AL123="Yes — High Level",5, TRUE,0)
  + _xlfn.IFS(AM123="Yes — Quantified",15, AM123="Yes — Directional Only",7, TRUE,0)
  + _xlfn.IFS(AP123="Formal",5, AP123="Referenced",2, TRUE,0)
  + _xlfn.IFS(AQ123="No Issues Found",5, AQ123="Concern Identified",-5, AQ123="Severe Contradiction",-15, TRUE,0)
  + _xlfn.IFS(BC123="Reasonable Assurance",5, BC123="Limited Assurance",3, TRUE,0)
  - IF(AND(Z123="Yes", AI123="No"), 10, 0)
  - IF(AND(Z123="Yes", AM123="No"), 10, 0)
))</f>
        <v>0</v>
      </c>
      <c r="AS123" s="5"/>
      <c r="AT123" s="5"/>
      <c r="AU123" s="5"/>
      <c r="AV123" s="5"/>
      <c r="AW123" s="5"/>
      <c r="AX123" s="5"/>
      <c r="AY123" s="5"/>
      <c r="AZ123" s="5"/>
      <c r="BA123" s="5"/>
      <c r="BB123" s="5"/>
      <c r="BC123" s="5"/>
      <c r="BD123" s="5"/>
      <c r="BE123" s="39">
        <f t="array" ref="BE123">MIN(100, MAX(0,
  IFERROR(_xlfn.XLOOKUP(AT123,'Lookup Tables'!$D$2:$D$6,'Lookup Tables'!$E$2:$E$6,0),0)
  + IFERROR(_xlfn.XLOOKUP(AV123,'Lookup Tables'!$G$2:$G$5,'Lookup Tables'!$H$2:$H$5,0),0)
  + IFERROR(_xlfn.XLOOKUP(AW123,'Lookup Tables'!$J$2:$J$5,'Lookup Tables'!$K$2:$K$5,0),0)
  + _xlfn.IFS(AX123="No Issues",10, AX123="Complaint Filed",3, AX123="Confirmed Breach",-15, TRUE,0)
  + IFERROR(_xlfn.XLOOKUP(AY123,'Lookup Tables'!$M$2:$M$6,'Lookup Tables'!$N$2:$N$6,0),0)
  + IFERROR(_xlfn.XLOOKUP(AZ123,'Lookup Tables'!$P$2:$P$6,'Lookup Tables'!$Q$2:$Q$6,0),0)
  + _xlfn.IFS(BA123="Formal Board Committee",5, BA123="Board Oversight Mentioned",2, TRUE,0)
  + _xlfn.IFS(BB123="Yes — Quantified Targets",5, BB123="Yes — Discretionary Only",2, TRUE,0)
  + _xlfn.IFS(BC123="Reasonable Assurance",5, BC123="Limited Assurance",3, BC123="Management Review Only",1, TRUE,0)
))</f>
        <v>0</v>
      </c>
      <c r="BF123" s="5"/>
      <c r="BG123" s="5"/>
      <c r="BH123" s="5"/>
      <c r="BI123" s="5"/>
      <c r="BJ123" s="5"/>
      <c r="BK123" s="5"/>
      <c r="BL123" s="5"/>
      <c r="BM123" s="5"/>
      <c r="BN123" s="5"/>
      <c r="BO123" s="5"/>
      <c r="BP123" s="5"/>
      <c r="BQ123" s="5"/>
      <c r="BR123" s="5"/>
      <c r="BS123" s="41">
        <f t="array" ref="BS123">MIN(100, MAX(0,
  IFERROR(_xlfn.XLOOKUP(BG123,'Lookup Tables'!$A$11:$A$16,'Lookup Tables'!$B$11:$B$16,0),0)
  + IFERROR(_xlfn.XLOOKUP(BR123,'Lookup Tables'!$M$11:$M$14,'Lookup Tables'!$N$11:$N$14,0),0)
  + IFERROR(_xlfn.XLOOKUP(BQ123,'Lookup Tables'!$J$11:$J$15,'Lookup Tables'!$K$11:$K$15,0),0)
  + IFERROR(_xlfn.XLOOKUP(BH123,'Lookup Tables'!$D$11:$D$15,'Lookup Tables'!$E$11:$E$15,0),0)
  + IFERROR(_xlfn.XLOOKUP(BJ123,'Lookup Tables'!$G$11:$G$16,'Lookup Tables'!$H$11:$H$16,0),0)
  + IFERROR(_xlfn.XLOOKUP(BN123,'Lookup Tables'!$P$11:$P$15,'Lookup Tables'!$Q$11:$Q$15,0),0)
  + _xlfn.IFS(BM123="No Evidence",10, BM123="Unknown",3, BM123="Likely",0, BM123="Confirmed",-10, TRUE,3)
  + IFERROR(_xlfn.XLOOKUP(BP123,'Lookup Tables'!$J$21:$J$24,'Lookup Tables'!$K$21:$K$24,0),0)
))</f>
        <v>3</v>
      </c>
      <c r="BT123" s="5"/>
      <c r="BU123" s="5"/>
      <c r="BV123" s="5"/>
      <c r="BW123" s="5"/>
      <c r="BX123" s="5"/>
      <c r="BY123" s="5"/>
      <c r="BZ123" s="5"/>
      <c r="CA123" s="5"/>
      <c r="CB123" s="5"/>
      <c r="CC123" s="5"/>
      <c r="CD123" s="5"/>
      <c r="CE123" s="43">
        <f t="array" ref="CE123">MIN(100, MAX(0,
  IF(ISNUMBER(BV123)*AND(BV123&gt;0), 10, 0)
  + _xlfn.IFS(BY123="Independently Verified",25, BY123="Yes",15, TRUE,0)
  + IFERROR(_xlfn.XLOOKUP(BZ123,'Lookup Tables'!$A$21:$A$24,'Lookup Tables'!$B$21:$B$24,0),0)
  + IFERROR(_xlfn.XLOOKUP(CA123,'Lookup Tables'!$D$21:$D$24,'Lookup Tables'!$E$21:$E$24,0),0)
  + _xlfn.IFS(ISNUMBER(CB123)*AND(CB123&gt;=11),15, ISNUMBER(CB123)*AND(CB123&gt;=6),10, ISNUMBER(CB123)*AND(CB123&gt;=1),5, TRUE,0)
  + IFERROR(_xlfn.XLOOKUP(CC123,'Lookup Tables'!$G$21:$G$25,'Lookup Tables'!$H$21:$H$25,0),0)
  - IF(ISNUMBER(BW123)*AND(ISNUMBER(BV123))*AND(BW123&gt;BV123), 20, 0)
  - IF(AND(BY123="Yes", ISNUMBER(BW123), BW123&gt;60), 10, 0)
))</f>
        <v>0</v>
      </c>
      <c r="CF123" s="5"/>
      <c r="CG123" s="5"/>
      <c r="CH123" s="5"/>
      <c r="CI123" s="5"/>
      <c r="CJ123" s="5"/>
      <c r="CK123" s="5"/>
      <c r="CL123" s="5"/>
      <c r="CM123" s="5"/>
      <c r="CN123" s="5"/>
      <c r="CO123" s="5"/>
      <c r="CP123" s="5"/>
      <c r="CQ123" s="5"/>
      <c r="CR123" s="5">
        <f t="shared" si="90"/>
        <v>0</v>
      </c>
      <c r="CS123" s="5">
        <f t="shared" si="91"/>
        <v>0</v>
      </c>
      <c r="CT123" s="5">
        <f t="shared" si="92"/>
        <v>0</v>
      </c>
      <c r="CU123" s="5">
        <f>MIN(100,
  CR123*15
  + CS123*6
  + CT123*3
  + IFERROR(_xlfn.XLOOKUP(CW123,'Lookup Tables'!$M$21:$M$25,'Lookup Tables'!$N$21:$N$25,0),0)
)</f>
        <v>0</v>
      </c>
      <c r="CV123" s="5" t="str">
        <f t="shared" si="93"/>
        <v>No failures</v>
      </c>
      <c r="CW123" s="5"/>
      <c r="CX123" s="5"/>
      <c r="CY123" s="5"/>
      <c r="CZ123" s="5"/>
      <c r="DA123" s="5" t="str">
        <f t="shared" si="94"/>
        <v>Yes</v>
      </c>
      <c r="DB123" s="5" t="str">
        <f t="shared" si="95"/>
        <v>No</v>
      </c>
      <c r="DC123" s="5"/>
      <c r="DD123" s="5"/>
      <c r="DE123" s="5"/>
      <c r="DF123" s="5"/>
      <c r="DG123" s="5"/>
      <c r="DH123" s="5"/>
      <c r="DI123" s="5"/>
      <c r="DJ123" s="5"/>
      <c r="DK123" s="5"/>
      <c r="DL123" s="5" t="str">
        <f t="shared" si="96"/>
        <v>Clear</v>
      </c>
      <c r="DM123" s="5" t="str">
        <f t="shared" si="97"/>
        <v>Yes</v>
      </c>
      <c r="DN123" s="5">
        <f t="array" ref="DN123">MIN(100,
  IF(ISNUMBER(V123), _xlfn.IFS(V123&gt;=3,25, V123=2,15, V123=1,5, TRUE,0), 0)
  + IFERROR(_xlfn.IFS(VALUE(LEFT(DF123,1))=5,25, VALUE(LEFT(DF123,1))=4,20, VALUE(LEFT(DF123,1))=3,15, VALUE(LEFT(DF123,1))=2,8, TRUE,0), 15)
  + IFERROR(_xlfn.IFS(VALUE(LEFT(DG123,1))=5,25, VALUE(LEFT(DG123,1))=4,20, VALUE(LEFT(DG123,1))=3,15, VALUE(LEFT(DG123,1))=2,8, TRUE,0), 15)
  + _xlfn.IFS(DH123="Fully Verified",25, DH123="Partially Verified",12, TRUE,0)
)</f>
        <v>30</v>
      </c>
      <c r="DO123" s="5" t="str">
        <f t="array" ref="DO123">_xlfn.IFS(
  ISBLANK(AR123), "Insufficient Evidence",
  AND(AR123&gt;=65, AJ123="Approved"), "Strong",
  AR123&gt;=65, "Adequate",
  AR123&gt;=40, "Adequate",
  AR123&gt;=20, "Weak",
  TRUE, "Insufficient Evidence"
)</f>
        <v>Insufficient Evidence</v>
      </c>
      <c r="DP123" s="5" t="str">
        <f t="array" ref="DP123">_xlfn.IFS(
  ISBLANK(BS123), "Insufficient Evidence",
  BS123&gt;=65, "Strong",
  BS123&gt;=40, "Adequate",
  BS123&gt;=20, "Weak",
  TRUE, "Insufficient Evidence"
)</f>
        <v>Insufficient Evidence</v>
      </c>
      <c r="DQ123" s="5" t="str">
        <f t="array" ref="DQ123">_xlfn.IFS(
  ISBLANK(BE123), "Insufficient Evidence",
  OR(AW123="Confirmed Violation", AX123="Confirmed Breach"), "Severe — Hard Trigger",
  BE123&gt;=65, "Strong",
  BE123&gt;=40, "Adequate",
  BE123&gt;=20, "Weak",
  TRUE, "Insufficient Evidence"
)</f>
        <v>Insufficient Evidence</v>
      </c>
      <c r="DR123" s="5" t="str">
        <f t="array" ref="DR123">_xlfn.IFS(
  ISBLANK(CU123), "Insufficient Evidence",
  CU123&lt;=20, "Low Risk",
  CU123&lt;=50, "Moderate Risk",
  CU123&lt;=75, "High Risk",
  TRUE, "Very High Risk"
)</f>
        <v>Low Risk</v>
      </c>
      <c r="DS123" s="5" t="str">
        <f t="array" ref="DS123">_xlfn.IFS(
  ISBLANK(CE123), "Insufficient Evidence",
  AND(ISNUMBER(BW123),ISNUMBER(BV123),BW123&gt;BV123), "Overclaiming Risk",
  CE123&gt;=65, "Strong",
  CE123&gt;=40, "Adequate",
  TRUE, "Weak"
)</f>
        <v>Weak</v>
      </c>
      <c r="DT123" s="5">
        <f t="shared" si="98"/>
        <v>11.7</v>
      </c>
      <c r="DU123" s="5" t="str">
        <f t="array" ref="DU123">_xlfn.IFS(
  DV123="Upgraded to Clear", "Clear",
  DV123="Downgraded to Watchlist", "Watchlist",
  DV123="Downgraded to Exclusion", "Exclusion Risk",
  DB123="Yes — Automatic", "Exclusion Risk",
  OR(AW123="Confirmed Violation", AX123="Confirmed Breach"), "Exclusion Risk",
  OR(V123=0, ISBLANK(V123), DN123&lt;20), "Insufficient Evidence",
  AND(DT123&gt;=65, DA123="No", DB123="No"), "Clear",
  OR(DT123&gt;=40, DA123="Yes"), "Watchlist",
  TRUE, "Exclusion Risk"
)</f>
        <v>Insufficient Evidence</v>
      </c>
      <c r="DV123" s="5"/>
      <c r="DW123" s="5" t="str">
        <f t="array" ref="DW123">_xlfn.IFS(
  DU123="Exclusion Risk", "Exclude — Hard Trigger",
  DU123="Insufficient Evidence", "Watchlist — Further Evidence Needed",
  DU123="Watchlist", "Watchlist — Further Evidence Needed",
  AND(DU123="Clear", DT123&gt;=80), "Include — No Conditions",
  DU123="Clear", "Include — Monitor",
  TRUE, "Watchlist — Further Evidence Needed"
)</f>
        <v>Watchlist — Further Evidence Needed</v>
      </c>
      <c r="DX123" s="5"/>
      <c r="DY123" s="5"/>
      <c r="DZ123" s="5"/>
      <c r="EA123" s="5"/>
      <c r="EB123" s="5" t="str">
        <f t="shared" si="99"/>
        <v>MISSING — No sources reviewed</v>
      </c>
      <c r="EC123" s="5" t="str">
        <f t="shared" si="100"/>
        <v/>
      </c>
    </row>
    <row r="124" spans="1:133" ht="18" customHeight="1" x14ac:dyDescent="0.15">
      <c r="A124" s="5" t="s">
        <v>693</v>
      </c>
      <c r="B124" s="5" t="s">
        <v>694</v>
      </c>
      <c r="C124" s="5" t="str">
        <f>IF(ISBLANK('Universe Tracker'!D99),"",'Universe Tracker'!D99)</f>
        <v>DK0010287663</v>
      </c>
      <c r="D124" s="5"/>
      <c r="E124" s="5"/>
      <c r="F124" s="5" t="str">
        <f>IF(ISBLANK('Universe Tracker'!F99),"",'Universe Tracker'!F99)</f>
        <v>Industrials</v>
      </c>
      <c r="G124" s="5" t="str">
        <f>IF(ISBLANK('Universe Tracker'!G99),"",'Universe Tracker'!G99)</f>
        <v>Industrial Products</v>
      </c>
      <c r="H124" s="5"/>
      <c r="I124" s="5"/>
      <c r="J124" s="5" t="str">
        <f t="shared" si="88"/>
        <v>NKT_DK0010287663</v>
      </c>
      <c r="K124" s="5"/>
      <c r="L124" s="5"/>
      <c r="M124" s="5"/>
      <c r="N124" s="5"/>
      <c r="O124" s="5"/>
      <c r="P124" s="5"/>
      <c r="Q124" s="5"/>
      <c r="R124" s="5"/>
      <c r="S124" s="5"/>
      <c r="T124" s="5"/>
      <c r="U124" s="5"/>
      <c r="V124" s="5"/>
      <c r="W124" s="5"/>
      <c r="X124" s="5"/>
      <c r="Y124" s="5" t="str">
        <f t="shared" si="89"/>
        <v>Insufficient</v>
      </c>
      <c r="Z124" s="5"/>
      <c r="AA124" s="5"/>
      <c r="AB124" s="5"/>
      <c r="AC124" s="5"/>
      <c r="AD124" s="5"/>
      <c r="AE124" s="5"/>
      <c r="AF124" s="5"/>
      <c r="AG124" s="5"/>
      <c r="AH124" s="5"/>
      <c r="AI124" s="5"/>
      <c r="AJ124" s="5"/>
      <c r="AK124" s="5"/>
      <c r="AL124" s="5"/>
      <c r="AM124" s="5"/>
      <c r="AN124" s="5"/>
      <c r="AO124" s="5"/>
      <c r="AP124" s="5"/>
      <c r="AQ124" s="5"/>
      <c r="AR124" s="40">
        <f t="array" ref="AR124">MIN(100, MAX(0,
  IFERROR(_xlfn.XLOOKUP(AJ124,'Lookup Tables'!$A$2:$A$7,'Lookup Tables'!$B$2:$B$7,0),0)
  + IF(Z124="Yes", IF(IFERROR(_xlfn.XLOOKUP(AJ124,'Lookup Tables'!$A$2:$A$7,'Lookup Tables'!$B$2:$B$7,0),0)&lt;20, 5, 0), 0)
  + _xlfn.IFS(AB124="Yes", IF(ISNUMBER(AC124)*AND(AC124&lt;=2030),15,10), AB124="Long-term Only", 5, AB124="No", 0, TRUE, 0)
  + _xlfn.IFS(AF124="Full",10, AF124="Partial",5, AF124="Scope 2 Only",3, TRUE,0)
  + _xlfn.IFS(AG124="Yes", IF(ISNUMBER(AH124)*AND(AH124&gt;=5),10,6), AG124="Partial",4, TRUE,0)
  + _xlfn.IFS(AI124="Yes",5, AI124="Partial (material categories only)",3, TRUE,0)
  + _xlfn.IFS(AL124="Yes — Detailed",10, AL124="Yes — High Level",5, TRUE,0)
  + _xlfn.IFS(AM124="Yes — Quantified",15, AM124="Yes — Directional Only",7, TRUE,0)
  + _xlfn.IFS(AP124="Formal",5, AP124="Referenced",2, TRUE,0)
  + _xlfn.IFS(AQ124="No Issues Found",5, AQ124="Concern Identified",-5, AQ124="Severe Contradiction",-15, TRUE,0)
  + _xlfn.IFS(BC124="Reasonable Assurance",5, BC124="Limited Assurance",3, TRUE,0)
  - IF(AND(Z124="Yes", AI124="No"), 10, 0)
  - IF(AND(Z124="Yes", AM124="No"), 10, 0)
))</f>
        <v>0</v>
      </c>
      <c r="AS124" s="5"/>
      <c r="AT124" s="5"/>
      <c r="AU124" s="5"/>
      <c r="AV124" s="5"/>
      <c r="AW124" s="5"/>
      <c r="AX124" s="5"/>
      <c r="AY124" s="5"/>
      <c r="AZ124" s="5"/>
      <c r="BA124" s="5"/>
      <c r="BB124" s="5"/>
      <c r="BC124" s="5"/>
      <c r="BD124" s="5"/>
      <c r="BE124" s="39">
        <f t="array" ref="BE124">MIN(100, MAX(0,
  IFERROR(_xlfn.XLOOKUP(AT124,'Lookup Tables'!$D$2:$D$6,'Lookup Tables'!$E$2:$E$6,0),0)
  + IFERROR(_xlfn.XLOOKUP(AV124,'Lookup Tables'!$G$2:$G$5,'Lookup Tables'!$H$2:$H$5,0),0)
  + IFERROR(_xlfn.XLOOKUP(AW124,'Lookup Tables'!$J$2:$J$5,'Lookup Tables'!$K$2:$K$5,0),0)
  + _xlfn.IFS(AX124="No Issues",10, AX124="Complaint Filed",3, AX124="Confirmed Breach",-15, TRUE,0)
  + IFERROR(_xlfn.XLOOKUP(AY124,'Lookup Tables'!$M$2:$M$6,'Lookup Tables'!$N$2:$N$6,0),0)
  + IFERROR(_xlfn.XLOOKUP(AZ124,'Lookup Tables'!$P$2:$P$6,'Lookup Tables'!$Q$2:$Q$6,0),0)
  + _xlfn.IFS(BA124="Formal Board Committee",5, BA124="Board Oversight Mentioned",2, TRUE,0)
  + _xlfn.IFS(BB124="Yes — Quantified Targets",5, BB124="Yes — Discretionary Only",2, TRUE,0)
  + _xlfn.IFS(BC124="Reasonable Assurance",5, BC124="Limited Assurance",3, BC124="Management Review Only",1, TRUE,0)
))</f>
        <v>0</v>
      </c>
      <c r="BF124" s="5"/>
      <c r="BG124" s="5"/>
      <c r="BH124" s="5"/>
      <c r="BI124" s="5"/>
      <c r="BJ124" s="5"/>
      <c r="BK124" s="5"/>
      <c r="BL124" s="5"/>
      <c r="BM124" s="5"/>
      <c r="BN124" s="5"/>
      <c r="BO124" s="5"/>
      <c r="BP124" s="5"/>
      <c r="BQ124" s="5"/>
      <c r="BR124" s="5"/>
      <c r="BS124" s="41">
        <f t="array" ref="BS124">MIN(100, MAX(0,
  IFERROR(_xlfn.XLOOKUP(BG124,'Lookup Tables'!$A$11:$A$16,'Lookup Tables'!$B$11:$B$16,0),0)
  + IFERROR(_xlfn.XLOOKUP(BR124,'Lookup Tables'!$M$11:$M$14,'Lookup Tables'!$N$11:$N$14,0),0)
  + IFERROR(_xlfn.XLOOKUP(BQ124,'Lookup Tables'!$J$11:$J$15,'Lookup Tables'!$K$11:$K$15,0),0)
  + IFERROR(_xlfn.XLOOKUP(BH124,'Lookup Tables'!$D$11:$D$15,'Lookup Tables'!$E$11:$E$15,0),0)
  + IFERROR(_xlfn.XLOOKUP(BJ124,'Lookup Tables'!$G$11:$G$16,'Lookup Tables'!$H$11:$H$16,0),0)
  + IFERROR(_xlfn.XLOOKUP(BN124,'Lookup Tables'!$P$11:$P$15,'Lookup Tables'!$Q$11:$Q$15,0),0)
  + _xlfn.IFS(BM124="No Evidence",10, BM124="Unknown",3, BM124="Likely",0, BM124="Confirmed",-10, TRUE,3)
  + IFERROR(_xlfn.XLOOKUP(BP124,'Lookup Tables'!$J$21:$J$24,'Lookup Tables'!$K$21:$K$24,0),0)
))</f>
        <v>3</v>
      </c>
      <c r="BT124" s="5"/>
      <c r="BU124" s="5"/>
      <c r="BV124" s="5"/>
      <c r="BW124" s="5"/>
      <c r="BX124" s="5"/>
      <c r="BY124" s="5"/>
      <c r="BZ124" s="5"/>
      <c r="CA124" s="5"/>
      <c r="CB124" s="5"/>
      <c r="CC124" s="5"/>
      <c r="CD124" s="5"/>
      <c r="CE124" s="43">
        <f t="array" ref="CE124">MIN(100, MAX(0,
  IF(ISNUMBER(BV124)*AND(BV124&gt;0), 10, 0)
  + _xlfn.IFS(BY124="Independently Verified",25, BY124="Yes",15, TRUE,0)
  + IFERROR(_xlfn.XLOOKUP(BZ124,'Lookup Tables'!$A$21:$A$24,'Lookup Tables'!$B$21:$B$24,0),0)
  + IFERROR(_xlfn.XLOOKUP(CA124,'Lookup Tables'!$D$21:$D$24,'Lookup Tables'!$E$21:$E$24,0),0)
  + _xlfn.IFS(ISNUMBER(CB124)*AND(CB124&gt;=11),15, ISNUMBER(CB124)*AND(CB124&gt;=6),10, ISNUMBER(CB124)*AND(CB124&gt;=1),5, TRUE,0)
  + IFERROR(_xlfn.XLOOKUP(CC124,'Lookup Tables'!$G$21:$G$25,'Lookup Tables'!$H$21:$H$25,0),0)
  - IF(ISNUMBER(BW124)*AND(ISNUMBER(BV124))*AND(BW124&gt;BV124), 20, 0)
  - IF(AND(BY124="Yes", ISNUMBER(BW124), BW124&gt;60), 10, 0)
))</f>
        <v>0</v>
      </c>
      <c r="CF124" s="5"/>
      <c r="CG124" s="5"/>
      <c r="CH124" s="5"/>
      <c r="CI124" s="5"/>
      <c r="CJ124" s="5"/>
      <c r="CK124" s="5"/>
      <c r="CL124" s="5"/>
      <c r="CM124" s="5"/>
      <c r="CN124" s="5"/>
      <c r="CO124" s="5"/>
      <c r="CP124" s="5"/>
      <c r="CQ124" s="5"/>
      <c r="CR124" s="5">
        <f t="shared" si="90"/>
        <v>0</v>
      </c>
      <c r="CS124" s="5">
        <f t="shared" si="91"/>
        <v>0</v>
      </c>
      <c r="CT124" s="5">
        <f t="shared" si="92"/>
        <v>0</v>
      </c>
      <c r="CU124" s="5">
        <f>MIN(100,
  CR124*15
  + CS124*6
  + CT124*3
  + IFERROR(_xlfn.XLOOKUP(CW124,'Lookup Tables'!$M$21:$M$25,'Lookup Tables'!$N$21:$N$25,0),0)
)</f>
        <v>0</v>
      </c>
      <c r="CV124" s="5" t="str">
        <f t="shared" si="93"/>
        <v>No failures</v>
      </c>
      <c r="CW124" s="5"/>
      <c r="CX124" s="5"/>
      <c r="CY124" s="5"/>
      <c r="CZ124" s="5"/>
      <c r="DA124" s="5" t="str">
        <f t="shared" si="94"/>
        <v>Yes</v>
      </c>
      <c r="DB124" s="5" t="str">
        <f t="shared" si="95"/>
        <v>No</v>
      </c>
      <c r="DC124" s="5"/>
      <c r="DD124" s="5"/>
      <c r="DE124" s="5"/>
      <c r="DF124" s="5"/>
      <c r="DG124" s="5"/>
      <c r="DH124" s="5"/>
      <c r="DI124" s="5"/>
      <c r="DJ124" s="5"/>
      <c r="DK124" s="5"/>
      <c r="DL124" s="5" t="str">
        <f t="shared" si="96"/>
        <v>Clear</v>
      </c>
      <c r="DM124" s="5" t="str">
        <f t="shared" si="97"/>
        <v>Yes</v>
      </c>
      <c r="DN124" s="5">
        <f t="array" ref="DN124">MIN(100,
  IF(ISNUMBER(V124), _xlfn.IFS(V124&gt;=3,25, V124=2,15, V124=1,5, TRUE,0), 0)
  + IFERROR(_xlfn.IFS(VALUE(LEFT(DF124,1))=5,25, VALUE(LEFT(DF124,1))=4,20, VALUE(LEFT(DF124,1))=3,15, VALUE(LEFT(DF124,1))=2,8, TRUE,0), 15)
  + IFERROR(_xlfn.IFS(VALUE(LEFT(DG124,1))=5,25, VALUE(LEFT(DG124,1))=4,20, VALUE(LEFT(DG124,1))=3,15, VALUE(LEFT(DG124,1))=2,8, TRUE,0), 15)
  + _xlfn.IFS(DH124="Fully Verified",25, DH124="Partially Verified",12, TRUE,0)
)</f>
        <v>30</v>
      </c>
      <c r="DO124" s="5" t="str">
        <f t="array" ref="DO124">_xlfn.IFS(
  ISBLANK(AR124), "Insufficient Evidence",
  AND(AR124&gt;=65, AJ124="Approved"), "Strong",
  AR124&gt;=65, "Adequate",
  AR124&gt;=40, "Adequate",
  AR124&gt;=20, "Weak",
  TRUE, "Insufficient Evidence"
)</f>
        <v>Insufficient Evidence</v>
      </c>
      <c r="DP124" s="5" t="str">
        <f t="array" ref="DP124">_xlfn.IFS(
  ISBLANK(BS124), "Insufficient Evidence",
  BS124&gt;=65, "Strong",
  BS124&gt;=40, "Adequate",
  BS124&gt;=20, "Weak",
  TRUE, "Insufficient Evidence"
)</f>
        <v>Insufficient Evidence</v>
      </c>
      <c r="DQ124" s="5" t="str">
        <f t="array" ref="DQ124">_xlfn.IFS(
  ISBLANK(BE124), "Insufficient Evidence",
  OR(AW124="Confirmed Violation", AX124="Confirmed Breach"), "Severe — Hard Trigger",
  BE124&gt;=65, "Strong",
  BE124&gt;=40, "Adequate",
  BE124&gt;=20, "Weak",
  TRUE, "Insufficient Evidence"
)</f>
        <v>Insufficient Evidence</v>
      </c>
      <c r="DR124" s="5" t="str">
        <f t="array" ref="DR124">_xlfn.IFS(
  ISBLANK(CU124), "Insufficient Evidence",
  CU124&lt;=20, "Low Risk",
  CU124&lt;=50, "Moderate Risk",
  CU124&lt;=75, "High Risk",
  TRUE, "Very High Risk"
)</f>
        <v>Low Risk</v>
      </c>
      <c r="DS124" s="5" t="str">
        <f t="array" ref="DS124">_xlfn.IFS(
  ISBLANK(CE124), "Insufficient Evidence",
  AND(ISNUMBER(BW124),ISNUMBER(BV124),BW124&gt;BV124), "Overclaiming Risk",
  CE124&gt;=65, "Strong",
  CE124&gt;=40, "Adequate",
  TRUE, "Weak"
)</f>
        <v>Weak</v>
      </c>
      <c r="DT124" s="5">
        <f t="shared" si="98"/>
        <v>11.7</v>
      </c>
      <c r="DU124" s="5" t="str">
        <f t="array" ref="DU124">_xlfn.IFS(
  DV124="Upgraded to Clear", "Clear",
  DV124="Downgraded to Watchlist", "Watchlist",
  DV124="Downgraded to Exclusion", "Exclusion Risk",
  DB124="Yes — Automatic", "Exclusion Risk",
  OR(AW124="Confirmed Violation", AX124="Confirmed Breach"), "Exclusion Risk",
  OR(V124=0, ISBLANK(V124), DN124&lt;20), "Insufficient Evidence",
  AND(DT124&gt;=65, DA124="No", DB124="No"), "Clear",
  OR(DT124&gt;=40, DA124="Yes"), "Watchlist",
  TRUE, "Exclusion Risk"
)</f>
        <v>Insufficient Evidence</v>
      </c>
      <c r="DV124" s="5"/>
      <c r="DW124" s="5" t="str">
        <f t="array" ref="DW124">_xlfn.IFS(
  DU124="Exclusion Risk", "Exclude — Hard Trigger",
  DU124="Insufficient Evidence", "Watchlist — Further Evidence Needed",
  DU124="Watchlist", "Watchlist — Further Evidence Needed",
  AND(DU124="Clear", DT124&gt;=80), "Include — No Conditions",
  DU124="Clear", "Include — Monitor",
  TRUE, "Watchlist — Further Evidence Needed"
)</f>
        <v>Watchlist — Further Evidence Needed</v>
      </c>
      <c r="DX124" s="5"/>
      <c r="DY124" s="5"/>
      <c r="DZ124" s="5"/>
      <c r="EA124" s="5"/>
      <c r="EB124" s="5" t="str">
        <f t="shared" si="99"/>
        <v>MISSING — No sources reviewed</v>
      </c>
      <c r="EC124" s="5" t="str">
        <f t="shared" si="100"/>
        <v/>
      </c>
    </row>
    <row r="125" spans="1:133" ht="18" customHeight="1" x14ac:dyDescent="0.15">
      <c r="A125" s="5" t="s">
        <v>697</v>
      </c>
      <c r="B125" s="5" t="s">
        <v>698</v>
      </c>
      <c r="C125" s="5" t="str">
        <f>IF(ISBLANK('Universe Tracker'!D100),"",'Universe Tracker'!D100)</f>
        <v>NO0003053605</v>
      </c>
      <c r="D125" s="5"/>
      <c r="E125" s="5"/>
      <c r="F125" s="5" t="str">
        <f>IF(ISBLANK('Universe Tracker'!F100),"",'Universe Tracker'!F100)</f>
        <v>Financials</v>
      </c>
      <c r="G125" s="5" t="str">
        <f>IF(ISBLANK('Universe Tracker'!G100),"",'Universe Tracker'!G100)</f>
        <v>Insurance</v>
      </c>
      <c r="H125" s="5"/>
      <c r="I125" s="5"/>
      <c r="J125" s="5" t="str">
        <f t="shared" si="88"/>
        <v>SKT_NO0003053605</v>
      </c>
      <c r="K125" s="5"/>
      <c r="L125" s="5"/>
      <c r="M125" s="5"/>
      <c r="N125" s="5"/>
      <c r="O125" s="5"/>
      <c r="P125" s="5"/>
      <c r="Q125" s="5"/>
      <c r="R125" s="5"/>
      <c r="S125" s="5"/>
      <c r="T125" s="5"/>
      <c r="U125" s="5"/>
      <c r="V125" s="5"/>
      <c r="W125" s="5"/>
      <c r="X125" s="5"/>
      <c r="Y125" s="5" t="str">
        <f t="shared" si="89"/>
        <v>Insufficient</v>
      </c>
      <c r="Z125" s="5"/>
      <c r="AA125" s="5"/>
      <c r="AB125" s="5"/>
      <c r="AC125" s="5"/>
      <c r="AD125" s="5"/>
      <c r="AE125" s="5"/>
      <c r="AF125" s="5"/>
      <c r="AG125" s="5"/>
      <c r="AH125" s="5"/>
      <c r="AI125" s="5"/>
      <c r="AJ125" s="5"/>
      <c r="AK125" s="5"/>
      <c r="AL125" s="5"/>
      <c r="AM125" s="5"/>
      <c r="AN125" s="5"/>
      <c r="AO125" s="5"/>
      <c r="AP125" s="5"/>
      <c r="AQ125" s="5"/>
      <c r="AR125" s="40">
        <f t="array" ref="AR125">MIN(100, MAX(0,
  IFERROR(_xlfn.XLOOKUP(AJ125,'Lookup Tables'!$A$2:$A$7,'Lookup Tables'!$B$2:$B$7,0),0)
  + IF(Z125="Yes", IF(IFERROR(_xlfn.XLOOKUP(AJ125,'Lookup Tables'!$A$2:$A$7,'Lookup Tables'!$B$2:$B$7,0),0)&lt;20, 5, 0), 0)
  + _xlfn.IFS(AB125="Yes", IF(ISNUMBER(AC125)*AND(AC125&lt;=2030),15,10), AB125="Long-term Only", 5, AB125="No", 0, TRUE, 0)
  + _xlfn.IFS(AF125="Full",10, AF125="Partial",5, AF125="Scope 2 Only",3, TRUE,0)
  + _xlfn.IFS(AG125="Yes", IF(ISNUMBER(AH125)*AND(AH125&gt;=5),10,6), AG125="Partial",4, TRUE,0)
  + _xlfn.IFS(AI125="Yes",5, AI125="Partial (material categories only)",3, TRUE,0)
  + _xlfn.IFS(AL125="Yes — Detailed",10, AL125="Yes — High Level",5, TRUE,0)
  + _xlfn.IFS(AM125="Yes — Quantified",15, AM125="Yes — Directional Only",7, TRUE,0)
  + _xlfn.IFS(AP125="Formal",5, AP125="Referenced",2, TRUE,0)
  + _xlfn.IFS(AQ125="No Issues Found",5, AQ125="Concern Identified",-5, AQ125="Severe Contradiction",-15, TRUE,0)
  + _xlfn.IFS(BC125="Reasonable Assurance",5, BC125="Limited Assurance",3, TRUE,0)
  - IF(AND(Z125="Yes", AI125="No"), 10, 0)
  - IF(AND(Z125="Yes", AM125="No"), 10, 0)
))</f>
        <v>0</v>
      </c>
      <c r="AS125" s="5"/>
      <c r="AT125" s="5"/>
      <c r="AU125" s="5"/>
      <c r="AV125" s="5"/>
      <c r="AW125" s="5"/>
      <c r="AX125" s="5"/>
      <c r="AY125" s="5"/>
      <c r="AZ125" s="5"/>
      <c r="BA125" s="5"/>
      <c r="BB125" s="5"/>
      <c r="BC125" s="5"/>
      <c r="BD125" s="5"/>
      <c r="BE125" s="39">
        <f t="array" ref="BE125">MIN(100, MAX(0,
  IFERROR(_xlfn.XLOOKUP(AT125,'Lookup Tables'!$D$2:$D$6,'Lookup Tables'!$E$2:$E$6,0),0)
  + IFERROR(_xlfn.XLOOKUP(AV125,'Lookup Tables'!$G$2:$G$5,'Lookup Tables'!$H$2:$H$5,0),0)
  + IFERROR(_xlfn.XLOOKUP(AW125,'Lookup Tables'!$J$2:$J$5,'Lookup Tables'!$K$2:$K$5,0),0)
  + _xlfn.IFS(AX125="No Issues",10, AX125="Complaint Filed",3, AX125="Confirmed Breach",-15, TRUE,0)
  + IFERROR(_xlfn.XLOOKUP(AY125,'Lookup Tables'!$M$2:$M$6,'Lookup Tables'!$N$2:$N$6,0),0)
  + IFERROR(_xlfn.XLOOKUP(AZ125,'Lookup Tables'!$P$2:$P$6,'Lookup Tables'!$Q$2:$Q$6,0),0)
  + _xlfn.IFS(BA125="Formal Board Committee",5, BA125="Board Oversight Mentioned",2, TRUE,0)
  + _xlfn.IFS(BB125="Yes — Quantified Targets",5, BB125="Yes — Discretionary Only",2, TRUE,0)
  + _xlfn.IFS(BC125="Reasonable Assurance",5, BC125="Limited Assurance",3, BC125="Management Review Only",1, TRUE,0)
))</f>
        <v>0</v>
      </c>
      <c r="BF125" s="5"/>
      <c r="BG125" s="5"/>
      <c r="BH125" s="5"/>
      <c r="BI125" s="5"/>
      <c r="BJ125" s="5"/>
      <c r="BK125" s="5"/>
      <c r="BL125" s="5"/>
      <c r="BM125" s="5"/>
      <c r="BN125" s="5"/>
      <c r="BO125" s="5"/>
      <c r="BP125" s="5"/>
      <c r="BQ125" s="5"/>
      <c r="BR125" s="5"/>
      <c r="BS125" s="41">
        <f t="array" ref="BS125">MIN(100, MAX(0,
  IFERROR(_xlfn.XLOOKUP(BG125,'Lookup Tables'!$A$11:$A$16,'Lookup Tables'!$B$11:$B$16,0),0)
  + IFERROR(_xlfn.XLOOKUP(BR125,'Lookup Tables'!$M$11:$M$14,'Lookup Tables'!$N$11:$N$14,0),0)
  + IFERROR(_xlfn.XLOOKUP(BQ125,'Lookup Tables'!$J$11:$J$15,'Lookup Tables'!$K$11:$K$15,0),0)
  + IFERROR(_xlfn.XLOOKUP(BH125,'Lookup Tables'!$D$11:$D$15,'Lookup Tables'!$E$11:$E$15,0),0)
  + IFERROR(_xlfn.XLOOKUP(BJ125,'Lookup Tables'!$G$11:$G$16,'Lookup Tables'!$H$11:$H$16,0),0)
  + IFERROR(_xlfn.XLOOKUP(BN125,'Lookup Tables'!$P$11:$P$15,'Lookup Tables'!$Q$11:$Q$15,0),0)
  + _xlfn.IFS(BM125="No Evidence",10, BM125="Unknown",3, BM125="Likely",0, BM125="Confirmed",-10, TRUE,3)
  + IFERROR(_xlfn.XLOOKUP(BP125,'Lookup Tables'!$J$21:$J$24,'Lookup Tables'!$K$21:$K$24,0),0)
))</f>
        <v>3</v>
      </c>
      <c r="BT125" s="5"/>
      <c r="BU125" s="5"/>
      <c r="BV125" s="5"/>
      <c r="BW125" s="5"/>
      <c r="BX125" s="5"/>
      <c r="BY125" s="5"/>
      <c r="BZ125" s="5"/>
      <c r="CA125" s="5"/>
      <c r="CB125" s="5"/>
      <c r="CC125" s="5"/>
      <c r="CD125" s="5"/>
      <c r="CE125" s="43">
        <f t="array" ref="CE125">MIN(100, MAX(0,
  IF(ISNUMBER(BV125)*AND(BV125&gt;0), 10, 0)
  + _xlfn.IFS(BY125="Independently Verified",25, BY125="Yes",15, TRUE,0)
  + IFERROR(_xlfn.XLOOKUP(BZ125,'Lookup Tables'!$A$21:$A$24,'Lookup Tables'!$B$21:$B$24,0),0)
  + IFERROR(_xlfn.XLOOKUP(CA125,'Lookup Tables'!$D$21:$D$24,'Lookup Tables'!$E$21:$E$24,0),0)
  + _xlfn.IFS(ISNUMBER(CB125)*AND(CB125&gt;=11),15, ISNUMBER(CB125)*AND(CB125&gt;=6),10, ISNUMBER(CB125)*AND(CB125&gt;=1),5, TRUE,0)
  + IFERROR(_xlfn.XLOOKUP(CC125,'Lookup Tables'!$G$21:$G$25,'Lookup Tables'!$H$21:$H$25,0),0)
  - IF(ISNUMBER(BW125)*AND(ISNUMBER(BV125))*AND(BW125&gt;BV125), 20, 0)
  - IF(AND(BY125="Yes", ISNUMBER(BW125), BW125&gt;60), 10, 0)
))</f>
        <v>0</v>
      </c>
      <c r="CF125" s="5"/>
      <c r="CG125" s="5"/>
      <c r="CH125" s="5"/>
      <c r="CI125" s="5"/>
      <c r="CJ125" s="5"/>
      <c r="CK125" s="5"/>
      <c r="CL125" s="5"/>
      <c r="CM125" s="5"/>
      <c r="CN125" s="5"/>
      <c r="CO125" s="5"/>
      <c r="CP125" s="5"/>
      <c r="CQ125" s="5"/>
      <c r="CR125" s="5">
        <f t="shared" si="90"/>
        <v>0</v>
      </c>
      <c r="CS125" s="5">
        <f t="shared" si="91"/>
        <v>0</v>
      </c>
      <c r="CT125" s="5">
        <f t="shared" si="92"/>
        <v>0</v>
      </c>
      <c r="CU125" s="5">
        <f>MIN(100,
  CR125*15
  + CS125*6
  + CT125*3
  + IFERROR(_xlfn.XLOOKUP(CW125,'Lookup Tables'!$M$21:$M$25,'Lookup Tables'!$N$21:$N$25,0),0)
)</f>
        <v>0</v>
      </c>
      <c r="CV125" s="5" t="str">
        <f t="shared" si="93"/>
        <v>No failures</v>
      </c>
      <c r="CW125" s="5"/>
      <c r="CX125" s="5"/>
      <c r="CY125" s="5"/>
      <c r="CZ125" s="5"/>
      <c r="DA125" s="5" t="str">
        <f t="shared" si="94"/>
        <v>Yes</v>
      </c>
      <c r="DB125" s="5" t="str">
        <f t="shared" si="95"/>
        <v>No</v>
      </c>
      <c r="DC125" s="5"/>
      <c r="DD125" s="5"/>
      <c r="DE125" s="5"/>
      <c r="DF125" s="5"/>
      <c r="DG125" s="5"/>
      <c r="DH125" s="5"/>
      <c r="DI125" s="5"/>
      <c r="DJ125" s="5"/>
      <c r="DK125" s="5"/>
      <c r="DL125" s="5" t="str">
        <f t="shared" si="96"/>
        <v>Clear</v>
      </c>
      <c r="DM125" s="5" t="str">
        <f t="shared" si="97"/>
        <v>Yes</v>
      </c>
      <c r="DN125" s="5">
        <f t="array" ref="DN125">MIN(100,
  IF(ISNUMBER(V125), _xlfn.IFS(V125&gt;=3,25, V125=2,15, V125=1,5, TRUE,0), 0)
  + IFERROR(_xlfn.IFS(VALUE(LEFT(DF125,1))=5,25, VALUE(LEFT(DF125,1))=4,20, VALUE(LEFT(DF125,1))=3,15, VALUE(LEFT(DF125,1))=2,8, TRUE,0), 15)
  + IFERROR(_xlfn.IFS(VALUE(LEFT(DG125,1))=5,25, VALUE(LEFT(DG125,1))=4,20, VALUE(LEFT(DG125,1))=3,15, VALUE(LEFT(DG125,1))=2,8, TRUE,0), 15)
  + _xlfn.IFS(DH125="Fully Verified",25, DH125="Partially Verified",12, TRUE,0)
)</f>
        <v>30</v>
      </c>
      <c r="DO125" s="5" t="str">
        <f t="array" ref="DO125">_xlfn.IFS(
  ISBLANK(AR125), "Insufficient Evidence",
  AND(AR125&gt;=65, AJ125="Approved"), "Strong",
  AR125&gt;=65, "Adequate",
  AR125&gt;=40, "Adequate",
  AR125&gt;=20, "Weak",
  TRUE, "Insufficient Evidence"
)</f>
        <v>Insufficient Evidence</v>
      </c>
      <c r="DP125" s="5" t="str">
        <f t="array" ref="DP125">_xlfn.IFS(
  ISBLANK(BS125), "Insufficient Evidence",
  BS125&gt;=65, "Strong",
  BS125&gt;=40, "Adequate",
  BS125&gt;=20, "Weak",
  TRUE, "Insufficient Evidence"
)</f>
        <v>Insufficient Evidence</v>
      </c>
      <c r="DQ125" s="5" t="str">
        <f t="array" ref="DQ125">_xlfn.IFS(
  ISBLANK(BE125), "Insufficient Evidence",
  OR(AW125="Confirmed Violation", AX125="Confirmed Breach"), "Severe — Hard Trigger",
  BE125&gt;=65, "Strong",
  BE125&gt;=40, "Adequate",
  BE125&gt;=20, "Weak",
  TRUE, "Insufficient Evidence"
)</f>
        <v>Insufficient Evidence</v>
      </c>
      <c r="DR125" s="5" t="str">
        <f t="array" ref="DR125">_xlfn.IFS(
  ISBLANK(CU125), "Insufficient Evidence",
  CU125&lt;=20, "Low Risk",
  CU125&lt;=50, "Moderate Risk",
  CU125&lt;=75, "High Risk",
  TRUE, "Very High Risk"
)</f>
        <v>Low Risk</v>
      </c>
      <c r="DS125" s="5" t="str">
        <f t="array" ref="DS125">_xlfn.IFS(
  ISBLANK(CE125), "Insufficient Evidence",
  AND(ISNUMBER(BW125),ISNUMBER(BV125),BW125&gt;BV125), "Overclaiming Risk",
  CE125&gt;=65, "Strong",
  CE125&gt;=40, "Adequate",
  TRUE, "Weak"
)</f>
        <v>Weak</v>
      </c>
      <c r="DT125" s="5">
        <f t="shared" si="98"/>
        <v>11.7</v>
      </c>
      <c r="DU125" s="5" t="str">
        <f t="array" ref="DU125">_xlfn.IFS(
  DV125="Upgraded to Clear", "Clear",
  DV125="Downgraded to Watchlist", "Watchlist",
  DV125="Downgraded to Exclusion", "Exclusion Risk",
  DB125="Yes — Automatic", "Exclusion Risk",
  OR(AW125="Confirmed Violation", AX125="Confirmed Breach"), "Exclusion Risk",
  OR(V125=0, ISBLANK(V125), DN125&lt;20), "Insufficient Evidence",
  AND(DT125&gt;=65, DA125="No", DB125="No"), "Clear",
  OR(DT125&gt;=40, DA125="Yes"), "Watchlist",
  TRUE, "Exclusion Risk"
)</f>
        <v>Insufficient Evidence</v>
      </c>
      <c r="DV125" s="5"/>
      <c r="DW125" s="5" t="str">
        <f t="array" ref="DW125">_xlfn.IFS(
  DU125="Exclusion Risk", "Exclude — Hard Trigger",
  DU125="Insufficient Evidence", "Watchlist — Further Evidence Needed",
  DU125="Watchlist", "Watchlist — Further Evidence Needed",
  AND(DU125="Clear", DT125&gt;=80), "Include — No Conditions",
  DU125="Clear", "Include — Monitor",
  TRUE, "Watchlist — Further Evidence Needed"
)</f>
        <v>Watchlist — Further Evidence Needed</v>
      </c>
      <c r="DX125" s="5"/>
      <c r="DY125" s="5"/>
      <c r="DZ125" s="5"/>
      <c r="EA125" s="5"/>
      <c r="EB125" s="5" t="str">
        <f t="shared" si="99"/>
        <v>MISSING — No sources reviewed</v>
      </c>
      <c r="EC125" s="5" t="str">
        <f t="shared" si="100"/>
        <v/>
      </c>
    </row>
    <row r="126" spans="1:133" ht="18" customHeight="1" x14ac:dyDescent="0.15">
      <c r="A126" s="5" t="s">
        <v>701</v>
      </c>
      <c r="B126" s="5" t="s">
        <v>702</v>
      </c>
      <c r="C126" s="5" t="str">
        <f>IF(ISBLANK('Universe Tracker'!D101),"",'Universe Tracker'!D101)</f>
        <v>PLBNFTS00018</v>
      </c>
      <c r="D126" s="5"/>
      <c r="E126" s="5"/>
      <c r="F126" s="5" t="str">
        <f>IF(ISBLANK('Universe Tracker'!F101),"",'Universe Tracker'!F101)</f>
        <v>Industrials</v>
      </c>
      <c r="G126" s="5" t="str">
        <f>IF(ISBLANK('Universe Tracker'!G101),"",'Universe Tracker'!G101)</f>
        <v>Industrial Services</v>
      </c>
      <c r="H126" s="5"/>
      <c r="I126" s="5"/>
      <c r="J126" s="5" t="str">
        <f t="shared" si="88"/>
        <v>3ZV_PLBNFTS00018</v>
      </c>
      <c r="K126" s="5"/>
      <c r="L126" s="5"/>
      <c r="M126" s="5"/>
      <c r="N126" s="5"/>
      <c r="O126" s="5"/>
      <c r="P126" s="5"/>
      <c r="Q126" s="5"/>
      <c r="R126" s="5"/>
      <c r="S126" s="5"/>
      <c r="T126" s="5"/>
      <c r="U126" s="5"/>
      <c r="V126" s="5"/>
      <c r="W126" s="5"/>
      <c r="X126" s="5"/>
      <c r="Y126" s="5" t="str">
        <f t="shared" si="89"/>
        <v>Insufficient</v>
      </c>
      <c r="Z126" s="5"/>
      <c r="AA126" s="5"/>
      <c r="AB126" s="5"/>
      <c r="AC126" s="5"/>
      <c r="AD126" s="5"/>
      <c r="AE126" s="5"/>
      <c r="AF126" s="5"/>
      <c r="AG126" s="5"/>
      <c r="AH126" s="5"/>
      <c r="AI126" s="5"/>
      <c r="AJ126" s="5"/>
      <c r="AK126" s="5"/>
      <c r="AL126" s="5"/>
      <c r="AM126" s="5"/>
      <c r="AN126" s="5"/>
      <c r="AO126" s="5"/>
      <c r="AP126" s="5"/>
      <c r="AQ126" s="5"/>
      <c r="AR126" s="40">
        <f t="array" ref="AR126">MIN(100, MAX(0,
  IFERROR(_xlfn.XLOOKUP(AJ126,'Lookup Tables'!$A$2:$A$7,'Lookup Tables'!$B$2:$B$7,0),0)
  + IF(Z126="Yes", IF(IFERROR(_xlfn.XLOOKUP(AJ126,'Lookup Tables'!$A$2:$A$7,'Lookup Tables'!$B$2:$B$7,0),0)&lt;20, 5, 0), 0)
  + _xlfn.IFS(AB126="Yes", IF(ISNUMBER(AC126)*AND(AC126&lt;=2030),15,10), AB126="Long-term Only", 5, AB126="No", 0, TRUE, 0)
  + _xlfn.IFS(AF126="Full",10, AF126="Partial",5, AF126="Scope 2 Only",3, TRUE,0)
  + _xlfn.IFS(AG126="Yes", IF(ISNUMBER(AH126)*AND(AH126&gt;=5),10,6), AG126="Partial",4, TRUE,0)
  + _xlfn.IFS(AI126="Yes",5, AI126="Partial (material categories only)",3, TRUE,0)
  + _xlfn.IFS(AL126="Yes — Detailed",10, AL126="Yes — High Level",5, TRUE,0)
  + _xlfn.IFS(AM126="Yes — Quantified",15, AM126="Yes — Directional Only",7, TRUE,0)
  + _xlfn.IFS(AP126="Formal",5, AP126="Referenced",2, TRUE,0)
  + _xlfn.IFS(AQ126="No Issues Found",5, AQ126="Concern Identified",-5, AQ126="Severe Contradiction",-15, TRUE,0)
  + _xlfn.IFS(BC126="Reasonable Assurance",5, BC126="Limited Assurance",3, TRUE,0)
  - IF(AND(Z126="Yes", AI126="No"), 10, 0)
  - IF(AND(Z126="Yes", AM126="No"), 10, 0)
))</f>
        <v>0</v>
      </c>
      <c r="AS126" s="5"/>
      <c r="AT126" s="5"/>
      <c r="AU126" s="5"/>
      <c r="AV126" s="5"/>
      <c r="AW126" s="5"/>
      <c r="AX126" s="5"/>
      <c r="AY126" s="5"/>
      <c r="AZ126" s="5"/>
      <c r="BA126" s="5"/>
      <c r="BB126" s="5"/>
      <c r="BC126" s="5"/>
      <c r="BD126" s="5"/>
      <c r="BE126" s="39">
        <f t="array" ref="BE126">MIN(100, MAX(0,
  IFERROR(_xlfn.XLOOKUP(AT126,'Lookup Tables'!$D$2:$D$6,'Lookup Tables'!$E$2:$E$6,0),0)
  + IFERROR(_xlfn.XLOOKUP(AV126,'Lookup Tables'!$G$2:$G$5,'Lookup Tables'!$H$2:$H$5,0),0)
  + IFERROR(_xlfn.XLOOKUP(AW126,'Lookup Tables'!$J$2:$J$5,'Lookup Tables'!$K$2:$K$5,0),0)
  + _xlfn.IFS(AX126="No Issues",10, AX126="Complaint Filed",3, AX126="Confirmed Breach",-15, TRUE,0)
  + IFERROR(_xlfn.XLOOKUP(AY126,'Lookup Tables'!$M$2:$M$6,'Lookup Tables'!$N$2:$N$6,0),0)
  + IFERROR(_xlfn.XLOOKUP(AZ126,'Lookup Tables'!$P$2:$P$6,'Lookup Tables'!$Q$2:$Q$6,0),0)
  + _xlfn.IFS(BA126="Formal Board Committee",5, BA126="Board Oversight Mentioned",2, TRUE,0)
  + _xlfn.IFS(BB126="Yes — Quantified Targets",5, BB126="Yes — Discretionary Only",2, TRUE,0)
  + _xlfn.IFS(BC126="Reasonable Assurance",5, BC126="Limited Assurance",3, BC126="Management Review Only",1, TRUE,0)
))</f>
        <v>0</v>
      </c>
      <c r="BF126" s="5"/>
      <c r="BG126" s="5"/>
      <c r="BH126" s="5"/>
      <c r="BI126" s="5"/>
      <c r="BJ126" s="5"/>
      <c r="BK126" s="5"/>
      <c r="BL126" s="5"/>
      <c r="BM126" s="5"/>
      <c r="BN126" s="5"/>
      <c r="BO126" s="5"/>
      <c r="BP126" s="5"/>
      <c r="BQ126" s="5"/>
      <c r="BR126" s="5"/>
      <c r="BS126" s="41">
        <f t="array" ref="BS126">MIN(100, MAX(0,
  IFERROR(_xlfn.XLOOKUP(BG126,'Lookup Tables'!$A$11:$A$16,'Lookup Tables'!$B$11:$B$16,0),0)
  + IFERROR(_xlfn.XLOOKUP(BR126,'Lookup Tables'!$M$11:$M$14,'Lookup Tables'!$N$11:$N$14,0),0)
  + IFERROR(_xlfn.XLOOKUP(BQ126,'Lookup Tables'!$J$11:$J$15,'Lookup Tables'!$K$11:$K$15,0),0)
  + IFERROR(_xlfn.XLOOKUP(BH126,'Lookup Tables'!$D$11:$D$15,'Lookup Tables'!$E$11:$E$15,0),0)
  + IFERROR(_xlfn.XLOOKUP(BJ126,'Lookup Tables'!$G$11:$G$16,'Lookup Tables'!$H$11:$H$16,0),0)
  + IFERROR(_xlfn.XLOOKUP(BN126,'Lookup Tables'!$P$11:$P$15,'Lookup Tables'!$Q$11:$Q$15,0),0)
  + _xlfn.IFS(BM126="No Evidence",10, BM126="Unknown",3, BM126="Likely",0, BM126="Confirmed",-10, TRUE,3)
  + IFERROR(_xlfn.XLOOKUP(BP126,'Lookup Tables'!$J$21:$J$24,'Lookup Tables'!$K$21:$K$24,0),0)
))</f>
        <v>3</v>
      </c>
      <c r="BT126" s="5"/>
      <c r="BU126" s="5"/>
      <c r="BV126" s="5"/>
      <c r="BW126" s="5"/>
      <c r="BX126" s="5"/>
      <c r="BY126" s="5"/>
      <c r="BZ126" s="5"/>
      <c r="CA126" s="5"/>
      <c r="CB126" s="5"/>
      <c r="CC126" s="5"/>
      <c r="CD126" s="5"/>
      <c r="CE126" s="43">
        <f t="array" ref="CE126">MIN(100, MAX(0,
  IF(ISNUMBER(BV126)*AND(BV126&gt;0), 10, 0)
  + _xlfn.IFS(BY126="Independently Verified",25, BY126="Yes",15, TRUE,0)
  + IFERROR(_xlfn.XLOOKUP(BZ126,'Lookup Tables'!$A$21:$A$24,'Lookup Tables'!$B$21:$B$24,0),0)
  + IFERROR(_xlfn.XLOOKUP(CA126,'Lookup Tables'!$D$21:$D$24,'Lookup Tables'!$E$21:$E$24,0),0)
  + _xlfn.IFS(ISNUMBER(CB126)*AND(CB126&gt;=11),15, ISNUMBER(CB126)*AND(CB126&gt;=6),10, ISNUMBER(CB126)*AND(CB126&gt;=1),5, TRUE,0)
  + IFERROR(_xlfn.XLOOKUP(CC126,'Lookup Tables'!$G$21:$G$25,'Lookup Tables'!$H$21:$H$25,0),0)
  - IF(ISNUMBER(BW126)*AND(ISNUMBER(BV126))*AND(BW126&gt;BV126), 20, 0)
  - IF(AND(BY126="Yes", ISNUMBER(BW126), BW126&gt;60), 10, 0)
))</f>
        <v>0</v>
      </c>
      <c r="CF126" s="5"/>
      <c r="CG126" s="5"/>
      <c r="CH126" s="5"/>
      <c r="CI126" s="5"/>
      <c r="CJ126" s="5"/>
      <c r="CK126" s="5"/>
      <c r="CL126" s="5"/>
      <c r="CM126" s="5"/>
      <c r="CN126" s="5"/>
      <c r="CO126" s="5"/>
      <c r="CP126" s="5"/>
      <c r="CQ126" s="5"/>
      <c r="CR126" s="5">
        <f t="shared" si="90"/>
        <v>0</v>
      </c>
      <c r="CS126" s="5">
        <f t="shared" si="91"/>
        <v>0</v>
      </c>
      <c r="CT126" s="5">
        <f t="shared" si="92"/>
        <v>0</v>
      </c>
      <c r="CU126" s="5">
        <f>MIN(100,
  CR126*15
  + CS126*6
  + CT126*3
  + IFERROR(_xlfn.XLOOKUP(CW126,'Lookup Tables'!$M$21:$M$25,'Lookup Tables'!$N$21:$N$25,0),0)
)</f>
        <v>0</v>
      </c>
      <c r="CV126" s="5" t="str">
        <f t="shared" si="93"/>
        <v>No failures</v>
      </c>
      <c r="CW126" s="5"/>
      <c r="CX126" s="5"/>
      <c r="CY126" s="5"/>
      <c r="CZ126" s="5"/>
      <c r="DA126" s="5" t="str">
        <f t="shared" si="94"/>
        <v>Yes</v>
      </c>
      <c r="DB126" s="5" t="str">
        <f t="shared" si="95"/>
        <v>No</v>
      </c>
      <c r="DC126" s="5"/>
      <c r="DD126" s="5"/>
      <c r="DE126" s="5"/>
      <c r="DF126" s="5"/>
      <c r="DG126" s="5"/>
      <c r="DH126" s="5"/>
      <c r="DI126" s="5"/>
      <c r="DJ126" s="5"/>
      <c r="DK126" s="5"/>
      <c r="DL126" s="5" t="str">
        <f t="shared" si="96"/>
        <v>Clear</v>
      </c>
      <c r="DM126" s="5" t="str">
        <f t="shared" si="97"/>
        <v>Yes</v>
      </c>
      <c r="DN126" s="5">
        <f t="array" ref="DN126">MIN(100,
  IF(ISNUMBER(V126), _xlfn.IFS(V126&gt;=3,25, V126=2,15, V126=1,5, TRUE,0), 0)
  + IFERROR(_xlfn.IFS(VALUE(LEFT(DF126,1))=5,25, VALUE(LEFT(DF126,1))=4,20, VALUE(LEFT(DF126,1))=3,15, VALUE(LEFT(DF126,1))=2,8, TRUE,0), 15)
  + IFERROR(_xlfn.IFS(VALUE(LEFT(DG126,1))=5,25, VALUE(LEFT(DG126,1))=4,20, VALUE(LEFT(DG126,1))=3,15, VALUE(LEFT(DG126,1))=2,8, TRUE,0), 15)
  + _xlfn.IFS(DH126="Fully Verified",25, DH126="Partially Verified",12, TRUE,0)
)</f>
        <v>30</v>
      </c>
      <c r="DO126" s="5" t="str">
        <f t="array" ref="DO126">_xlfn.IFS(
  ISBLANK(AR126), "Insufficient Evidence",
  AND(AR126&gt;=65, AJ126="Approved"), "Strong",
  AR126&gt;=65, "Adequate",
  AR126&gt;=40, "Adequate",
  AR126&gt;=20, "Weak",
  TRUE, "Insufficient Evidence"
)</f>
        <v>Insufficient Evidence</v>
      </c>
      <c r="DP126" s="5" t="str">
        <f t="array" ref="DP126">_xlfn.IFS(
  ISBLANK(BS126), "Insufficient Evidence",
  BS126&gt;=65, "Strong",
  BS126&gt;=40, "Adequate",
  BS126&gt;=20, "Weak",
  TRUE, "Insufficient Evidence"
)</f>
        <v>Insufficient Evidence</v>
      </c>
      <c r="DQ126" s="5" t="str">
        <f t="array" ref="DQ126">_xlfn.IFS(
  ISBLANK(BE126), "Insufficient Evidence",
  OR(AW126="Confirmed Violation", AX126="Confirmed Breach"), "Severe — Hard Trigger",
  BE126&gt;=65, "Strong",
  BE126&gt;=40, "Adequate",
  BE126&gt;=20, "Weak",
  TRUE, "Insufficient Evidence"
)</f>
        <v>Insufficient Evidence</v>
      </c>
      <c r="DR126" s="5" t="str">
        <f t="array" ref="DR126">_xlfn.IFS(
  ISBLANK(CU126), "Insufficient Evidence",
  CU126&lt;=20, "Low Risk",
  CU126&lt;=50, "Moderate Risk",
  CU126&lt;=75, "High Risk",
  TRUE, "Very High Risk"
)</f>
        <v>Low Risk</v>
      </c>
      <c r="DS126" s="5" t="str">
        <f t="array" ref="DS126">_xlfn.IFS(
  ISBLANK(CE126), "Insufficient Evidence",
  AND(ISNUMBER(BW126),ISNUMBER(BV126),BW126&gt;BV126), "Overclaiming Risk",
  CE126&gt;=65, "Strong",
  CE126&gt;=40, "Adequate",
  TRUE, "Weak"
)</f>
        <v>Weak</v>
      </c>
      <c r="DT126" s="5">
        <f t="shared" si="98"/>
        <v>11.7</v>
      </c>
      <c r="DU126" s="5" t="str">
        <f t="array" ref="DU126">_xlfn.IFS(
  DV126="Upgraded to Clear", "Clear",
  DV126="Downgraded to Watchlist", "Watchlist",
  DV126="Downgraded to Exclusion", "Exclusion Risk",
  DB126="Yes — Automatic", "Exclusion Risk",
  OR(AW126="Confirmed Violation", AX126="Confirmed Breach"), "Exclusion Risk",
  OR(V126=0, ISBLANK(V126), DN126&lt;20), "Insufficient Evidence",
  AND(DT126&gt;=65, DA126="No", DB126="No"), "Clear",
  OR(DT126&gt;=40, DA126="Yes"), "Watchlist",
  TRUE, "Exclusion Risk"
)</f>
        <v>Insufficient Evidence</v>
      </c>
      <c r="DV126" s="5"/>
      <c r="DW126" s="5" t="str">
        <f t="array" ref="DW126">_xlfn.IFS(
  DU126="Exclusion Risk", "Exclude — Hard Trigger",
  DU126="Insufficient Evidence", "Watchlist — Further Evidence Needed",
  DU126="Watchlist", "Watchlist — Further Evidence Needed",
  AND(DU126="Clear", DT126&gt;=80), "Include — No Conditions",
  DU126="Clear", "Include — Monitor",
  TRUE, "Watchlist — Further Evidence Needed"
)</f>
        <v>Watchlist — Further Evidence Needed</v>
      </c>
      <c r="DX126" s="5"/>
      <c r="DY126" s="5"/>
      <c r="DZ126" s="5"/>
      <c r="EA126" s="5"/>
      <c r="EB126" s="5" t="str">
        <f t="shared" si="99"/>
        <v>MISSING — No sources reviewed</v>
      </c>
      <c r="EC126" s="5" t="str">
        <f t="shared" si="100"/>
        <v/>
      </c>
    </row>
    <row r="127" spans="1:133" ht="18" customHeight="1" x14ac:dyDescent="0.15">
      <c r="A127" s="5" t="s">
        <v>705</v>
      </c>
      <c r="B127" s="5" t="s">
        <v>706</v>
      </c>
      <c r="C127" s="5" t="str">
        <f>IF(ISBLANK('Universe Tracker'!D102),"",'Universe Tracker'!D102)</f>
        <v>DE000TLX1005</v>
      </c>
      <c r="D127" s="5"/>
      <c r="E127" s="5"/>
      <c r="F127" s="5" t="str">
        <f>IF(ISBLANK('Universe Tracker'!F102),"",'Universe Tracker'!F102)</f>
        <v>Financials</v>
      </c>
      <c r="G127" s="5" t="str">
        <f>IF(ISBLANK('Universe Tracker'!G102),"",'Universe Tracker'!G102)</f>
        <v>Insurance</v>
      </c>
      <c r="H127" s="5"/>
      <c r="I127" s="5"/>
      <c r="J127" s="5" t="str">
        <f t="shared" si="88"/>
        <v>TLX_DE000TLX1005</v>
      </c>
      <c r="K127" s="5"/>
      <c r="L127" s="5"/>
      <c r="M127" s="5"/>
      <c r="N127" s="5"/>
      <c r="O127" s="5"/>
      <c r="P127" s="5"/>
      <c r="Q127" s="5"/>
      <c r="R127" s="5"/>
      <c r="S127" s="5"/>
      <c r="T127" s="5"/>
      <c r="U127" s="5"/>
      <c r="V127" s="5"/>
      <c r="W127" s="5"/>
      <c r="X127" s="5"/>
      <c r="Y127" s="5" t="str">
        <f t="shared" si="89"/>
        <v>Insufficient</v>
      </c>
      <c r="Z127" s="5"/>
      <c r="AA127" s="5"/>
      <c r="AB127" s="5"/>
      <c r="AC127" s="5"/>
      <c r="AD127" s="5"/>
      <c r="AE127" s="5"/>
      <c r="AF127" s="5"/>
      <c r="AG127" s="5"/>
      <c r="AH127" s="5"/>
      <c r="AI127" s="5"/>
      <c r="AJ127" s="5"/>
      <c r="AK127" s="5"/>
      <c r="AL127" s="5"/>
      <c r="AM127" s="5"/>
      <c r="AN127" s="5"/>
      <c r="AO127" s="5"/>
      <c r="AP127" s="5"/>
      <c r="AQ127" s="5"/>
      <c r="AR127" s="40">
        <f t="array" ref="AR127">MIN(100, MAX(0,
  IFERROR(_xlfn.XLOOKUP(AJ127,'Lookup Tables'!$A$2:$A$7,'Lookup Tables'!$B$2:$B$7,0),0)
  + IF(Z127="Yes", IF(IFERROR(_xlfn.XLOOKUP(AJ127,'Lookup Tables'!$A$2:$A$7,'Lookup Tables'!$B$2:$B$7,0),0)&lt;20, 5, 0), 0)
  + _xlfn.IFS(AB127="Yes", IF(ISNUMBER(AC127)*AND(AC127&lt;=2030),15,10), AB127="Long-term Only", 5, AB127="No", 0, TRUE, 0)
  + _xlfn.IFS(AF127="Full",10, AF127="Partial",5, AF127="Scope 2 Only",3, TRUE,0)
  + _xlfn.IFS(AG127="Yes", IF(ISNUMBER(AH127)*AND(AH127&gt;=5),10,6), AG127="Partial",4, TRUE,0)
  + _xlfn.IFS(AI127="Yes",5, AI127="Partial (material categories only)",3, TRUE,0)
  + _xlfn.IFS(AL127="Yes — Detailed",10, AL127="Yes — High Level",5, TRUE,0)
  + _xlfn.IFS(AM127="Yes — Quantified",15, AM127="Yes — Directional Only",7, TRUE,0)
  + _xlfn.IFS(AP127="Formal",5, AP127="Referenced",2, TRUE,0)
  + _xlfn.IFS(AQ127="No Issues Found",5, AQ127="Concern Identified",-5, AQ127="Severe Contradiction",-15, TRUE,0)
  + _xlfn.IFS(BC127="Reasonable Assurance",5, BC127="Limited Assurance",3, TRUE,0)
  - IF(AND(Z127="Yes", AI127="No"), 10, 0)
  - IF(AND(Z127="Yes", AM127="No"), 10, 0)
))</f>
        <v>0</v>
      </c>
      <c r="AS127" s="5"/>
      <c r="AT127" s="5"/>
      <c r="AU127" s="5"/>
      <c r="AV127" s="5"/>
      <c r="AW127" s="5"/>
      <c r="AX127" s="5"/>
      <c r="AY127" s="5"/>
      <c r="AZ127" s="5"/>
      <c r="BA127" s="5"/>
      <c r="BB127" s="5"/>
      <c r="BC127" s="5"/>
      <c r="BD127" s="5"/>
      <c r="BE127" s="39">
        <f t="array" ref="BE127">MIN(100, MAX(0,
  IFERROR(_xlfn.XLOOKUP(AT127,'Lookup Tables'!$D$2:$D$6,'Lookup Tables'!$E$2:$E$6,0),0)
  + IFERROR(_xlfn.XLOOKUP(AV127,'Lookup Tables'!$G$2:$G$5,'Lookup Tables'!$H$2:$H$5,0),0)
  + IFERROR(_xlfn.XLOOKUP(AW127,'Lookup Tables'!$J$2:$J$5,'Lookup Tables'!$K$2:$K$5,0),0)
  + _xlfn.IFS(AX127="No Issues",10, AX127="Complaint Filed",3, AX127="Confirmed Breach",-15, TRUE,0)
  + IFERROR(_xlfn.XLOOKUP(AY127,'Lookup Tables'!$M$2:$M$6,'Lookup Tables'!$N$2:$N$6,0),0)
  + IFERROR(_xlfn.XLOOKUP(AZ127,'Lookup Tables'!$P$2:$P$6,'Lookup Tables'!$Q$2:$Q$6,0),0)
  + _xlfn.IFS(BA127="Formal Board Committee",5, BA127="Board Oversight Mentioned",2, TRUE,0)
  + _xlfn.IFS(BB127="Yes — Quantified Targets",5, BB127="Yes — Discretionary Only",2, TRUE,0)
  + _xlfn.IFS(BC127="Reasonable Assurance",5, BC127="Limited Assurance",3, BC127="Management Review Only",1, TRUE,0)
))</f>
        <v>0</v>
      </c>
      <c r="BF127" s="5"/>
      <c r="BG127" s="5"/>
      <c r="BH127" s="5"/>
      <c r="BI127" s="5"/>
      <c r="BJ127" s="5"/>
      <c r="BK127" s="5"/>
      <c r="BL127" s="5"/>
      <c r="BM127" s="5"/>
      <c r="BN127" s="5"/>
      <c r="BO127" s="5"/>
      <c r="BP127" s="5"/>
      <c r="BQ127" s="5"/>
      <c r="BR127" s="5"/>
      <c r="BS127" s="41">
        <f t="array" ref="BS127">MIN(100, MAX(0,
  IFERROR(_xlfn.XLOOKUP(BG127,'Lookup Tables'!$A$11:$A$16,'Lookup Tables'!$B$11:$B$16,0),0)
  + IFERROR(_xlfn.XLOOKUP(BR127,'Lookup Tables'!$M$11:$M$14,'Lookup Tables'!$N$11:$N$14,0),0)
  + IFERROR(_xlfn.XLOOKUP(BQ127,'Lookup Tables'!$J$11:$J$15,'Lookup Tables'!$K$11:$K$15,0),0)
  + IFERROR(_xlfn.XLOOKUP(BH127,'Lookup Tables'!$D$11:$D$15,'Lookup Tables'!$E$11:$E$15,0),0)
  + IFERROR(_xlfn.XLOOKUP(BJ127,'Lookup Tables'!$G$11:$G$16,'Lookup Tables'!$H$11:$H$16,0),0)
  + IFERROR(_xlfn.XLOOKUP(BN127,'Lookup Tables'!$P$11:$P$15,'Lookup Tables'!$Q$11:$Q$15,0),0)
  + _xlfn.IFS(BM127="No Evidence",10, BM127="Unknown",3, BM127="Likely",0, BM127="Confirmed",-10, TRUE,3)
  + IFERROR(_xlfn.XLOOKUP(BP127,'Lookup Tables'!$J$21:$J$24,'Lookup Tables'!$K$21:$K$24,0),0)
))</f>
        <v>3</v>
      </c>
      <c r="BT127" s="5"/>
      <c r="BU127" s="5"/>
      <c r="BV127" s="5"/>
      <c r="BW127" s="5"/>
      <c r="BX127" s="5"/>
      <c r="BY127" s="5"/>
      <c r="BZ127" s="5"/>
      <c r="CA127" s="5"/>
      <c r="CB127" s="5"/>
      <c r="CC127" s="5"/>
      <c r="CD127" s="5"/>
      <c r="CE127" s="43">
        <f t="array" ref="CE127">MIN(100, MAX(0,
  IF(ISNUMBER(BV127)*AND(BV127&gt;0), 10, 0)
  + _xlfn.IFS(BY127="Independently Verified",25, BY127="Yes",15, TRUE,0)
  + IFERROR(_xlfn.XLOOKUP(BZ127,'Lookup Tables'!$A$21:$A$24,'Lookup Tables'!$B$21:$B$24,0),0)
  + IFERROR(_xlfn.XLOOKUP(CA127,'Lookup Tables'!$D$21:$D$24,'Lookup Tables'!$E$21:$E$24,0),0)
  + _xlfn.IFS(ISNUMBER(CB127)*AND(CB127&gt;=11),15, ISNUMBER(CB127)*AND(CB127&gt;=6),10, ISNUMBER(CB127)*AND(CB127&gt;=1),5, TRUE,0)
  + IFERROR(_xlfn.XLOOKUP(CC127,'Lookup Tables'!$G$21:$G$25,'Lookup Tables'!$H$21:$H$25,0),0)
  - IF(ISNUMBER(BW127)*AND(ISNUMBER(BV127))*AND(BW127&gt;BV127), 20, 0)
  - IF(AND(BY127="Yes", ISNUMBER(BW127), BW127&gt;60), 10, 0)
))</f>
        <v>0</v>
      </c>
      <c r="CF127" s="5"/>
      <c r="CG127" s="5"/>
      <c r="CH127" s="5"/>
      <c r="CI127" s="5"/>
      <c r="CJ127" s="5"/>
      <c r="CK127" s="5"/>
      <c r="CL127" s="5"/>
      <c r="CM127" s="5"/>
      <c r="CN127" s="5"/>
      <c r="CO127" s="5"/>
      <c r="CP127" s="5"/>
      <c r="CQ127" s="5"/>
      <c r="CR127" s="5">
        <f t="shared" si="90"/>
        <v>0</v>
      </c>
      <c r="CS127" s="5">
        <f t="shared" si="91"/>
        <v>0</v>
      </c>
      <c r="CT127" s="5">
        <f t="shared" si="92"/>
        <v>0</v>
      </c>
      <c r="CU127" s="5">
        <f>MIN(100,
  CR127*15
  + CS127*6
  + CT127*3
  + IFERROR(_xlfn.XLOOKUP(CW127,'Lookup Tables'!$M$21:$M$25,'Lookup Tables'!$N$21:$N$25,0),0)
)</f>
        <v>0</v>
      </c>
      <c r="CV127" s="5" t="str">
        <f t="shared" si="93"/>
        <v>No failures</v>
      </c>
      <c r="CW127" s="5"/>
      <c r="CX127" s="5"/>
      <c r="CY127" s="5"/>
      <c r="CZ127" s="5"/>
      <c r="DA127" s="5" t="str">
        <f t="shared" si="94"/>
        <v>Yes</v>
      </c>
      <c r="DB127" s="5" t="str">
        <f t="shared" si="95"/>
        <v>No</v>
      </c>
      <c r="DC127" s="5"/>
      <c r="DD127" s="5"/>
      <c r="DE127" s="5"/>
      <c r="DF127" s="5"/>
      <c r="DG127" s="5"/>
      <c r="DH127" s="5"/>
      <c r="DI127" s="5"/>
      <c r="DJ127" s="5"/>
      <c r="DK127" s="5"/>
      <c r="DL127" s="5" t="str">
        <f t="shared" si="96"/>
        <v>Clear</v>
      </c>
      <c r="DM127" s="5" t="str">
        <f t="shared" si="97"/>
        <v>Yes</v>
      </c>
      <c r="DN127" s="5">
        <f t="array" ref="DN127">MIN(100,
  IF(ISNUMBER(V127), _xlfn.IFS(V127&gt;=3,25, V127=2,15, V127=1,5, TRUE,0), 0)
  + IFERROR(_xlfn.IFS(VALUE(LEFT(DF127,1))=5,25, VALUE(LEFT(DF127,1))=4,20, VALUE(LEFT(DF127,1))=3,15, VALUE(LEFT(DF127,1))=2,8, TRUE,0), 15)
  + IFERROR(_xlfn.IFS(VALUE(LEFT(DG127,1))=5,25, VALUE(LEFT(DG127,1))=4,20, VALUE(LEFT(DG127,1))=3,15, VALUE(LEFT(DG127,1))=2,8, TRUE,0), 15)
  + _xlfn.IFS(DH127="Fully Verified",25, DH127="Partially Verified",12, TRUE,0)
)</f>
        <v>30</v>
      </c>
      <c r="DO127" s="5" t="str">
        <f t="array" ref="DO127">_xlfn.IFS(
  ISBLANK(AR127), "Insufficient Evidence",
  AND(AR127&gt;=65, AJ127="Approved"), "Strong",
  AR127&gt;=65, "Adequate",
  AR127&gt;=40, "Adequate",
  AR127&gt;=20, "Weak",
  TRUE, "Insufficient Evidence"
)</f>
        <v>Insufficient Evidence</v>
      </c>
      <c r="DP127" s="5" t="str">
        <f t="array" ref="DP127">_xlfn.IFS(
  ISBLANK(BS127), "Insufficient Evidence",
  BS127&gt;=65, "Strong",
  BS127&gt;=40, "Adequate",
  BS127&gt;=20, "Weak",
  TRUE, "Insufficient Evidence"
)</f>
        <v>Insufficient Evidence</v>
      </c>
      <c r="DQ127" s="5" t="str">
        <f t="array" ref="DQ127">_xlfn.IFS(
  ISBLANK(BE127), "Insufficient Evidence",
  OR(AW127="Confirmed Violation", AX127="Confirmed Breach"), "Severe — Hard Trigger",
  BE127&gt;=65, "Strong",
  BE127&gt;=40, "Adequate",
  BE127&gt;=20, "Weak",
  TRUE, "Insufficient Evidence"
)</f>
        <v>Insufficient Evidence</v>
      </c>
      <c r="DR127" s="5" t="str">
        <f t="array" ref="DR127">_xlfn.IFS(
  ISBLANK(CU127), "Insufficient Evidence",
  CU127&lt;=20, "Low Risk",
  CU127&lt;=50, "Moderate Risk",
  CU127&lt;=75, "High Risk",
  TRUE, "Very High Risk"
)</f>
        <v>Low Risk</v>
      </c>
      <c r="DS127" s="5" t="str">
        <f t="array" ref="DS127">_xlfn.IFS(
  ISBLANK(CE127), "Insufficient Evidence",
  AND(ISNUMBER(BW127),ISNUMBER(BV127),BW127&gt;BV127), "Overclaiming Risk",
  CE127&gt;=65, "Strong",
  CE127&gt;=40, "Adequate",
  TRUE, "Weak"
)</f>
        <v>Weak</v>
      </c>
      <c r="DT127" s="5">
        <f t="shared" si="98"/>
        <v>11.7</v>
      </c>
      <c r="DU127" s="5" t="str">
        <f t="array" ref="DU127">_xlfn.IFS(
  DV127="Upgraded to Clear", "Clear",
  DV127="Downgraded to Watchlist", "Watchlist",
  DV127="Downgraded to Exclusion", "Exclusion Risk",
  DB127="Yes — Automatic", "Exclusion Risk",
  OR(AW127="Confirmed Violation", AX127="Confirmed Breach"), "Exclusion Risk",
  OR(V127=0, ISBLANK(V127), DN127&lt;20), "Insufficient Evidence",
  AND(DT127&gt;=65, DA127="No", DB127="No"), "Clear",
  OR(DT127&gt;=40, DA127="Yes"), "Watchlist",
  TRUE, "Exclusion Risk"
)</f>
        <v>Insufficient Evidence</v>
      </c>
      <c r="DV127" s="5"/>
      <c r="DW127" s="5" t="str">
        <f t="array" ref="DW127">_xlfn.IFS(
  DU127="Exclusion Risk", "Exclude — Hard Trigger",
  DU127="Insufficient Evidence", "Watchlist — Further Evidence Needed",
  DU127="Watchlist", "Watchlist — Further Evidence Needed",
  AND(DU127="Clear", DT127&gt;=80), "Include — No Conditions",
  DU127="Clear", "Include — Monitor",
  TRUE, "Watchlist — Further Evidence Needed"
)</f>
        <v>Watchlist — Further Evidence Needed</v>
      </c>
      <c r="DX127" s="5"/>
      <c r="DY127" s="5"/>
      <c r="DZ127" s="5"/>
      <c r="EA127" s="5"/>
      <c r="EB127" s="5" t="str">
        <f t="shared" si="99"/>
        <v>MISSING — No sources reviewed</v>
      </c>
      <c r="EC127" s="5" t="str">
        <f t="shared" si="100"/>
        <v/>
      </c>
    </row>
    <row r="128" spans="1:133" ht="18" customHeight="1" x14ac:dyDescent="0.15">
      <c r="A128" s="5" t="s">
        <v>709</v>
      </c>
      <c r="B128" s="5" t="s">
        <v>710</v>
      </c>
      <c r="C128" s="5" t="str">
        <f>IF(ISBLANK('Universe Tracker'!D103),"",'Universe Tracker'!D103)</f>
        <v>FI0009005870</v>
      </c>
      <c r="D128" s="5"/>
      <c r="E128" s="5"/>
      <c r="F128" s="5" t="str">
        <f>IF(ISBLANK('Universe Tracker'!F103),"",'Universe Tracker'!F103)</f>
        <v>Industrials</v>
      </c>
      <c r="G128" s="5" t="str">
        <f>IF(ISBLANK('Universe Tracker'!G103),"",'Universe Tracker'!G103)</f>
        <v>Industrial Products</v>
      </c>
      <c r="H128" s="5"/>
      <c r="I128" s="5"/>
      <c r="J128" s="5" t="str">
        <f t="shared" si="88"/>
        <v>K34_FI0009005870</v>
      </c>
      <c r="K128" s="5"/>
      <c r="L128" s="5"/>
      <c r="M128" s="5"/>
      <c r="N128" s="5"/>
      <c r="O128" s="5"/>
      <c r="P128" s="5"/>
      <c r="Q128" s="5"/>
      <c r="R128" s="5"/>
      <c r="S128" s="5"/>
      <c r="T128" s="5"/>
      <c r="U128" s="5"/>
      <c r="V128" s="5"/>
      <c r="W128" s="5"/>
      <c r="X128" s="5"/>
      <c r="Y128" s="5" t="str">
        <f t="shared" si="89"/>
        <v>Insufficient</v>
      </c>
      <c r="Z128" s="5"/>
      <c r="AA128" s="5"/>
      <c r="AB128" s="5"/>
      <c r="AC128" s="5"/>
      <c r="AD128" s="5"/>
      <c r="AE128" s="5"/>
      <c r="AF128" s="5"/>
      <c r="AG128" s="5"/>
      <c r="AH128" s="5"/>
      <c r="AI128" s="5"/>
      <c r="AJ128" s="5"/>
      <c r="AK128" s="5"/>
      <c r="AL128" s="5"/>
      <c r="AM128" s="5"/>
      <c r="AN128" s="5"/>
      <c r="AO128" s="5"/>
      <c r="AP128" s="5"/>
      <c r="AQ128" s="5"/>
      <c r="AR128" s="40">
        <f t="array" ref="AR128">MIN(100, MAX(0,
  IFERROR(_xlfn.XLOOKUP(AJ128,'Lookup Tables'!$A$2:$A$7,'Lookup Tables'!$B$2:$B$7,0),0)
  + IF(Z128="Yes", IF(IFERROR(_xlfn.XLOOKUP(AJ128,'Lookup Tables'!$A$2:$A$7,'Lookup Tables'!$B$2:$B$7,0),0)&lt;20, 5, 0), 0)
  + _xlfn.IFS(AB128="Yes", IF(ISNUMBER(AC128)*AND(AC128&lt;=2030),15,10), AB128="Long-term Only", 5, AB128="No", 0, TRUE, 0)
  + _xlfn.IFS(AF128="Full",10, AF128="Partial",5, AF128="Scope 2 Only",3, TRUE,0)
  + _xlfn.IFS(AG128="Yes", IF(ISNUMBER(AH128)*AND(AH128&gt;=5),10,6), AG128="Partial",4, TRUE,0)
  + _xlfn.IFS(AI128="Yes",5, AI128="Partial (material categories only)",3, TRUE,0)
  + _xlfn.IFS(AL128="Yes — Detailed",10, AL128="Yes — High Level",5, TRUE,0)
  + _xlfn.IFS(AM128="Yes — Quantified",15, AM128="Yes — Directional Only",7, TRUE,0)
  + _xlfn.IFS(AP128="Formal",5, AP128="Referenced",2, TRUE,0)
  + _xlfn.IFS(AQ128="No Issues Found",5, AQ128="Concern Identified",-5, AQ128="Severe Contradiction",-15, TRUE,0)
  + _xlfn.IFS(BC128="Reasonable Assurance",5, BC128="Limited Assurance",3, TRUE,0)
  - IF(AND(Z128="Yes", AI128="No"), 10, 0)
  - IF(AND(Z128="Yes", AM128="No"), 10, 0)
))</f>
        <v>0</v>
      </c>
      <c r="AS128" s="5"/>
      <c r="AT128" s="5"/>
      <c r="AU128" s="5"/>
      <c r="AV128" s="5"/>
      <c r="AW128" s="5"/>
      <c r="AX128" s="5"/>
      <c r="AY128" s="5"/>
      <c r="AZ128" s="5"/>
      <c r="BA128" s="5"/>
      <c r="BB128" s="5"/>
      <c r="BC128" s="5"/>
      <c r="BD128" s="5"/>
      <c r="BE128" s="39">
        <f t="array" ref="BE128">MIN(100, MAX(0,
  IFERROR(_xlfn.XLOOKUP(AT128,'Lookup Tables'!$D$2:$D$6,'Lookup Tables'!$E$2:$E$6,0),0)
  + IFERROR(_xlfn.XLOOKUP(AV128,'Lookup Tables'!$G$2:$G$5,'Lookup Tables'!$H$2:$H$5,0),0)
  + IFERROR(_xlfn.XLOOKUP(AW128,'Lookup Tables'!$J$2:$J$5,'Lookup Tables'!$K$2:$K$5,0),0)
  + _xlfn.IFS(AX128="No Issues",10, AX128="Complaint Filed",3, AX128="Confirmed Breach",-15, TRUE,0)
  + IFERROR(_xlfn.XLOOKUP(AY128,'Lookup Tables'!$M$2:$M$6,'Lookup Tables'!$N$2:$N$6,0),0)
  + IFERROR(_xlfn.XLOOKUP(AZ128,'Lookup Tables'!$P$2:$P$6,'Lookup Tables'!$Q$2:$Q$6,0),0)
  + _xlfn.IFS(BA128="Formal Board Committee",5, BA128="Board Oversight Mentioned",2, TRUE,0)
  + _xlfn.IFS(BB128="Yes — Quantified Targets",5, BB128="Yes — Discretionary Only",2, TRUE,0)
  + _xlfn.IFS(BC128="Reasonable Assurance",5, BC128="Limited Assurance",3, BC128="Management Review Only",1, TRUE,0)
))</f>
        <v>0</v>
      </c>
      <c r="BF128" s="5"/>
      <c r="BG128" s="5"/>
      <c r="BH128" s="5"/>
      <c r="BI128" s="5"/>
      <c r="BJ128" s="5"/>
      <c r="BK128" s="5"/>
      <c r="BL128" s="5"/>
      <c r="BM128" s="5"/>
      <c r="BN128" s="5"/>
      <c r="BO128" s="5"/>
      <c r="BP128" s="5"/>
      <c r="BQ128" s="5"/>
      <c r="BR128" s="5"/>
      <c r="BS128" s="41">
        <f t="array" ref="BS128">MIN(100, MAX(0,
  IFERROR(_xlfn.XLOOKUP(BG128,'Lookup Tables'!$A$11:$A$16,'Lookup Tables'!$B$11:$B$16,0),0)
  + IFERROR(_xlfn.XLOOKUP(BR128,'Lookup Tables'!$M$11:$M$14,'Lookup Tables'!$N$11:$N$14,0),0)
  + IFERROR(_xlfn.XLOOKUP(BQ128,'Lookup Tables'!$J$11:$J$15,'Lookup Tables'!$K$11:$K$15,0),0)
  + IFERROR(_xlfn.XLOOKUP(BH128,'Lookup Tables'!$D$11:$D$15,'Lookup Tables'!$E$11:$E$15,0),0)
  + IFERROR(_xlfn.XLOOKUP(BJ128,'Lookup Tables'!$G$11:$G$16,'Lookup Tables'!$H$11:$H$16,0),0)
  + IFERROR(_xlfn.XLOOKUP(BN128,'Lookup Tables'!$P$11:$P$15,'Lookup Tables'!$Q$11:$Q$15,0),0)
  + _xlfn.IFS(BM128="No Evidence",10, BM128="Unknown",3, BM128="Likely",0, BM128="Confirmed",-10, TRUE,3)
  + IFERROR(_xlfn.XLOOKUP(BP128,'Lookup Tables'!$J$21:$J$24,'Lookup Tables'!$K$21:$K$24,0),0)
))</f>
        <v>3</v>
      </c>
      <c r="BT128" s="5"/>
      <c r="BU128" s="5"/>
      <c r="BV128" s="5"/>
      <c r="BW128" s="5"/>
      <c r="BX128" s="5"/>
      <c r="BY128" s="5"/>
      <c r="BZ128" s="5"/>
      <c r="CA128" s="5"/>
      <c r="CB128" s="5"/>
      <c r="CC128" s="5"/>
      <c r="CD128" s="5"/>
      <c r="CE128" s="43">
        <f t="array" ref="CE128">MIN(100, MAX(0,
  IF(ISNUMBER(BV128)*AND(BV128&gt;0), 10, 0)
  + _xlfn.IFS(BY128="Independently Verified",25, BY128="Yes",15, TRUE,0)
  + IFERROR(_xlfn.XLOOKUP(BZ128,'Lookup Tables'!$A$21:$A$24,'Lookup Tables'!$B$21:$B$24,0),0)
  + IFERROR(_xlfn.XLOOKUP(CA128,'Lookup Tables'!$D$21:$D$24,'Lookup Tables'!$E$21:$E$24,0),0)
  + _xlfn.IFS(ISNUMBER(CB128)*AND(CB128&gt;=11),15, ISNUMBER(CB128)*AND(CB128&gt;=6),10, ISNUMBER(CB128)*AND(CB128&gt;=1),5, TRUE,0)
  + IFERROR(_xlfn.XLOOKUP(CC128,'Lookup Tables'!$G$21:$G$25,'Lookup Tables'!$H$21:$H$25,0),0)
  - IF(ISNUMBER(BW128)*AND(ISNUMBER(BV128))*AND(BW128&gt;BV128), 20, 0)
  - IF(AND(BY128="Yes", ISNUMBER(BW128), BW128&gt;60), 10, 0)
))</f>
        <v>0</v>
      </c>
      <c r="CF128" s="5"/>
      <c r="CG128" s="5"/>
      <c r="CH128" s="5"/>
      <c r="CI128" s="5"/>
      <c r="CJ128" s="5"/>
      <c r="CK128" s="5"/>
      <c r="CL128" s="5"/>
      <c r="CM128" s="5"/>
      <c r="CN128" s="5"/>
      <c r="CO128" s="5"/>
      <c r="CP128" s="5"/>
      <c r="CQ128" s="5"/>
      <c r="CR128" s="5">
        <f t="shared" si="90"/>
        <v>0</v>
      </c>
      <c r="CS128" s="5">
        <f t="shared" si="91"/>
        <v>0</v>
      </c>
      <c r="CT128" s="5">
        <f t="shared" si="92"/>
        <v>0</v>
      </c>
      <c r="CU128" s="5">
        <f>MIN(100,
  CR128*15
  + CS128*6
  + CT128*3
  + IFERROR(_xlfn.XLOOKUP(CW128,'Lookup Tables'!$M$21:$M$25,'Lookup Tables'!$N$21:$N$25,0),0)
)</f>
        <v>0</v>
      </c>
      <c r="CV128" s="5" t="str">
        <f t="shared" si="93"/>
        <v>No failures</v>
      </c>
      <c r="CW128" s="5"/>
      <c r="CX128" s="5"/>
      <c r="CY128" s="5"/>
      <c r="CZ128" s="5"/>
      <c r="DA128" s="5" t="str">
        <f t="shared" si="94"/>
        <v>Yes</v>
      </c>
      <c r="DB128" s="5" t="str">
        <f t="shared" si="95"/>
        <v>No</v>
      </c>
      <c r="DC128" s="5"/>
      <c r="DD128" s="5"/>
      <c r="DE128" s="5"/>
      <c r="DF128" s="5"/>
      <c r="DG128" s="5"/>
      <c r="DH128" s="5"/>
      <c r="DI128" s="5"/>
      <c r="DJ128" s="5"/>
      <c r="DK128" s="5"/>
      <c r="DL128" s="5" t="str">
        <f t="shared" si="96"/>
        <v>Clear</v>
      </c>
      <c r="DM128" s="5" t="str">
        <f t="shared" si="97"/>
        <v>Yes</v>
      </c>
      <c r="DN128" s="5">
        <f t="array" ref="DN128">MIN(100,
  IF(ISNUMBER(V128), _xlfn.IFS(V128&gt;=3,25, V128=2,15, V128=1,5, TRUE,0), 0)
  + IFERROR(_xlfn.IFS(VALUE(LEFT(DF128,1))=5,25, VALUE(LEFT(DF128,1))=4,20, VALUE(LEFT(DF128,1))=3,15, VALUE(LEFT(DF128,1))=2,8, TRUE,0), 15)
  + IFERROR(_xlfn.IFS(VALUE(LEFT(DG128,1))=5,25, VALUE(LEFT(DG128,1))=4,20, VALUE(LEFT(DG128,1))=3,15, VALUE(LEFT(DG128,1))=2,8, TRUE,0), 15)
  + _xlfn.IFS(DH128="Fully Verified",25, DH128="Partially Verified",12, TRUE,0)
)</f>
        <v>30</v>
      </c>
      <c r="DO128" s="5" t="str">
        <f t="array" ref="DO128">_xlfn.IFS(
  ISBLANK(AR128), "Insufficient Evidence",
  AND(AR128&gt;=65, AJ128="Approved"), "Strong",
  AR128&gt;=65, "Adequate",
  AR128&gt;=40, "Adequate",
  AR128&gt;=20, "Weak",
  TRUE, "Insufficient Evidence"
)</f>
        <v>Insufficient Evidence</v>
      </c>
      <c r="DP128" s="5" t="str">
        <f t="array" ref="DP128">_xlfn.IFS(
  ISBLANK(BS128), "Insufficient Evidence",
  BS128&gt;=65, "Strong",
  BS128&gt;=40, "Adequate",
  BS128&gt;=20, "Weak",
  TRUE, "Insufficient Evidence"
)</f>
        <v>Insufficient Evidence</v>
      </c>
      <c r="DQ128" s="5" t="str">
        <f t="array" ref="DQ128">_xlfn.IFS(
  ISBLANK(BE128), "Insufficient Evidence",
  OR(AW128="Confirmed Violation", AX128="Confirmed Breach"), "Severe — Hard Trigger",
  BE128&gt;=65, "Strong",
  BE128&gt;=40, "Adequate",
  BE128&gt;=20, "Weak",
  TRUE, "Insufficient Evidence"
)</f>
        <v>Insufficient Evidence</v>
      </c>
      <c r="DR128" s="5" t="str">
        <f t="array" ref="DR128">_xlfn.IFS(
  ISBLANK(CU128), "Insufficient Evidence",
  CU128&lt;=20, "Low Risk",
  CU128&lt;=50, "Moderate Risk",
  CU128&lt;=75, "High Risk",
  TRUE, "Very High Risk"
)</f>
        <v>Low Risk</v>
      </c>
      <c r="DS128" s="5" t="str">
        <f t="array" ref="DS128">_xlfn.IFS(
  ISBLANK(CE128), "Insufficient Evidence",
  AND(ISNUMBER(BW128),ISNUMBER(BV128),BW128&gt;BV128), "Overclaiming Risk",
  CE128&gt;=65, "Strong",
  CE128&gt;=40, "Adequate",
  TRUE, "Weak"
)</f>
        <v>Weak</v>
      </c>
      <c r="DT128" s="5">
        <f t="shared" si="98"/>
        <v>11.7</v>
      </c>
      <c r="DU128" s="5" t="str">
        <f t="array" ref="DU128">_xlfn.IFS(
  DV128="Upgraded to Clear", "Clear",
  DV128="Downgraded to Watchlist", "Watchlist",
  DV128="Downgraded to Exclusion", "Exclusion Risk",
  DB128="Yes — Automatic", "Exclusion Risk",
  OR(AW128="Confirmed Violation", AX128="Confirmed Breach"), "Exclusion Risk",
  OR(V128=0, ISBLANK(V128), DN128&lt;20), "Insufficient Evidence",
  AND(DT128&gt;=65, DA128="No", DB128="No"), "Clear",
  OR(DT128&gt;=40, DA128="Yes"), "Watchlist",
  TRUE, "Exclusion Risk"
)</f>
        <v>Insufficient Evidence</v>
      </c>
      <c r="DV128" s="5"/>
      <c r="DW128" s="5" t="str">
        <f t="array" ref="DW128">_xlfn.IFS(
  DU128="Exclusion Risk", "Exclude — Hard Trigger",
  DU128="Insufficient Evidence", "Watchlist — Further Evidence Needed",
  DU128="Watchlist", "Watchlist — Further Evidence Needed",
  AND(DU128="Clear", DT128&gt;=80), "Include — No Conditions",
  DU128="Clear", "Include — Monitor",
  TRUE, "Watchlist — Further Evidence Needed"
)</f>
        <v>Watchlist — Further Evidence Needed</v>
      </c>
      <c r="DX128" s="5"/>
      <c r="DY128" s="5"/>
      <c r="DZ128" s="5"/>
      <c r="EA128" s="5"/>
      <c r="EB128" s="5" t="str">
        <f t="shared" si="99"/>
        <v>MISSING — No sources reviewed</v>
      </c>
      <c r="EC128" s="5" t="str">
        <f t="shared" si="100"/>
        <v/>
      </c>
    </row>
    <row r="129" spans="1:133" ht="18" customHeight="1" x14ac:dyDescent="0.15">
      <c r="A129" s="5" t="s">
        <v>713</v>
      </c>
      <c r="B129" s="5" t="s">
        <v>714</v>
      </c>
      <c r="C129" s="5" t="str">
        <f>IF(ISBLANK('Universe Tracker'!D104),"",'Universe Tracker'!D104)</f>
        <v>IT0004176001</v>
      </c>
      <c r="D129" s="5"/>
      <c r="E129" s="5"/>
      <c r="F129" s="5" t="str">
        <f>IF(ISBLANK('Universe Tracker'!F104),"",'Universe Tracker'!F104)</f>
        <v>Industrials</v>
      </c>
      <c r="G129" s="5" t="str">
        <f>IF(ISBLANK('Universe Tracker'!G104),"",'Universe Tracker'!G104)</f>
        <v>Industrial Products</v>
      </c>
      <c r="H129" s="5"/>
      <c r="I129" s="5"/>
      <c r="J129" s="5" t="str">
        <f t="shared" si="88"/>
        <v>AEU_IT0004176001</v>
      </c>
      <c r="K129" s="5"/>
      <c r="L129" s="5"/>
      <c r="M129" s="5"/>
      <c r="N129" s="5"/>
      <c r="O129" s="5"/>
      <c r="P129" s="5"/>
      <c r="Q129" s="5"/>
      <c r="R129" s="5"/>
      <c r="S129" s="5"/>
      <c r="T129" s="5"/>
      <c r="U129" s="5"/>
      <c r="V129" s="5"/>
      <c r="W129" s="5"/>
      <c r="X129" s="5"/>
      <c r="Y129" s="5" t="str">
        <f t="shared" si="89"/>
        <v>Insufficient</v>
      </c>
      <c r="Z129" s="5"/>
      <c r="AA129" s="5"/>
      <c r="AB129" s="5"/>
      <c r="AC129" s="5"/>
      <c r="AD129" s="5"/>
      <c r="AE129" s="5"/>
      <c r="AF129" s="5"/>
      <c r="AG129" s="5"/>
      <c r="AH129" s="5"/>
      <c r="AI129" s="5"/>
      <c r="AJ129" s="5"/>
      <c r="AK129" s="5"/>
      <c r="AL129" s="5"/>
      <c r="AM129" s="5"/>
      <c r="AN129" s="5"/>
      <c r="AO129" s="5"/>
      <c r="AP129" s="5"/>
      <c r="AQ129" s="5"/>
      <c r="AR129" s="40">
        <f t="array" ref="AR129">MIN(100, MAX(0,
  IFERROR(_xlfn.XLOOKUP(AJ129,'Lookup Tables'!$A$2:$A$7,'Lookup Tables'!$B$2:$B$7,0),0)
  + IF(Z129="Yes", IF(IFERROR(_xlfn.XLOOKUP(AJ129,'Lookup Tables'!$A$2:$A$7,'Lookup Tables'!$B$2:$B$7,0),0)&lt;20, 5, 0), 0)
  + _xlfn.IFS(AB129="Yes", IF(ISNUMBER(AC129)*AND(AC129&lt;=2030),15,10), AB129="Long-term Only", 5, AB129="No", 0, TRUE, 0)
  + _xlfn.IFS(AF129="Full",10, AF129="Partial",5, AF129="Scope 2 Only",3, TRUE,0)
  + _xlfn.IFS(AG129="Yes", IF(ISNUMBER(AH129)*AND(AH129&gt;=5),10,6), AG129="Partial",4, TRUE,0)
  + _xlfn.IFS(AI129="Yes",5, AI129="Partial (material categories only)",3, TRUE,0)
  + _xlfn.IFS(AL129="Yes — Detailed",10, AL129="Yes — High Level",5, TRUE,0)
  + _xlfn.IFS(AM129="Yes — Quantified",15, AM129="Yes — Directional Only",7, TRUE,0)
  + _xlfn.IFS(AP129="Formal",5, AP129="Referenced",2, TRUE,0)
  + _xlfn.IFS(AQ129="No Issues Found",5, AQ129="Concern Identified",-5, AQ129="Severe Contradiction",-15, TRUE,0)
  + _xlfn.IFS(BC129="Reasonable Assurance",5, BC129="Limited Assurance",3, TRUE,0)
  - IF(AND(Z129="Yes", AI129="No"), 10, 0)
  - IF(AND(Z129="Yes", AM129="No"), 10, 0)
))</f>
        <v>0</v>
      </c>
      <c r="AS129" s="5"/>
      <c r="AT129" s="5"/>
      <c r="AU129" s="5"/>
      <c r="AV129" s="5"/>
      <c r="AW129" s="5"/>
      <c r="AX129" s="5"/>
      <c r="AY129" s="5"/>
      <c r="AZ129" s="5"/>
      <c r="BA129" s="5"/>
      <c r="BB129" s="5"/>
      <c r="BC129" s="5"/>
      <c r="BD129" s="5"/>
      <c r="BE129" s="39">
        <f t="array" ref="BE129">MIN(100, MAX(0,
  IFERROR(_xlfn.XLOOKUP(AT129,'Lookup Tables'!$D$2:$D$6,'Lookup Tables'!$E$2:$E$6,0),0)
  + IFERROR(_xlfn.XLOOKUP(AV129,'Lookup Tables'!$G$2:$G$5,'Lookup Tables'!$H$2:$H$5,0),0)
  + IFERROR(_xlfn.XLOOKUP(AW129,'Lookup Tables'!$J$2:$J$5,'Lookup Tables'!$K$2:$K$5,0),0)
  + _xlfn.IFS(AX129="No Issues",10, AX129="Complaint Filed",3, AX129="Confirmed Breach",-15, TRUE,0)
  + IFERROR(_xlfn.XLOOKUP(AY129,'Lookup Tables'!$M$2:$M$6,'Lookup Tables'!$N$2:$N$6,0),0)
  + IFERROR(_xlfn.XLOOKUP(AZ129,'Lookup Tables'!$P$2:$P$6,'Lookup Tables'!$Q$2:$Q$6,0),0)
  + _xlfn.IFS(BA129="Formal Board Committee",5, BA129="Board Oversight Mentioned",2, TRUE,0)
  + _xlfn.IFS(BB129="Yes — Quantified Targets",5, BB129="Yes — Discretionary Only",2, TRUE,0)
  + _xlfn.IFS(BC129="Reasonable Assurance",5, BC129="Limited Assurance",3, BC129="Management Review Only",1, TRUE,0)
))</f>
        <v>0</v>
      </c>
      <c r="BF129" s="5"/>
      <c r="BG129" s="5"/>
      <c r="BH129" s="5"/>
      <c r="BI129" s="5"/>
      <c r="BJ129" s="5"/>
      <c r="BK129" s="5"/>
      <c r="BL129" s="5"/>
      <c r="BM129" s="5"/>
      <c r="BN129" s="5"/>
      <c r="BO129" s="5"/>
      <c r="BP129" s="5"/>
      <c r="BQ129" s="5"/>
      <c r="BR129" s="5"/>
      <c r="BS129" s="41">
        <f t="array" ref="BS129">MIN(100, MAX(0,
  IFERROR(_xlfn.XLOOKUP(BG129,'Lookup Tables'!$A$11:$A$16,'Lookup Tables'!$B$11:$B$16,0),0)
  + IFERROR(_xlfn.XLOOKUP(BR129,'Lookup Tables'!$M$11:$M$14,'Lookup Tables'!$N$11:$N$14,0),0)
  + IFERROR(_xlfn.XLOOKUP(BQ129,'Lookup Tables'!$J$11:$J$15,'Lookup Tables'!$K$11:$K$15,0),0)
  + IFERROR(_xlfn.XLOOKUP(BH129,'Lookup Tables'!$D$11:$D$15,'Lookup Tables'!$E$11:$E$15,0),0)
  + IFERROR(_xlfn.XLOOKUP(BJ129,'Lookup Tables'!$G$11:$G$16,'Lookup Tables'!$H$11:$H$16,0),0)
  + IFERROR(_xlfn.XLOOKUP(BN129,'Lookup Tables'!$P$11:$P$15,'Lookup Tables'!$Q$11:$Q$15,0),0)
  + _xlfn.IFS(BM129="No Evidence",10, BM129="Unknown",3, BM129="Likely",0, BM129="Confirmed",-10, TRUE,3)
  + IFERROR(_xlfn.XLOOKUP(BP129,'Lookup Tables'!$J$21:$J$24,'Lookup Tables'!$K$21:$K$24,0),0)
))</f>
        <v>3</v>
      </c>
      <c r="BT129" s="5"/>
      <c r="BU129" s="5"/>
      <c r="BV129" s="5"/>
      <c r="BW129" s="5"/>
      <c r="BX129" s="5"/>
      <c r="BY129" s="5"/>
      <c r="BZ129" s="5"/>
      <c r="CA129" s="5"/>
      <c r="CB129" s="5"/>
      <c r="CC129" s="5"/>
      <c r="CD129" s="5"/>
      <c r="CE129" s="43">
        <f t="array" ref="CE129">MIN(100, MAX(0,
  IF(ISNUMBER(BV129)*AND(BV129&gt;0), 10, 0)
  + _xlfn.IFS(BY129="Independently Verified",25, BY129="Yes",15, TRUE,0)
  + IFERROR(_xlfn.XLOOKUP(BZ129,'Lookup Tables'!$A$21:$A$24,'Lookup Tables'!$B$21:$B$24,0),0)
  + IFERROR(_xlfn.XLOOKUP(CA129,'Lookup Tables'!$D$21:$D$24,'Lookup Tables'!$E$21:$E$24,0),0)
  + _xlfn.IFS(ISNUMBER(CB129)*AND(CB129&gt;=11),15, ISNUMBER(CB129)*AND(CB129&gt;=6),10, ISNUMBER(CB129)*AND(CB129&gt;=1),5, TRUE,0)
  + IFERROR(_xlfn.XLOOKUP(CC129,'Lookup Tables'!$G$21:$G$25,'Lookup Tables'!$H$21:$H$25,0),0)
  - IF(ISNUMBER(BW129)*AND(ISNUMBER(BV129))*AND(BW129&gt;BV129), 20, 0)
  - IF(AND(BY129="Yes", ISNUMBER(BW129), BW129&gt;60), 10, 0)
))</f>
        <v>0</v>
      </c>
      <c r="CF129" s="5"/>
      <c r="CG129" s="5"/>
      <c r="CH129" s="5"/>
      <c r="CI129" s="5"/>
      <c r="CJ129" s="5"/>
      <c r="CK129" s="5"/>
      <c r="CL129" s="5"/>
      <c r="CM129" s="5"/>
      <c r="CN129" s="5"/>
      <c r="CO129" s="5"/>
      <c r="CP129" s="5"/>
      <c r="CQ129" s="5"/>
      <c r="CR129" s="5">
        <f t="shared" si="90"/>
        <v>0</v>
      </c>
      <c r="CS129" s="5">
        <f t="shared" si="91"/>
        <v>0</v>
      </c>
      <c r="CT129" s="5">
        <f t="shared" si="92"/>
        <v>0</v>
      </c>
      <c r="CU129" s="5">
        <f>MIN(100,
  CR129*15
  + CS129*6
  + CT129*3
  + IFERROR(_xlfn.XLOOKUP(CW129,'Lookup Tables'!$M$21:$M$25,'Lookup Tables'!$N$21:$N$25,0),0)
)</f>
        <v>0</v>
      </c>
      <c r="CV129" s="5" t="str">
        <f t="shared" si="93"/>
        <v>No failures</v>
      </c>
      <c r="CW129" s="5"/>
      <c r="CX129" s="5"/>
      <c r="CY129" s="5"/>
      <c r="CZ129" s="5"/>
      <c r="DA129" s="5" t="str">
        <f t="shared" si="94"/>
        <v>Yes</v>
      </c>
      <c r="DB129" s="5" t="str">
        <f t="shared" si="95"/>
        <v>No</v>
      </c>
      <c r="DC129" s="5"/>
      <c r="DD129" s="5"/>
      <c r="DE129" s="5"/>
      <c r="DF129" s="5"/>
      <c r="DG129" s="5"/>
      <c r="DH129" s="5"/>
      <c r="DI129" s="5"/>
      <c r="DJ129" s="5"/>
      <c r="DK129" s="5"/>
      <c r="DL129" s="5" t="str">
        <f t="shared" si="96"/>
        <v>Clear</v>
      </c>
      <c r="DM129" s="5" t="str">
        <f t="shared" si="97"/>
        <v>Yes</v>
      </c>
      <c r="DN129" s="5">
        <f t="array" ref="DN129">MIN(100,
  IF(ISNUMBER(V129), _xlfn.IFS(V129&gt;=3,25, V129=2,15, V129=1,5, TRUE,0), 0)
  + IFERROR(_xlfn.IFS(VALUE(LEFT(DF129,1))=5,25, VALUE(LEFT(DF129,1))=4,20, VALUE(LEFT(DF129,1))=3,15, VALUE(LEFT(DF129,1))=2,8, TRUE,0), 15)
  + IFERROR(_xlfn.IFS(VALUE(LEFT(DG129,1))=5,25, VALUE(LEFT(DG129,1))=4,20, VALUE(LEFT(DG129,1))=3,15, VALUE(LEFT(DG129,1))=2,8, TRUE,0), 15)
  + _xlfn.IFS(DH129="Fully Verified",25, DH129="Partially Verified",12, TRUE,0)
)</f>
        <v>30</v>
      </c>
      <c r="DO129" s="5" t="str">
        <f t="array" ref="DO129">_xlfn.IFS(
  ISBLANK(AR129), "Insufficient Evidence",
  AND(AR129&gt;=65, AJ129="Approved"), "Strong",
  AR129&gt;=65, "Adequate",
  AR129&gt;=40, "Adequate",
  AR129&gt;=20, "Weak",
  TRUE, "Insufficient Evidence"
)</f>
        <v>Insufficient Evidence</v>
      </c>
      <c r="DP129" s="5" t="str">
        <f t="array" ref="DP129">_xlfn.IFS(
  ISBLANK(BS129), "Insufficient Evidence",
  BS129&gt;=65, "Strong",
  BS129&gt;=40, "Adequate",
  BS129&gt;=20, "Weak",
  TRUE, "Insufficient Evidence"
)</f>
        <v>Insufficient Evidence</v>
      </c>
      <c r="DQ129" s="5" t="str">
        <f t="array" ref="DQ129">_xlfn.IFS(
  ISBLANK(BE129), "Insufficient Evidence",
  OR(AW129="Confirmed Violation", AX129="Confirmed Breach"), "Severe — Hard Trigger",
  BE129&gt;=65, "Strong",
  BE129&gt;=40, "Adequate",
  BE129&gt;=20, "Weak",
  TRUE, "Insufficient Evidence"
)</f>
        <v>Insufficient Evidence</v>
      </c>
      <c r="DR129" s="5" t="str">
        <f t="array" ref="DR129">_xlfn.IFS(
  ISBLANK(CU129), "Insufficient Evidence",
  CU129&lt;=20, "Low Risk",
  CU129&lt;=50, "Moderate Risk",
  CU129&lt;=75, "High Risk",
  TRUE, "Very High Risk"
)</f>
        <v>Low Risk</v>
      </c>
      <c r="DS129" s="5" t="str">
        <f t="array" ref="DS129">_xlfn.IFS(
  ISBLANK(CE129), "Insufficient Evidence",
  AND(ISNUMBER(BW129),ISNUMBER(BV129),BW129&gt;BV129), "Overclaiming Risk",
  CE129&gt;=65, "Strong",
  CE129&gt;=40, "Adequate",
  TRUE, "Weak"
)</f>
        <v>Weak</v>
      </c>
      <c r="DT129" s="5">
        <f t="shared" si="98"/>
        <v>11.7</v>
      </c>
      <c r="DU129" s="5" t="str">
        <f t="array" ref="DU129">_xlfn.IFS(
  DV129="Upgraded to Clear", "Clear",
  DV129="Downgraded to Watchlist", "Watchlist",
  DV129="Downgraded to Exclusion", "Exclusion Risk",
  DB129="Yes — Automatic", "Exclusion Risk",
  OR(AW129="Confirmed Violation", AX129="Confirmed Breach"), "Exclusion Risk",
  OR(V129=0, ISBLANK(V129), DN129&lt;20), "Insufficient Evidence",
  AND(DT129&gt;=65, DA129="No", DB129="No"), "Clear",
  OR(DT129&gt;=40, DA129="Yes"), "Watchlist",
  TRUE, "Exclusion Risk"
)</f>
        <v>Insufficient Evidence</v>
      </c>
      <c r="DV129" s="5"/>
      <c r="DW129" s="5" t="str">
        <f t="array" ref="DW129">_xlfn.IFS(
  DU129="Exclusion Risk", "Exclude — Hard Trigger",
  DU129="Insufficient Evidence", "Watchlist — Further Evidence Needed",
  DU129="Watchlist", "Watchlist — Further Evidence Needed",
  AND(DU129="Clear", DT129&gt;=80), "Include — No Conditions",
  DU129="Clear", "Include — Monitor",
  TRUE, "Watchlist — Further Evidence Needed"
)</f>
        <v>Watchlist — Further Evidence Needed</v>
      </c>
      <c r="DX129" s="5"/>
      <c r="DY129" s="5"/>
      <c r="DZ129" s="5"/>
      <c r="EA129" s="5"/>
      <c r="EB129" s="5" t="str">
        <f t="shared" si="99"/>
        <v>MISSING — No sources reviewed</v>
      </c>
      <c r="EC129" s="5" t="str">
        <f t="shared" si="100"/>
        <v/>
      </c>
    </row>
    <row r="130" spans="1:133" ht="18" customHeight="1" x14ac:dyDescent="0.15">
      <c r="A130" s="5" t="s">
        <v>717</v>
      </c>
      <c r="B130" s="5" t="s">
        <v>718</v>
      </c>
      <c r="C130" s="5" t="str">
        <f>IF(ISBLANK('Universe Tracker'!D105),"",'Universe Tracker'!D105)</f>
        <v>ES0182870214</v>
      </c>
      <c r="D130" s="5"/>
      <c r="E130" s="5"/>
      <c r="F130" s="5" t="str">
        <f>IF(ISBLANK('Universe Tracker'!F105),"",'Universe Tracker'!F105)</f>
        <v>Industrials</v>
      </c>
      <c r="G130" s="5" t="str">
        <f>IF(ISBLANK('Universe Tracker'!G105),"",'Universe Tracker'!G105)</f>
        <v>Industrial Services</v>
      </c>
      <c r="H130" s="5"/>
      <c r="I130" s="5"/>
      <c r="J130" s="5" t="str">
        <f t="shared" si="88"/>
        <v>VHM_ES0182870214</v>
      </c>
      <c r="K130" s="5"/>
      <c r="L130" s="5"/>
      <c r="M130" s="5"/>
      <c r="N130" s="5"/>
      <c r="O130" s="5"/>
      <c r="P130" s="5"/>
      <c r="Q130" s="5"/>
      <c r="R130" s="5"/>
      <c r="S130" s="5"/>
      <c r="T130" s="5"/>
      <c r="U130" s="5"/>
      <c r="V130" s="5"/>
      <c r="W130" s="5"/>
      <c r="X130" s="5"/>
      <c r="Y130" s="5" t="str">
        <f t="shared" si="89"/>
        <v>Insufficient</v>
      </c>
      <c r="Z130" s="5"/>
      <c r="AA130" s="5"/>
      <c r="AB130" s="5"/>
      <c r="AC130" s="5"/>
      <c r="AD130" s="5"/>
      <c r="AE130" s="5"/>
      <c r="AF130" s="5"/>
      <c r="AG130" s="5"/>
      <c r="AH130" s="5"/>
      <c r="AI130" s="5"/>
      <c r="AJ130" s="5"/>
      <c r="AK130" s="5"/>
      <c r="AL130" s="5"/>
      <c r="AM130" s="5"/>
      <c r="AN130" s="5"/>
      <c r="AO130" s="5"/>
      <c r="AP130" s="5"/>
      <c r="AQ130" s="5"/>
      <c r="AR130" s="40">
        <f t="array" ref="AR130">MIN(100, MAX(0,
  IFERROR(_xlfn.XLOOKUP(AJ130,'Lookup Tables'!$A$2:$A$7,'Lookup Tables'!$B$2:$B$7,0),0)
  + IF(Z130="Yes", IF(IFERROR(_xlfn.XLOOKUP(AJ130,'Lookup Tables'!$A$2:$A$7,'Lookup Tables'!$B$2:$B$7,0),0)&lt;20, 5, 0), 0)
  + _xlfn.IFS(AB130="Yes", IF(ISNUMBER(AC130)*AND(AC130&lt;=2030),15,10), AB130="Long-term Only", 5, AB130="No", 0, TRUE, 0)
  + _xlfn.IFS(AF130="Full",10, AF130="Partial",5, AF130="Scope 2 Only",3, TRUE,0)
  + _xlfn.IFS(AG130="Yes", IF(ISNUMBER(AH130)*AND(AH130&gt;=5),10,6), AG130="Partial",4, TRUE,0)
  + _xlfn.IFS(AI130="Yes",5, AI130="Partial (material categories only)",3, TRUE,0)
  + _xlfn.IFS(AL130="Yes — Detailed",10, AL130="Yes — High Level",5, TRUE,0)
  + _xlfn.IFS(AM130="Yes — Quantified",15, AM130="Yes — Directional Only",7, TRUE,0)
  + _xlfn.IFS(AP130="Formal",5, AP130="Referenced",2, TRUE,0)
  + _xlfn.IFS(AQ130="No Issues Found",5, AQ130="Concern Identified",-5, AQ130="Severe Contradiction",-15, TRUE,0)
  + _xlfn.IFS(BC130="Reasonable Assurance",5, BC130="Limited Assurance",3, TRUE,0)
  - IF(AND(Z130="Yes", AI130="No"), 10, 0)
  - IF(AND(Z130="Yes", AM130="No"), 10, 0)
))</f>
        <v>0</v>
      </c>
      <c r="AS130" s="5"/>
      <c r="AT130" s="5"/>
      <c r="AU130" s="5"/>
      <c r="AV130" s="5"/>
      <c r="AW130" s="5"/>
      <c r="AX130" s="5"/>
      <c r="AY130" s="5"/>
      <c r="AZ130" s="5"/>
      <c r="BA130" s="5"/>
      <c r="BB130" s="5"/>
      <c r="BC130" s="5"/>
      <c r="BD130" s="5"/>
      <c r="BE130" s="39">
        <f t="array" ref="BE130">MIN(100, MAX(0,
  IFERROR(_xlfn.XLOOKUP(AT130,'Lookup Tables'!$D$2:$D$6,'Lookup Tables'!$E$2:$E$6,0),0)
  + IFERROR(_xlfn.XLOOKUP(AV130,'Lookup Tables'!$G$2:$G$5,'Lookup Tables'!$H$2:$H$5,0),0)
  + IFERROR(_xlfn.XLOOKUP(AW130,'Lookup Tables'!$J$2:$J$5,'Lookup Tables'!$K$2:$K$5,0),0)
  + _xlfn.IFS(AX130="No Issues",10, AX130="Complaint Filed",3, AX130="Confirmed Breach",-15, TRUE,0)
  + IFERROR(_xlfn.XLOOKUP(AY130,'Lookup Tables'!$M$2:$M$6,'Lookup Tables'!$N$2:$N$6,0),0)
  + IFERROR(_xlfn.XLOOKUP(AZ130,'Lookup Tables'!$P$2:$P$6,'Lookup Tables'!$Q$2:$Q$6,0),0)
  + _xlfn.IFS(BA130="Formal Board Committee",5, BA130="Board Oversight Mentioned",2, TRUE,0)
  + _xlfn.IFS(BB130="Yes — Quantified Targets",5, BB130="Yes — Discretionary Only",2, TRUE,0)
  + _xlfn.IFS(BC130="Reasonable Assurance",5, BC130="Limited Assurance",3, BC130="Management Review Only",1, TRUE,0)
))</f>
        <v>0</v>
      </c>
      <c r="BF130" s="5"/>
      <c r="BG130" s="5"/>
      <c r="BH130" s="5"/>
      <c r="BI130" s="5"/>
      <c r="BJ130" s="5"/>
      <c r="BK130" s="5"/>
      <c r="BL130" s="5"/>
      <c r="BM130" s="5"/>
      <c r="BN130" s="5"/>
      <c r="BO130" s="5"/>
      <c r="BP130" s="5"/>
      <c r="BQ130" s="5"/>
      <c r="BR130" s="5"/>
      <c r="BS130" s="41">
        <f t="array" ref="BS130">MIN(100, MAX(0,
  IFERROR(_xlfn.XLOOKUP(BG130,'Lookup Tables'!$A$11:$A$16,'Lookup Tables'!$B$11:$B$16,0),0)
  + IFERROR(_xlfn.XLOOKUP(BR130,'Lookup Tables'!$M$11:$M$14,'Lookup Tables'!$N$11:$N$14,0),0)
  + IFERROR(_xlfn.XLOOKUP(BQ130,'Lookup Tables'!$J$11:$J$15,'Lookup Tables'!$K$11:$K$15,0),0)
  + IFERROR(_xlfn.XLOOKUP(BH130,'Lookup Tables'!$D$11:$D$15,'Lookup Tables'!$E$11:$E$15,0),0)
  + IFERROR(_xlfn.XLOOKUP(BJ130,'Lookup Tables'!$G$11:$G$16,'Lookup Tables'!$H$11:$H$16,0),0)
  + IFERROR(_xlfn.XLOOKUP(BN130,'Lookup Tables'!$P$11:$P$15,'Lookup Tables'!$Q$11:$Q$15,0),0)
  + _xlfn.IFS(BM130="No Evidence",10, BM130="Unknown",3, BM130="Likely",0, BM130="Confirmed",-10, TRUE,3)
  + IFERROR(_xlfn.XLOOKUP(BP130,'Lookup Tables'!$J$21:$J$24,'Lookup Tables'!$K$21:$K$24,0),0)
))</f>
        <v>3</v>
      </c>
      <c r="BT130" s="5"/>
      <c r="BU130" s="5"/>
      <c r="BV130" s="5"/>
      <c r="BW130" s="5"/>
      <c r="BX130" s="5"/>
      <c r="BY130" s="5"/>
      <c r="BZ130" s="5"/>
      <c r="CA130" s="5"/>
      <c r="CB130" s="5"/>
      <c r="CC130" s="5"/>
      <c r="CD130" s="5"/>
      <c r="CE130" s="43">
        <f t="array" ref="CE130">MIN(100, MAX(0,
  IF(ISNUMBER(BV130)*AND(BV130&gt;0), 10, 0)
  + _xlfn.IFS(BY130="Independently Verified",25, BY130="Yes",15, TRUE,0)
  + IFERROR(_xlfn.XLOOKUP(BZ130,'Lookup Tables'!$A$21:$A$24,'Lookup Tables'!$B$21:$B$24,0),0)
  + IFERROR(_xlfn.XLOOKUP(CA130,'Lookup Tables'!$D$21:$D$24,'Lookup Tables'!$E$21:$E$24,0),0)
  + _xlfn.IFS(ISNUMBER(CB130)*AND(CB130&gt;=11),15, ISNUMBER(CB130)*AND(CB130&gt;=6),10, ISNUMBER(CB130)*AND(CB130&gt;=1),5, TRUE,0)
  + IFERROR(_xlfn.XLOOKUP(CC130,'Lookup Tables'!$G$21:$G$25,'Lookup Tables'!$H$21:$H$25,0),0)
  - IF(ISNUMBER(BW130)*AND(ISNUMBER(BV130))*AND(BW130&gt;BV130), 20, 0)
  - IF(AND(BY130="Yes", ISNUMBER(BW130), BW130&gt;60), 10, 0)
))</f>
        <v>0</v>
      </c>
      <c r="CF130" s="5"/>
      <c r="CG130" s="5"/>
      <c r="CH130" s="5"/>
      <c r="CI130" s="5"/>
      <c r="CJ130" s="5"/>
      <c r="CK130" s="5"/>
      <c r="CL130" s="5"/>
      <c r="CM130" s="5"/>
      <c r="CN130" s="5"/>
      <c r="CO130" s="5"/>
      <c r="CP130" s="5"/>
      <c r="CQ130" s="5"/>
      <c r="CR130" s="5">
        <f t="shared" si="90"/>
        <v>0</v>
      </c>
      <c r="CS130" s="5">
        <f t="shared" si="91"/>
        <v>0</v>
      </c>
      <c r="CT130" s="5">
        <f t="shared" si="92"/>
        <v>0</v>
      </c>
      <c r="CU130" s="5">
        <f>MIN(100,
  CR130*15
  + CS130*6
  + CT130*3
  + IFERROR(_xlfn.XLOOKUP(CW130,'Lookup Tables'!$M$21:$M$25,'Lookup Tables'!$N$21:$N$25,0),0)
)</f>
        <v>0</v>
      </c>
      <c r="CV130" s="5" t="str">
        <f t="shared" si="93"/>
        <v>No failures</v>
      </c>
      <c r="CW130" s="5"/>
      <c r="CX130" s="5"/>
      <c r="CY130" s="5"/>
      <c r="CZ130" s="5"/>
      <c r="DA130" s="5" t="str">
        <f t="shared" si="94"/>
        <v>Yes</v>
      </c>
      <c r="DB130" s="5" t="str">
        <f t="shared" si="95"/>
        <v>No</v>
      </c>
      <c r="DC130" s="5"/>
      <c r="DD130" s="5"/>
      <c r="DE130" s="5"/>
      <c r="DF130" s="5"/>
      <c r="DG130" s="5"/>
      <c r="DH130" s="5"/>
      <c r="DI130" s="5"/>
      <c r="DJ130" s="5"/>
      <c r="DK130" s="5"/>
      <c r="DL130" s="5" t="str">
        <f t="shared" si="96"/>
        <v>Clear</v>
      </c>
      <c r="DM130" s="5" t="str">
        <f t="shared" si="97"/>
        <v>Yes</v>
      </c>
      <c r="DN130" s="5">
        <f t="array" ref="DN130">MIN(100,
  IF(ISNUMBER(V130), _xlfn.IFS(V130&gt;=3,25, V130=2,15, V130=1,5, TRUE,0), 0)
  + IFERROR(_xlfn.IFS(VALUE(LEFT(DF130,1))=5,25, VALUE(LEFT(DF130,1))=4,20, VALUE(LEFT(DF130,1))=3,15, VALUE(LEFT(DF130,1))=2,8, TRUE,0), 15)
  + IFERROR(_xlfn.IFS(VALUE(LEFT(DG130,1))=5,25, VALUE(LEFT(DG130,1))=4,20, VALUE(LEFT(DG130,1))=3,15, VALUE(LEFT(DG130,1))=2,8, TRUE,0), 15)
  + _xlfn.IFS(DH130="Fully Verified",25, DH130="Partially Verified",12, TRUE,0)
)</f>
        <v>30</v>
      </c>
      <c r="DO130" s="5" t="str">
        <f t="array" ref="DO130">_xlfn.IFS(
  ISBLANK(AR130), "Insufficient Evidence",
  AND(AR130&gt;=65, AJ130="Approved"), "Strong",
  AR130&gt;=65, "Adequate",
  AR130&gt;=40, "Adequate",
  AR130&gt;=20, "Weak",
  TRUE, "Insufficient Evidence"
)</f>
        <v>Insufficient Evidence</v>
      </c>
      <c r="DP130" s="5" t="str">
        <f t="array" ref="DP130">_xlfn.IFS(
  ISBLANK(BS130), "Insufficient Evidence",
  BS130&gt;=65, "Strong",
  BS130&gt;=40, "Adequate",
  BS130&gt;=20, "Weak",
  TRUE, "Insufficient Evidence"
)</f>
        <v>Insufficient Evidence</v>
      </c>
      <c r="DQ130" s="5" t="str">
        <f t="array" ref="DQ130">_xlfn.IFS(
  ISBLANK(BE130), "Insufficient Evidence",
  OR(AW130="Confirmed Violation", AX130="Confirmed Breach"), "Severe — Hard Trigger",
  BE130&gt;=65, "Strong",
  BE130&gt;=40, "Adequate",
  BE130&gt;=20, "Weak",
  TRUE, "Insufficient Evidence"
)</f>
        <v>Insufficient Evidence</v>
      </c>
      <c r="DR130" s="5" t="str">
        <f t="array" ref="DR130">_xlfn.IFS(
  ISBLANK(CU130), "Insufficient Evidence",
  CU130&lt;=20, "Low Risk",
  CU130&lt;=50, "Moderate Risk",
  CU130&lt;=75, "High Risk",
  TRUE, "Very High Risk"
)</f>
        <v>Low Risk</v>
      </c>
      <c r="DS130" s="5" t="str">
        <f t="array" ref="DS130">_xlfn.IFS(
  ISBLANK(CE130), "Insufficient Evidence",
  AND(ISNUMBER(BW130),ISNUMBER(BV130),BW130&gt;BV130), "Overclaiming Risk",
  CE130&gt;=65, "Strong",
  CE130&gt;=40, "Adequate",
  TRUE, "Weak"
)</f>
        <v>Weak</v>
      </c>
      <c r="DT130" s="5">
        <f t="shared" si="98"/>
        <v>11.7</v>
      </c>
      <c r="DU130" s="5" t="str">
        <f t="array" ref="DU130">_xlfn.IFS(
  DV130="Upgraded to Clear", "Clear",
  DV130="Downgraded to Watchlist", "Watchlist",
  DV130="Downgraded to Exclusion", "Exclusion Risk",
  DB130="Yes — Automatic", "Exclusion Risk",
  OR(AW130="Confirmed Violation", AX130="Confirmed Breach"), "Exclusion Risk",
  OR(V130=0, ISBLANK(V130), DN130&lt;20), "Insufficient Evidence",
  AND(DT130&gt;=65, DA130="No", DB130="No"), "Clear",
  OR(DT130&gt;=40, DA130="Yes"), "Watchlist",
  TRUE, "Exclusion Risk"
)</f>
        <v>Insufficient Evidence</v>
      </c>
      <c r="DV130" s="5"/>
      <c r="DW130" s="5" t="str">
        <f t="array" ref="DW130">_xlfn.IFS(
  DU130="Exclusion Risk", "Exclude — Hard Trigger",
  DU130="Insufficient Evidence", "Watchlist — Further Evidence Needed",
  DU130="Watchlist", "Watchlist — Further Evidence Needed",
  AND(DU130="Clear", DT130&gt;=80), "Include — No Conditions",
  DU130="Clear", "Include — Monitor",
  TRUE, "Watchlist — Further Evidence Needed"
)</f>
        <v>Watchlist — Further Evidence Needed</v>
      </c>
      <c r="DX130" s="5"/>
      <c r="DY130" s="5"/>
      <c r="DZ130" s="5"/>
      <c r="EA130" s="5"/>
      <c r="EB130" s="5" t="str">
        <f t="shared" si="99"/>
        <v>MISSING — No sources reviewed</v>
      </c>
      <c r="EC130" s="5" t="str">
        <f t="shared" si="100"/>
        <v/>
      </c>
    </row>
    <row r="131" spans="1:133" ht="18" customHeight="1" x14ac:dyDescent="0.15">
      <c r="A131" s="5" t="s">
        <v>721</v>
      </c>
      <c r="B131" s="5" t="s">
        <v>722</v>
      </c>
      <c r="C131" s="5" t="str">
        <f>IF(ISBLANK('Universe Tracker'!D106),"",'Universe Tracker'!D106)</f>
        <v>CH0012214059</v>
      </c>
      <c r="D131" s="5"/>
      <c r="E131" s="5"/>
      <c r="F131" s="5" t="str">
        <f>IF(ISBLANK('Universe Tracker'!F106),"",'Universe Tracker'!F106)</f>
        <v>Materials</v>
      </c>
      <c r="G131" s="5" t="str">
        <f>IF(ISBLANK('Universe Tracker'!G106),"",'Universe Tracker'!G106)</f>
        <v>Materials</v>
      </c>
      <c r="H131" s="5"/>
      <c r="I131" s="5"/>
      <c r="J131" s="5" t="str">
        <f t="shared" si="88"/>
        <v>HLBN_CH0012214059</v>
      </c>
      <c r="K131" s="5"/>
      <c r="L131" s="5"/>
      <c r="M131" s="5"/>
      <c r="N131" s="5"/>
      <c r="O131" s="5"/>
      <c r="P131" s="5"/>
      <c r="Q131" s="5"/>
      <c r="R131" s="5"/>
      <c r="S131" s="5"/>
      <c r="T131" s="5"/>
      <c r="U131" s="5"/>
      <c r="V131" s="5"/>
      <c r="W131" s="5"/>
      <c r="X131" s="5"/>
      <c r="Y131" s="5" t="str">
        <f t="shared" si="89"/>
        <v>Insufficient</v>
      </c>
      <c r="Z131" s="5"/>
      <c r="AA131" s="5"/>
      <c r="AB131" s="5"/>
      <c r="AC131" s="5"/>
      <c r="AD131" s="5"/>
      <c r="AE131" s="5"/>
      <c r="AF131" s="5"/>
      <c r="AG131" s="5"/>
      <c r="AH131" s="5"/>
      <c r="AI131" s="5"/>
      <c r="AJ131" s="5"/>
      <c r="AK131" s="5"/>
      <c r="AL131" s="5"/>
      <c r="AM131" s="5"/>
      <c r="AN131" s="5"/>
      <c r="AO131" s="5"/>
      <c r="AP131" s="5"/>
      <c r="AQ131" s="5"/>
      <c r="AR131" s="40">
        <f t="array" ref="AR131">MIN(100, MAX(0,
  IFERROR(_xlfn.XLOOKUP(AJ131,'Lookup Tables'!$A$2:$A$7,'Lookup Tables'!$B$2:$B$7,0),0)
  + IF(Z131="Yes", IF(IFERROR(_xlfn.XLOOKUP(AJ131,'Lookup Tables'!$A$2:$A$7,'Lookup Tables'!$B$2:$B$7,0),0)&lt;20, 5, 0), 0)
  + _xlfn.IFS(AB131="Yes", IF(ISNUMBER(AC131)*AND(AC131&lt;=2030),15,10), AB131="Long-term Only", 5, AB131="No", 0, TRUE, 0)
  + _xlfn.IFS(AF131="Full",10, AF131="Partial",5, AF131="Scope 2 Only",3, TRUE,0)
  + _xlfn.IFS(AG131="Yes", IF(ISNUMBER(AH131)*AND(AH131&gt;=5),10,6), AG131="Partial",4, TRUE,0)
  + _xlfn.IFS(AI131="Yes",5, AI131="Partial (material categories only)",3, TRUE,0)
  + _xlfn.IFS(AL131="Yes — Detailed",10, AL131="Yes — High Level",5, TRUE,0)
  + _xlfn.IFS(AM131="Yes — Quantified",15, AM131="Yes — Directional Only",7, TRUE,0)
  + _xlfn.IFS(AP131="Formal",5, AP131="Referenced",2, TRUE,0)
  + _xlfn.IFS(AQ131="No Issues Found",5, AQ131="Concern Identified",-5, AQ131="Severe Contradiction",-15, TRUE,0)
  + _xlfn.IFS(BC131="Reasonable Assurance",5, BC131="Limited Assurance",3, TRUE,0)
  - IF(AND(Z131="Yes", AI131="No"), 10, 0)
  - IF(AND(Z131="Yes", AM131="No"), 10, 0)
))</f>
        <v>0</v>
      </c>
      <c r="AS131" s="5"/>
      <c r="AT131" s="5"/>
      <c r="AU131" s="5"/>
      <c r="AV131" s="5"/>
      <c r="AW131" s="5"/>
      <c r="AX131" s="5"/>
      <c r="AY131" s="5"/>
      <c r="AZ131" s="5"/>
      <c r="BA131" s="5"/>
      <c r="BB131" s="5"/>
      <c r="BC131" s="5"/>
      <c r="BD131" s="5"/>
      <c r="BE131" s="39">
        <f t="array" ref="BE131">MIN(100, MAX(0,
  IFERROR(_xlfn.XLOOKUP(AT131,'Lookup Tables'!$D$2:$D$6,'Lookup Tables'!$E$2:$E$6,0),0)
  + IFERROR(_xlfn.XLOOKUP(AV131,'Lookup Tables'!$G$2:$G$5,'Lookup Tables'!$H$2:$H$5,0),0)
  + IFERROR(_xlfn.XLOOKUP(AW131,'Lookup Tables'!$J$2:$J$5,'Lookup Tables'!$K$2:$K$5,0),0)
  + _xlfn.IFS(AX131="No Issues",10, AX131="Complaint Filed",3, AX131="Confirmed Breach",-15, TRUE,0)
  + IFERROR(_xlfn.XLOOKUP(AY131,'Lookup Tables'!$M$2:$M$6,'Lookup Tables'!$N$2:$N$6,0),0)
  + IFERROR(_xlfn.XLOOKUP(AZ131,'Lookup Tables'!$P$2:$P$6,'Lookup Tables'!$Q$2:$Q$6,0),0)
  + _xlfn.IFS(BA131="Formal Board Committee",5, BA131="Board Oversight Mentioned",2, TRUE,0)
  + _xlfn.IFS(BB131="Yes — Quantified Targets",5, BB131="Yes — Discretionary Only",2, TRUE,0)
  + _xlfn.IFS(BC131="Reasonable Assurance",5, BC131="Limited Assurance",3, BC131="Management Review Only",1, TRUE,0)
))</f>
        <v>0</v>
      </c>
      <c r="BF131" s="5"/>
      <c r="BG131" s="5"/>
      <c r="BH131" s="5"/>
      <c r="BI131" s="5"/>
      <c r="BJ131" s="5"/>
      <c r="BK131" s="5"/>
      <c r="BL131" s="5"/>
      <c r="BM131" s="5"/>
      <c r="BN131" s="5"/>
      <c r="BO131" s="5"/>
      <c r="BP131" s="5"/>
      <c r="BQ131" s="5"/>
      <c r="BR131" s="5"/>
      <c r="BS131" s="41">
        <f t="array" ref="BS131">MIN(100, MAX(0,
  IFERROR(_xlfn.XLOOKUP(BG131,'Lookup Tables'!$A$11:$A$16,'Lookup Tables'!$B$11:$B$16,0),0)
  + IFERROR(_xlfn.XLOOKUP(BR131,'Lookup Tables'!$M$11:$M$14,'Lookup Tables'!$N$11:$N$14,0),0)
  + IFERROR(_xlfn.XLOOKUP(BQ131,'Lookup Tables'!$J$11:$J$15,'Lookup Tables'!$K$11:$K$15,0),0)
  + IFERROR(_xlfn.XLOOKUP(BH131,'Lookup Tables'!$D$11:$D$15,'Lookup Tables'!$E$11:$E$15,0),0)
  + IFERROR(_xlfn.XLOOKUP(BJ131,'Lookup Tables'!$G$11:$G$16,'Lookup Tables'!$H$11:$H$16,0),0)
  + IFERROR(_xlfn.XLOOKUP(BN131,'Lookup Tables'!$P$11:$P$15,'Lookup Tables'!$Q$11:$Q$15,0),0)
  + _xlfn.IFS(BM131="No Evidence",10, BM131="Unknown",3, BM131="Likely",0, BM131="Confirmed",-10, TRUE,3)
  + IFERROR(_xlfn.XLOOKUP(BP131,'Lookup Tables'!$J$21:$J$24,'Lookup Tables'!$K$21:$K$24,0),0)
))</f>
        <v>3</v>
      </c>
      <c r="BT131" s="5"/>
      <c r="BU131" s="5"/>
      <c r="BV131" s="5"/>
      <c r="BW131" s="5"/>
      <c r="BX131" s="5"/>
      <c r="BY131" s="5"/>
      <c r="BZ131" s="5"/>
      <c r="CA131" s="5"/>
      <c r="CB131" s="5"/>
      <c r="CC131" s="5"/>
      <c r="CD131" s="5"/>
      <c r="CE131" s="43">
        <f t="array" ref="CE131">MIN(100, MAX(0,
  IF(ISNUMBER(BV131)*AND(BV131&gt;0), 10, 0)
  + _xlfn.IFS(BY131="Independently Verified",25, BY131="Yes",15, TRUE,0)
  + IFERROR(_xlfn.XLOOKUP(BZ131,'Lookup Tables'!$A$21:$A$24,'Lookup Tables'!$B$21:$B$24,0),0)
  + IFERROR(_xlfn.XLOOKUP(CA131,'Lookup Tables'!$D$21:$D$24,'Lookup Tables'!$E$21:$E$24,0),0)
  + _xlfn.IFS(ISNUMBER(CB131)*AND(CB131&gt;=11),15, ISNUMBER(CB131)*AND(CB131&gt;=6),10, ISNUMBER(CB131)*AND(CB131&gt;=1),5, TRUE,0)
  + IFERROR(_xlfn.XLOOKUP(CC131,'Lookup Tables'!$G$21:$G$25,'Lookup Tables'!$H$21:$H$25,0),0)
  - IF(ISNUMBER(BW131)*AND(ISNUMBER(BV131))*AND(BW131&gt;BV131), 20, 0)
  - IF(AND(BY131="Yes", ISNUMBER(BW131), BW131&gt;60), 10, 0)
))</f>
        <v>0</v>
      </c>
      <c r="CF131" s="5"/>
      <c r="CG131" s="5"/>
      <c r="CH131" s="5"/>
      <c r="CI131" s="5"/>
      <c r="CJ131" s="5"/>
      <c r="CK131" s="5"/>
      <c r="CL131" s="5"/>
      <c r="CM131" s="5"/>
      <c r="CN131" s="5"/>
      <c r="CO131" s="5"/>
      <c r="CP131" s="5"/>
      <c r="CQ131" s="5"/>
      <c r="CR131" s="5">
        <f t="shared" si="90"/>
        <v>0</v>
      </c>
      <c r="CS131" s="5">
        <f t="shared" si="91"/>
        <v>0</v>
      </c>
      <c r="CT131" s="5">
        <f t="shared" si="92"/>
        <v>0</v>
      </c>
      <c r="CU131" s="5">
        <f>MIN(100,
  CR131*15
  + CS131*6
  + CT131*3
  + IFERROR(_xlfn.XLOOKUP(CW131,'Lookup Tables'!$M$21:$M$25,'Lookup Tables'!$N$21:$N$25,0),0)
)</f>
        <v>0</v>
      </c>
      <c r="CV131" s="5" t="str">
        <f t="shared" si="93"/>
        <v>No failures</v>
      </c>
      <c r="CW131" s="5"/>
      <c r="CX131" s="5"/>
      <c r="CY131" s="5"/>
      <c r="CZ131" s="5"/>
      <c r="DA131" s="5" t="str">
        <f t="shared" si="94"/>
        <v>Yes</v>
      </c>
      <c r="DB131" s="5" t="str">
        <f t="shared" si="95"/>
        <v>No</v>
      </c>
      <c r="DC131" s="5"/>
      <c r="DD131" s="5"/>
      <c r="DE131" s="5"/>
      <c r="DF131" s="5"/>
      <c r="DG131" s="5"/>
      <c r="DH131" s="5"/>
      <c r="DI131" s="5"/>
      <c r="DJ131" s="5"/>
      <c r="DK131" s="5"/>
      <c r="DL131" s="5" t="str">
        <f t="shared" si="96"/>
        <v>Clear</v>
      </c>
      <c r="DM131" s="5" t="str">
        <f t="shared" si="97"/>
        <v>Yes</v>
      </c>
      <c r="DN131" s="5">
        <f t="array" ref="DN131">MIN(100,
  IF(ISNUMBER(V131), _xlfn.IFS(V131&gt;=3,25, V131=2,15, V131=1,5, TRUE,0), 0)
  + IFERROR(_xlfn.IFS(VALUE(LEFT(DF131,1))=5,25, VALUE(LEFT(DF131,1))=4,20, VALUE(LEFT(DF131,1))=3,15, VALUE(LEFT(DF131,1))=2,8, TRUE,0), 15)
  + IFERROR(_xlfn.IFS(VALUE(LEFT(DG131,1))=5,25, VALUE(LEFT(DG131,1))=4,20, VALUE(LEFT(DG131,1))=3,15, VALUE(LEFT(DG131,1))=2,8, TRUE,0), 15)
  + _xlfn.IFS(DH131="Fully Verified",25, DH131="Partially Verified",12, TRUE,0)
)</f>
        <v>30</v>
      </c>
      <c r="DO131" s="5" t="str">
        <f t="array" ref="DO131">_xlfn.IFS(
  ISBLANK(AR131), "Insufficient Evidence",
  AND(AR131&gt;=65, AJ131="Approved"), "Strong",
  AR131&gt;=65, "Adequate",
  AR131&gt;=40, "Adequate",
  AR131&gt;=20, "Weak",
  TRUE, "Insufficient Evidence"
)</f>
        <v>Insufficient Evidence</v>
      </c>
      <c r="DP131" s="5" t="str">
        <f t="array" ref="DP131">_xlfn.IFS(
  ISBLANK(BS131), "Insufficient Evidence",
  BS131&gt;=65, "Strong",
  BS131&gt;=40, "Adequate",
  BS131&gt;=20, "Weak",
  TRUE, "Insufficient Evidence"
)</f>
        <v>Insufficient Evidence</v>
      </c>
      <c r="DQ131" s="5" t="str">
        <f t="array" ref="DQ131">_xlfn.IFS(
  ISBLANK(BE131), "Insufficient Evidence",
  OR(AW131="Confirmed Violation", AX131="Confirmed Breach"), "Severe — Hard Trigger",
  BE131&gt;=65, "Strong",
  BE131&gt;=40, "Adequate",
  BE131&gt;=20, "Weak",
  TRUE, "Insufficient Evidence"
)</f>
        <v>Insufficient Evidence</v>
      </c>
      <c r="DR131" s="5" t="str">
        <f t="array" ref="DR131">_xlfn.IFS(
  ISBLANK(CU131), "Insufficient Evidence",
  CU131&lt;=20, "Low Risk",
  CU131&lt;=50, "Moderate Risk",
  CU131&lt;=75, "High Risk",
  TRUE, "Very High Risk"
)</f>
        <v>Low Risk</v>
      </c>
      <c r="DS131" s="5" t="str">
        <f t="array" ref="DS131">_xlfn.IFS(
  ISBLANK(CE131), "Insufficient Evidence",
  AND(ISNUMBER(BW131),ISNUMBER(BV131),BW131&gt;BV131), "Overclaiming Risk",
  CE131&gt;=65, "Strong",
  CE131&gt;=40, "Adequate",
  TRUE, "Weak"
)</f>
        <v>Weak</v>
      </c>
      <c r="DT131" s="5">
        <f t="shared" si="98"/>
        <v>11.7</v>
      </c>
      <c r="DU131" s="5" t="str">
        <f t="array" ref="DU131">_xlfn.IFS(
  DV131="Upgraded to Clear", "Clear",
  DV131="Downgraded to Watchlist", "Watchlist",
  DV131="Downgraded to Exclusion", "Exclusion Risk",
  DB131="Yes — Automatic", "Exclusion Risk",
  OR(AW131="Confirmed Violation", AX131="Confirmed Breach"), "Exclusion Risk",
  OR(V131=0, ISBLANK(V131), DN131&lt;20), "Insufficient Evidence",
  AND(DT131&gt;=65, DA131="No", DB131="No"), "Clear",
  OR(DT131&gt;=40, DA131="Yes"), "Watchlist",
  TRUE, "Exclusion Risk"
)</f>
        <v>Insufficient Evidence</v>
      </c>
      <c r="DV131" s="5"/>
      <c r="DW131" s="5" t="str">
        <f t="array" ref="DW131">_xlfn.IFS(
  DU131="Exclusion Risk", "Exclude — Hard Trigger",
  DU131="Insufficient Evidence", "Watchlist — Further Evidence Needed",
  DU131="Watchlist", "Watchlist — Further Evidence Needed",
  AND(DU131="Clear", DT131&gt;=80), "Include — No Conditions",
  DU131="Clear", "Include — Monitor",
  TRUE, "Watchlist — Further Evidence Needed"
)</f>
        <v>Watchlist — Further Evidence Needed</v>
      </c>
      <c r="DX131" s="5"/>
      <c r="DY131" s="5"/>
      <c r="DZ131" s="5"/>
      <c r="EA131" s="5"/>
      <c r="EB131" s="5" t="str">
        <f t="shared" si="99"/>
        <v>MISSING — No sources reviewed</v>
      </c>
      <c r="EC131" s="5" t="str">
        <f t="shared" si="100"/>
        <v/>
      </c>
    </row>
    <row r="132" spans="1:133" ht="18" customHeight="1" x14ac:dyDescent="0.15">
      <c r="A132" s="5" t="s">
        <v>725</v>
      </c>
      <c r="B132" s="5" t="s">
        <v>726</v>
      </c>
      <c r="C132" s="5" t="str">
        <f>IF(ISBLANK('Universe Tracker'!D107),"",'Universe Tracker'!D107)</f>
        <v>CH0528751586</v>
      </c>
      <c r="D132" s="5"/>
      <c r="E132" s="5"/>
      <c r="F132" s="5" t="str">
        <f>IF(ISBLANK('Universe Tracker'!F107),"",'Universe Tracker'!F107)</f>
        <v>Financials</v>
      </c>
      <c r="G132" s="5" t="str">
        <f>IF(ISBLANK('Universe Tracker'!G107),"",'Universe Tracker'!G107)</f>
        <v>Financial Services</v>
      </c>
      <c r="H132" s="5"/>
      <c r="I132" s="5"/>
      <c r="J132" s="5" t="str">
        <f t="shared" si="88"/>
        <v>IHJN_CH0528751586</v>
      </c>
      <c r="K132" s="5"/>
      <c r="L132" s="5"/>
      <c r="M132" s="5"/>
      <c r="N132" s="5"/>
      <c r="O132" s="5"/>
      <c r="P132" s="5"/>
      <c r="Q132" s="5"/>
      <c r="R132" s="5"/>
      <c r="S132" s="5"/>
      <c r="T132" s="5"/>
      <c r="U132" s="5"/>
      <c r="V132" s="5"/>
      <c r="W132" s="5"/>
      <c r="X132" s="5"/>
      <c r="Y132" s="5" t="str">
        <f t="shared" si="89"/>
        <v>Insufficient</v>
      </c>
      <c r="Z132" s="5"/>
      <c r="AA132" s="5"/>
      <c r="AB132" s="5"/>
      <c r="AC132" s="5"/>
      <c r="AD132" s="5"/>
      <c r="AE132" s="5"/>
      <c r="AF132" s="5"/>
      <c r="AG132" s="5"/>
      <c r="AH132" s="5"/>
      <c r="AI132" s="5"/>
      <c r="AJ132" s="5"/>
      <c r="AK132" s="5"/>
      <c r="AL132" s="5"/>
      <c r="AM132" s="5"/>
      <c r="AN132" s="5"/>
      <c r="AO132" s="5"/>
      <c r="AP132" s="5"/>
      <c r="AQ132" s="5"/>
      <c r="AR132" s="40">
        <f t="array" ref="AR132">MIN(100, MAX(0,
  IFERROR(_xlfn.XLOOKUP(AJ132,'Lookup Tables'!$A$2:$A$7,'Lookup Tables'!$B$2:$B$7,0),0)
  + IF(Z132="Yes", IF(IFERROR(_xlfn.XLOOKUP(AJ132,'Lookup Tables'!$A$2:$A$7,'Lookup Tables'!$B$2:$B$7,0),0)&lt;20, 5, 0), 0)
  + _xlfn.IFS(AB132="Yes", IF(ISNUMBER(AC132)*AND(AC132&lt;=2030),15,10), AB132="Long-term Only", 5, AB132="No", 0, TRUE, 0)
  + _xlfn.IFS(AF132="Full",10, AF132="Partial",5, AF132="Scope 2 Only",3, TRUE,0)
  + _xlfn.IFS(AG132="Yes", IF(ISNUMBER(AH132)*AND(AH132&gt;=5),10,6), AG132="Partial",4, TRUE,0)
  + _xlfn.IFS(AI132="Yes",5, AI132="Partial (material categories only)",3, TRUE,0)
  + _xlfn.IFS(AL132="Yes — Detailed",10, AL132="Yes — High Level",5, TRUE,0)
  + _xlfn.IFS(AM132="Yes — Quantified",15, AM132="Yes — Directional Only",7, TRUE,0)
  + _xlfn.IFS(AP132="Formal",5, AP132="Referenced",2, TRUE,0)
  + _xlfn.IFS(AQ132="No Issues Found",5, AQ132="Concern Identified",-5, AQ132="Severe Contradiction",-15, TRUE,0)
  + _xlfn.IFS(BC132="Reasonable Assurance",5, BC132="Limited Assurance",3, TRUE,0)
  - IF(AND(Z132="Yes", AI132="No"), 10, 0)
  - IF(AND(Z132="Yes", AM132="No"), 10, 0)
))</f>
        <v>0</v>
      </c>
      <c r="AS132" s="5"/>
      <c r="AT132" s="5"/>
      <c r="AU132" s="5"/>
      <c r="AV132" s="5"/>
      <c r="AW132" s="5"/>
      <c r="AX132" s="5"/>
      <c r="AY132" s="5"/>
      <c r="AZ132" s="5"/>
      <c r="BA132" s="5"/>
      <c r="BB132" s="5"/>
      <c r="BC132" s="5"/>
      <c r="BD132" s="5"/>
      <c r="BE132" s="39">
        <f t="array" ref="BE132">MIN(100, MAX(0,
  IFERROR(_xlfn.XLOOKUP(AT132,'Lookup Tables'!$D$2:$D$6,'Lookup Tables'!$E$2:$E$6,0),0)
  + IFERROR(_xlfn.XLOOKUP(AV132,'Lookup Tables'!$G$2:$G$5,'Lookup Tables'!$H$2:$H$5,0),0)
  + IFERROR(_xlfn.XLOOKUP(AW132,'Lookup Tables'!$J$2:$J$5,'Lookup Tables'!$K$2:$K$5,0),0)
  + _xlfn.IFS(AX132="No Issues",10, AX132="Complaint Filed",3, AX132="Confirmed Breach",-15, TRUE,0)
  + IFERROR(_xlfn.XLOOKUP(AY132,'Lookup Tables'!$M$2:$M$6,'Lookup Tables'!$N$2:$N$6,0),0)
  + IFERROR(_xlfn.XLOOKUP(AZ132,'Lookup Tables'!$P$2:$P$6,'Lookup Tables'!$Q$2:$Q$6,0),0)
  + _xlfn.IFS(BA132="Formal Board Committee",5, BA132="Board Oversight Mentioned",2, TRUE,0)
  + _xlfn.IFS(BB132="Yes — Quantified Targets",5, BB132="Yes — Discretionary Only",2, TRUE,0)
  + _xlfn.IFS(BC132="Reasonable Assurance",5, BC132="Limited Assurance",3, BC132="Management Review Only",1, TRUE,0)
))</f>
        <v>0</v>
      </c>
      <c r="BF132" s="5"/>
      <c r="BG132" s="5"/>
      <c r="BH132" s="5"/>
      <c r="BI132" s="5"/>
      <c r="BJ132" s="5"/>
      <c r="BK132" s="5"/>
      <c r="BL132" s="5"/>
      <c r="BM132" s="5"/>
      <c r="BN132" s="5"/>
      <c r="BO132" s="5"/>
      <c r="BP132" s="5"/>
      <c r="BQ132" s="5"/>
      <c r="BR132" s="5"/>
      <c r="BS132" s="41">
        <f t="array" ref="BS132">MIN(100, MAX(0,
  IFERROR(_xlfn.XLOOKUP(BG132,'Lookup Tables'!$A$11:$A$16,'Lookup Tables'!$B$11:$B$16,0),0)
  + IFERROR(_xlfn.XLOOKUP(BR132,'Lookup Tables'!$M$11:$M$14,'Lookup Tables'!$N$11:$N$14,0),0)
  + IFERROR(_xlfn.XLOOKUP(BQ132,'Lookup Tables'!$J$11:$J$15,'Lookup Tables'!$K$11:$K$15,0),0)
  + IFERROR(_xlfn.XLOOKUP(BH132,'Lookup Tables'!$D$11:$D$15,'Lookup Tables'!$E$11:$E$15,0),0)
  + IFERROR(_xlfn.XLOOKUP(BJ132,'Lookup Tables'!$G$11:$G$16,'Lookup Tables'!$H$11:$H$16,0),0)
  + IFERROR(_xlfn.XLOOKUP(BN132,'Lookup Tables'!$P$11:$P$15,'Lookup Tables'!$Q$11:$Q$15,0),0)
  + _xlfn.IFS(BM132="No Evidence",10, BM132="Unknown",3, BM132="Likely",0, BM132="Confirmed",-10, TRUE,3)
  + IFERROR(_xlfn.XLOOKUP(BP132,'Lookup Tables'!$J$21:$J$24,'Lookup Tables'!$K$21:$K$24,0),0)
))</f>
        <v>3</v>
      </c>
      <c r="BT132" s="5"/>
      <c r="BU132" s="5"/>
      <c r="BV132" s="5"/>
      <c r="BW132" s="5"/>
      <c r="BX132" s="5"/>
      <c r="BY132" s="5"/>
      <c r="BZ132" s="5"/>
      <c r="CA132" s="5"/>
      <c r="CB132" s="5"/>
      <c r="CC132" s="5"/>
      <c r="CD132" s="5"/>
      <c r="CE132" s="43">
        <f t="array" ref="CE132">MIN(100, MAX(0,
  IF(ISNUMBER(BV132)*AND(BV132&gt;0), 10, 0)
  + _xlfn.IFS(BY132="Independently Verified",25, BY132="Yes",15, TRUE,0)
  + IFERROR(_xlfn.XLOOKUP(BZ132,'Lookup Tables'!$A$21:$A$24,'Lookup Tables'!$B$21:$B$24,0),0)
  + IFERROR(_xlfn.XLOOKUP(CA132,'Lookup Tables'!$D$21:$D$24,'Lookup Tables'!$E$21:$E$24,0),0)
  + _xlfn.IFS(ISNUMBER(CB132)*AND(CB132&gt;=11),15, ISNUMBER(CB132)*AND(CB132&gt;=6),10, ISNUMBER(CB132)*AND(CB132&gt;=1),5, TRUE,0)
  + IFERROR(_xlfn.XLOOKUP(CC132,'Lookup Tables'!$G$21:$G$25,'Lookup Tables'!$H$21:$H$25,0),0)
  - IF(ISNUMBER(BW132)*AND(ISNUMBER(BV132))*AND(BW132&gt;BV132), 20, 0)
  - IF(AND(BY132="Yes", ISNUMBER(BW132), BW132&gt;60), 10, 0)
))</f>
        <v>0</v>
      </c>
      <c r="CF132" s="5"/>
      <c r="CG132" s="5"/>
      <c r="CH132" s="5"/>
      <c r="CI132" s="5"/>
      <c r="CJ132" s="5"/>
      <c r="CK132" s="5"/>
      <c r="CL132" s="5"/>
      <c r="CM132" s="5"/>
      <c r="CN132" s="5"/>
      <c r="CO132" s="5"/>
      <c r="CP132" s="5"/>
      <c r="CQ132" s="5"/>
      <c r="CR132" s="5">
        <f t="shared" si="90"/>
        <v>0</v>
      </c>
      <c r="CS132" s="5">
        <f t="shared" si="91"/>
        <v>0</v>
      </c>
      <c r="CT132" s="5">
        <f t="shared" si="92"/>
        <v>0</v>
      </c>
      <c r="CU132" s="5">
        <f>MIN(100,
  CR132*15
  + CS132*6
  + CT132*3
  + IFERROR(_xlfn.XLOOKUP(CW132,'Lookup Tables'!$M$21:$M$25,'Lookup Tables'!$N$21:$N$25,0),0)
)</f>
        <v>0</v>
      </c>
      <c r="CV132" s="5" t="str">
        <f t="shared" si="93"/>
        <v>No failures</v>
      </c>
      <c r="CW132" s="5"/>
      <c r="CX132" s="5"/>
      <c r="CY132" s="5"/>
      <c r="CZ132" s="5"/>
      <c r="DA132" s="5" t="str">
        <f t="shared" si="94"/>
        <v>Yes</v>
      </c>
      <c r="DB132" s="5" t="str">
        <f t="shared" si="95"/>
        <v>No</v>
      </c>
      <c r="DC132" s="5"/>
      <c r="DD132" s="5"/>
      <c r="DE132" s="5"/>
      <c r="DF132" s="5"/>
      <c r="DG132" s="5"/>
      <c r="DH132" s="5"/>
      <c r="DI132" s="5"/>
      <c r="DJ132" s="5"/>
      <c r="DK132" s="5"/>
      <c r="DL132" s="5" t="str">
        <f t="shared" si="96"/>
        <v>Clear</v>
      </c>
      <c r="DM132" s="5" t="str">
        <f t="shared" si="97"/>
        <v>Yes</v>
      </c>
      <c r="DN132" s="5">
        <f t="array" ref="DN132">MIN(100,
  IF(ISNUMBER(V132), _xlfn.IFS(V132&gt;=3,25, V132=2,15, V132=1,5, TRUE,0), 0)
  + IFERROR(_xlfn.IFS(VALUE(LEFT(DF132,1))=5,25, VALUE(LEFT(DF132,1))=4,20, VALUE(LEFT(DF132,1))=3,15, VALUE(LEFT(DF132,1))=2,8, TRUE,0), 15)
  + IFERROR(_xlfn.IFS(VALUE(LEFT(DG132,1))=5,25, VALUE(LEFT(DG132,1))=4,20, VALUE(LEFT(DG132,1))=3,15, VALUE(LEFT(DG132,1))=2,8, TRUE,0), 15)
  + _xlfn.IFS(DH132="Fully Verified",25, DH132="Partially Verified",12, TRUE,0)
)</f>
        <v>30</v>
      </c>
      <c r="DO132" s="5" t="str">
        <f t="array" ref="DO132">_xlfn.IFS(
  ISBLANK(AR132), "Insufficient Evidence",
  AND(AR132&gt;=65, AJ132="Approved"), "Strong",
  AR132&gt;=65, "Adequate",
  AR132&gt;=40, "Adequate",
  AR132&gt;=20, "Weak",
  TRUE, "Insufficient Evidence"
)</f>
        <v>Insufficient Evidence</v>
      </c>
      <c r="DP132" s="5" t="str">
        <f t="array" ref="DP132">_xlfn.IFS(
  ISBLANK(BS132), "Insufficient Evidence",
  BS132&gt;=65, "Strong",
  BS132&gt;=40, "Adequate",
  BS132&gt;=20, "Weak",
  TRUE, "Insufficient Evidence"
)</f>
        <v>Insufficient Evidence</v>
      </c>
      <c r="DQ132" s="5" t="str">
        <f t="array" ref="DQ132">_xlfn.IFS(
  ISBLANK(BE132), "Insufficient Evidence",
  OR(AW132="Confirmed Violation", AX132="Confirmed Breach"), "Severe — Hard Trigger",
  BE132&gt;=65, "Strong",
  BE132&gt;=40, "Adequate",
  BE132&gt;=20, "Weak",
  TRUE, "Insufficient Evidence"
)</f>
        <v>Insufficient Evidence</v>
      </c>
      <c r="DR132" s="5" t="str">
        <f t="array" ref="DR132">_xlfn.IFS(
  ISBLANK(CU132), "Insufficient Evidence",
  CU132&lt;=20, "Low Risk",
  CU132&lt;=50, "Moderate Risk",
  CU132&lt;=75, "High Risk",
  TRUE, "Very High Risk"
)</f>
        <v>Low Risk</v>
      </c>
      <c r="DS132" s="5" t="str">
        <f t="array" ref="DS132">_xlfn.IFS(
  ISBLANK(CE132), "Insufficient Evidence",
  AND(ISNUMBER(BW132),ISNUMBER(BV132),BW132&gt;BV132), "Overclaiming Risk",
  CE132&gt;=65, "Strong",
  CE132&gt;=40, "Adequate",
  TRUE, "Weak"
)</f>
        <v>Weak</v>
      </c>
      <c r="DT132" s="5">
        <f t="shared" si="98"/>
        <v>11.7</v>
      </c>
      <c r="DU132" s="5" t="str">
        <f t="array" ref="DU132">_xlfn.IFS(
  DV132="Upgraded to Clear", "Clear",
  DV132="Downgraded to Watchlist", "Watchlist",
  DV132="Downgraded to Exclusion", "Exclusion Risk",
  DB132="Yes — Automatic", "Exclusion Risk",
  OR(AW132="Confirmed Violation", AX132="Confirmed Breach"), "Exclusion Risk",
  OR(V132=0, ISBLANK(V132), DN132&lt;20), "Insufficient Evidence",
  AND(DT132&gt;=65, DA132="No", DB132="No"), "Clear",
  OR(DT132&gt;=40, DA132="Yes"), "Watchlist",
  TRUE, "Exclusion Risk"
)</f>
        <v>Insufficient Evidence</v>
      </c>
      <c r="DV132" s="5"/>
      <c r="DW132" s="5" t="str">
        <f t="array" ref="DW132">_xlfn.IFS(
  DU132="Exclusion Risk", "Exclude — Hard Trigger",
  DU132="Insufficient Evidence", "Watchlist — Further Evidence Needed",
  DU132="Watchlist", "Watchlist — Further Evidence Needed",
  AND(DU132="Clear", DT132&gt;=80), "Include — No Conditions",
  DU132="Clear", "Include — Monitor",
  TRUE, "Watchlist — Further Evidence Needed"
)</f>
        <v>Watchlist — Further Evidence Needed</v>
      </c>
      <c r="DX132" s="5"/>
      <c r="DY132" s="5"/>
      <c r="DZ132" s="5"/>
      <c r="EA132" s="5"/>
      <c r="EB132" s="5" t="str">
        <f t="shared" si="99"/>
        <v>MISSING — No sources reviewed</v>
      </c>
      <c r="EC132" s="5" t="str">
        <f t="shared" si="100"/>
        <v/>
      </c>
    </row>
    <row r="133" spans="1:133" ht="18" customHeight="1" x14ac:dyDescent="0.15">
      <c r="A133" s="5" t="s">
        <v>729</v>
      </c>
      <c r="B133" s="5" t="s">
        <v>730</v>
      </c>
      <c r="C133" s="5" t="str">
        <f>IF(ISBLANK('Universe Tracker'!D108),"",'Universe Tracker'!D108)</f>
        <v>CH0244767585</v>
      </c>
      <c r="D133" s="5"/>
      <c r="E133" s="5"/>
      <c r="F133" s="5" t="str">
        <f>IF(ISBLANK('Universe Tracker'!F108),"",'Universe Tracker'!F108)</f>
        <v>Financials</v>
      </c>
      <c r="G133" s="5" t="str">
        <f>IF(ISBLANK('Universe Tracker'!G108),"",'Universe Tracker'!G108)</f>
        <v>Financial Services</v>
      </c>
      <c r="H133" s="5"/>
      <c r="I133" s="5"/>
      <c r="J133" s="5" t="str">
        <f t="shared" si="88"/>
        <v>0UB_CH0244767585</v>
      </c>
      <c r="K133" s="5"/>
      <c r="L133" s="5"/>
      <c r="M133" s="5"/>
      <c r="N133" s="5"/>
      <c r="O133" s="5"/>
      <c r="P133" s="5"/>
      <c r="Q133" s="5"/>
      <c r="R133" s="5"/>
      <c r="S133" s="5"/>
      <c r="T133" s="5"/>
      <c r="U133" s="5"/>
      <c r="V133" s="5"/>
      <c r="W133" s="5"/>
      <c r="X133" s="5"/>
      <c r="Y133" s="5" t="str">
        <f t="shared" si="89"/>
        <v>Insufficient</v>
      </c>
      <c r="Z133" s="5"/>
      <c r="AA133" s="5"/>
      <c r="AB133" s="5"/>
      <c r="AC133" s="5"/>
      <c r="AD133" s="5"/>
      <c r="AE133" s="5"/>
      <c r="AF133" s="5"/>
      <c r="AG133" s="5"/>
      <c r="AH133" s="5"/>
      <c r="AI133" s="5"/>
      <c r="AJ133" s="5"/>
      <c r="AK133" s="5"/>
      <c r="AL133" s="5"/>
      <c r="AM133" s="5"/>
      <c r="AN133" s="5"/>
      <c r="AO133" s="5"/>
      <c r="AP133" s="5"/>
      <c r="AQ133" s="5"/>
      <c r="AR133" s="40">
        <f t="array" ref="AR133">MIN(100, MAX(0,
  IFERROR(_xlfn.XLOOKUP(AJ133,'Lookup Tables'!$A$2:$A$7,'Lookup Tables'!$B$2:$B$7,0),0)
  + IF(Z133="Yes", IF(IFERROR(_xlfn.XLOOKUP(AJ133,'Lookup Tables'!$A$2:$A$7,'Lookup Tables'!$B$2:$B$7,0),0)&lt;20, 5, 0), 0)
  + _xlfn.IFS(AB133="Yes", IF(ISNUMBER(AC133)*AND(AC133&lt;=2030),15,10), AB133="Long-term Only", 5, AB133="No", 0, TRUE, 0)
  + _xlfn.IFS(AF133="Full",10, AF133="Partial",5, AF133="Scope 2 Only",3, TRUE,0)
  + _xlfn.IFS(AG133="Yes", IF(ISNUMBER(AH133)*AND(AH133&gt;=5),10,6), AG133="Partial",4, TRUE,0)
  + _xlfn.IFS(AI133="Yes",5, AI133="Partial (material categories only)",3, TRUE,0)
  + _xlfn.IFS(AL133="Yes — Detailed",10, AL133="Yes — High Level",5, TRUE,0)
  + _xlfn.IFS(AM133="Yes — Quantified",15, AM133="Yes — Directional Only",7, TRUE,0)
  + _xlfn.IFS(AP133="Formal",5, AP133="Referenced",2, TRUE,0)
  + _xlfn.IFS(AQ133="No Issues Found",5, AQ133="Concern Identified",-5, AQ133="Severe Contradiction",-15, TRUE,0)
  + _xlfn.IFS(BC133="Reasonable Assurance",5, BC133="Limited Assurance",3, TRUE,0)
  - IF(AND(Z133="Yes", AI133="No"), 10, 0)
  - IF(AND(Z133="Yes", AM133="No"), 10, 0)
))</f>
        <v>0</v>
      </c>
      <c r="AS133" s="5"/>
      <c r="AT133" s="5"/>
      <c r="AU133" s="5"/>
      <c r="AV133" s="5"/>
      <c r="AW133" s="5"/>
      <c r="AX133" s="5"/>
      <c r="AY133" s="5"/>
      <c r="AZ133" s="5"/>
      <c r="BA133" s="5"/>
      <c r="BB133" s="5"/>
      <c r="BC133" s="5"/>
      <c r="BD133" s="5"/>
      <c r="BE133" s="39">
        <f t="array" ref="BE133">MIN(100, MAX(0,
  IFERROR(_xlfn.XLOOKUP(AT133,'Lookup Tables'!$D$2:$D$6,'Lookup Tables'!$E$2:$E$6,0),0)
  + IFERROR(_xlfn.XLOOKUP(AV133,'Lookup Tables'!$G$2:$G$5,'Lookup Tables'!$H$2:$H$5,0),0)
  + IFERROR(_xlfn.XLOOKUP(AW133,'Lookup Tables'!$J$2:$J$5,'Lookup Tables'!$K$2:$K$5,0),0)
  + _xlfn.IFS(AX133="No Issues",10, AX133="Complaint Filed",3, AX133="Confirmed Breach",-15, TRUE,0)
  + IFERROR(_xlfn.XLOOKUP(AY133,'Lookup Tables'!$M$2:$M$6,'Lookup Tables'!$N$2:$N$6,0),0)
  + IFERROR(_xlfn.XLOOKUP(AZ133,'Lookup Tables'!$P$2:$P$6,'Lookup Tables'!$Q$2:$Q$6,0),0)
  + _xlfn.IFS(BA133="Formal Board Committee",5, BA133="Board Oversight Mentioned",2, TRUE,0)
  + _xlfn.IFS(BB133="Yes — Quantified Targets",5, BB133="Yes — Discretionary Only",2, TRUE,0)
  + _xlfn.IFS(BC133="Reasonable Assurance",5, BC133="Limited Assurance",3, BC133="Management Review Only",1, TRUE,0)
))</f>
        <v>0</v>
      </c>
      <c r="BF133" s="5"/>
      <c r="BG133" s="5"/>
      <c r="BH133" s="5"/>
      <c r="BI133" s="5"/>
      <c r="BJ133" s="5"/>
      <c r="BK133" s="5"/>
      <c r="BL133" s="5"/>
      <c r="BM133" s="5"/>
      <c r="BN133" s="5"/>
      <c r="BO133" s="5"/>
      <c r="BP133" s="5"/>
      <c r="BQ133" s="5"/>
      <c r="BR133" s="5"/>
      <c r="BS133" s="41">
        <f t="array" ref="BS133">MIN(100, MAX(0,
  IFERROR(_xlfn.XLOOKUP(BG133,'Lookup Tables'!$A$11:$A$16,'Lookup Tables'!$B$11:$B$16,0),0)
  + IFERROR(_xlfn.XLOOKUP(BR133,'Lookup Tables'!$M$11:$M$14,'Lookup Tables'!$N$11:$N$14,0),0)
  + IFERROR(_xlfn.XLOOKUP(BQ133,'Lookup Tables'!$J$11:$J$15,'Lookup Tables'!$K$11:$K$15,0),0)
  + IFERROR(_xlfn.XLOOKUP(BH133,'Lookup Tables'!$D$11:$D$15,'Lookup Tables'!$E$11:$E$15,0),0)
  + IFERROR(_xlfn.XLOOKUP(BJ133,'Lookup Tables'!$G$11:$G$16,'Lookup Tables'!$H$11:$H$16,0),0)
  + IFERROR(_xlfn.XLOOKUP(BN133,'Lookup Tables'!$P$11:$P$15,'Lookup Tables'!$Q$11:$Q$15,0),0)
  + _xlfn.IFS(BM133="No Evidence",10, BM133="Unknown",3, BM133="Likely",0, BM133="Confirmed",-10, TRUE,3)
  + IFERROR(_xlfn.XLOOKUP(BP133,'Lookup Tables'!$J$21:$J$24,'Lookup Tables'!$K$21:$K$24,0),0)
))</f>
        <v>3</v>
      </c>
      <c r="BT133" s="5"/>
      <c r="BU133" s="5"/>
      <c r="BV133" s="5"/>
      <c r="BW133" s="5"/>
      <c r="BX133" s="5"/>
      <c r="BY133" s="5"/>
      <c r="BZ133" s="5"/>
      <c r="CA133" s="5"/>
      <c r="CB133" s="5"/>
      <c r="CC133" s="5"/>
      <c r="CD133" s="5"/>
      <c r="CE133" s="43">
        <f t="array" ref="CE133">MIN(100, MAX(0,
  IF(ISNUMBER(BV133)*AND(BV133&gt;0), 10, 0)
  + _xlfn.IFS(BY133="Independently Verified",25, BY133="Yes",15, TRUE,0)
  + IFERROR(_xlfn.XLOOKUP(BZ133,'Lookup Tables'!$A$21:$A$24,'Lookup Tables'!$B$21:$B$24,0),0)
  + IFERROR(_xlfn.XLOOKUP(CA133,'Lookup Tables'!$D$21:$D$24,'Lookup Tables'!$E$21:$E$24,0),0)
  + _xlfn.IFS(ISNUMBER(CB133)*AND(CB133&gt;=11),15, ISNUMBER(CB133)*AND(CB133&gt;=6),10, ISNUMBER(CB133)*AND(CB133&gt;=1),5, TRUE,0)
  + IFERROR(_xlfn.XLOOKUP(CC133,'Lookup Tables'!$G$21:$G$25,'Lookup Tables'!$H$21:$H$25,0),0)
  - IF(ISNUMBER(BW133)*AND(ISNUMBER(BV133))*AND(BW133&gt;BV133), 20, 0)
  - IF(AND(BY133="Yes", ISNUMBER(BW133), BW133&gt;60), 10, 0)
))</f>
        <v>0</v>
      </c>
      <c r="CF133" s="5"/>
      <c r="CG133" s="5"/>
      <c r="CH133" s="5"/>
      <c r="CI133" s="5"/>
      <c r="CJ133" s="5"/>
      <c r="CK133" s="5"/>
      <c r="CL133" s="5"/>
      <c r="CM133" s="5"/>
      <c r="CN133" s="5"/>
      <c r="CO133" s="5"/>
      <c r="CP133" s="5"/>
      <c r="CQ133" s="5"/>
      <c r="CR133" s="5">
        <f t="shared" si="90"/>
        <v>0</v>
      </c>
      <c r="CS133" s="5">
        <f t="shared" si="91"/>
        <v>0</v>
      </c>
      <c r="CT133" s="5">
        <f t="shared" si="92"/>
        <v>0</v>
      </c>
      <c r="CU133" s="5">
        <f>MIN(100,
  CR133*15
  + CS133*6
  + CT133*3
  + IFERROR(_xlfn.XLOOKUP(CW133,'Lookup Tables'!$M$21:$M$25,'Lookup Tables'!$N$21:$N$25,0),0)
)</f>
        <v>0</v>
      </c>
      <c r="CV133" s="5" t="str">
        <f t="shared" si="93"/>
        <v>No failures</v>
      </c>
      <c r="CW133" s="5"/>
      <c r="CX133" s="5"/>
      <c r="CY133" s="5"/>
      <c r="CZ133" s="5"/>
      <c r="DA133" s="5" t="str">
        <f t="shared" si="94"/>
        <v>Yes</v>
      </c>
      <c r="DB133" s="5" t="str">
        <f t="shared" si="95"/>
        <v>No</v>
      </c>
      <c r="DC133" s="5"/>
      <c r="DD133" s="5"/>
      <c r="DE133" s="5"/>
      <c r="DF133" s="5"/>
      <c r="DG133" s="5"/>
      <c r="DH133" s="5"/>
      <c r="DI133" s="5"/>
      <c r="DJ133" s="5"/>
      <c r="DK133" s="5"/>
      <c r="DL133" s="5" t="str">
        <f t="shared" si="96"/>
        <v>Clear</v>
      </c>
      <c r="DM133" s="5" t="str">
        <f t="shared" si="97"/>
        <v>Yes</v>
      </c>
      <c r="DN133" s="5">
        <f t="array" ref="DN133">MIN(100,
  IF(ISNUMBER(V133), _xlfn.IFS(V133&gt;=3,25, V133=2,15, V133=1,5, TRUE,0), 0)
  + IFERROR(_xlfn.IFS(VALUE(LEFT(DF133,1))=5,25, VALUE(LEFT(DF133,1))=4,20, VALUE(LEFT(DF133,1))=3,15, VALUE(LEFT(DF133,1))=2,8, TRUE,0), 15)
  + IFERROR(_xlfn.IFS(VALUE(LEFT(DG133,1))=5,25, VALUE(LEFT(DG133,1))=4,20, VALUE(LEFT(DG133,1))=3,15, VALUE(LEFT(DG133,1))=2,8, TRUE,0), 15)
  + _xlfn.IFS(DH133="Fully Verified",25, DH133="Partially Verified",12, TRUE,0)
)</f>
        <v>30</v>
      </c>
      <c r="DO133" s="5" t="str">
        <f t="array" ref="DO133">_xlfn.IFS(
  ISBLANK(AR133), "Insufficient Evidence",
  AND(AR133&gt;=65, AJ133="Approved"), "Strong",
  AR133&gt;=65, "Adequate",
  AR133&gt;=40, "Adequate",
  AR133&gt;=20, "Weak",
  TRUE, "Insufficient Evidence"
)</f>
        <v>Insufficient Evidence</v>
      </c>
      <c r="DP133" s="5" t="str">
        <f t="array" ref="DP133">_xlfn.IFS(
  ISBLANK(BS133), "Insufficient Evidence",
  BS133&gt;=65, "Strong",
  BS133&gt;=40, "Adequate",
  BS133&gt;=20, "Weak",
  TRUE, "Insufficient Evidence"
)</f>
        <v>Insufficient Evidence</v>
      </c>
      <c r="DQ133" s="5" t="str">
        <f t="array" ref="DQ133">_xlfn.IFS(
  ISBLANK(BE133), "Insufficient Evidence",
  OR(AW133="Confirmed Violation", AX133="Confirmed Breach"), "Severe — Hard Trigger",
  BE133&gt;=65, "Strong",
  BE133&gt;=40, "Adequate",
  BE133&gt;=20, "Weak",
  TRUE, "Insufficient Evidence"
)</f>
        <v>Insufficient Evidence</v>
      </c>
      <c r="DR133" s="5" t="str">
        <f t="array" ref="DR133">_xlfn.IFS(
  ISBLANK(CU133), "Insufficient Evidence",
  CU133&lt;=20, "Low Risk",
  CU133&lt;=50, "Moderate Risk",
  CU133&lt;=75, "High Risk",
  TRUE, "Very High Risk"
)</f>
        <v>Low Risk</v>
      </c>
      <c r="DS133" s="5" t="str">
        <f t="array" ref="DS133">_xlfn.IFS(
  ISBLANK(CE133), "Insufficient Evidence",
  AND(ISNUMBER(BW133),ISNUMBER(BV133),BW133&gt;BV133), "Overclaiming Risk",
  CE133&gt;=65, "Strong",
  CE133&gt;=40, "Adequate",
  TRUE, "Weak"
)</f>
        <v>Weak</v>
      </c>
      <c r="DT133" s="5">
        <f t="shared" si="98"/>
        <v>11.7</v>
      </c>
      <c r="DU133" s="5" t="str">
        <f t="array" ref="DU133">_xlfn.IFS(
  DV133="Upgraded to Clear", "Clear",
  DV133="Downgraded to Watchlist", "Watchlist",
  DV133="Downgraded to Exclusion", "Exclusion Risk",
  DB133="Yes — Automatic", "Exclusion Risk",
  OR(AW133="Confirmed Violation", AX133="Confirmed Breach"), "Exclusion Risk",
  OR(V133=0, ISBLANK(V133), DN133&lt;20), "Insufficient Evidence",
  AND(DT133&gt;=65, DA133="No", DB133="No"), "Clear",
  OR(DT133&gt;=40, DA133="Yes"), "Watchlist",
  TRUE, "Exclusion Risk"
)</f>
        <v>Insufficient Evidence</v>
      </c>
      <c r="DV133" s="5"/>
      <c r="DW133" s="5" t="str">
        <f t="array" ref="DW133">_xlfn.IFS(
  DU133="Exclusion Risk", "Exclude — Hard Trigger",
  DU133="Insufficient Evidence", "Watchlist — Further Evidence Needed",
  DU133="Watchlist", "Watchlist — Further Evidence Needed",
  AND(DU133="Clear", DT133&gt;=80), "Include — No Conditions",
  DU133="Clear", "Include — Monitor",
  TRUE, "Watchlist — Further Evidence Needed"
)</f>
        <v>Watchlist — Further Evidence Needed</v>
      </c>
      <c r="DX133" s="5"/>
      <c r="DY133" s="5"/>
      <c r="DZ133" s="5"/>
      <c r="EA133" s="5"/>
      <c r="EB133" s="5" t="str">
        <f t="shared" si="99"/>
        <v>MISSING — No sources reviewed</v>
      </c>
      <c r="EC133" s="5" t="str">
        <f t="shared" si="100"/>
        <v/>
      </c>
    </row>
    <row r="134" spans="1:133" ht="18" customHeight="1" x14ac:dyDescent="0.15">
      <c r="A134" s="5" t="s">
        <v>733</v>
      </c>
      <c r="B134" s="5" t="s">
        <v>734</v>
      </c>
      <c r="C134" s="5" t="str">
        <f>IF(ISBLANK('Universe Tracker'!D109),"",'Universe Tracker'!D109)</f>
        <v>GB0000456144</v>
      </c>
      <c r="D134" s="5"/>
      <c r="E134" s="5"/>
      <c r="F134" s="5" t="str">
        <f>IF(ISBLANK('Universe Tracker'!F109),"",'Universe Tracker'!F109)</f>
        <v>Materials</v>
      </c>
      <c r="G134" s="5" t="str">
        <f>IF(ISBLANK('Universe Tracker'!G109),"",'Universe Tracker'!G109)</f>
        <v>Materials</v>
      </c>
      <c r="H134" s="5"/>
      <c r="I134" s="5"/>
      <c r="J134" s="5" t="str">
        <f t="shared" si="88"/>
        <v>FG1_GB0000456144</v>
      </c>
      <c r="K134" s="5"/>
      <c r="L134" s="5"/>
      <c r="M134" s="5"/>
      <c r="N134" s="5"/>
      <c r="O134" s="5"/>
      <c r="P134" s="5"/>
      <c r="Q134" s="5"/>
      <c r="R134" s="5"/>
      <c r="S134" s="5"/>
      <c r="T134" s="5"/>
      <c r="U134" s="5"/>
      <c r="V134" s="5"/>
      <c r="W134" s="5"/>
      <c r="X134" s="5"/>
      <c r="Y134" s="5" t="str">
        <f t="shared" si="89"/>
        <v>Insufficient</v>
      </c>
      <c r="Z134" s="5"/>
      <c r="AA134" s="5"/>
      <c r="AB134" s="5"/>
      <c r="AC134" s="5"/>
      <c r="AD134" s="5"/>
      <c r="AE134" s="5"/>
      <c r="AF134" s="5"/>
      <c r="AG134" s="5"/>
      <c r="AH134" s="5"/>
      <c r="AI134" s="5"/>
      <c r="AJ134" s="5"/>
      <c r="AK134" s="5"/>
      <c r="AL134" s="5"/>
      <c r="AM134" s="5"/>
      <c r="AN134" s="5"/>
      <c r="AO134" s="5"/>
      <c r="AP134" s="5"/>
      <c r="AQ134" s="5"/>
      <c r="AR134" s="40">
        <f t="array" ref="AR134">MIN(100, MAX(0,
  IFERROR(_xlfn.XLOOKUP(AJ134,'Lookup Tables'!$A$2:$A$7,'Lookup Tables'!$B$2:$B$7,0),0)
  + IF(Z134="Yes", IF(IFERROR(_xlfn.XLOOKUP(AJ134,'Lookup Tables'!$A$2:$A$7,'Lookup Tables'!$B$2:$B$7,0),0)&lt;20, 5, 0), 0)
  + _xlfn.IFS(AB134="Yes", IF(ISNUMBER(AC134)*AND(AC134&lt;=2030),15,10), AB134="Long-term Only", 5, AB134="No", 0, TRUE, 0)
  + _xlfn.IFS(AF134="Full",10, AF134="Partial",5, AF134="Scope 2 Only",3, TRUE,0)
  + _xlfn.IFS(AG134="Yes", IF(ISNUMBER(AH134)*AND(AH134&gt;=5),10,6), AG134="Partial",4, TRUE,0)
  + _xlfn.IFS(AI134="Yes",5, AI134="Partial (material categories only)",3, TRUE,0)
  + _xlfn.IFS(AL134="Yes — Detailed",10, AL134="Yes — High Level",5, TRUE,0)
  + _xlfn.IFS(AM134="Yes — Quantified",15, AM134="Yes — Directional Only",7, TRUE,0)
  + _xlfn.IFS(AP134="Formal",5, AP134="Referenced",2, TRUE,0)
  + _xlfn.IFS(AQ134="No Issues Found",5, AQ134="Concern Identified",-5, AQ134="Severe Contradiction",-15, TRUE,0)
  + _xlfn.IFS(BC134="Reasonable Assurance",5, BC134="Limited Assurance",3, TRUE,0)
  - IF(AND(Z134="Yes", AI134="No"), 10, 0)
  - IF(AND(Z134="Yes", AM134="No"), 10, 0)
))</f>
        <v>0</v>
      </c>
      <c r="AS134" s="5"/>
      <c r="AT134" s="5"/>
      <c r="AU134" s="5"/>
      <c r="AV134" s="5"/>
      <c r="AW134" s="5"/>
      <c r="AX134" s="5"/>
      <c r="AY134" s="5"/>
      <c r="AZ134" s="5"/>
      <c r="BA134" s="5"/>
      <c r="BB134" s="5"/>
      <c r="BC134" s="5"/>
      <c r="BD134" s="5"/>
      <c r="BE134" s="39">
        <f t="array" ref="BE134">MIN(100, MAX(0,
  IFERROR(_xlfn.XLOOKUP(AT134,'Lookup Tables'!$D$2:$D$6,'Lookup Tables'!$E$2:$E$6,0),0)
  + IFERROR(_xlfn.XLOOKUP(AV134,'Lookup Tables'!$G$2:$G$5,'Lookup Tables'!$H$2:$H$5,0),0)
  + IFERROR(_xlfn.XLOOKUP(AW134,'Lookup Tables'!$J$2:$J$5,'Lookup Tables'!$K$2:$K$5,0),0)
  + _xlfn.IFS(AX134="No Issues",10, AX134="Complaint Filed",3, AX134="Confirmed Breach",-15, TRUE,0)
  + IFERROR(_xlfn.XLOOKUP(AY134,'Lookup Tables'!$M$2:$M$6,'Lookup Tables'!$N$2:$N$6,0),0)
  + IFERROR(_xlfn.XLOOKUP(AZ134,'Lookup Tables'!$P$2:$P$6,'Lookup Tables'!$Q$2:$Q$6,0),0)
  + _xlfn.IFS(BA134="Formal Board Committee",5, BA134="Board Oversight Mentioned",2, TRUE,0)
  + _xlfn.IFS(BB134="Yes — Quantified Targets",5, BB134="Yes — Discretionary Only",2, TRUE,0)
  + _xlfn.IFS(BC134="Reasonable Assurance",5, BC134="Limited Assurance",3, BC134="Management Review Only",1, TRUE,0)
))</f>
        <v>0</v>
      </c>
      <c r="BF134" s="5"/>
      <c r="BG134" s="5"/>
      <c r="BH134" s="5"/>
      <c r="BI134" s="5"/>
      <c r="BJ134" s="5"/>
      <c r="BK134" s="5"/>
      <c r="BL134" s="5"/>
      <c r="BM134" s="5"/>
      <c r="BN134" s="5"/>
      <c r="BO134" s="5"/>
      <c r="BP134" s="5"/>
      <c r="BQ134" s="5"/>
      <c r="BR134" s="5"/>
      <c r="BS134" s="41">
        <f t="array" ref="BS134">MIN(100, MAX(0,
  IFERROR(_xlfn.XLOOKUP(BG134,'Lookup Tables'!$A$11:$A$16,'Lookup Tables'!$B$11:$B$16,0),0)
  + IFERROR(_xlfn.XLOOKUP(BR134,'Lookup Tables'!$M$11:$M$14,'Lookup Tables'!$N$11:$N$14,0),0)
  + IFERROR(_xlfn.XLOOKUP(BQ134,'Lookup Tables'!$J$11:$J$15,'Lookup Tables'!$K$11:$K$15,0),0)
  + IFERROR(_xlfn.XLOOKUP(BH134,'Lookup Tables'!$D$11:$D$15,'Lookup Tables'!$E$11:$E$15,0),0)
  + IFERROR(_xlfn.XLOOKUP(BJ134,'Lookup Tables'!$G$11:$G$16,'Lookup Tables'!$H$11:$H$16,0),0)
  + IFERROR(_xlfn.XLOOKUP(BN134,'Lookup Tables'!$P$11:$P$15,'Lookup Tables'!$Q$11:$Q$15,0),0)
  + _xlfn.IFS(BM134="No Evidence",10, BM134="Unknown",3, BM134="Likely",0, BM134="Confirmed",-10, TRUE,3)
  + IFERROR(_xlfn.XLOOKUP(BP134,'Lookup Tables'!$J$21:$J$24,'Lookup Tables'!$K$21:$K$24,0),0)
))</f>
        <v>3</v>
      </c>
      <c r="BT134" s="5"/>
      <c r="BU134" s="5"/>
      <c r="BV134" s="5"/>
      <c r="BW134" s="5"/>
      <c r="BX134" s="5"/>
      <c r="BY134" s="5"/>
      <c r="BZ134" s="5"/>
      <c r="CA134" s="5"/>
      <c r="CB134" s="5"/>
      <c r="CC134" s="5"/>
      <c r="CD134" s="5"/>
      <c r="CE134" s="43">
        <f t="array" ref="CE134">MIN(100, MAX(0,
  IF(ISNUMBER(BV134)*AND(BV134&gt;0), 10, 0)
  + _xlfn.IFS(BY134="Independently Verified",25, BY134="Yes",15, TRUE,0)
  + IFERROR(_xlfn.XLOOKUP(BZ134,'Lookup Tables'!$A$21:$A$24,'Lookup Tables'!$B$21:$B$24,0),0)
  + IFERROR(_xlfn.XLOOKUP(CA134,'Lookup Tables'!$D$21:$D$24,'Lookup Tables'!$E$21:$E$24,0),0)
  + _xlfn.IFS(ISNUMBER(CB134)*AND(CB134&gt;=11),15, ISNUMBER(CB134)*AND(CB134&gt;=6),10, ISNUMBER(CB134)*AND(CB134&gt;=1),5, TRUE,0)
  + IFERROR(_xlfn.XLOOKUP(CC134,'Lookup Tables'!$G$21:$G$25,'Lookup Tables'!$H$21:$H$25,0),0)
  - IF(ISNUMBER(BW134)*AND(ISNUMBER(BV134))*AND(BW134&gt;BV134), 20, 0)
  - IF(AND(BY134="Yes", ISNUMBER(BW134), BW134&gt;60), 10, 0)
))</f>
        <v>0</v>
      </c>
      <c r="CF134" s="5"/>
      <c r="CG134" s="5"/>
      <c r="CH134" s="5"/>
      <c r="CI134" s="5"/>
      <c r="CJ134" s="5"/>
      <c r="CK134" s="5"/>
      <c r="CL134" s="5"/>
      <c r="CM134" s="5"/>
      <c r="CN134" s="5"/>
      <c r="CO134" s="5"/>
      <c r="CP134" s="5"/>
      <c r="CQ134" s="5"/>
      <c r="CR134" s="5">
        <f t="shared" si="90"/>
        <v>0</v>
      </c>
      <c r="CS134" s="5">
        <f t="shared" si="91"/>
        <v>0</v>
      </c>
      <c r="CT134" s="5">
        <f t="shared" si="92"/>
        <v>0</v>
      </c>
      <c r="CU134" s="5">
        <f>MIN(100,
  CR134*15
  + CS134*6
  + CT134*3
  + IFERROR(_xlfn.XLOOKUP(CW134,'Lookup Tables'!$M$21:$M$25,'Lookup Tables'!$N$21:$N$25,0),0)
)</f>
        <v>0</v>
      </c>
      <c r="CV134" s="5" t="str">
        <f t="shared" si="93"/>
        <v>No failures</v>
      </c>
      <c r="CW134" s="5"/>
      <c r="CX134" s="5"/>
      <c r="CY134" s="5"/>
      <c r="CZ134" s="5"/>
      <c r="DA134" s="5" t="str">
        <f t="shared" si="94"/>
        <v>Yes</v>
      </c>
      <c r="DB134" s="5" t="str">
        <f t="shared" si="95"/>
        <v>No</v>
      </c>
      <c r="DC134" s="5"/>
      <c r="DD134" s="5"/>
      <c r="DE134" s="5"/>
      <c r="DF134" s="5"/>
      <c r="DG134" s="5"/>
      <c r="DH134" s="5"/>
      <c r="DI134" s="5"/>
      <c r="DJ134" s="5"/>
      <c r="DK134" s="5"/>
      <c r="DL134" s="5" t="str">
        <f t="shared" si="96"/>
        <v>Clear</v>
      </c>
      <c r="DM134" s="5" t="str">
        <f t="shared" si="97"/>
        <v>Yes</v>
      </c>
      <c r="DN134" s="5">
        <f t="array" ref="DN134">MIN(100,
  IF(ISNUMBER(V134), _xlfn.IFS(V134&gt;=3,25, V134=2,15, V134=1,5, TRUE,0), 0)
  + IFERROR(_xlfn.IFS(VALUE(LEFT(DF134,1))=5,25, VALUE(LEFT(DF134,1))=4,20, VALUE(LEFT(DF134,1))=3,15, VALUE(LEFT(DF134,1))=2,8, TRUE,0), 15)
  + IFERROR(_xlfn.IFS(VALUE(LEFT(DG134,1))=5,25, VALUE(LEFT(DG134,1))=4,20, VALUE(LEFT(DG134,1))=3,15, VALUE(LEFT(DG134,1))=2,8, TRUE,0), 15)
  + _xlfn.IFS(DH134="Fully Verified",25, DH134="Partially Verified",12, TRUE,0)
)</f>
        <v>30</v>
      </c>
      <c r="DO134" s="5" t="str">
        <f t="array" ref="DO134">_xlfn.IFS(
  ISBLANK(AR134), "Insufficient Evidence",
  AND(AR134&gt;=65, AJ134="Approved"), "Strong",
  AR134&gt;=65, "Adequate",
  AR134&gt;=40, "Adequate",
  AR134&gt;=20, "Weak",
  TRUE, "Insufficient Evidence"
)</f>
        <v>Insufficient Evidence</v>
      </c>
      <c r="DP134" s="5" t="str">
        <f t="array" ref="DP134">_xlfn.IFS(
  ISBLANK(BS134), "Insufficient Evidence",
  BS134&gt;=65, "Strong",
  BS134&gt;=40, "Adequate",
  BS134&gt;=20, "Weak",
  TRUE, "Insufficient Evidence"
)</f>
        <v>Insufficient Evidence</v>
      </c>
      <c r="DQ134" s="5" t="str">
        <f t="array" ref="DQ134">_xlfn.IFS(
  ISBLANK(BE134), "Insufficient Evidence",
  OR(AW134="Confirmed Violation", AX134="Confirmed Breach"), "Severe — Hard Trigger",
  BE134&gt;=65, "Strong",
  BE134&gt;=40, "Adequate",
  BE134&gt;=20, "Weak",
  TRUE, "Insufficient Evidence"
)</f>
        <v>Insufficient Evidence</v>
      </c>
      <c r="DR134" s="5" t="str">
        <f t="array" ref="DR134">_xlfn.IFS(
  ISBLANK(CU134), "Insufficient Evidence",
  CU134&lt;=20, "Low Risk",
  CU134&lt;=50, "Moderate Risk",
  CU134&lt;=75, "High Risk",
  TRUE, "Very High Risk"
)</f>
        <v>Low Risk</v>
      </c>
      <c r="DS134" s="5" t="str">
        <f t="array" ref="DS134">_xlfn.IFS(
  ISBLANK(CE134), "Insufficient Evidence",
  AND(ISNUMBER(BW134),ISNUMBER(BV134),BW134&gt;BV134), "Overclaiming Risk",
  CE134&gt;=65, "Strong",
  CE134&gt;=40, "Adequate",
  TRUE, "Weak"
)</f>
        <v>Weak</v>
      </c>
      <c r="DT134" s="5">
        <f t="shared" si="98"/>
        <v>11.7</v>
      </c>
      <c r="DU134" s="5" t="str">
        <f t="array" ref="DU134">_xlfn.IFS(
  DV134="Upgraded to Clear", "Clear",
  DV134="Downgraded to Watchlist", "Watchlist",
  DV134="Downgraded to Exclusion", "Exclusion Risk",
  DB134="Yes — Automatic", "Exclusion Risk",
  OR(AW134="Confirmed Violation", AX134="Confirmed Breach"), "Exclusion Risk",
  OR(V134=0, ISBLANK(V134), DN134&lt;20), "Insufficient Evidence",
  AND(DT134&gt;=65, DA134="No", DB134="No"), "Clear",
  OR(DT134&gt;=40, DA134="Yes"), "Watchlist",
  TRUE, "Exclusion Risk"
)</f>
        <v>Insufficient Evidence</v>
      </c>
      <c r="DV134" s="5"/>
      <c r="DW134" s="5" t="str">
        <f t="array" ref="DW134">_xlfn.IFS(
  DU134="Exclusion Risk", "Exclude — Hard Trigger",
  DU134="Insufficient Evidence", "Watchlist — Further Evidence Needed",
  DU134="Watchlist", "Watchlist — Further Evidence Needed",
  AND(DU134="Clear", DT134&gt;=80), "Include — No Conditions",
  DU134="Clear", "Include — Monitor",
  TRUE, "Watchlist — Further Evidence Needed"
)</f>
        <v>Watchlist — Further Evidence Needed</v>
      </c>
      <c r="DX134" s="5"/>
      <c r="DY134" s="5"/>
      <c r="DZ134" s="5"/>
      <c r="EA134" s="5"/>
      <c r="EB134" s="5" t="str">
        <f t="shared" si="99"/>
        <v>MISSING — No sources reviewed</v>
      </c>
      <c r="EC134" s="5" t="str">
        <f t="shared" si="100"/>
        <v/>
      </c>
    </row>
    <row r="135" spans="1:133" ht="18" customHeight="1" x14ac:dyDescent="0.15">
      <c r="A135" s="5" t="s">
        <v>737</v>
      </c>
      <c r="B135" s="5" t="s">
        <v>738</v>
      </c>
      <c r="C135" s="5" t="str">
        <f>IF(ISBLANK('Universe Tracker'!D110),"",'Universe Tracker'!D110)</f>
        <v>CH0130293662</v>
      </c>
      <c r="D135" s="5"/>
      <c r="E135" s="5"/>
      <c r="F135" s="5" t="str">
        <f>IF(ISBLANK('Universe Tracker'!F110),"",'Universe Tracker'!F110)</f>
        <v>Utilities</v>
      </c>
      <c r="G135" s="5" t="str">
        <f>IF(ISBLANK('Universe Tracker'!G110),"",'Universe Tracker'!G110)</f>
        <v>Utilities</v>
      </c>
      <c r="H135" s="5"/>
      <c r="I135" s="5"/>
      <c r="J135" s="5" t="str">
        <f t="shared" si="88"/>
        <v>B9W_CH0130293662</v>
      </c>
      <c r="K135" s="5"/>
      <c r="L135" s="5"/>
      <c r="M135" s="5"/>
      <c r="N135" s="5"/>
      <c r="O135" s="5"/>
      <c r="P135" s="5"/>
      <c r="Q135" s="5"/>
      <c r="R135" s="5"/>
      <c r="S135" s="5"/>
      <c r="T135" s="5"/>
      <c r="U135" s="5"/>
      <c r="V135" s="5"/>
      <c r="W135" s="5"/>
      <c r="X135" s="5"/>
      <c r="Y135" s="5" t="str">
        <f t="shared" si="89"/>
        <v>Insufficient</v>
      </c>
      <c r="Z135" s="5"/>
      <c r="AA135" s="5"/>
      <c r="AB135" s="5"/>
      <c r="AC135" s="5"/>
      <c r="AD135" s="5"/>
      <c r="AE135" s="5"/>
      <c r="AF135" s="5"/>
      <c r="AG135" s="5"/>
      <c r="AH135" s="5"/>
      <c r="AI135" s="5"/>
      <c r="AJ135" s="5"/>
      <c r="AK135" s="5"/>
      <c r="AL135" s="5"/>
      <c r="AM135" s="5"/>
      <c r="AN135" s="5"/>
      <c r="AO135" s="5"/>
      <c r="AP135" s="5"/>
      <c r="AQ135" s="5"/>
      <c r="AR135" s="40">
        <f t="array" ref="AR135">MIN(100, MAX(0,
  IFERROR(_xlfn.XLOOKUP(AJ135,'Lookup Tables'!$A$2:$A$7,'Lookup Tables'!$B$2:$B$7,0),0)
  + IF(Z135="Yes", IF(IFERROR(_xlfn.XLOOKUP(AJ135,'Lookup Tables'!$A$2:$A$7,'Lookup Tables'!$B$2:$B$7,0),0)&lt;20, 5, 0), 0)
  + _xlfn.IFS(AB135="Yes", IF(ISNUMBER(AC135)*AND(AC135&lt;=2030),15,10), AB135="Long-term Only", 5, AB135="No", 0, TRUE, 0)
  + _xlfn.IFS(AF135="Full",10, AF135="Partial",5, AF135="Scope 2 Only",3, TRUE,0)
  + _xlfn.IFS(AG135="Yes", IF(ISNUMBER(AH135)*AND(AH135&gt;=5),10,6), AG135="Partial",4, TRUE,0)
  + _xlfn.IFS(AI135="Yes",5, AI135="Partial (material categories only)",3, TRUE,0)
  + _xlfn.IFS(AL135="Yes — Detailed",10, AL135="Yes — High Level",5, TRUE,0)
  + _xlfn.IFS(AM135="Yes — Quantified",15, AM135="Yes — Directional Only",7, TRUE,0)
  + _xlfn.IFS(AP135="Formal",5, AP135="Referenced",2, TRUE,0)
  + _xlfn.IFS(AQ135="No Issues Found",5, AQ135="Concern Identified",-5, AQ135="Severe Contradiction",-15, TRUE,0)
  + _xlfn.IFS(BC135="Reasonable Assurance",5, BC135="Limited Assurance",3, TRUE,0)
  - IF(AND(Z135="Yes", AI135="No"), 10, 0)
  - IF(AND(Z135="Yes", AM135="No"), 10, 0)
))</f>
        <v>0</v>
      </c>
      <c r="AS135" s="5"/>
      <c r="AT135" s="5"/>
      <c r="AU135" s="5"/>
      <c r="AV135" s="5"/>
      <c r="AW135" s="5"/>
      <c r="AX135" s="5"/>
      <c r="AY135" s="5"/>
      <c r="AZ135" s="5"/>
      <c r="BA135" s="5"/>
      <c r="BB135" s="5"/>
      <c r="BC135" s="5"/>
      <c r="BD135" s="5"/>
      <c r="BE135" s="39">
        <f t="array" ref="BE135">MIN(100, MAX(0,
  IFERROR(_xlfn.XLOOKUP(AT135,'Lookup Tables'!$D$2:$D$6,'Lookup Tables'!$E$2:$E$6,0),0)
  + IFERROR(_xlfn.XLOOKUP(AV135,'Lookup Tables'!$G$2:$G$5,'Lookup Tables'!$H$2:$H$5,0),0)
  + IFERROR(_xlfn.XLOOKUP(AW135,'Lookup Tables'!$J$2:$J$5,'Lookup Tables'!$K$2:$K$5,0),0)
  + _xlfn.IFS(AX135="No Issues",10, AX135="Complaint Filed",3, AX135="Confirmed Breach",-15, TRUE,0)
  + IFERROR(_xlfn.XLOOKUP(AY135,'Lookup Tables'!$M$2:$M$6,'Lookup Tables'!$N$2:$N$6,0),0)
  + IFERROR(_xlfn.XLOOKUP(AZ135,'Lookup Tables'!$P$2:$P$6,'Lookup Tables'!$Q$2:$Q$6,0),0)
  + _xlfn.IFS(BA135="Formal Board Committee",5, BA135="Board Oversight Mentioned",2, TRUE,0)
  + _xlfn.IFS(BB135="Yes — Quantified Targets",5, BB135="Yes — Discretionary Only",2, TRUE,0)
  + _xlfn.IFS(BC135="Reasonable Assurance",5, BC135="Limited Assurance",3, BC135="Management Review Only",1, TRUE,0)
))</f>
        <v>0</v>
      </c>
      <c r="BF135" s="5"/>
      <c r="BG135" s="5"/>
      <c r="BH135" s="5"/>
      <c r="BI135" s="5"/>
      <c r="BJ135" s="5"/>
      <c r="BK135" s="5"/>
      <c r="BL135" s="5"/>
      <c r="BM135" s="5"/>
      <c r="BN135" s="5"/>
      <c r="BO135" s="5"/>
      <c r="BP135" s="5"/>
      <c r="BQ135" s="5"/>
      <c r="BR135" s="5"/>
      <c r="BS135" s="41">
        <f t="array" ref="BS135">MIN(100, MAX(0,
  IFERROR(_xlfn.XLOOKUP(BG135,'Lookup Tables'!$A$11:$A$16,'Lookup Tables'!$B$11:$B$16,0),0)
  + IFERROR(_xlfn.XLOOKUP(BR135,'Lookup Tables'!$M$11:$M$14,'Lookup Tables'!$N$11:$N$14,0),0)
  + IFERROR(_xlfn.XLOOKUP(BQ135,'Lookup Tables'!$J$11:$J$15,'Lookup Tables'!$K$11:$K$15,0),0)
  + IFERROR(_xlfn.XLOOKUP(BH135,'Lookup Tables'!$D$11:$D$15,'Lookup Tables'!$E$11:$E$15,0),0)
  + IFERROR(_xlfn.XLOOKUP(BJ135,'Lookup Tables'!$G$11:$G$16,'Lookup Tables'!$H$11:$H$16,0),0)
  + IFERROR(_xlfn.XLOOKUP(BN135,'Lookup Tables'!$P$11:$P$15,'Lookup Tables'!$Q$11:$Q$15,0),0)
  + _xlfn.IFS(BM135="No Evidence",10, BM135="Unknown",3, BM135="Likely",0, BM135="Confirmed",-10, TRUE,3)
  + IFERROR(_xlfn.XLOOKUP(BP135,'Lookup Tables'!$J$21:$J$24,'Lookup Tables'!$K$21:$K$24,0),0)
))</f>
        <v>3</v>
      </c>
      <c r="BT135" s="5"/>
      <c r="BU135" s="5"/>
      <c r="BV135" s="5"/>
      <c r="BW135" s="5"/>
      <c r="BX135" s="5"/>
      <c r="BY135" s="5"/>
      <c r="BZ135" s="5"/>
      <c r="CA135" s="5"/>
      <c r="CB135" s="5"/>
      <c r="CC135" s="5"/>
      <c r="CD135" s="5"/>
      <c r="CE135" s="43">
        <f t="array" ref="CE135">MIN(100, MAX(0,
  IF(ISNUMBER(BV135)*AND(BV135&gt;0), 10, 0)
  + _xlfn.IFS(BY135="Independently Verified",25, BY135="Yes",15, TRUE,0)
  + IFERROR(_xlfn.XLOOKUP(BZ135,'Lookup Tables'!$A$21:$A$24,'Lookup Tables'!$B$21:$B$24,0),0)
  + IFERROR(_xlfn.XLOOKUP(CA135,'Lookup Tables'!$D$21:$D$24,'Lookup Tables'!$E$21:$E$24,0),0)
  + _xlfn.IFS(ISNUMBER(CB135)*AND(CB135&gt;=11),15, ISNUMBER(CB135)*AND(CB135&gt;=6),10, ISNUMBER(CB135)*AND(CB135&gt;=1),5, TRUE,0)
  + IFERROR(_xlfn.XLOOKUP(CC135,'Lookup Tables'!$G$21:$G$25,'Lookup Tables'!$H$21:$H$25,0),0)
  - IF(ISNUMBER(BW135)*AND(ISNUMBER(BV135))*AND(BW135&gt;BV135), 20, 0)
  - IF(AND(BY135="Yes", ISNUMBER(BW135), BW135&gt;60), 10, 0)
))</f>
        <v>0</v>
      </c>
      <c r="CF135" s="5"/>
      <c r="CG135" s="5"/>
      <c r="CH135" s="5"/>
      <c r="CI135" s="5"/>
      <c r="CJ135" s="5"/>
      <c r="CK135" s="5"/>
      <c r="CL135" s="5"/>
      <c r="CM135" s="5"/>
      <c r="CN135" s="5"/>
      <c r="CO135" s="5"/>
      <c r="CP135" s="5"/>
      <c r="CQ135" s="5"/>
      <c r="CR135" s="5">
        <f t="shared" si="90"/>
        <v>0</v>
      </c>
      <c r="CS135" s="5">
        <f t="shared" si="91"/>
        <v>0</v>
      </c>
      <c r="CT135" s="5">
        <f t="shared" si="92"/>
        <v>0</v>
      </c>
      <c r="CU135" s="5">
        <f>MIN(100,
  CR135*15
  + CS135*6
  + CT135*3
  + IFERROR(_xlfn.XLOOKUP(CW135,'Lookup Tables'!$M$21:$M$25,'Lookup Tables'!$N$21:$N$25,0),0)
)</f>
        <v>0</v>
      </c>
      <c r="CV135" s="5" t="str">
        <f t="shared" si="93"/>
        <v>No failures</v>
      </c>
      <c r="CW135" s="5"/>
      <c r="CX135" s="5"/>
      <c r="CY135" s="5"/>
      <c r="CZ135" s="5"/>
      <c r="DA135" s="5" t="str">
        <f t="shared" si="94"/>
        <v>Yes</v>
      </c>
      <c r="DB135" s="5" t="str">
        <f t="shared" si="95"/>
        <v>No</v>
      </c>
      <c r="DC135" s="5"/>
      <c r="DD135" s="5"/>
      <c r="DE135" s="5"/>
      <c r="DF135" s="5"/>
      <c r="DG135" s="5"/>
      <c r="DH135" s="5"/>
      <c r="DI135" s="5"/>
      <c r="DJ135" s="5"/>
      <c r="DK135" s="5"/>
      <c r="DL135" s="5" t="str">
        <f t="shared" si="96"/>
        <v>Clear</v>
      </c>
      <c r="DM135" s="5" t="str">
        <f t="shared" si="97"/>
        <v>Yes</v>
      </c>
      <c r="DN135" s="5">
        <f t="array" ref="DN135">MIN(100,
  IF(ISNUMBER(V135), _xlfn.IFS(V135&gt;=3,25, V135=2,15, V135=1,5, TRUE,0), 0)
  + IFERROR(_xlfn.IFS(VALUE(LEFT(DF135,1))=5,25, VALUE(LEFT(DF135,1))=4,20, VALUE(LEFT(DF135,1))=3,15, VALUE(LEFT(DF135,1))=2,8, TRUE,0), 15)
  + IFERROR(_xlfn.IFS(VALUE(LEFT(DG135,1))=5,25, VALUE(LEFT(DG135,1))=4,20, VALUE(LEFT(DG135,1))=3,15, VALUE(LEFT(DG135,1))=2,8, TRUE,0), 15)
  + _xlfn.IFS(DH135="Fully Verified",25, DH135="Partially Verified",12, TRUE,0)
)</f>
        <v>30</v>
      </c>
      <c r="DO135" s="5" t="str">
        <f t="array" ref="DO135">_xlfn.IFS(
  ISBLANK(AR135), "Insufficient Evidence",
  AND(AR135&gt;=65, AJ135="Approved"), "Strong",
  AR135&gt;=65, "Adequate",
  AR135&gt;=40, "Adequate",
  AR135&gt;=20, "Weak",
  TRUE, "Insufficient Evidence"
)</f>
        <v>Insufficient Evidence</v>
      </c>
      <c r="DP135" s="5" t="str">
        <f t="array" ref="DP135">_xlfn.IFS(
  ISBLANK(BS135), "Insufficient Evidence",
  BS135&gt;=65, "Strong",
  BS135&gt;=40, "Adequate",
  BS135&gt;=20, "Weak",
  TRUE, "Insufficient Evidence"
)</f>
        <v>Insufficient Evidence</v>
      </c>
      <c r="DQ135" s="5" t="str">
        <f t="array" ref="DQ135">_xlfn.IFS(
  ISBLANK(BE135), "Insufficient Evidence",
  OR(AW135="Confirmed Violation", AX135="Confirmed Breach"), "Severe — Hard Trigger",
  BE135&gt;=65, "Strong",
  BE135&gt;=40, "Adequate",
  BE135&gt;=20, "Weak",
  TRUE, "Insufficient Evidence"
)</f>
        <v>Insufficient Evidence</v>
      </c>
      <c r="DR135" s="5" t="str">
        <f t="array" ref="DR135">_xlfn.IFS(
  ISBLANK(CU135), "Insufficient Evidence",
  CU135&lt;=20, "Low Risk",
  CU135&lt;=50, "Moderate Risk",
  CU135&lt;=75, "High Risk",
  TRUE, "Very High Risk"
)</f>
        <v>Low Risk</v>
      </c>
      <c r="DS135" s="5" t="str">
        <f t="array" ref="DS135">_xlfn.IFS(
  ISBLANK(CE135), "Insufficient Evidence",
  AND(ISNUMBER(BW135),ISNUMBER(BV135),BW135&gt;BV135), "Overclaiming Risk",
  CE135&gt;=65, "Strong",
  CE135&gt;=40, "Adequate",
  TRUE, "Weak"
)</f>
        <v>Weak</v>
      </c>
      <c r="DT135" s="5">
        <f t="shared" si="98"/>
        <v>11.7</v>
      </c>
      <c r="DU135" s="5" t="str">
        <f t="array" ref="DU135">_xlfn.IFS(
  DV135="Upgraded to Clear", "Clear",
  DV135="Downgraded to Watchlist", "Watchlist",
  DV135="Downgraded to Exclusion", "Exclusion Risk",
  DB135="Yes — Automatic", "Exclusion Risk",
  OR(AW135="Confirmed Violation", AX135="Confirmed Breach"), "Exclusion Risk",
  OR(V135=0, ISBLANK(V135), DN135&lt;20), "Insufficient Evidence",
  AND(DT135&gt;=65, DA135="No", DB135="No"), "Clear",
  OR(DT135&gt;=40, DA135="Yes"), "Watchlist",
  TRUE, "Exclusion Risk"
)</f>
        <v>Insufficient Evidence</v>
      </c>
      <c r="DV135" s="5"/>
      <c r="DW135" s="5" t="str">
        <f t="array" ref="DW135">_xlfn.IFS(
  DU135="Exclusion Risk", "Exclude — Hard Trigger",
  DU135="Insufficient Evidence", "Watchlist — Further Evidence Needed",
  DU135="Watchlist", "Watchlist — Further Evidence Needed",
  AND(DU135="Clear", DT135&gt;=80), "Include — No Conditions",
  DU135="Clear", "Include — Monitor",
  TRUE, "Watchlist — Further Evidence Needed"
)</f>
        <v>Watchlist — Further Evidence Needed</v>
      </c>
      <c r="DX135" s="5"/>
      <c r="DY135" s="5"/>
      <c r="DZ135" s="5"/>
      <c r="EA135" s="5"/>
      <c r="EB135" s="5" t="str">
        <f t="shared" si="99"/>
        <v>MISSING — No sources reviewed</v>
      </c>
      <c r="EC135" s="5" t="str">
        <f t="shared" si="100"/>
        <v/>
      </c>
    </row>
    <row r="136" spans="1:133" ht="18" customHeight="1" x14ac:dyDescent="0.15">
      <c r="A136" s="5" t="s">
        <v>741</v>
      </c>
      <c r="B136" s="5" t="s">
        <v>742</v>
      </c>
      <c r="C136" s="5" t="str">
        <f>IF(ISBLANK('Universe Tracker'!D111),"",'Universe Tracker'!D111)</f>
        <v>DK0010307958</v>
      </c>
      <c r="D136" s="5"/>
      <c r="E136" s="5"/>
      <c r="F136" s="5" t="str">
        <f>IF(ISBLANK('Universe Tracker'!F111),"",'Universe Tracker'!F111)</f>
        <v>Financials</v>
      </c>
      <c r="G136" s="5" t="str">
        <f>IF(ISBLANK('Universe Tracker'!G111),"",'Universe Tracker'!G111)</f>
        <v>Banking</v>
      </c>
      <c r="H136" s="5"/>
      <c r="I136" s="5"/>
      <c r="J136" s="5" t="str">
        <f t="shared" si="88"/>
        <v>JYS1_DK0010307958</v>
      </c>
      <c r="K136" s="5"/>
      <c r="L136" s="5"/>
      <c r="M136" s="5"/>
      <c r="N136" s="5"/>
      <c r="O136" s="5"/>
      <c r="P136" s="5"/>
      <c r="Q136" s="5"/>
      <c r="R136" s="5"/>
      <c r="S136" s="5"/>
      <c r="T136" s="5"/>
      <c r="U136" s="5"/>
      <c r="V136" s="5"/>
      <c r="W136" s="5"/>
      <c r="X136" s="5"/>
      <c r="Y136" s="5" t="str">
        <f t="shared" si="89"/>
        <v>Insufficient</v>
      </c>
      <c r="Z136" s="5"/>
      <c r="AA136" s="5"/>
      <c r="AB136" s="5"/>
      <c r="AC136" s="5"/>
      <c r="AD136" s="5"/>
      <c r="AE136" s="5"/>
      <c r="AF136" s="5"/>
      <c r="AG136" s="5"/>
      <c r="AH136" s="5"/>
      <c r="AI136" s="5"/>
      <c r="AJ136" s="5"/>
      <c r="AK136" s="5"/>
      <c r="AL136" s="5"/>
      <c r="AM136" s="5"/>
      <c r="AN136" s="5"/>
      <c r="AO136" s="5"/>
      <c r="AP136" s="5"/>
      <c r="AQ136" s="5"/>
      <c r="AR136" s="40">
        <f t="array" ref="AR136">MIN(100, MAX(0,
  IFERROR(_xlfn.XLOOKUP(AJ136,'Lookup Tables'!$A$2:$A$7,'Lookup Tables'!$B$2:$B$7,0),0)
  + IF(Z136="Yes", IF(IFERROR(_xlfn.XLOOKUP(AJ136,'Lookup Tables'!$A$2:$A$7,'Lookup Tables'!$B$2:$B$7,0),0)&lt;20, 5, 0), 0)
  + _xlfn.IFS(AB136="Yes", IF(ISNUMBER(AC136)*AND(AC136&lt;=2030),15,10), AB136="Long-term Only", 5, AB136="No", 0, TRUE, 0)
  + _xlfn.IFS(AF136="Full",10, AF136="Partial",5, AF136="Scope 2 Only",3, TRUE,0)
  + _xlfn.IFS(AG136="Yes", IF(ISNUMBER(AH136)*AND(AH136&gt;=5),10,6), AG136="Partial",4, TRUE,0)
  + _xlfn.IFS(AI136="Yes",5, AI136="Partial (material categories only)",3, TRUE,0)
  + _xlfn.IFS(AL136="Yes — Detailed",10, AL136="Yes — High Level",5, TRUE,0)
  + _xlfn.IFS(AM136="Yes — Quantified",15, AM136="Yes — Directional Only",7, TRUE,0)
  + _xlfn.IFS(AP136="Formal",5, AP136="Referenced",2, TRUE,0)
  + _xlfn.IFS(AQ136="No Issues Found",5, AQ136="Concern Identified",-5, AQ136="Severe Contradiction",-15, TRUE,0)
  + _xlfn.IFS(BC136="Reasonable Assurance",5, BC136="Limited Assurance",3, TRUE,0)
  - IF(AND(Z136="Yes", AI136="No"), 10, 0)
  - IF(AND(Z136="Yes", AM136="No"), 10, 0)
))</f>
        <v>0</v>
      </c>
      <c r="AS136" s="5"/>
      <c r="AT136" s="5"/>
      <c r="AU136" s="5"/>
      <c r="AV136" s="5"/>
      <c r="AW136" s="5"/>
      <c r="AX136" s="5"/>
      <c r="AY136" s="5"/>
      <c r="AZ136" s="5"/>
      <c r="BA136" s="5"/>
      <c r="BB136" s="5"/>
      <c r="BC136" s="5"/>
      <c r="BD136" s="5"/>
      <c r="BE136" s="39">
        <f t="array" ref="BE136">MIN(100, MAX(0,
  IFERROR(_xlfn.XLOOKUP(AT136,'Lookup Tables'!$D$2:$D$6,'Lookup Tables'!$E$2:$E$6,0),0)
  + IFERROR(_xlfn.XLOOKUP(AV136,'Lookup Tables'!$G$2:$G$5,'Lookup Tables'!$H$2:$H$5,0),0)
  + IFERROR(_xlfn.XLOOKUP(AW136,'Lookup Tables'!$J$2:$J$5,'Lookup Tables'!$K$2:$K$5,0),0)
  + _xlfn.IFS(AX136="No Issues",10, AX136="Complaint Filed",3, AX136="Confirmed Breach",-15, TRUE,0)
  + IFERROR(_xlfn.XLOOKUP(AY136,'Lookup Tables'!$M$2:$M$6,'Lookup Tables'!$N$2:$N$6,0),0)
  + IFERROR(_xlfn.XLOOKUP(AZ136,'Lookup Tables'!$P$2:$P$6,'Lookup Tables'!$Q$2:$Q$6,0),0)
  + _xlfn.IFS(BA136="Formal Board Committee",5, BA136="Board Oversight Mentioned",2, TRUE,0)
  + _xlfn.IFS(BB136="Yes — Quantified Targets",5, BB136="Yes — Discretionary Only",2, TRUE,0)
  + _xlfn.IFS(BC136="Reasonable Assurance",5, BC136="Limited Assurance",3, BC136="Management Review Only",1, TRUE,0)
))</f>
        <v>0</v>
      </c>
      <c r="BF136" s="5"/>
      <c r="BG136" s="5"/>
      <c r="BH136" s="5"/>
      <c r="BI136" s="5"/>
      <c r="BJ136" s="5"/>
      <c r="BK136" s="5"/>
      <c r="BL136" s="5"/>
      <c r="BM136" s="5"/>
      <c r="BN136" s="5"/>
      <c r="BO136" s="5"/>
      <c r="BP136" s="5"/>
      <c r="BQ136" s="5"/>
      <c r="BR136" s="5"/>
      <c r="BS136" s="41">
        <f t="array" ref="BS136">MIN(100, MAX(0,
  IFERROR(_xlfn.XLOOKUP(BG136,'Lookup Tables'!$A$11:$A$16,'Lookup Tables'!$B$11:$B$16,0),0)
  + IFERROR(_xlfn.XLOOKUP(BR136,'Lookup Tables'!$M$11:$M$14,'Lookup Tables'!$N$11:$N$14,0),0)
  + IFERROR(_xlfn.XLOOKUP(BQ136,'Lookup Tables'!$J$11:$J$15,'Lookup Tables'!$K$11:$K$15,0),0)
  + IFERROR(_xlfn.XLOOKUP(BH136,'Lookup Tables'!$D$11:$D$15,'Lookup Tables'!$E$11:$E$15,0),0)
  + IFERROR(_xlfn.XLOOKUP(BJ136,'Lookup Tables'!$G$11:$G$16,'Lookup Tables'!$H$11:$H$16,0),0)
  + IFERROR(_xlfn.XLOOKUP(BN136,'Lookup Tables'!$P$11:$P$15,'Lookup Tables'!$Q$11:$Q$15,0),0)
  + _xlfn.IFS(BM136="No Evidence",10, BM136="Unknown",3, BM136="Likely",0, BM136="Confirmed",-10, TRUE,3)
  + IFERROR(_xlfn.XLOOKUP(BP136,'Lookup Tables'!$J$21:$J$24,'Lookup Tables'!$K$21:$K$24,0),0)
))</f>
        <v>3</v>
      </c>
      <c r="BT136" s="5"/>
      <c r="BU136" s="5"/>
      <c r="BV136" s="5"/>
      <c r="BW136" s="5"/>
      <c r="BX136" s="5"/>
      <c r="BY136" s="5"/>
      <c r="BZ136" s="5"/>
      <c r="CA136" s="5"/>
      <c r="CB136" s="5"/>
      <c r="CC136" s="5"/>
      <c r="CD136" s="5"/>
      <c r="CE136" s="43">
        <f t="array" ref="CE136">MIN(100, MAX(0,
  IF(ISNUMBER(BV136)*AND(BV136&gt;0), 10, 0)
  + _xlfn.IFS(BY136="Independently Verified",25, BY136="Yes",15, TRUE,0)
  + IFERROR(_xlfn.XLOOKUP(BZ136,'Lookup Tables'!$A$21:$A$24,'Lookup Tables'!$B$21:$B$24,0),0)
  + IFERROR(_xlfn.XLOOKUP(CA136,'Lookup Tables'!$D$21:$D$24,'Lookup Tables'!$E$21:$E$24,0),0)
  + _xlfn.IFS(ISNUMBER(CB136)*AND(CB136&gt;=11),15, ISNUMBER(CB136)*AND(CB136&gt;=6),10, ISNUMBER(CB136)*AND(CB136&gt;=1),5, TRUE,0)
  + IFERROR(_xlfn.XLOOKUP(CC136,'Lookup Tables'!$G$21:$G$25,'Lookup Tables'!$H$21:$H$25,0),0)
  - IF(ISNUMBER(BW136)*AND(ISNUMBER(BV136))*AND(BW136&gt;BV136), 20, 0)
  - IF(AND(BY136="Yes", ISNUMBER(BW136), BW136&gt;60), 10, 0)
))</f>
        <v>0</v>
      </c>
      <c r="CF136" s="5"/>
      <c r="CG136" s="5"/>
      <c r="CH136" s="5"/>
      <c r="CI136" s="5"/>
      <c r="CJ136" s="5"/>
      <c r="CK136" s="5"/>
      <c r="CL136" s="5"/>
      <c r="CM136" s="5"/>
      <c r="CN136" s="5"/>
      <c r="CO136" s="5"/>
      <c r="CP136" s="5"/>
      <c r="CQ136" s="5"/>
      <c r="CR136" s="5">
        <f t="shared" si="90"/>
        <v>0</v>
      </c>
      <c r="CS136" s="5">
        <f t="shared" si="91"/>
        <v>0</v>
      </c>
      <c r="CT136" s="5">
        <f t="shared" si="92"/>
        <v>0</v>
      </c>
      <c r="CU136" s="5">
        <f>MIN(100,
  CR136*15
  + CS136*6
  + CT136*3
  + IFERROR(_xlfn.XLOOKUP(CW136,'Lookup Tables'!$M$21:$M$25,'Lookup Tables'!$N$21:$N$25,0),0)
)</f>
        <v>0</v>
      </c>
      <c r="CV136" s="5" t="str">
        <f t="shared" si="93"/>
        <v>No failures</v>
      </c>
      <c r="CW136" s="5"/>
      <c r="CX136" s="5"/>
      <c r="CY136" s="5"/>
      <c r="CZ136" s="5"/>
      <c r="DA136" s="5" t="str">
        <f t="shared" si="94"/>
        <v>Yes</v>
      </c>
      <c r="DB136" s="5" t="str">
        <f t="shared" si="95"/>
        <v>No</v>
      </c>
      <c r="DC136" s="5"/>
      <c r="DD136" s="5"/>
      <c r="DE136" s="5"/>
      <c r="DF136" s="5"/>
      <c r="DG136" s="5"/>
      <c r="DH136" s="5"/>
      <c r="DI136" s="5"/>
      <c r="DJ136" s="5"/>
      <c r="DK136" s="5"/>
      <c r="DL136" s="5" t="str">
        <f t="shared" si="96"/>
        <v>Clear</v>
      </c>
      <c r="DM136" s="5" t="str">
        <f t="shared" si="97"/>
        <v>Yes</v>
      </c>
      <c r="DN136" s="5">
        <f t="array" ref="DN136">MIN(100,
  IF(ISNUMBER(V136), _xlfn.IFS(V136&gt;=3,25, V136=2,15, V136=1,5, TRUE,0), 0)
  + IFERROR(_xlfn.IFS(VALUE(LEFT(DF136,1))=5,25, VALUE(LEFT(DF136,1))=4,20, VALUE(LEFT(DF136,1))=3,15, VALUE(LEFT(DF136,1))=2,8, TRUE,0), 15)
  + IFERROR(_xlfn.IFS(VALUE(LEFT(DG136,1))=5,25, VALUE(LEFT(DG136,1))=4,20, VALUE(LEFT(DG136,1))=3,15, VALUE(LEFT(DG136,1))=2,8, TRUE,0), 15)
  + _xlfn.IFS(DH136="Fully Verified",25, DH136="Partially Verified",12, TRUE,0)
)</f>
        <v>30</v>
      </c>
      <c r="DO136" s="5" t="str">
        <f t="array" ref="DO136">_xlfn.IFS(
  ISBLANK(AR136), "Insufficient Evidence",
  AND(AR136&gt;=65, AJ136="Approved"), "Strong",
  AR136&gt;=65, "Adequate",
  AR136&gt;=40, "Adequate",
  AR136&gt;=20, "Weak",
  TRUE, "Insufficient Evidence"
)</f>
        <v>Insufficient Evidence</v>
      </c>
      <c r="DP136" s="5" t="str">
        <f t="array" ref="DP136">_xlfn.IFS(
  ISBLANK(BS136), "Insufficient Evidence",
  BS136&gt;=65, "Strong",
  BS136&gt;=40, "Adequate",
  BS136&gt;=20, "Weak",
  TRUE, "Insufficient Evidence"
)</f>
        <v>Insufficient Evidence</v>
      </c>
      <c r="DQ136" s="5" t="str">
        <f t="array" ref="DQ136">_xlfn.IFS(
  ISBLANK(BE136), "Insufficient Evidence",
  OR(AW136="Confirmed Violation", AX136="Confirmed Breach"), "Severe — Hard Trigger",
  BE136&gt;=65, "Strong",
  BE136&gt;=40, "Adequate",
  BE136&gt;=20, "Weak",
  TRUE, "Insufficient Evidence"
)</f>
        <v>Insufficient Evidence</v>
      </c>
      <c r="DR136" s="5" t="str">
        <f t="array" ref="DR136">_xlfn.IFS(
  ISBLANK(CU136), "Insufficient Evidence",
  CU136&lt;=20, "Low Risk",
  CU136&lt;=50, "Moderate Risk",
  CU136&lt;=75, "High Risk",
  TRUE, "Very High Risk"
)</f>
        <v>Low Risk</v>
      </c>
      <c r="DS136" s="5" t="str">
        <f t="array" ref="DS136">_xlfn.IFS(
  ISBLANK(CE136), "Insufficient Evidence",
  AND(ISNUMBER(BW136),ISNUMBER(BV136),BW136&gt;BV136), "Overclaiming Risk",
  CE136&gt;=65, "Strong",
  CE136&gt;=40, "Adequate",
  TRUE, "Weak"
)</f>
        <v>Weak</v>
      </c>
      <c r="DT136" s="5">
        <f t="shared" si="98"/>
        <v>11.7</v>
      </c>
      <c r="DU136" s="5" t="str">
        <f t="array" ref="DU136">_xlfn.IFS(
  DV136="Upgraded to Clear", "Clear",
  DV136="Downgraded to Watchlist", "Watchlist",
  DV136="Downgraded to Exclusion", "Exclusion Risk",
  DB136="Yes — Automatic", "Exclusion Risk",
  OR(AW136="Confirmed Violation", AX136="Confirmed Breach"), "Exclusion Risk",
  OR(V136=0, ISBLANK(V136), DN136&lt;20), "Insufficient Evidence",
  AND(DT136&gt;=65, DA136="No", DB136="No"), "Clear",
  OR(DT136&gt;=40, DA136="Yes"), "Watchlist",
  TRUE, "Exclusion Risk"
)</f>
        <v>Insufficient Evidence</v>
      </c>
      <c r="DV136" s="5"/>
      <c r="DW136" s="5" t="str">
        <f t="array" ref="DW136">_xlfn.IFS(
  DU136="Exclusion Risk", "Exclude — Hard Trigger",
  DU136="Insufficient Evidence", "Watchlist — Further Evidence Needed",
  DU136="Watchlist", "Watchlist — Further Evidence Needed",
  AND(DU136="Clear", DT136&gt;=80), "Include — No Conditions",
  DU136="Clear", "Include — Monitor",
  TRUE, "Watchlist — Further Evidence Needed"
)</f>
        <v>Watchlist — Further Evidence Needed</v>
      </c>
      <c r="DX136" s="5"/>
      <c r="DY136" s="5"/>
      <c r="DZ136" s="5"/>
      <c r="EA136" s="5"/>
      <c r="EB136" s="5" t="str">
        <f t="shared" si="99"/>
        <v>MISSING — No sources reviewed</v>
      </c>
      <c r="EC136" s="5" t="str">
        <f t="shared" si="100"/>
        <v/>
      </c>
    </row>
    <row r="137" spans="1:133" ht="18" customHeight="1" x14ac:dyDescent="0.15">
      <c r="A137" s="5" t="s">
        <v>745</v>
      </c>
      <c r="B137" s="5" t="s">
        <v>746</v>
      </c>
      <c r="C137" s="5" t="str">
        <f>IF(ISBLANK('Universe Tracker'!D112),"",'Universe Tracker'!D112)</f>
        <v>ES0130670112</v>
      </c>
      <c r="D137" s="5"/>
      <c r="E137" s="5"/>
      <c r="F137" s="5" t="str">
        <f>IF(ISBLANK('Universe Tracker'!F112),"",'Universe Tracker'!F112)</f>
        <v>Utilities</v>
      </c>
      <c r="G137" s="5" t="str">
        <f>IF(ISBLANK('Universe Tracker'!G112),"",'Universe Tracker'!G112)</f>
        <v>Utilities</v>
      </c>
      <c r="H137" s="5"/>
      <c r="I137" s="5"/>
      <c r="J137" s="5" t="str">
        <f t="shared" si="88"/>
        <v>ENA_ES0130670112</v>
      </c>
      <c r="K137" s="5"/>
      <c r="L137" s="5"/>
      <c r="M137" s="5"/>
      <c r="N137" s="5"/>
      <c r="O137" s="5"/>
      <c r="P137" s="5"/>
      <c r="Q137" s="5"/>
      <c r="R137" s="5"/>
      <c r="S137" s="5"/>
      <c r="T137" s="5"/>
      <c r="U137" s="5"/>
      <c r="V137" s="5"/>
      <c r="W137" s="5"/>
      <c r="X137" s="5"/>
      <c r="Y137" s="5" t="str">
        <f t="shared" si="89"/>
        <v>Insufficient</v>
      </c>
      <c r="Z137" s="5"/>
      <c r="AA137" s="5"/>
      <c r="AB137" s="5"/>
      <c r="AC137" s="5"/>
      <c r="AD137" s="5"/>
      <c r="AE137" s="5"/>
      <c r="AF137" s="5"/>
      <c r="AG137" s="5"/>
      <c r="AH137" s="5"/>
      <c r="AI137" s="5"/>
      <c r="AJ137" s="5"/>
      <c r="AK137" s="5"/>
      <c r="AL137" s="5"/>
      <c r="AM137" s="5"/>
      <c r="AN137" s="5"/>
      <c r="AO137" s="5"/>
      <c r="AP137" s="5"/>
      <c r="AQ137" s="5"/>
      <c r="AR137" s="40">
        <f t="array" ref="AR137">MIN(100, MAX(0,
  IFERROR(_xlfn.XLOOKUP(AJ137,'Lookup Tables'!$A$2:$A$7,'Lookup Tables'!$B$2:$B$7,0),0)
  + IF(Z137="Yes", IF(IFERROR(_xlfn.XLOOKUP(AJ137,'Lookup Tables'!$A$2:$A$7,'Lookup Tables'!$B$2:$B$7,0),0)&lt;20, 5, 0), 0)
  + _xlfn.IFS(AB137="Yes", IF(ISNUMBER(AC137)*AND(AC137&lt;=2030),15,10), AB137="Long-term Only", 5, AB137="No", 0, TRUE, 0)
  + _xlfn.IFS(AF137="Full",10, AF137="Partial",5, AF137="Scope 2 Only",3, TRUE,0)
  + _xlfn.IFS(AG137="Yes", IF(ISNUMBER(AH137)*AND(AH137&gt;=5),10,6), AG137="Partial",4, TRUE,0)
  + _xlfn.IFS(AI137="Yes",5, AI137="Partial (material categories only)",3, TRUE,0)
  + _xlfn.IFS(AL137="Yes — Detailed",10, AL137="Yes — High Level",5, TRUE,0)
  + _xlfn.IFS(AM137="Yes — Quantified",15, AM137="Yes — Directional Only",7, TRUE,0)
  + _xlfn.IFS(AP137="Formal",5, AP137="Referenced",2, TRUE,0)
  + _xlfn.IFS(AQ137="No Issues Found",5, AQ137="Concern Identified",-5, AQ137="Severe Contradiction",-15, TRUE,0)
  + _xlfn.IFS(BC137="Reasonable Assurance",5, BC137="Limited Assurance",3, TRUE,0)
  - IF(AND(Z137="Yes", AI137="No"), 10, 0)
  - IF(AND(Z137="Yes", AM137="No"), 10, 0)
))</f>
        <v>0</v>
      </c>
      <c r="AS137" s="5"/>
      <c r="AT137" s="5"/>
      <c r="AU137" s="5"/>
      <c r="AV137" s="5"/>
      <c r="AW137" s="5"/>
      <c r="AX137" s="5"/>
      <c r="AY137" s="5"/>
      <c r="AZ137" s="5"/>
      <c r="BA137" s="5"/>
      <c r="BB137" s="5"/>
      <c r="BC137" s="5"/>
      <c r="BD137" s="5"/>
      <c r="BE137" s="39">
        <f t="array" ref="BE137">MIN(100, MAX(0,
  IFERROR(_xlfn.XLOOKUP(AT137,'Lookup Tables'!$D$2:$D$6,'Lookup Tables'!$E$2:$E$6,0),0)
  + IFERROR(_xlfn.XLOOKUP(AV137,'Lookup Tables'!$G$2:$G$5,'Lookup Tables'!$H$2:$H$5,0),0)
  + IFERROR(_xlfn.XLOOKUP(AW137,'Lookup Tables'!$J$2:$J$5,'Lookup Tables'!$K$2:$K$5,0),0)
  + _xlfn.IFS(AX137="No Issues",10, AX137="Complaint Filed",3, AX137="Confirmed Breach",-15, TRUE,0)
  + IFERROR(_xlfn.XLOOKUP(AY137,'Lookup Tables'!$M$2:$M$6,'Lookup Tables'!$N$2:$N$6,0),0)
  + IFERROR(_xlfn.XLOOKUP(AZ137,'Lookup Tables'!$P$2:$P$6,'Lookup Tables'!$Q$2:$Q$6,0),0)
  + _xlfn.IFS(BA137="Formal Board Committee",5, BA137="Board Oversight Mentioned",2, TRUE,0)
  + _xlfn.IFS(BB137="Yes — Quantified Targets",5, BB137="Yes — Discretionary Only",2, TRUE,0)
  + _xlfn.IFS(BC137="Reasonable Assurance",5, BC137="Limited Assurance",3, BC137="Management Review Only",1, TRUE,0)
))</f>
        <v>0</v>
      </c>
      <c r="BF137" s="5"/>
      <c r="BG137" s="5"/>
      <c r="BH137" s="5"/>
      <c r="BI137" s="5"/>
      <c r="BJ137" s="5"/>
      <c r="BK137" s="5"/>
      <c r="BL137" s="5"/>
      <c r="BM137" s="5"/>
      <c r="BN137" s="5"/>
      <c r="BO137" s="5"/>
      <c r="BP137" s="5"/>
      <c r="BQ137" s="5"/>
      <c r="BR137" s="5"/>
      <c r="BS137" s="41">
        <f t="array" ref="BS137">MIN(100, MAX(0,
  IFERROR(_xlfn.XLOOKUP(BG137,'Lookup Tables'!$A$11:$A$16,'Lookup Tables'!$B$11:$B$16,0),0)
  + IFERROR(_xlfn.XLOOKUP(BR137,'Lookup Tables'!$M$11:$M$14,'Lookup Tables'!$N$11:$N$14,0),0)
  + IFERROR(_xlfn.XLOOKUP(BQ137,'Lookup Tables'!$J$11:$J$15,'Lookup Tables'!$K$11:$K$15,0),0)
  + IFERROR(_xlfn.XLOOKUP(BH137,'Lookup Tables'!$D$11:$D$15,'Lookup Tables'!$E$11:$E$15,0),0)
  + IFERROR(_xlfn.XLOOKUP(BJ137,'Lookup Tables'!$G$11:$G$16,'Lookup Tables'!$H$11:$H$16,0),0)
  + IFERROR(_xlfn.XLOOKUP(BN137,'Lookup Tables'!$P$11:$P$15,'Lookup Tables'!$Q$11:$Q$15,0),0)
  + _xlfn.IFS(BM137="No Evidence",10, BM137="Unknown",3, BM137="Likely",0, BM137="Confirmed",-10, TRUE,3)
  + IFERROR(_xlfn.XLOOKUP(BP137,'Lookup Tables'!$J$21:$J$24,'Lookup Tables'!$K$21:$K$24,0),0)
))</f>
        <v>3</v>
      </c>
      <c r="BT137" s="5"/>
      <c r="BU137" s="5"/>
      <c r="BV137" s="5"/>
      <c r="BW137" s="5"/>
      <c r="BX137" s="5"/>
      <c r="BY137" s="5"/>
      <c r="BZ137" s="5"/>
      <c r="CA137" s="5"/>
      <c r="CB137" s="5"/>
      <c r="CC137" s="5"/>
      <c r="CD137" s="5"/>
      <c r="CE137" s="43">
        <f t="array" ref="CE137">MIN(100, MAX(0,
  IF(ISNUMBER(BV137)*AND(BV137&gt;0), 10, 0)
  + _xlfn.IFS(BY137="Independently Verified",25, BY137="Yes",15, TRUE,0)
  + IFERROR(_xlfn.XLOOKUP(BZ137,'Lookup Tables'!$A$21:$A$24,'Lookup Tables'!$B$21:$B$24,0),0)
  + IFERROR(_xlfn.XLOOKUP(CA137,'Lookup Tables'!$D$21:$D$24,'Lookup Tables'!$E$21:$E$24,0),0)
  + _xlfn.IFS(ISNUMBER(CB137)*AND(CB137&gt;=11),15, ISNUMBER(CB137)*AND(CB137&gt;=6),10, ISNUMBER(CB137)*AND(CB137&gt;=1),5, TRUE,0)
  + IFERROR(_xlfn.XLOOKUP(CC137,'Lookup Tables'!$G$21:$G$25,'Lookup Tables'!$H$21:$H$25,0),0)
  - IF(ISNUMBER(BW137)*AND(ISNUMBER(BV137))*AND(BW137&gt;BV137), 20, 0)
  - IF(AND(BY137="Yes", ISNUMBER(BW137), BW137&gt;60), 10, 0)
))</f>
        <v>0</v>
      </c>
      <c r="CF137" s="5"/>
      <c r="CG137" s="5"/>
      <c r="CH137" s="5"/>
      <c r="CI137" s="5"/>
      <c r="CJ137" s="5"/>
      <c r="CK137" s="5"/>
      <c r="CL137" s="5"/>
      <c r="CM137" s="5"/>
      <c r="CN137" s="5"/>
      <c r="CO137" s="5"/>
      <c r="CP137" s="5"/>
      <c r="CQ137" s="5"/>
      <c r="CR137" s="5">
        <f t="shared" si="90"/>
        <v>0</v>
      </c>
      <c r="CS137" s="5">
        <f t="shared" si="91"/>
        <v>0</v>
      </c>
      <c r="CT137" s="5">
        <f t="shared" si="92"/>
        <v>0</v>
      </c>
      <c r="CU137" s="5">
        <f>MIN(100,
  CR137*15
  + CS137*6
  + CT137*3
  + IFERROR(_xlfn.XLOOKUP(CW137,'Lookup Tables'!$M$21:$M$25,'Lookup Tables'!$N$21:$N$25,0),0)
)</f>
        <v>0</v>
      </c>
      <c r="CV137" s="5" t="str">
        <f t="shared" si="93"/>
        <v>No failures</v>
      </c>
      <c r="CW137" s="5"/>
      <c r="CX137" s="5"/>
      <c r="CY137" s="5"/>
      <c r="CZ137" s="5"/>
      <c r="DA137" s="5" t="str">
        <f t="shared" si="94"/>
        <v>Yes</v>
      </c>
      <c r="DB137" s="5" t="str">
        <f t="shared" si="95"/>
        <v>No</v>
      </c>
      <c r="DC137" s="5"/>
      <c r="DD137" s="5"/>
      <c r="DE137" s="5"/>
      <c r="DF137" s="5"/>
      <c r="DG137" s="5"/>
      <c r="DH137" s="5"/>
      <c r="DI137" s="5"/>
      <c r="DJ137" s="5"/>
      <c r="DK137" s="5"/>
      <c r="DL137" s="5" t="str">
        <f t="shared" si="96"/>
        <v>Clear</v>
      </c>
      <c r="DM137" s="5" t="str">
        <f t="shared" si="97"/>
        <v>Yes</v>
      </c>
      <c r="DN137" s="5">
        <f t="array" ref="DN137">MIN(100,
  IF(ISNUMBER(V137), _xlfn.IFS(V137&gt;=3,25, V137=2,15, V137=1,5, TRUE,0), 0)
  + IFERROR(_xlfn.IFS(VALUE(LEFT(DF137,1))=5,25, VALUE(LEFT(DF137,1))=4,20, VALUE(LEFT(DF137,1))=3,15, VALUE(LEFT(DF137,1))=2,8, TRUE,0), 15)
  + IFERROR(_xlfn.IFS(VALUE(LEFT(DG137,1))=5,25, VALUE(LEFT(DG137,1))=4,20, VALUE(LEFT(DG137,1))=3,15, VALUE(LEFT(DG137,1))=2,8, TRUE,0), 15)
  + _xlfn.IFS(DH137="Fully Verified",25, DH137="Partially Verified",12, TRUE,0)
)</f>
        <v>30</v>
      </c>
      <c r="DO137" s="5" t="str">
        <f t="array" ref="DO137">_xlfn.IFS(
  ISBLANK(AR137), "Insufficient Evidence",
  AND(AR137&gt;=65, AJ137="Approved"), "Strong",
  AR137&gt;=65, "Adequate",
  AR137&gt;=40, "Adequate",
  AR137&gt;=20, "Weak",
  TRUE, "Insufficient Evidence"
)</f>
        <v>Insufficient Evidence</v>
      </c>
      <c r="DP137" s="5" t="str">
        <f t="array" ref="DP137">_xlfn.IFS(
  ISBLANK(BS137), "Insufficient Evidence",
  BS137&gt;=65, "Strong",
  BS137&gt;=40, "Adequate",
  BS137&gt;=20, "Weak",
  TRUE, "Insufficient Evidence"
)</f>
        <v>Insufficient Evidence</v>
      </c>
      <c r="DQ137" s="5" t="str">
        <f t="array" ref="DQ137">_xlfn.IFS(
  ISBLANK(BE137), "Insufficient Evidence",
  OR(AW137="Confirmed Violation", AX137="Confirmed Breach"), "Severe — Hard Trigger",
  BE137&gt;=65, "Strong",
  BE137&gt;=40, "Adequate",
  BE137&gt;=20, "Weak",
  TRUE, "Insufficient Evidence"
)</f>
        <v>Insufficient Evidence</v>
      </c>
      <c r="DR137" s="5" t="str">
        <f t="array" ref="DR137">_xlfn.IFS(
  ISBLANK(CU137), "Insufficient Evidence",
  CU137&lt;=20, "Low Risk",
  CU137&lt;=50, "Moderate Risk",
  CU137&lt;=75, "High Risk",
  TRUE, "Very High Risk"
)</f>
        <v>Low Risk</v>
      </c>
      <c r="DS137" s="5" t="str">
        <f t="array" ref="DS137">_xlfn.IFS(
  ISBLANK(CE137), "Insufficient Evidence",
  AND(ISNUMBER(BW137),ISNUMBER(BV137),BW137&gt;BV137), "Overclaiming Risk",
  CE137&gt;=65, "Strong",
  CE137&gt;=40, "Adequate",
  TRUE, "Weak"
)</f>
        <v>Weak</v>
      </c>
      <c r="DT137" s="5">
        <f t="shared" si="98"/>
        <v>11.7</v>
      </c>
      <c r="DU137" s="5" t="str">
        <f t="array" ref="DU137">_xlfn.IFS(
  DV137="Upgraded to Clear", "Clear",
  DV137="Downgraded to Watchlist", "Watchlist",
  DV137="Downgraded to Exclusion", "Exclusion Risk",
  DB137="Yes — Automatic", "Exclusion Risk",
  OR(AW137="Confirmed Violation", AX137="Confirmed Breach"), "Exclusion Risk",
  OR(V137=0, ISBLANK(V137), DN137&lt;20), "Insufficient Evidence",
  AND(DT137&gt;=65, DA137="No", DB137="No"), "Clear",
  OR(DT137&gt;=40, DA137="Yes"), "Watchlist",
  TRUE, "Exclusion Risk"
)</f>
        <v>Insufficient Evidence</v>
      </c>
      <c r="DV137" s="5"/>
      <c r="DW137" s="5" t="str">
        <f t="array" ref="DW137">_xlfn.IFS(
  DU137="Exclusion Risk", "Exclude — Hard Trigger",
  DU137="Insufficient Evidence", "Watchlist — Further Evidence Needed",
  DU137="Watchlist", "Watchlist — Further Evidence Needed",
  AND(DU137="Clear", DT137&gt;=80), "Include — No Conditions",
  DU137="Clear", "Include — Monitor",
  TRUE, "Watchlist — Further Evidence Needed"
)</f>
        <v>Watchlist — Further Evidence Needed</v>
      </c>
      <c r="DX137" s="5"/>
      <c r="DY137" s="5"/>
      <c r="DZ137" s="5"/>
      <c r="EA137" s="5"/>
      <c r="EB137" s="5" t="str">
        <f t="shared" si="99"/>
        <v>MISSING — No sources reviewed</v>
      </c>
      <c r="EC137" s="5" t="str">
        <f t="shared" si="100"/>
        <v/>
      </c>
    </row>
    <row r="138" spans="1:133" ht="18" customHeight="1" x14ac:dyDescent="0.15">
      <c r="A138" s="5" t="s">
        <v>749</v>
      </c>
      <c r="B138" s="5" t="s">
        <v>750</v>
      </c>
      <c r="C138" s="5" t="str">
        <f>IF(ISBLANK('Universe Tracker'!D113),"",'Universe Tracker'!D113)</f>
        <v>ES0118900010</v>
      </c>
      <c r="D138" s="5"/>
      <c r="E138" s="5"/>
      <c r="F138" s="5" t="str">
        <f>IF(ISBLANK('Universe Tracker'!F113),"",'Universe Tracker'!F113)</f>
        <v>Industrials</v>
      </c>
      <c r="G138" s="5" t="str">
        <f>IF(ISBLANK('Universe Tracker'!G113),"",'Universe Tracker'!G113)</f>
        <v>Industrial Services</v>
      </c>
      <c r="H138" s="5"/>
      <c r="I138" s="5"/>
      <c r="J138" s="5" t="str">
        <f t="shared" si="88"/>
        <v>UFG_ES0118900010</v>
      </c>
      <c r="K138" s="5"/>
      <c r="L138" s="5"/>
      <c r="M138" s="5"/>
      <c r="N138" s="5"/>
      <c r="O138" s="5"/>
      <c r="P138" s="5"/>
      <c r="Q138" s="5"/>
      <c r="R138" s="5"/>
      <c r="S138" s="5"/>
      <c r="T138" s="5"/>
      <c r="U138" s="5"/>
      <c r="V138" s="5"/>
      <c r="W138" s="5"/>
      <c r="X138" s="5"/>
      <c r="Y138" s="5" t="str">
        <f t="shared" si="89"/>
        <v>Insufficient</v>
      </c>
      <c r="Z138" s="5"/>
      <c r="AA138" s="5"/>
      <c r="AB138" s="5"/>
      <c r="AC138" s="5"/>
      <c r="AD138" s="5"/>
      <c r="AE138" s="5"/>
      <c r="AF138" s="5"/>
      <c r="AG138" s="5"/>
      <c r="AH138" s="5"/>
      <c r="AI138" s="5"/>
      <c r="AJ138" s="5"/>
      <c r="AK138" s="5"/>
      <c r="AL138" s="5"/>
      <c r="AM138" s="5"/>
      <c r="AN138" s="5"/>
      <c r="AO138" s="5"/>
      <c r="AP138" s="5"/>
      <c r="AQ138" s="5"/>
      <c r="AR138" s="40">
        <f t="array" ref="AR138">MIN(100, MAX(0,
  IFERROR(_xlfn.XLOOKUP(AJ138,'Lookup Tables'!$A$2:$A$7,'Lookup Tables'!$B$2:$B$7,0),0)
  + IF(Z138="Yes", IF(IFERROR(_xlfn.XLOOKUP(AJ138,'Lookup Tables'!$A$2:$A$7,'Lookup Tables'!$B$2:$B$7,0),0)&lt;20, 5, 0), 0)
  + _xlfn.IFS(AB138="Yes", IF(ISNUMBER(AC138)*AND(AC138&lt;=2030),15,10), AB138="Long-term Only", 5, AB138="No", 0, TRUE, 0)
  + _xlfn.IFS(AF138="Full",10, AF138="Partial",5, AF138="Scope 2 Only",3, TRUE,0)
  + _xlfn.IFS(AG138="Yes", IF(ISNUMBER(AH138)*AND(AH138&gt;=5),10,6), AG138="Partial",4, TRUE,0)
  + _xlfn.IFS(AI138="Yes",5, AI138="Partial (material categories only)",3, TRUE,0)
  + _xlfn.IFS(AL138="Yes — Detailed",10, AL138="Yes — High Level",5, TRUE,0)
  + _xlfn.IFS(AM138="Yes — Quantified",15, AM138="Yes — Directional Only",7, TRUE,0)
  + _xlfn.IFS(AP138="Formal",5, AP138="Referenced",2, TRUE,0)
  + _xlfn.IFS(AQ138="No Issues Found",5, AQ138="Concern Identified",-5, AQ138="Severe Contradiction",-15, TRUE,0)
  + _xlfn.IFS(BC138="Reasonable Assurance",5, BC138="Limited Assurance",3, TRUE,0)
  - IF(AND(Z138="Yes", AI138="No"), 10, 0)
  - IF(AND(Z138="Yes", AM138="No"), 10, 0)
))</f>
        <v>0</v>
      </c>
      <c r="AS138" s="5"/>
      <c r="AT138" s="5"/>
      <c r="AU138" s="5"/>
      <c r="AV138" s="5"/>
      <c r="AW138" s="5"/>
      <c r="AX138" s="5"/>
      <c r="AY138" s="5"/>
      <c r="AZ138" s="5"/>
      <c r="BA138" s="5"/>
      <c r="BB138" s="5"/>
      <c r="BC138" s="5"/>
      <c r="BD138" s="5"/>
      <c r="BE138" s="39">
        <f t="array" ref="BE138">MIN(100, MAX(0,
  IFERROR(_xlfn.XLOOKUP(AT138,'Lookup Tables'!$D$2:$D$6,'Lookup Tables'!$E$2:$E$6,0),0)
  + IFERROR(_xlfn.XLOOKUP(AV138,'Lookup Tables'!$G$2:$G$5,'Lookup Tables'!$H$2:$H$5,0),0)
  + IFERROR(_xlfn.XLOOKUP(AW138,'Lookup Tables'!$J$2:$J$5,'Lookup Tables'!$K$2:$K$5,0),0)
  + _xlfn.IFS(AX138="No Issues",10, AX138="Complaint Filed",3, AX138="Confirmed Breach",-15, TRUE,0)
  + IFERROR(_xlfn.XLOOKUP(AY138,'Lookup Tables'!$M$2:$M$6,'Lookup Tables'!$N$2:$N$6,0),0)
  + IFERROR(_xlfn.XLOOKUP(AZ138,'Lookup Tables'!$P$2:$P$6,'Lookup Tables'!$Q$2:$Q$6,0),0)
  + _xlfn.IFS(BA138="Formal Board Committee",5, BA138="Board Oversight Mentioned",2, TRUE,0)
  + _xlfn.IFS(BB138="Yes — Quantified Targets",5, BB138="Yes — Discretionary Only",2, TRUE,0)
  + _xlfn.IFS(BC138="Reasonable Assurance",5, BC138="Limited Assurance",3, BC138="Management Review Only",1, TRUE,0)
))</f>
        <v>0</v>
      </c>
      <c r="BF138" s="5"/>
      <c r="BG138" s="5"/>
      <c r="BH138" s="5"/>
      <c r="BI138" s="5"/>
      <c r="BJ138" s="5"/>
      <c r="BK138" s="5"/>
      <c r="BL138" s="5"/>
      <c r="BM138" s="5"/>
      <c r="BN138" s="5"/>
      <c r="BO138" s="5"/>
      <c r="BP138" s="5"/>
      <c r="BQ138" s="5"/>
      <c r="BR138" s="5"/>
      <c r="BS138" s="41">
        <f t="array" ref="BS138">MIN(100, MAX(0,
  IFERROR(_xlfn.XLOOKUP(BG138,'Lookup Tables'!$A$11:$A$16,'Lookup Tables'!$B$11:$B$16,0),0)
  + IFERROR(_xlfn.XLOOKUP(BR138,'Lookup Tables'!$M$11:$M$14,'Lookup Tables'!$N$11:$N$14,0),0)
  + IFERROR(_xlfn.XLOOKUP(BQ138,'Lookup Tables'!$J$11:$J$15,'Lookup Tables'!$K$11:$K$15,0),0)
  + IFERROR(_xlfn.XLOOKUP(BH138,'Lookup Tables'!$D$11:$D$15,'Lookup Tables'!$E$11:$E$15,0),0)
  + IFERROR(_xlfn.XLOOKUP(BJ138,'Lookup Tables'!$G$11:$G$16,'Lookup Tables'!$H$11:$H$16,0),0)
  + IFERROR(_xlfn.XLOOKUP(BN138,'Lookup Tables'!$P$11:$P$15,'Lookup Tables'!$Q$11:$Q$15,0),0)
  + _xlfn.IFS(BM138="No Evidence",10, BM138="Unknown",3, BM138="Likely",0, BM138="Confirmed",-10, TRUE,3)
  + IFERROR(_xlfn.XLOOKUP(BP138,'Lookup Tables'!$J$21:$J$24,'Lookup Tables'!$K$21:$K$24,0),0)
))</f>
        <v>3</v>
      </c>
      <c r="BT138" s="5"/>
      <c r="BU138" s="5"/>
      <c r="BV138" s="5"/>
      <c r="BW138" s="5"/>
      <c r="BX138" s="5"/>
      <c r="BY138" s="5"/>
      <c r="BZ138" s="5"/>
      <c r="CA138" s="5"/>
      <c r="CB138" s="5"/>
      <c r="CC138" s="5"/>
      <c r="CD138" s="5"/>
      <c r="CE138" s="43">
        <f t="array" ref="CE138">MIN(100, MAX(0,
  IF(ISNUMBER(BV138)*AND(BV138&gt;0), 10, 0)
  + _xlfn.IFS(BY138="Independently Verified",25, BY138="Yes",15, TRUE,0)
  + IFERROR(_xlfn.XLOOKUP(BZ138,'Lookup Tables'!$A$21:$A$24,'Lookup Tables'!$B$21:$B$24,0),0)
  + IFERROR(_xlfn.XLOOKUP(CA138,'Lookup Tables'!$D$21:$D$24,'Lookup Tables'!$E$21:$E$24,0),0)
  + _xlfn.IFS(ISNUMBER(CB138)*AND(CB138&gt;=11),15, ISNUMBER(CB138)*AND(CB138&gt;=6),10, ISNUMBER(CB138)*AND(CB138&gt;=1),5, TRUE,0)
  + IFERROR(_xlfn.XLOOKUP(CC138,'Lookup Tables'!$G$21:$G$25,'Lookup Tables'!$H$21:$H$25,0),0)
  - IF(ISNUMBER(BW138)*AND(ISNUMBER(BV138))*AND(BW138&gt;BV138), 20, 0)
  - IF(AND(BY138="Yes", ISNUMBER(BW138), BW138&gt;60), 10, 0)
))</f>
        <v>0</v>
      </c>
      <c r="CF138" s="5"/>
      <c r="CG138" s="5"/>
      <c r="CH138" s="5"/>
      <c r="CI138" s="5"/>
      <c r="CJ138" s="5"/>
      <c r="CK138" s="5"/>
      <c r="CL138" s="5"/>
      <c r="CM138" s="5"/>
      <c r="CN138" s="5"/>
      <c r="CO138" s="5"/>
      <c r="CP138" s="5"/>
      <c r="CQ138" s="5"/>
      <c r="CR138" s="5">
        <f t="shared" si="90"/>
        <v>0</v>
      </c>
      <c r="CS138" s="5">
        <f t="shared" si="91"/>
        <v>0</v>
      </c>
      <c r="CT138" s="5">
        <f t="shared" si="92"/>
        <v>0</v>
      </c>
      <c r="CU138" s="5">
        <f>MIN(100,
  CR138*15
  + CS138*6
  + CT138*3
  + IFERROR(_xlfn.XLOOKUP(CW138,'Lookup Tables'!$M$21:$M$25,'Lookup Tables'!$N$21:$N$25,0),0)
)</f>
        <v>0</v>
      </c>
      <c r="CV138" s="5" t="str">
        <f t="shared" si="93"/>
        <v>No failures</v>
      </c>
      <c r="CW138" s="5"/>
      <c r="CX138" s="5"/>
      <c r="CY138" s="5"/>
      <c r="CZ138" s="5"/>
      <c r="DA138" s="5" t="str">
        <f t="shared" si="94"/>
        <v>Yes</v>
      </c>
      <c r="DB138" s="5" t="str">
        <f t="shared" si="95"/>
        <v>No</v>
      </c>
      <c r="DC138" s="5"/>
      <c r="DD138" s="5"/>
      <c r="DE138" s="5"/>
      <c r="DF138" s="5"/>
      <c r="DG138" s="5"/>
      <c r="DH138" s="5"/>
      <c r="DI138" s="5"/>
      <c r="DJ138" s="5"/>
      <c r="DK138" s="5"/>
      <c r="DL138" s="5" t="str">
        <f t="shared" si="96"/>
        <v>Clear</v>
      </c>
      <c r="DM138" s="5" t="str">
        <f t="shared" si="97"/>
        <v>Yes</v>
      </c>
      <c r="DN138" s="5">
        <f t="array" ref="DN138">MIN(100,
  IF(ISNUMBER(V138), _xlfn.IFS(V138&gt;=3,25, V138=2,15, V138=1,5, TRUE,0), 0)
  + IFERROR(_xlfn.IFS(VALUE(LEFT(DF138,1))=5,25, VALUE(LEFT(DF138,1))=4,20, VALUE(LEFT(DF138,1))=3,15, VALUE(LEFT(DF138,1))=2,8, TRUE,0), 15)
  + IFERROR(_xlfn.IFS(VALUE(LEFT(DG138,1))=5,25, VALUE(LEFT(DG138,1))=4,20, VALUE(LEFT(DG138,1))=3,15, VALUE(LEFT(DG138,1))=2,8, TRUE,0), 15)
  + _xlfn.IFS(DH138="Fully Verified",25, DH138="Partially Verified",12, TRUE,0)
)</f>
        <v>30</v>
      </c>
      <c r="DO138" s="5" t="str">
        <f t="array" ref="DO138">_xlfn.IFS(
  ISBLANK(AR138), "Insufficient Evidence",
  AND(AR138&gt;=65, AJ138="Approved"), "Strong",
  AR138&gt;=65, "Adequate",
  AR138&gt;=40, "Adequate",
  AR138&gt;=20, "Weak",
  TRUE, "Insufficient Evidence"
)</f>
        <v>Insufficient Evidence</v>
      </c>
      <c r="DP138" s="5" t="str">
        <f t="array" ref="DP138">_xlfn.IFS(
  ISBLANK(BS138), "Insufficient Evidence",
  BS138&gt;=65, "Strong",
  BS138&gt;=40, "Adequate",
  BS138&gt;=20, "Weak",
  TRUE, "Insufficient Evidence"
)</f>
        <v>Insufficient Evidence</v>
      </c>
      <c r="DQ138" s="5" t="str">
        <f t="array" ref="DQ138">_xlfn.IFS(
  ISBLANK(BE138), "Insufficient Evidence",
  OR(AW138="Confirmed Violation", AX138="Confirmed Breach"), "Severe — Hard Trigger",
  BE138&gt;=65, "Strong",
  BE138&gt;=40, "Adequate",
  BE138&gt;=20, "Weak",
  TRUE, "Insufficient Evidence"
)</f>
        <v>Insufficient Evidence</v>
      </c>
      <c r="DR138" s="5" t="str">
        <f t="array" ref="DR138">_xlfn.IFS(
  ISBLANK(CU138), "Insufficient Evidence",
  CU138&lt;=20, "Low Risk",
  CU138&lt;=50, "Moderate Risk",
  CU138&lt;=75, "High Risk",
  TRUE, "Very High Risk"
)</f>
        <v>Low Risk</v>
      </c>
      <c r="DS138" s="5" t="str">
        <f t="array" ref="DS138">_xlfn.IFS(
  ISBLANK(CE138), "Insufficient Evidence",
  AND(ISNUMBER(BW138),ISNUMBER(BV138),BW138&gt;BV138), "Overclaiming Risk",
  CE138&gt;=65, "Strong",
  CE138&gt;=40, "Adequate",
  TRUE, "Weak"
)</f>
        <v>Weak</v>
      </c>
      <c r="DT138" s="5">
        <f t="shared" si="98"/>
        <v>11.7</v>
      </c>
      <c r="DU138" s="5" t="str">
        <f t="array" ref="DU138">_xlfn.IFS(
  DV138="Upgraded to Clear", "Clear",
  DV138="Downgraded to Watchlist", "Watchlist",
  DV138="Downgraded to Exclusion", "Exclusion Risk",
  DB138="Yes — Automatic", "Exclusion Risk",
  OR(AW138="Confirmed Violation", AX138="Confirmed Breach"), "Exclusion Risk",
  OR(V138=0, ISBLANK(V138), DN138&lt;20), "Insufficient Evidence",
  AND(DT138&gt;=65, DA138="No", DB138="No"), "Clear",
  OR(DT138&gt;=40, DA138="Yes"), "Watchlist",
  TRUE, "Exclusion Risk"
)</f>
        <v>Insufficient Evidence</v>
      </c>
      <c r="DV138" s="5"/>
      <c r="DW138" s="5" t="str">
        <f t="array" ref="DW138">_xlfn.IFS(
  DU138="Exclusion Risk", "Exclude — Hard Trigger",
  DU138="Insufficient Evidence", "Watchlist — Further Evidence Needed",
  DU138="Watchlist", "Watchlist — Further Evidence Needed",
  AND(DU138="Clear", DT138&gt;=80), "Include — No Conditions",
  DU138="Clear", "Include — Monitor",
  TRUE, "Watchlist — Further Evidence Needed"
)</f>
        <v>Watchlist — Further Evidence Needed</v>
      </c>
      <c r="DX138" s="5"/>
      <c r="DY138" s="5"/>
      <c r="DZ138" s="5"/>
      <c r="EA138" s="5"/>
      <c r="EB138" s="5" t="str">
        <f t="shared" si="99"/>
        <v>MISSING — No sources reviewed</v>
      </c>
      <c r="EC138" s="5" t="str">
        <f t="shared" si="100"/>
        <v/>
      </c>
    </row>
    <row r="139" spans="1:133" ht="18" customHeight="1" x14ac:dyDescent="0.15">
      <c r="A139" s="5" t="s">
        <v>753</v>
      </c>
      <c r="B139" s="5" t="s">
        <v>754</v>
      </c>
      <c r="C139" s="5" t="str">
        <f>IF(ISBLANK('Universe Tracker'!D114),"",'Universe Tracker'!D114)</f>
        <v>FI0009000681</v>
      </c>
      <c r="D139" s="5"/>
      <c r="E139" s="5"/>
      <c r="F139" s="5" t="str">
        <f>IF(ISBLANK('Universe Tracker'!F114),"",'Universe Tracker'!F114)</f>
        <v>Technology</v>
      </c>
      <c r="G139" s="5" t="str">
        <f>IF(ISBLANK('Universe Tracker'!G114),"",'Universe Tracker'!G114)</f>
        <v>Tech Hardware &amp; Semiconductors</v>
      </c>
      <c r="H139" s="5"/>
      <c r="I139" s="5"/>
      <c r="J139" s="5" t="str">
        <f t="shared" si="88"/>
        <v>NOA3_FI0009000681</v>
      </c>
      <c r="K139" s="5"/>
      <c r="L139" s="5"/>
      <c r="M139" s="5"/>
      <c r="N139" s="5"/>
      <c r="O139" s="5"/>
      <c r="P139" s="5"/>
      <c r="Q139" s="5"/>
      <c r="R139" s="5"/>
      <c r="S139" s="5"/>
      <c r="T139" s="5"/>
      <c r="U139" s="5"/>
      <c r="V139" s="5"/>
      <c r="W139" s="5"/>
      <c r="X139" s="5"/>
      <c r="Y139" s="5" t="str">
        <f t="shared" si="89"/>
        <v>Insufficient</v>
      </c>
      <c r="Z139" s="5"/>
      <c r="AA139" s="5"/>
      <c r="AB139" s="5"/>
      <c r="AC139" s="5"/>
      <c r="AD139" s="5"/>
      <c r="AE139" s="5"/>
      <c r="AF139" s="5"/>
      <c r="AG139" s="5"/>
      <c r="AH139" s="5"/>
      <c r="AI139" s="5"/>
      <c r="AJ139" s="5"/>
      <c r="AK139" s="5"/>
      <c r="AL139" s="5"/>
      <c r="AM139" s="5"/>
      <c r="AN139" s="5"/>
      <c r="AO139" s="5"/>
      <c r="AP139" s="5"/>
      <c r="AQ139" s="5"/>
      <c r="AR139" s="40">
        <f t="array" ref="AR139">MIN(100, MAX(0,
  IFERROR(_xlfn.XLOOKUP(AJ139,'Lookup Tables'!$A$2:$A$7,'Lookup Tables'!$B$2:$B$7,0),0)
  + IF(Z139="Yes", IF(IFERROR(_xlfn.XLOOKUP(AJ139,'Lookup Tables'!$A$2:$A$7,'Lookup Tables'!$B$2:$B$7,0),0)&lt;20, 5, 0), 0)
  + _xlfn.IFS(AB139="Yes", IF(ISNUMBER(AC139)*AND(AC139&lt;=2030),15,10), AB139="Long-term Only", 5, AB139="No", 0, TRUE, 0)
  + _xlfn.IFS(AF139="Full",10, AF139="Partial",5, AF139="Scope 2 Only",3, TRUE,0)
  + _xlfn.IFS(AG139="Yes", IF(ISNUMBER(AH139)*AND(AH139&gt;=5),10,6), AG139="Partial",4, TRUE,0)
  + _xlfn.IFS(AI139="Yes",5, AI139="Partial (material categories only)",3, TRUE,0)
  + _xlfn.IFS(AL139="Yes — Detailed",10, AL139="Yes — High Level",5, TRUE,0)
  + _xlfn.IFS(AM139="Yes — Quantified",15, AM139="Yes — Directional Only",7, TRUE,0)
  + _xlfn.IFS(AP139="Formal",5, AP139="Referenced",2, TRUE,0)
  + _xlfn.IFS(AQ139="No Issues Found",5, AQ139="Concern Identified",-5, AQ139="Severe Contradiction",-15, TRUE,0)
  + _xlfn.IFS(BC139="Reasonable Assurance",5, BC139="Limited Assurance",3, TRUE,0)
  - IF(AND(Z139="Yes", AI139="No"), 10, 0)
  - IF(AND(Z139="Yes", AM139="No"), 10, 0)
))</f>
        <v>0</v>
      </c>
      <c r="AS139" s="5"/>
      <c r="AT139" s="5"/>
      <c r="AU139" s="5"/>
      <c r="AV139" s="5"/>
      <c r="AW139" s="5"/>
      <c r="AX139" s="5"/>
      <c r="AY139" s="5"/>
      <c r="AZ139" s="5"/>
      <c r="BA139" s="5"/>
      <c r="BB139" s="5"/>
      <c r="BC139" s="5"/>
      <c r="BD139" s="5"/>
      <c r="BE139" s="39">
        <f t="array" ref="BE139">MIN(100, MAX(0,
  IFERROR(_xlfn.XLOOKUP(AT139,'Lookup Tables'!$D$2:$D$6,'Lookup Tables'!$E$2:$E$6,0),0)
  + IFERROR(_xlfn.XLOOKUP(AV139,'Lookup Tables'!$G$2:$G$5,'Lookup Tables'!$H$2:$H$5,0),0)
  + IFERROR(_xlfn.XLOOKUP(AW139,'Lookup Tables'!$J$2:$J$5,'Lookup Tables'!$K$2:$K$5,0),0)
  + _xlfn.IFS(AX139="No Issues",10, AX139="Complaint Filed",3, AX139="Confirmed Breach",-15, TRUE,0)
  + IFERROR(_xlfn.XLOOKUP(AY139,'Lookup Tables'!$M$2:$M$6,'Lookup Tables'!$N$2:$N$6,0),0)
  + IFERROR(_xlfn.XLOOKUP(AZ139,'Lookup Tables'!$P$2:$P$6,'Lookup Tables'!$Q$2:$Q$6,0),0)
  + _xlfn.IFS(BA139="Formal Board Committee",5, BA139="Board Oversight Mentioned",2, TRUE,0)
  + _xlfn.IFS(BB139="Yes — Quantified Targets",5, BB139="Yes — Discretionary Only",2, TRUE,0)
  + _xlfn.IFS(BC139="Reasonable Assurance",5, BC139="Limited Assurance",3, BC139="Management Review Only",1, TRUE,0)
))</f>
        <v>0</v>
      </c>
      <c r="BF139" s="5"/>
      <c r="BG139" s="5"/>
      <c r="BH139" s="5"/>
      <c r="BI139" s="5"/>
      <c r="BJ139" s="5"/>
      <c r="BK139" s="5"/>
      <c r="BL139" s="5"/>
      <c r="BM139" s="5"/>
      <c r="BN139" s="5"/>
      <c r="BO139" s="5"/>
      <c r="BP139" s="5"/>
      <c r="BQ139" s="5"/>
      <c r="BR139" s="5"/>
      <c r="BS139" s="41">
        <f t="array" ref="BS139">MIN(100, MAX(0,
  IFERROR(_xlfn.XLOOKUP(BG139,'Lookup Tables'!$A$11:$A$16,'Lookup Tables'!$B$11:$B$16,0),0)
  + IFERROR(_xlfn.XLOOKUP(BR139,'Lookup Tables'!$M$11:$M$14,'Lookup Tables'!$N$11:$N$14,0),0)
  + IFERROR(_xlfn.XLOOKUP(BQ139,'Lookup Tables'!$J$11:$J$15,'Lookup Tables'!$K$11:$K$15,0),0)
  + IFERROR(_xlfn.XLOOKUP(BH139,'Lookup Tables'!$D$11:$D$15,'Lookup Tables'!$E$11:$E$15,0),0)
  + IFERROR(_xlfn.XLOOKUP(BJ139,'Lookup Tables'!$G$11:$G$16,'Lookup Tables'!$H$11:$H$16,0),0)
  + IFERROR(_xlfn.XLOOKUP(BN139,'Lookup Tables'!$P$11:$P$15,'Lookup Tables'!$Q$11:$Q$15,0),0)
  + _xlfn.IFS(BM139="No Evidence",10, BM139="Unknown",3, BM139="Likely",0, BM139="Confirmed",-10, TRUE,3)
  + IFERROR(_xlfn.XLOOKUP(BP139,'Lookup Tables'!$J$21:$J$24,'Lookup Tables'!$K$21:$K$24,0),0)
))</f>
        <v>3</v>
      </c>
      <c r="BT139" s="5"/>
      <c r="BU139" s="5"/>
      <c r="BV139" s="5"/>
      <c r="BW139" s="5"/>
      <c r="BX139" s="5"/>
      <c r="BY139" s="5"/>
      <c r="BZ139" s="5"/>
      <c r="CA139" s="5"/>
      <c r="CB139" s="5"/>
      <c r="CC139" s="5"/>
      <c r="CD139" s="5"/>
      <c r="CE139" s="43">
        <f t="array" ref="CE139">MIN(100, MAX(0,
  IF(ISNUMBER(BV139)*AND(BV139&gt;0), 10, 0)
  + _xlfn.IFS(BY139="Independently Verified",25, BY139="Yes",15, TRUE,0)
  + IFERROR(_xlfn.XLOOKUP(BZ139,'Lookup Tables'!$A$21:$A$24,'Lookup Tables'!$B$21:$B$24,0),0)
  + IFERROR(_xlfn.XLOOKUP(CA139,'Lookup Tables'!$D$21:$D$24,'Lookup Tables'!$E$21:$E$24,0),0)
  + _xlfn.IFS(ISNUMBER(CB139)*AND(CB139&gt;=11),15, ISNUMBER(CB139)*AND(CB139&gt;=6),10, ISNUMBER(CB139)*AND(CB139&gt;=1),5, TRUE,0)
  + IFERROR(_xlfn.XLOOKUP(CC139,'Lookup Tables'!$G$21:$G$25,'Lookup Tables'!$H$21:$H$25,0),0)
  - IF(ISNUMBER(BW139)*AND(ISNUMBER(BV139))*AND(BW139&gt;BV139), 20, 0)
  - IF(AND(BY139="Yes", ISNUMBER(BW139), BW139&gt;60), 10, 0)
))</f>
        <v>0</v>
      </c>
      <c r="CF139" s="5"/>
      <c r="CG139" s="5"/>
      <c r="CH139" s="5"/>
      <c r="CI139" s="5"/>
      <c r="CJ139" s="5"/>
      <c r="CK139" s="5"/>
      <c r="CL139" s="5"/>
      <c r="CM139" s="5"/>
      <c r="CN139" s="5"/>
      <c r="CO139" s="5"/>
      <c r="CP139" s="5"/>
      <c r="CQ139" s="5"/>
      <c r="CR139" s="5">
        <f t="shared" si="90"/>
        <v>0</v>
      </c>
      <c r="CS139" s="5">
        <f t="shared" si="91"/>
        <v>0</v>
      </c>
      <c r="CT139" s="5">
        <f t="shared" si="92"/>
        <v>0</v>
      </c>
      <c r="CU139" s="5">
        <f>MIN(100,
  CR139*15
  + CS139*6
  + CT139*3
  + IFERROR(_xlfn.XLOOKUP(CW139,'Lookup Tables'!$M$21:$M$25,'Lookup Tables'!$N$21:$N$25,0),0)
)</f>
        <v>0</v>
      </c>
      <c r="CV139" s="5" t="str">
        <f t="shared" si="93"/>
        <v>No failures</v>
      </c>
      <c r="CW139" s="5"/>
      <c r="CX139" s="5"/>
      <c r="CY139" s="5"/>
      <c r="CZ139" s="5"/>
      <c r="DA139" s="5" t="str">
        <f t="shared" si="94"/>
        <v>Yes</v>
      </c>
      <c r="DB139" s="5" t="str">
        <f t="shared" si="95"/>
        <v>No</v>
      </c>
      <c r="DC139" s="5"/>
      <c r="DD139" s="5"/>
      <c r="DE139" s="5"/>
      <c r="DF139" s="5"/>
      <c r="DG139" s="5"/>
      <c r="DH139" s="5"/>
      <c r="DI139" s="5"/>
      <c r="DJ139" s="5"/>
      <c r="DK139" s="5"/>
      <c r="DL139" s="5" t="str">
        <f t="shared" si="96"/>
        <v>Clear</v>
      </c>
      <c r="DM139" s="5" t="str">
        <f t="shared" si="97"/>
        <v>Yes</v>
      </c>
      <c r="DN139" s="5">
        <f t="array" ref="DN139">MIN(100,
  IF(ISNUMBER(V139), _xlfn.IFS(V139&gt;=3,25, V139=2,15, V139=1,5, TRUE,0), 0)
  + IFERROR(_xlfn.IFS(VALUE(LEFT(DF139,1))=5,25, VALUE(LEFT(DF139,1))=4,20, VALUE(LEFT(DF139,1))=3,15, VALUE(LEFT(DF139,1))=2,8, TRUE,0), 15)
  + IFERROR(_xlfn.IFS(VALUE(LEFT(DG139,1))=5,25, VALUE(LEFT(DG139,1))=4,20, VALUE(LEFT(DG139,1))=3,15, VALUE(LEFT(DG139,1))=2,8, TRUE,0), 15)
  + _xlfn.IFS(DH139="Fully Verified",25, DH139="Partially Verified",12, TRUE,0)
)</f>
        <v>30</v>
      </c>
      <c r="DO139" s="5" t="str">
        <f t="array" ref="DO139">_xlfn.IFS(
  ISBLANK(AR139), "Insufficient Evidence",
  AND(AR139&gt;=65, AJ139="Approved"), "Strong",
  AR139&gt;=65, "Adequate",
  AR139&gt;=40, "Adequate",
  AR139&gt;=20, "Weak",
  TRUE, "Insufficient Evidence"
)</f>
        <v>Insufficient Evidence</v>
      </c>
      <c r="DP139" s="5" t="str">
        <f t="array" ref="DP139">_xlfn.IFS(
  ISBLANK(BS139), "Insufficient Evidence",
  BS139&gt;=65, "Strong",
  BS139&gt;=40, "Adequate",
  BS139&gt;=20, "Weak",
  TRUE, "Insufficient Evidence"
)</f>
        <v>Insufficient Evidence</v>
      </c>
      <c r="DQ139" s="5" t="str">
        <f t="array" ref="DQ139">_xlfn.IFS(
  ISBLANK(BE139), "Insufficient Evidence",
  OR(AW139="Confirmed Violation", AX139="Confirmed Breach"), "Severe — Hard Trigger",
  BE139&gt;=65, "Strong",
  BE139&gt;=40, "Adequate",
  BE139&gt;=20, "Weak",
  TRUE, "Insufficient Evidence"
)</f>
        <v>Insufficient Evidence</v>
      </c>
      <c r="DR139" s="5" t="str">
        <f t="array" ref="DR139">_xlfn.IFS(
  ISBLANK(CU139), "Insufficient Evidence",
  CU139&lt;=20, "Low Risk",
  CU139&lt;=50, "Moderate Risk",
  CU139&lt;=75, "High Risk",
  TRUE, "Very High Risk"
)</f>
        <v>Low Risk</v>
      </c>
      <c r="DS139" s="5" t="str">
        <f t="array" ref="DS139">_xlfn.IFS(
  ISBLANK(CE139), "Insufficient Evidence",
  AND(ISNUMBER(BW139),ISNUMBER(BV139),BW139&gt;BV139), "Overclaiming Risk",
  CE139&gt;=65, "Strong",
  CE139&gt;=40, "Adequate",
  TRUE, "Weak"
)</f>
        <v>Weak</v>
      </c>
      <c r="DT139" s="5">
        <f t="shared" si="98"/>
        <v>11.7</v>
      </c>
      <c r="DU139" s="5" t="str">
        <f t="array" ref="DU139">_xlfn.IFS(
  DV139="Upgraded to Clear", "Clear",
  DV139="Downgraded to Watchlist", "Watchlist",
  DV139="Downgraded to Exclusion", "Exclusion Risk",
  DB139="Yes — Automatic", "Exclusion Risk",
  OR(AW139="Confirmed Violation", AX139="Confirmed Breach"), "Exclusion Risk",
  OR(V139=0, ISBLANK(V139), DN139&lt;20), "Insufficient Evidence",
  AND(DT139&gt;=65, DA139="No", DB139="No"), "Clear",
  OR(DT139&gt;=40, DA139="Yes"), "Watchlist",
  TRUE, "Exclusion Risk"
)</f>
        <v>Insufficient Evidence</v>
      </c>
      <c r="DV139" s="5"/>
      <c r="DW139" s="5" t="str">
        <f t="array" ref="DW139">_xlfn.IFS(
  DU139="Exclusion Risk", "Exclude — Hard Trigger",
  DU139="Insufficient Evidence", "Watchlist — Further Evidence Needed",
  DU139="Watchlist", "Watchlist — Further Evidence Needed",
  AND(DU139="Clear", DT139&gt;=80), "Include — No Conditions",
  DU139="Clear", "Include — Monitor",
  TRUE, "Watchlist — Further Evidence Needed"
)</f>
        <v>Watchlist — Further Evidence Needed</v>
      </c>
      <c r="DX139" s="5"/>
      <c r="DY139" s="5"/>
      <c r="DZ139" s="5"/>
      <c r="EA139" s="5"/>
      <c r="EB139" s="5" t="str">
        <f t="shared" si="99"/>
        <v>MISSING — No sources reviewed</v>
      </c>
      <c r="EC139" s="5" t="str">
        <f t="shared" si="100"/>
        <v/>
      </c>
    </row>
    <row r="140" spans="1:133" ht="18" customHeight="1" x14ac:dyDescent="0.15">
      <c r="A140" s="5" t="s">
        <v>757</v>
      </c>
      <c r="B140" s="5" t="s">
        <v>758</v>
      </c>
      <c r="C140" s="5" t="str">
        <f>IF(ISBLANK('Universe Tracker'!D115),"",'Universe Tracker'!D115)</f>
        <v>FR0010451203</v>
      </c>
      <c r="D140" s="5"/>
      <c r="E140" s="5"/>
      <c r="F140" s="5" t="str">
        <f>IF(ISBLANK('Universe Tracker'!F115),"",'Universe Tracker'!F115)</f>
        <v>Industrials</v>
      </c>
      <c r="G140" s="5" t="str">
        <f>IF(ISBLANK('Universe Tracker'!G115),"",'Universe Tracker'!G115)</f>
        <v>Industrial Services</v>
      </c>
      <c r="H140" s="5"/>
      <c r="I140" s="5"/>
      <c r="J140" s="5" t="str">
        <f t="shared" si="88"/>
        <v>E7V_FR0010451203</v>
      </c>
      <c r="K140" s="5"/>
      <c r="L140" s="5"/>
      <c r="M140" s="5"/>
      <c r="N140" s="5"/>
      <c r="O140" s="5"/>
      <c r="P140" s="5"/>
      <c r="Q140" s="5"/>
      <c r="R140" s="5"/>
      <c r="S140" s="5"/>
      <c r="T140" s="5"/>
      <c r="U140" s="5"/>
      <c r="V140" s="5"/>
      <c r="W140" s="5"/>
      <c r="X140" s="5"/>
      <c r="Y140" s="5" t="str">
        <f t="shared" si="89"/>
        <v>Insufficient</v>
      </c>
      <c r="Z140" s="5"/>
      <c r="AA140" s="5"/>
      <c r="AB140" s="5"/>
      <c r="AC140" s="5"/>
      <c r="AD140" s="5"/>
      <c r="AE140" s="5"/>
      <c r="AF140" s="5"/>
      <c r="AG140" s="5"/>
      <c r="AH140" s="5"/>
      <c r="AI140" s="5"/>
      <c r="AJ140" s="5"/>
      <c r="AK140" s="5"/>
      <c r="AL140" s="5"/>
      <c r="AM140" s="5"/>
      <c r="AN140" s="5"/>
      <c r="AO140" s="5"/>
      <c r="AP140" s="5"/>
      <c r="AQ140" s="5"/>
      <c r="AR140" s="40">
        <f t="array" ref="AR140">MIN(100, MAX(0,
  IFERROR(_xlfn.XLOOKUP(AJ140,'Lookup Tables'!$A$2:$A$7,'Lookup Tables'!$B$2:$B$7,0),0)
  + IF(Z140="Yes", IF(IFERROR(_xlfn.XLOOKUP(AJ140,'Lookup Tables'!$A$2:$A$7,'Lookup Tables'!$B$2:$B$7,0),0)&lt;20, 5, 0), 0)
  + _xlfn.IFS(AB140="Yes", IF(ISNUMBER(AC140)*AND(AC140&lt;=2030),15,10), AB140="Long-term Only", 5, AB140="No", 0, TRUE, 0)
  + _xlfn.IFS(AF140="Full",10, AF140="Partial",5, AF140="Scope 2 Only",3, TRUE,0)
  + _xlfn.IFS(AG140="Yes", IF(ISNUMBER(AH140)*AND(AH140&gt;=5),10,6), AG140="Partial",4, TRUE,0)
  + _xlfn.IFS(AI140="Yes",5, AI140="Partial (material categories only)",3, TRUE,0)
  + _xlfn.IFS(AL140="Yes — Detailed",10, AL140="Yes — High Level",5, TRUE,0)
  + _xlfn.IFS(AM140="Yes — Quantified",15, AM140="Yes — Directional Only",7, TRUE,0)
  + _xlfn.IFS(AP140="Formal",5, AP140="Referenced",2, TRUE,0)
  + _xlfn.IFS(AQ140="No Issues Found",5, AQ140="Concern Identified",-5, AQ140="Severe Contradiction",-15, TRUE,0)
  + _xlfn.IFS(BC140="Reasonable Assurance",5, BC140="Limited Assurance",3, TRUE,0)
  - IF(AND(Z140="Yes", AI140="No"), 10, 0)
  - IF(AND(Z140="Yes", AM140="No"), 10, 0)
))</f>
        <v>0</v>
      </c>
      <c r="AS140" s="5"/>
      <c r="AT140" s="5"/>
      <c r="AU140" s="5"/>
      <c r="AV140" s="5"/>
      <c r="AW140" s="5"/>
      <c r="AX140" s="5"/>
      <c r="AY140" s="5"/>
      <c r="AZ140" s="5"/>
      <c r="BA140" s="5"/>
      <c r="BB140" s="5"/>
      <c r="BC140" s="5"/>
      <c r="BD140" s="5"/>
      <c r="BE140" s="39">
        <f t="array" ref="BE140">MIN(100, MAX(0,
  IFERROR(_xlfn.XLOOKUP(AT140,'Lookup Tables'!$D$2:$D$6,'Lookup Tables'!$E$2:$E$6,0),0)
  + IFERROR(_xlfn.XLOOKUP(AV140,'Lookup Tables'!$G$2:$G$5,'Lookup Tables'!$H$2:$H$5,0),0)
  + IFERROR(_xlfn.XLOOKUP(AW140,'Lookup Tables'!$J$2:$J$5,'Lookup Tables'!$K$2:$K$5,0),0)
  + _xlfn.IFS(AX140="No Issues",10, AX140="Complaint Filed",3, AX140="Confirmed Breach",-15, TRUE,0)
  + IFERROR(_xlfn.XLOOKUP(AY140,'Lookup Tables'!$M$2:$M$6,'Lookup Tables'!$N$2:$N$6,0),0)
  + IFERROR(_xlfn.XLOOKUP(AZ140,'Lookup Tables'!$P$2:$P$6,'Lookup Tables'!$Q$2:$Q$6,0),0)
  + _xlfn.IFS(BA140="Formal Board Committee",5, BA140="Board Oversight Mentioned",2, TRUE,0)
  + _xlfn.IFS(BB140="Yes — Quantified Targets",5, BB140="Yes — Discretionary Only",2, TRUE,0)
  + _xlfn.IFS(BC140="Reasonable Assurance",5, BC140="Limited Assurance",3, BC140="Management Review Only",1, TRUE,0)
))</f>
        <v>0</v>
      </c>
      <c r="BF140" s="5"/>
      <c r="BG140" s="5"/>
      <c r="BH140" s="5"/>
      <c r="BI140" s="5"/>
      <c r="BJ140" s="5"/>
      <c r="BK140" s="5"/>
      <c r="BL140" s="5"/>
      <c r="BM140" s="5"/>
      <c r="BN140" s="5"/>
      <c r="BO140" s="5"/>
      <c r="BP140" s="5"/>
      <c r="BQ140" s="5"/>
      <c r="BR140" s="5"/>
      <c r="BS140" s="41">
        <f t="array" ref="BS140">MIN(100, MAX(0,
  IFERROR(_xlfn.XLOOKUP(BG140,'Lookup Tables'!$A$11:$A$16,'Lookup Tables'!$B$11:$B$16,0),0)
  + IFERROR(_xlfn.XLOOKUP(BR140,'Lookup Tables'!$M$11:$M$14,'Lookup Tables'!$N$11:$N$14,0),0)
  + IFERROR(_xlfn.XLOOKUP(BQ140,'Lookup Tables'!$J$11:$J$15,'Lookup Tables'!$K$11:$K$15,0),0)
  + IFERROR(_xlfn.XLOOKUP(BH140,'Lookup Tables'!$D$11:$D$15,'Lookup Tables'!$E$11:$E$15,0),0)
  + IFERROR(_xlfn.XLOOKUP(BJ140,'Lookup Tables'!$G$11:$G$16,'Lookup Tables'!$H$11:$H$16,0),0)
  + IFERROR(_xlfn.XLOOKUP(BN140,'Lookup Tables'!$P$11:$P$15,'Lookup Tables'!$Q$11:$Q$15,0),0)
  + _xlfn.IFS(BM140="No Evidence",10, BM140="Unknown",3, BM140="Likely",0, BM140="Confirmed",-10, TRUE,3)
  + IFERROR(_xlfn.XLOOKUP(BP140,'Lookup Tables'!$J$21:$J$24,'Lookup Tables'!$K$21:$K$24,0),0)
))</f>
        <v>3</v>
      </c>
      <c r="BT140" s="5"/>
      <c r="BU140" s="5"/>
      <c r="BV140" s="5"/>
      <c r="BW140" s="5"/>
      <c r="BX140" s="5"/>
      <c r="BY140" s="5"/>
      <c r="BZ140" s="5"/>
      <c r="CA140" s="5"/>
      <c r="CB140" s="5"/>
      <c r="CC140" s="5"/>
      <c r="CD140" s="5"/>
      <c r="CE140" s="43">
        <f t="array" ref="CE140">MIN(100, MAX(0,
  IF(ISNUMBER(BV140)*AND(BV140&gt;0), 10, 0)
  + _xlfn.IFS(BY140="Independently Verified",25, BY140="Yes",15, TRUE,0)
  + IFERROR(_xlfn.XLOOKUP(BZ140,'Lookup Tables'!$A$21:$A$24,'Lookup Tables'!$B$21:$B$24,0),0)
  + IFERROR(_xlfn.XLOOKUP(CA140,'Lookup Tables'!$D$21:$D$24,'Lookup Tables'!$E$21:$E$24,0),0)
  + _xlfn.IFS(ISNUMBER(CB140)*AND(CB140&gt;=11),15, ISNUMBER(CB140)*AND(CB140&gt;=6),10, ISNUMBER(CB140)*AND(CB140&gt;=1),5, TRUE,0)
  + IFERROR(_xlfn.XLOOKUP(CC140,'Lookup Tables'!$G$21:$G$25,'Lookup Tables'!$H$21:$H$25,0),0)
  - IF(ISNUMBER(BW140)*AND(ISNUMBER(BV140))*AND(BW140&gt;BV140), 20, 0)
  - IF(AND(BY140="Yes", ISNUMBER(BW140), BW140&gt;60), 10, 0)
))</f>
        <v>0</v>
      </c>
      <c r="CF140" s="5"/>
      <c r="CG140" s="5"/>
      <c r="CH140" s="5"/>
      <c r="CI140" s="5"/>
      <c r="CJ140" s="5"/>
      <c r="CK140" s="5"/>
      <c r="CL140" s="5"/>
      <c r="CM140" s="5"/>
      <c r="CN140" s="5"/>
      <c r="CO140" s="5"/>
      <c r="CP140" s="5"/>
      <c r="CQ140" s="5"/>
      <c r="CR140" s="5">
        <f t="shared" si="90"/>
        <v>0</v>
      </c>
      <c r="CS140" s="5">
        <f t="shared" si="91"/>
        <v>0</v>
      </c>
      <c r="CT140" s="5">
        <f t="shared" si="92"/>
        <v>0</v>
      </c>
      <c r="CU140" s="5">
        <f>MIN(100,
  CR140*15
  + CS140*6
  + CT140*3
  + IFERROR(_xlfn.XLOOKUP(CW140,'Lookup Tables'!$M$21:$M$25,'Lookup Tables'!$N$21:$N$25,0),0)
)</f>
        <v>0</v>
      </c>
      <c r="CV140" s="5" t="str">
        <f t="shared" si="93"/>
        <v>No failures</v>
      </c>
      <c r="CW140" s="5"/>
      <c r="CX140" s="5"/>
      <c r="CY140" s="5"/>
      <c r="CZ140" s="5"/>
      <c r="DA140" s="5" t="str">
        <f t="shared" si="94"/>
        <v>Yes</v>
      </c>
      <c r="DB140" s="5" t="str">
        <f t="shared" si="95"/>
        <v>No</v>
      </c>
      <c r="DC140" s="5"/>
      <c r="DD140" s="5"/>
      <c r="DE140" s="5"/>
      <c r="DF140" s="5"/>
      <c r="DG140" s="5"/>
      <c r="DH140" s="5"/>
      <c r="DI140" s="5"/>
      <c r="DJ140" s="5"/>
      <c r="DK140" s="5"/>
      <c r="DL140" s="5" t="str">
        <f t="shared" si="96"/>
        <v>Clear</v>
      </c>
      <c r="DM140" s="5" t="str">
        <f t="shared" si="97"/>
        <v>Yes</v>
      </c>
      <c r="DN140" s="5">
        <f t="array" ref="DN140">MIN(100,
  IF(ISNUMBER(V140), _xlfn.IFS(V140&gt;=3,25, V140=2,15, V140=1,5, TRUE,0), 0)
  + IFERROR(_xlfn.IFS(VALUE(LEFT(DF140,1))=5,25, VALUE(LEFT(DF140,1))=4,20, VALUE(LEFT(DF140,1))=3,15, VALUE(LEFT(DF140,1))=2,8, TRUE,0), 15)
  + IFERROR(_xlfn.IFS(VALUE(LEFT(DG140,1))=5,25, VALUE(LEFT(DG140,1))=4,20, VALUE(LEFT(DG140,1))=3,15, VALUE(LEFT(DG140,1))=2,8, TRUE,0), 15)
  + _xlfn.IFS(DH140="Fully Verified",25, DH140="Partially Verified",12, TRUE,0)
)</f>
        <v>30</v>
      </c>
      <c r="DO140" s="5" t="str">
        <f t="array" ref="DO140">_xlfn.IFS(
  ISBLANK(AR140), "Insufficient Evidence",
  AND(AR140&gt;=65, AJ140="Approved"), "Strong",
  AR140&gt;=65, "Adequate",
  AR140&gt;=40, "Adequate",
  AR140&gt;=20, "Weak",
  TRUE, "Insufficient Evidence"
)</f>
        <v>Insufficient Evidence</v>
      </c>
      <c r="DP140" s="5" t="str">
        <f t="array" ref="DP140">_xlfn.IFS(
  ISBLANK(BS140), "Insufficient Evidence",
  BS140&gt;=65, "Strong",
  BS140&gt;=40, "Adequate",
  BS140&gt;=20, "Weak",
  TRUE, "Insufficient Evidence"
)</f>
        <v>Insufficient Evidence</v>
      </c>
      <c r="DQ140" s="5" t="str">
        <f t="array" ref="DQ140">_xlfn.IFS(
  ISBLANK(BE140), "Insufficient Evidence",
  OR(AW140="Confirmed Violation", AX140="Confirmed Breach"), "Severe — Hard Trigger",
  BE140&gt;=65, "Strong",
  BE140&gt;=40, "Adequate",
  BE140&gt;=20, "Weak",
  TRUE, "Insufficient Evidence"
)</f>
        <v>Insufficient Evidence</v>
      </c>
      <c r="DR140" s="5" t="str">
        <f t="array" ref="DR140">_xlfn.IFS(
  ISBLANK(CU140), "Insufficient Evidence",
  CU140&lt;=20, "Low Risk",
  CU140&lt;=50, "Moderate Risk",
  CU140&lt;=75, "High Risk",
  TRUE, "Very High Risk"
)</f>
        <v>Low Risk</v>
      </c>
      <c r="DS140" s="5" t="str">
        <f t="array" ref="DS140">_xlfn.IFS(
  ISBLANK(CE140), "Insufficient Evidence",
  AND(ISNUMBER(BW140),ISNUMBER(BV140),BW140&gt;BV140), "Overclaiming Risk",
  CE140&gt;=65, "Strong",
  CE140&gt;=40, "Adequate",
  TRUE, "Weak"
)</f>
        <v>Weak</v>
      </c>
      <c r="DT140" s="5">
        <f t="shared" si="98"/>
        <v>11.7</v>
      </c>
      <c r="DU140" s="5" t="str">
        <f t="array" ref="DU140">_xlfn.IFS(
  DV140="Upgraded to Clear", "Clear",
  DV140="Downgraded to Watchlist", "Watchlist",
  DV140="Downgraded to Exclusion", "Exclusion Risk",
  DB140="Yes — Automatic", "Exclusion Risk",
  OR(AW140="Confirmed Violation", AX140="Confirmed Breach"), "Exclusion Risk",
  OR(V140=0, ISBLANK(V140), DN140&lt;20), "Insufficient Evidence",
  AND(DT140&gt;=65, DA140="No", DB140="No"), "Clear",
  OR(DT140&gt;=40, DA140="Yes"), "Watchlist",
  TRUE, "Exclusion Risk"
)</f>
        <v>Insufficient Evidence</v>
      </c>
      <c r="DV140" s="5"/>
      <c r="DW140" s="5" t="str">
        <f t="array" ref="DW140">_xlfn.IFS(
  DU140="Exclusion Risk", "Exclude — Hard Trigger",
  DU140="Insufficient Evidence", "Watchlist — Further Evidence Needed",
  DU140="Watchlist", "Watchlist — Further Evidence Needed",
  AND(DU140="Clear", DT140&gt;=80), "Include — No Conditions",
  DU140="Clear", "Include — Monitor",
  TRUE, "Watchlist — Further Evidence Needed"
)</f>
        <v>Watchlist — Further Evidence Needed</v>
      </c>
      <c r="DX140" s="5"/>
      <c r="DY140" s="5"/>
      <c r="DZ140" s="5"/>
      <c r="EA140" s="5"/>
      <c r="EB140" s="5" t="str">
        <f t="shared" si="99"/>
        <v>MISSING — No sources reviewed</v>
      </c>
      <c r="EC140" s="5" t="str">
        <f t="shared" si="100"/>
        <v/>
      </c>
    </row>
    <row r="141" spans="1:133" ht="18" customHeight="1" x14ac:dyDescent="0.15">
      <c r="A141" s="5" t="s">
        <v>761</v>
      </c>
      <c r="B141" s="5" t="s">
        <v>762</v>
      </c>
      <c r="C141" s="5" t="str">
        <f>IF(ISBLANK('Universe Tracker'!D116),"",'Universe Tracker'!D116)</f>
        <v>DE0006766504</v>
      </c>
      <c r="D141" s="5"/>
      <c r="E141" s="5"/>
      <c r="F141" s="5" t="str">
        <f>IF(ISBLANK('Universe Tracker'!F116),"",'Universe Tracker'!F116)</f>
        <v>Materials</v>
      </c>
      <c r="G141" s="5" t="str">
        <f>IF(ISBLANK('Universe Tracker'!G116),"",'Universe Tracker'!G116)</f>
        <v>Materials</v>
      </c>
      <c r="H141" s="5"/>
      <c r="I141" s="5"/>
      <c r="J141" s="5" t="str">
        <f t="shared" si="88"/>
        <v>NDA_DE0006766504</v>
      </c>
      <c r="K141" s="5"/>
      <c r="L141" s="5"/>
      <c r="M141" s="5"/>
      <c r="N141" s="5"/>
      <c r="O141" s="5"/>
      <c r="P141" s="5"/>
      <c r="Q141" s="5"/>
      <c r="R141" s="5"/>
      <c r="S141" s="5"/>
      <c r="T141" s="5"/>
      <c r="U141" s="5"/>
      <c r="V141" s="5"/>
      <c r="W141" s="5"/>
      <c r="X141" s="5"/>
      <c r="Y141" s="5" t="str">
        <f t="shared" si="89"/>
        <v>Insufficient</v>
      </c>
      <c r="Z141" s="5"/>
      <c r="AA141" s="5"/>
      <c r="AB141" s="5"/>
      <c r="AC141" s="5"/>
      <c r="AD141" s="5"/>
      <c r="AE141" s="5"/>
      <c r="AF141" s="5"/>
      <c r="AG141" s="5"/>
      <c r="AH141" s="5"/>
      <c r="AI141" s="5"/>
      <c r="AJ141" s="5"/>
      <c r="AK141" s="5"/>
      <c r="AL141" s="5"/>
      <c r="AM141" s="5"/>
      <c r="AN141" s="5"/>
      <c r="AO141" s="5"/>
      <c r="AP141" s="5"/>
      <c r="AQ141" s="5"/>
      <c r="AR141" s="40">
        <f t="array" ref="AR141">MIN(100, MAX(0,
  IFERROR(_xlfn.XLOOKUP(AJ141,'Lookup Tables'!$A$2:$A$7,'Lookup Tables'!$B$2:$B$7,0),0)
  + IF(Z141="Yes", IF(IFERROR(_xlfn.XLOOKUP(AJ141,'Lookup Tables'!$A$2:$A$7,'Lookup Tables'!$B$2:$B$7,0),0)&lt;20, 5, 0), 0)
  + _xlfn.IFS(AB141="Yes", IF(ISNUMBER(AC141)*AND(AC141&lt;=2030),15,10), AB141="Long-term Only", 5, AB141="No", 0, TRUE, 0)
  + _xlfn.IFS(AF141="Full",10, AF141="Partial",5, AF141="Scope 2 Only",3, TRUE,0)
  + _xlfn.IFS(AG141="Yes", IF(ISNUMBER(AH141)*AND(AH141&gt;=5),10,6), AG141="Partial",4, TRUE,0)
  + _xlfn.IFS(AI141="Yes",5, AI141="Partial (material categories only)",3, TRUE,0)
  + _xlfn.IFS(AL141="Yes — Detailed",10, AL141="Yes — High Level",5, TRUE,0)
  + _xlfn.IFS(AM141="Yes — Quantified",15, AM141="Yes — Directional Only",7, TRUE,0)
  + _xlfn.IFS(AP141="Formal",5, AP141="Referenced",2, TRUE,0)
  + _xlfn.IFS(AQ141="No Issues Found",5, AQ141="Concern Identified",-5, AQ141="Severe Contradiction",-15, TRUE,0)
  + _xlfn.IFS(BC141="Reasonable Assurance",5, BC141="Limited Assurance",3, TRUE,0)
  - IF(AND(Z141="Yes", AI141="No"), 10, 0)
  - IF(AND(Z141="Yes", AM141="No"), 10, 0)
))</f>
        <v>0</v>
      </c>
      <c r="AS141" s="5"/>
      <c r="AT141" s="5"/>
      <c r="AU141" s="5"/>
      <c r="AV141" s="5"/>
      <c r="AW141" s="5"/>
      <c r="AX141" s="5"/>
      <c r="AY141" s="5"/>
      <c r="AZ141" s="5"/>
      <c r="BA141" s="5"/>
      <c r="BB141" s="5"/>
      <c r="BC141" s="5"/>
      <c r="BD141" s="5"/>
      <c r="BE141" s="39">
        <f t="array" ref="BE141">MIN(100, MAX(0,
  IFERROR(_xlfn.XLOOKUP(AT141,'Lookup Tables'!$D$2:$D$6,'Lookup Tables'!$E$2:$E$6,0),0)
  + IFERROR(_xlfn.XLOOKUP(AV141,'Lookup Tables'!$G$2:$G$5,'Lookup Tables'!$H$2:$H$5,0),0)
  + IFERROR(_xlfn.XLOOKUP(AW141,'Lookup Tables'!$J$2:$J$5,'Lookup Tables'!$K$2:$K$5,0),0)
  + _xlfn.IFS(AX141="No Issues",10, AX141="Complaint Filed",3, AX141="Confirmed Breach",-15, TRUE,0)
  + IFERROR(_xlfn.XLOOKUP(AY141,'Lookup Tables'!$M$2:$M$6,'Lookup Tables'!$N$2:$N$6,0),0)
  + IFERROR(_xlfn.XLOOKUP(AZ141,'Lookup Tables'!$P$2:$P$6,'Lookup Tables'!$Q$2:$Q$6,0),0)
  + _xlfn.IFS(BA141="Formal Board Committee",5, BA141="Board Oversight Mentioned",2, TRUE,0)
  + _xlfn.IFS(BB141="Yes — Quantified Targets",5, BB141="Yes — Discretionary Only",2, TRUE,0)
  + _xlfn.IFS(BC141="Reasonable Assurance",5, BC141="Limited Assurance",3, BC141="Management Review Only",1, TRUE,0)
))</f>
        <v>0</v>
      </c>
      <c r="BF141" s="5"/>
      <c r="BG141" s="5"/>
      <c r="BH141" s="5"/>
      <c r="BI141" s="5"/>
      <c r="BJ141" s="5"/>
      <c r="BK141" s="5"/>
      <c r="BL141" s="5"/>
      <c r="BM141" s="5"/>
      <c r="BN141" s="5"/>
      <c r="BO141" s="5"/>
      <c r="BP141" s="5"/>
      <c r="BQ141" s="5"/>
      <c r="BR141" s="5"/>
      <c r="BS141" s="41">
        <f t="array" ref="BS141">MIN(100, MAX(0,
  IFERROR(_xlfn.XLOOKUP(BG141,'Lookup Tables'!$A$11:$A$16,'Lookup Tables'!$B$11:$B$16,0),0)
  + IFERROR(_xlfn.XLOOKUP(BR141,'Lookup Tables'!$M$11:$M$14,'Lookup Tables'!$N$11:$N$14,0),0)
  + IFERROR(_xlfn.XLOOKUP(BQ141,'Lookup Tables'!$J$11:$J$15,'Lookup Tables'!$K$11:$K$15,0),0)
  + IFERROR(_xlfn.XLOOKUP(BH141,'Lookup Tables'!$D$11:$D$15,'Lookup Tables'!$E$11:$E$15,0),0)
  + IFERROR(_xlfn.XLOOKUP(BJ141,'Lookup Tables'!$G$11:$G$16,'Lookup Tables'!$H$11:$H$16,0),0)
  + IFERROR(_xlfn.XLOOKUP(BN141,'Lookup Tables'!$P$11:$P$15,'Lookup Tables'!$Q$11:$Q$15,0),0)
  + _xlfn.IFS(BM141="No Evidence",10, BM141="Unknown",3, BM141="Likely",0, BM141="Confirmed",-10, TRUE,3)
  + IFERROR(_xlfn.XLOOKUP(BP141,'Lookup Tables'!$J$21:$J$24,'Lookup Tables'!$K$21:$K$24,0),0)
))</f>
        <v>3</v>
      </c>
      <c r="BT141" s="5"/>
      <c r="BU141" s="5"/>
      <c r="BV141" s="5"/>
      <c r="BW141" s="5"/>
      <c r="BX141" s="5"/>
      <c r="BY141" s="5"/>
      <c r="BZ141" s="5"/>
      <c r="CA141" s="5"/>
      <c r="CB141" s="5"/>
      <c r="CC141" s="5"/>
      <c r="CD141" s="5"/>
      <c r="CE141" s="43">
        <f t="array" ref="CE141">MIN(100, MAX(0,
  IF(ISNUMBER(BV141)*AND(BV141&gt;0), 10, 0)
  + _xlfn.IFS(BY141="Independently Verified",25, BY141="Yes",15, TRUE,0)
  + IFERROR(_xlfn.XLOOKUP(BZ141,'Lookup Tables'!$A$21:$A$24,'Lookup Tables'!$B$21:$B$24,0),0)
  + IFERROR(_xlfn.XLOOKUP(CA141,'Lookup Tables'!$D$21:$D$24,'Lookup Tables'!$E$21:$E$24,0),0)
  + _xlfn.IFS(ISNUMBER(CB141)*AND(CB141&gt;=11),15, ISNUMBER(CB141)*AND(CB141&gt;=6),10, ISNUMBER(CB141)*AND(CB141&gt;=1),5, TRUE,0)
  + IFERROR(_xlfn.XLOOKUP(CC141,'Lookup Tables'!$G$21:$G$25,'Lookup Tables'!$H$21:$H$25,0),0)
  - IF(ISNUMBER(BW141)*AND(ISNUMBER(BV141))*AND(BW141&gt;BV141), 20, 0)
  - IF(AND(BY141="Yes", ISNUMBER(BW141), BW141&gt;60), 10, 0)
))</f>
        <v>0</v>
      </c>
      <c r="CF141" s="5"/>
      <c r="CG141" s="5"/>
      <c r="CH141" s="5"/>
      <c r="CI141" s="5"/>
      <c r="CJ141" s="5"/>
      <c r="CK141" s="5"/>
      <c r="CL141" s="5"/>
      <c r="CM141" s="5"/>
      <c r="CN141" s="5"/>
      <c r="CO141" s="5"/>
      <c r="CP141" s="5"/>
      <c r="CQ141" s="5"/>
      <c r="CR141" s="5">
        <f t="shared" si="90"/>
        <v>0</v>
      </c>
      <c r="CS141" s="5">
        <f t="shared" si="91"/>
        <v>0</v>
      </c>
      <c r="CT141" s="5">
        <f t="shared" si="92"/>
        <v>0</v>
      </c>
      <c r="CU141" s="5">
        <f>MIN(100,
  CR141*15
  + CS141*6
  + CT141*3
  + IFERROR(_xlfn.XLOOKUP(CW141,'Lookup Tables'!$M$21:$M$25,'Lookup Tables'!$N$21:$N$25,0),0)
)</f>
        <v>0</v>
      </c>
      <c r="CV141" s="5" t="str">
        <f t="shared" si="93"/>
        <v>No failures</v>
      </c>
      <c r="CW141" s="5"/>
      <c r="CX141" s="5"/>
      <c r="CY141" s="5"/>
      <c r="CZ141" s="5"/>
      <c r="DA141" s="5" t="str">
        <f t="shared" si="94"/>
        <v>Yes</v>
      </c>
      <c r="DB141" s="5" t="str">
        <f t="shared" si="95"/>
        <v>No</v>
      </c>
      <c r="DC141" s="5"/>
      <c r="DD141" s="5"/>
      <c r="DE141" s="5"/>
      <c r="DF141" s="5"/>
      <c r="DG141" s="5"/>
      <c r="DH141" s="5"/>
      <c r="DI141" s="5"/>
      <c r="DJ141" s="5"/>
      <c r="DK141" s="5"/>
      <c r="DL141" s="5" t="str">
        <f t="shared" si="96"/>
        <v>Clear</v>
      </c>
      <c r="DM141" s="5" t="str">
        <f t="shared" si="97"/>
        <v>Yes</v>
      </c>
      <c r="DN141" s="5">
        <f t="array" ref="DN141">MIN(100,
  IF(ISNUMBER(V141), _xlfn.IFS(V141&gt;=3,25, V141=2,15, V141=1,5, TRUE,0), 0)
  + IFERROR(_xlfn.IFS(VALUE(LEFT(DF141,1))=5,25, VALUE(LEFT(DF141,1))=4,20, VALUE(LEFT(DF141,1))=3,15, VALUE(LEFT(DF141,1))=2,8, TRUE,0), 15)
  + IFERROR(_xlfn.IFS(VALUE(LEFT(DG141,1))=5,25, VALUE(LEFT(DG141,1))=4,20, VALUE(LEFT(DG141,1))=3,15, VALUE(LEFT(DG141,1))=2,8, TRUE,0), 15)
  + _xlfn.IFS(DH141="Fully Verified",25, DH141="Partially Verified",12, TRUE,0)
)</f>
        <v>30</v>
      </c>
      <c r="DO141" s="5" t="str">
        <f t="array" ref="DO141">_xlfn.IFS(
  ISBLANK(AR141), "Insufficient Evidence",
  AND(AR141&gt;=65, AJ141="Approved"), "Strong",
  AR141&gt;=65, "Adequate",
  AR141&gt;=40, "Adequate",
  AR141&gt;=20, "Weak",
  TRUE, "Insufficient Evidence"
)</f>
        <v>Insufficient Evidence</v>
      </c>
      <c r="DP141" s="5" t="str">
        <f t="array" ref="DP141">_xlfn.IFS(
  ISBLANK(BS141), "Insufficient Evidence",
  BS141&gt;=65, "Strong",
  BS141&gt;=40, "Adequate",
  BS141&gt;=20, "Weak",
  TRUE, "Insufficient Evidence"
)</f>
        <v>Insufficient Evidence</v>
      </c>
      <c r="DQ141" s="5" t="str">
        <f t="array" ref="DQ141">_xlfn.IFS(
  ISBLANK(BE141), "Insufficient Evidence",
  OR(AW141="Confirmed Violation", AX141="Confirmed Breach"), "Severe — Hard Trigger",
  BE141&gt;=65, "Strong",
  BE141&gt;=40, "Adequate",
  BE141&gt;=20, "Weak",
  TRUE, "Insufficient Evidence"
)</f>
        <v>Insufficient Evidence</v>
      </c>
      <c r="DR141" s="5" t="str">
        <f t="array" ref="DR141">_xlfn.IFS(
  ISBLANK(CU141), "Insufficient Evidence",
  CU141&lt;=20, "Low Risk",
  CU141&lt;=50, "Moderate Risk",
  CU141&lt;=75, "High Risk",
  TRUE, "Very High Risk"
)</f>
        <v>Low Risk</v>
      </c>
      <c r="DS141" s="5" t="str">
        <f t="array" ref="DS141">_xlfn.IFS(
  ISBLANK(CE141), "Insufficient Evidence",
  AND(ISNUMBER(BW141),ISNUMBER(BV141),BW141&gt;BV141), "Overclaiming Risk",
  CE141&gt;=65, "Strong",
  CE141&gt;=40, "Adequate",
  TRUE, "Weak"
)</f>
        <v>Weak</v>
      </c>
      <c r="DT141" s="5">
        <f t="shared" si="98"/>
        <v>11.7</v>
      </c>
      <c r="DU141" s="5" t="str">
        <f t="array" ref="DU141">_xlfn.IFS(
  DV141="Upgraded to Clear", "Clear",
  DV141="Downgraded to Watchlist", "Watchlist",
  DV141="Downgraded to Exclusion", "Exclusion Risk",
  DB141="Yes — Automatic", "Exclusion Risk",
  OR(AW141="Confirmed Violation", AX141="Confirmed Breach"), "Exclusion Risk",
  OR(V141=0, ISBLANK(V141), DN141&lt;20), "Insufficient Evidence",
  AND(DT141&gt;=65, DA141="No", DB141="No"), "Clear",
  OR(DT141&gt;=40, DA141="Yes"), "Watchlist",
  TRUE, "Exclusion Risk"
)</f>
        <v>Insufficient Evidence</v>
      </c>
      <c r="DV141" s="5"/>
      <c r="DW141" s="5" t="str">
        <f t="array" ref="DW141">_xlfn.IFS(
  DU141="Exclusion Risk", "Exclude — Hard Trigger",
  DU141="Insufficient Evidence", "Watchlist — Further Evidence Needed",
  DU141="Watchlist", "Watchlist — Further Evidence Needed",
  AND(DU141="Clear", DT141&gt;=80), "Include — No Conditions",
  DU141="Clear", "Include — Monitor",
  TRUE, "Watchlist — Further Evidence Needed"
)</f>
        <v>Watchlist — Further Evidence Needed</v>
      </c>
      <c r="DX141" s="5"/>
      <c r="DY141" s="5"/>
      <c r="DZ141" s="5"/>
      <c r="EA141" s="5"/>
      <c r="EB141" s="5" t="str">
        <f t="shared" si="99"/>
        <v>MISSING — No sources reviewed</v>
      </c>
      <c r="EC141" s="5" t="str">
        <f t="shared" si="100"/>
        <v/>
      </c>
    </row>
    <row r="142" spans="1:133" ht="18" customHeight="1" x14ac:dyDescent="0.15">
      <c r="A142" s="5" t="s">
        <v>765</v>
      </c>
      <c r="B142" s="5" t="s">
        <v>766</v>
      </c>
      <c r="C142" s="5" t="str">
        <f>IF(ISBLANK('Universe Tracker'!D117),"",'Universe Tracker'!D117)</f>
        <v>FR0010259150</v>
      </c>
      <c r="D142" s="5"/>
      <c r="E142" s="5"/>
      <c r="F142" s="5" t="str">
        <f>IF(ISBLANK('Universe Tracker'!F117),"",'Universe Tracker'!F117)</f>
        <v>Health Care</v>
      </c>
      <c r="G142" s="5" t="str">
        <f>IF(ISBLANK('Universe Tracker'!G117),"",'Universe Tracker'!G117)</f>
        <v>Health Care</v>
      </c>
      <c r="H142" s="5"/>
      <c r="I142" s="5"/>
      <c r="J142" s="5" t="str">
        <f t="shared" si="88"/>
        <v>I7G_FR0010259150</v>
      </c>
      <c r="K142" s="5"/>
      <c r="L142" s="5"/>
      <c r="M142" s="5"/>
      <c r="N142" s="5"/>
      <c r="O142" s="5"/>
      <c r="P142" s="5"/>
      <c r="Q142" s="5"/>
      <c r="R142" s="5"/>
      <c r="S142" s="5"/>
      <c r="T142" s="5"/>
      <c r="U142" s="5"/>
      <c r="V142" s="5"/>
      <c r="W142" s="5"/>
      <c r="X142" s="5"/>
      <c r="Y142" s="5" t="str">
        <f t="shared" si="89"/>
        <v>Insufficient</v>
      </c>
      <c r="Z142" s="5"/>
      <c r="AA142" s="5"/>
      <c r="AB142" s="5"/>
      <c r="AC142" s="5"/>
      <c r="AD142" s="5"/>
      <c r="AE142" s="5"/>
      <c r="AF142" s="5"/>
      <c r="AG142" s="5"/>
      <c r="AH142" s="5"/>
      <c r="AI142" s="5"/>
      <c r="AJ142" s="5"/>
      <c r="AK142" s="5"/>
      <c r="AL142" s="5"/>
      <c r="AM142" s="5"/>
      <c r="AN142" s="5"/>
      <c r="AO142" s="5"/>
      <c r="AP142" s="5"/>
      <c r="AQ142" s="5"/>
      <c r="AR142" s="40">
        <f t="array" ref="AR142">MIN(100, MAX(0,
  IFERROR(_xlfn.XLOOKUP(AJ142,'Lookup Tables'!$A$2:$A$7,'Lookup Tables'!$B$2:$B$7,0),0)
  + IF(Z142="Yes", IF(IFERROR(_xlfn.XLOOKUP(AJ142,'Lookup Tables'!$A$2:$A$7,'Lookup Tables'!$B$2:$B$7,0),0)&lt;20, 5, 0), 0)
  + _xlfn.IFS(AB142="Yes", IF(ISNUMBER(AC142)*AND(AC142&lt;=2030),15,10), AB142="Long-term Only", 5, AB142="No", 0, TRUE, 0)
  + _xlfn.IFS(AF142="Full",10, AF142="Partial",5, AF142="Scope 2 Only",3, TRUE,0)
  + _xlfn.IFS(AG142="Yes", IF(ISNUMBER(AH142)*AND(AH142&gt;=5),10,6), AG142="Partial",4, TRUE,0)
  + _xlfn.IFS(AI142="Yes",5, AI142="Partial (material categories only)",3, TRUE,0)
  + _xlfn.IFS(AL142="Yes — Detailed",10, AL142="Yes — High Level",5, TRUE,0)
  + _xlfn.IFS(AM142="Yes — Quantified",15, AM142="Yes — Directional Only",7, TRUE,0)
  + _xlfn.IFS(AP142="Formal",5, AP142="Referenced",2, TRUE,0)
  + _xlfn.IFS(AQ142="No Issues Found",5, AQ142="Concern Identified",-5, AQ142="Severe Contradiction",-15, TRUE,0)
  + _xlfn.IFS(BC142="Reasonable Assurance",5, BC142="Limited Assurance",3, TRUE,0)
  - IF(AND(Z142="Yes", AI142="No"), 10, 0)
  - IF(AND(Z142="Yes", AM142="No"), 10, 0)
))</f>
        <v>0</v>
      </c>
      <c r="AS142" s="5"/>
      <c r="AT142" s="5"/>
      <c r="AU142" s="5"/>
      <c r="AV142" s="5"/>
      <c r="AW142" s="5"/>
      <c r="AX142" s="5"/>
      <c r="AY142" s="5"/>
      <c r="AZ142" s="5"/>
      <c r="BA142" s="5"/>
      <c r="BB142" s="5"/>
      <c r="BC142" s="5"/>
      <c r="BD142" s="5"/>
      <c r="BE142" s="39">
        <f t="array" ref="BE142">MIN(100, MAX(0,
  IFERROR(_xlfn.XLOOKUP(AT142,'Lookup Tables'!$D$2:$D$6,'Lookup Tables'!$E$2:$E$6,0),0)
  + IFERROR(_xlfn.XLOOKUP(AV142,'Lookup Tables'!$G$2:$G$5,'Lookup Tables'!$H$2:$H$5,0),0)
  + IFERROR(_xlfn.XLOOKUP(AW142,'Lookup Tables'!$J$2:$J$5,'Lookup Tables'!$K$2:$K$5,0),0)
  + _xlfn.IFS(AX142="No Issues",10, AX142="Complaint Filed",3, AX142="Confirmed Breach",-15, TRUE,0)
  + IFERROR(_xlfn.XLOOKUP(AY142,'Lookup Tables'!$M$2:$M$6,'Lookup Tables'!$N$2:$N$6,0),0)
  + IFERROR(_xlfn.XLOOKUP(AZ142,'Lookup Tables'!$P$2:$P$6,'Lookup Tables'!$Q$2:$Q$6,0),0)
  + _xlfn.IFS(BA142="Formal Board Committee",5, BA142="Board Oversight Mentioned",2, TRUE,0)
  + _xlfn.IFS(BB142="Yes — Quantified Targets",5, BB142="Yes — Discretionary Only",2, TRUE,0)
  + _xlfn.IFS(BC142="Reasonable Assurance",5, BC142="Limited Assurance",3, BC142="Management Review Only",1, TRUE,0)
))</f>
        <v>0</v>
      </c>
      <c r="BF142" s="5"/>
      <c r="BG142" s="5"/>
      <c r="BH142" s="5"/>
      <c r="BI142" s="5"/>
      <c r="BJ142" s="5"/>
      <c r="BK142" s="5"/>
      <c r="BL142" s="5"/>
      <c r="BM142" s="5"/>
      <c r="BN142" s="5"/>
      <c r="BO142" s="5"/>
      <c r="BP142" s="5"/>
      <c r="BQ142" s="5"/>
      <c r="BR142" s="5"/>
      <c r="BS142" s="41">
        <f t="array" ref="BS142">MIN(100, MAX(0,
  IFERROR(_xlfn.XLOOKUP(BG142,'Lookup Tables'!$A$11:$A$16,'Lookup Tables'!$B$11:$B$16,0),0)
  + IFERROR(_xlfn.XLOOKUP(BR142,'Lookup Tables'!$M$11:$M$14,'Lookup Tables'!$N$11:$N$14,0),0)
  + IFERROR(_xlfn.XLOOKUP(BQ142,'Lookup Tables'!$J$11:$J$15,'Lookup Tables'!$K$11:$K$15,0),0)
  + IFERROR(_xlfn.XLOOKUP(BH142,'Lookup Tables'!$D$11:$D$15,'Lookup Tables'!$E$11:$E$15,0),0)
  + IFERROR(_xlfn.XLOOKUP(BJ142,'Lookup Tables'!$G$11:$G$16,'Lookup Tables'!$H$11:$H$16,0),0)
  + IFERROR(_xlfn.XLOOKUP(BN142,'Lookup Tables'!$P$11:$P$15,'Lookup Tables'!$Q$11:$Q$15,0),0)
  + _xlfn.IFS(BM142="No Evidence",10, BM142="Unknown",3, BM142="Likely",0, BM142="Confirmed",-10, TRUE,3)
  + IFERROR(_xlfn.XLOOKUP(BP142,'Lookup Tables'!$J$21:$J$24,'Lookup Tables'!$K$21:$K$24,0),0)
))</f>
        <v>3</v>
      </c>
      <c r="BT142" s="5"/>
      <c r="BU142" s="5"/>
      <c r="BV142" s="5"/>
      <c r="BW142" s="5"/>
      <c r="BX142" s="5"/>
      <c r="BY142" s="5"/>
      <c r="BZ142" s="5"/>
      <c r="CA142" s="5"/>
      <c r="CB142" s="5"/>
      <c r="CC142" s="5"/>
      <c r="CD142" s="5"/>
      <c r="CE142" s="43">
        <f t="array" ref="CE142">MIN(100, MAX(0,
  IF(ISNUMBER(BV142)*AND(BV142&gt;0), 10, 0)
  + _xlfn.IFS(BY142="Independently Verified",25, BY142="Yes",15, TRUE,0)
  + IFERROR(_xlfn.XLOOKUP(BZ142,'Lookup Tables'!$A$21:$A$24,'Lookup Tables'!$B$21:$B$24,0),0)
  + IFERROR(_xlfn.XLOOKUP(CA142,'Lookup Tables'!$D$21:$D$24,'Lookup Tables'!$E$21:$E$24,0),0)
  + _xlfn.IFS(ISNUMBER(CB142)*AND(CB142&gt;=11),15, ISNUMBER(CB142)*AND(CB142&gt;=6),10, ISNUMBER(CB142)*AND(CB142&gt;=1),5, TRUE,0)
  + IFERROR(_xlfn.XLOOKUP(CC142,'Lookup Tables'!$G$21:$G$25,'Lookup Tables'!$H$21:$H$25,0),0)
  - IF(ISNUMBER(BW142)*AND(ISNUMBER(BV142))*AND(BW142&gt;BV142), 20, 0)
  - IF(AND(BY142="Yes", ISNUMBER(BW142), BW142&gt;60), 10, 0)
))</f>
        <v>0</v>
      </c>
      <c r="CF142" s="5"/>
      <c r="CG142" s="5"/>
      <c r="CH142" s="5"/>
      <c r="CI142" s="5"/>
      <c r="CJ142" s="5"/>
      <c r="CK142" s="5"/>
      <c r="CL142" s="5"/>
      <c r="CM142" s="5"/>
      <c r="CN142" s="5"/>
      <c r="CO142" s="5"/>
      <c r="CP142" s="5"/>
      <c r="CQ142" s="5"/>
      <c r="CR142" s="5">
        <f t="shared" si="90"/>
        <v>0</v>
      </c>
      <c r="CS142" s="5">
        <f t="shared" si="91"/>
        <v>0</v>
      </c>
      <c r="CT142" s="5">
        <f t="shared" si="92"/>
        <v>0</v>
      </c>
      <c r="CU142" s="5">
        <f>MIN(100,
  CR142*15
  + CS142*6
  + CT142*3
  + IFERROR(_xlfn.XLOOKUP(CW142,'Lookup Tables'!$M$21:$M$25,'Lookup Tables'!$N$21:$N$25,0),0)
)</f>
        <v>0</v>
      </c>
      <c r="CV142" s="5" t="str">
        <f t="shared" si="93"/>
        <v>No failures</v>
      </c>
      <c r="CW142" s="5"/>
      <c r="CX142" s="5"/>
      <c r="CY142" s="5"/>
      <c r="CZ142" s="5"/>
      <c r="DA142" s="5" t="str">
        <f t="shared" si="94"/>
        <v>Yes</v>
      </c>
      <c r="DB142" s="5" t="str">
        <f t="shared" si="95"/>
        <v>No</v>
      </c>
      <c r="DC142" s="5"/>
      <c r="DD142" s="5"/>
      <c r="DE142" s="5"/>
      <c r="DF142" s="5"/>
      <c r="DG142" s="5"/>
      <c r="DH142" s="5"/>
      <c r="DI142" s="5"/>
      <c r="DJ142" s="5"/>
      <c r="DK142" s="5"/>
      <c r="DL142" s="5" t="str">
        <f t="shared" si="96"/>
        <v>Clear</v>
      </c>
      <c r="DM142" s="5" t="str">
        <f t="shared" si="97"/>
        <v>Yes</v>
      </c>
      <c r="DN142" s="5">
        <f t="array" ref="DN142">MIN(100,
  IF(ISNUMBER(V142), _xlfn.IFS(V142&gt;=3,25, V142=2,15, V142=1,5, TRUE,0), 0)
  + IFERROR(_xlfn.IFS(VALUE(LEFT(DF142,1))=5,25, VALUE(LEFT(DF142,1))=4,20, VALUE(LEFT(DF142,1))=3,15, VALUE(LEFT(DF142,1))=2,8, TRUE,0), 15)
  + IFERROR(_xlfn.IFS(VALUE(LEFT(DG142,1))=5,25, VALUE(LEFT(DG142,1))=4,20, VALUE(LEFT(DG142,1))=3,15, VALUE(LEFT(DG142,1))=2,8, TRUE,0), 15)
  + _xlfn.IFS(DH142="Fully Verified",25, DH142="Partially Verified",12, TRUE,0)
)</f>
        <v>30</v>
      </c>
      <c r="DO142" s="5" t="str">
        <f t="array" ref="DO142">_xlfn.IFS(
  ISBLANK(AR142), "Insufficient Evidence",
  AND(AR142&gt;=65, AJ142="Approved"), "Strong",
  AR142&gt;=65, "Adequate",
  AR142&gt;=40, "Adequate",
  AR142&gt;=20, "Weak",
  TRUE, "Insufficient Evidence"
)</f>
        <v>Insufficient Evidence</v>
      </c>
      <c r="DP142" s="5" t="str">
        <f t="array" ref="DP142">_xlfn.IFS(
  ISBLANK(BS142), "Insufficient Evidence",
  BS142&gt;=65, "Strong",
  BS142&gt;=40, "Adequate",
  BS142&gt;=20, "Weak",
  TRUE, "Insufficient Evidence"
)</f>
        <v>Insufficient Evidence</v>
      </c>
      <c r="DQ142" s="5" t="str">
        <f t="array" ref="DQ142">_xlfn.IFS(
  ISBLANK(BE142), "Insufficient Evidence",
  OR(AW142="Confirmed Violation", AX142="Confirmed Breach"), "Severe — Hard Trigger",
  BE142&gt;=65, "Strong",
  BE142&gt;=40, "Adequate",
  BE142&gt;=20, "Weak",
  TRUE, "Insufficient Evidence"
)</f>
        <v>Insufficient Evidence</v>
      </c>
      <c r="DR142" s="5" t="str">
        <f t="array" ref="DR142">_xlfn.IFS(
  ISBLANK(CU142), "Insufficient Evidence",
  CU142&lt;=20, "Low Risk",
  CU142&lt;=50, "Moderate Risk",
  CU142&lt;=75, "High Risk",
  TRUE, "Very High Risk"
)</f>
        <v>Low Risk</v>
      </c>
      <c r="DS142" s="5" t="str">
        <f t="array" ref="DS142">_xlfn.IFS(
  ISBLANK(CE142), "Insufficient Evidence",
  AND(ISNUMBER(BW142),ISNUMBER(BV142),BW142&gt;BV142), "Overclaiming Risk",
  CE142&gt;=65, "Strong",
  CE142&gt;=40, "Adequate",
  TRUE, "Weak"
)</f>
        <v>Weak</v>
      </c>
      <c r="DT142" s="5">
        <f t="shared" si="98"/>
        <v>11.7</v>
      </c>
      <c r="DU142" s="5" t="str">
        <f t="array" ref="DU142">_xlfn.IFS(
  DV142="Upgraded to Clear", "Clear",
  DV142="Downgraded to Watchlist", "Watchlist",
  DV142="Downgraded to Exclusion", "Exclusion Risk",
  DB142="Yes — Automatic", "Exclusion Risk",
  OR(AW142="Confirmed Violation", AX142="Confirmed Breach"), "Exclusion Risk",
  OR(V142=0, ISBLANK(V142), DN142&lt;20), "Insufficient Evidence",
  AND(DT142&gt;=65, DA142="No", DB142="No"), "Clear",
  OR(DT142&gt;=40, DA142="Yes"), "Watchlist",
  TRUE, "Exclusion Risk"
)</f>
        <v>Insufficient Evidence</v>
      </c>
      <c r="DV142" s="5"/>
      <c r="DW142" s="5" t="str">
        <f t="array" ref="DW142">_xlfn.IFS(
  DU142="Exclusion Risk", "Exclude — Hard Trigger",
  DU142="Insufficient Evidence", "Watchlist — Further Evidence Needed",
  DU142="Watchlist", "Watchlist — Further Evidence Needed",
  AND(DU142="Clear", DT142&gt;=80), "Include — No Conditions",
  DU142="Clear", "Include — Monitor",
  TRUE, "Watchlist — Further Evidence Needed"
)</f>
        <v>Watchlist — Further Evidence Needed</v>
      </c>
      <c r="DX142" s="5"/>
      <c r="DY142" s="5"/>
      <c r="DZ142" s="5"/>
      <c r="EA142" s="5"/>
      <c r="EB142" s="5" t="str">
        <f t="shared" si="99"/>
        <v>MISSING — No sources reviewed</v>
      </c>
      <c r="EC142" s="5" t="str">
        <f t="shared" si="100"/>
        <v/>
      </c>
    </row>
    <row r="143" spans="1:133" ht="18" customHeight="1" x14ac:dyDescent="0.15">
      <c r="A143" s="5" t="s">
        <v>769</v>
      </c>
      <c r="B143" s="5" t="s">
        <v>770</v>
      </c>
      <c r="C143" s="5" t="str">
        <f>IF(ISBLANK('Universe Tracker'!D118),"",'Universe Tracker'!D118)</f>
        <v>CH0014852781</v>
      </c>
      <c r="D143" s="5"/>
      <c r="E143" s="5"/>
      <c r="F143" s="5" t="str">
        <f>IF(ISBLANK('Universe Tracker'!F118),"",'Universe Tracker'!F118)</f>
        <v>Financials</v>
      </c>
      <c r="G143" s="5" t="str">
        <f>IF(ISBLANK('Universe Tracker'!G118),"",'Universe Tracker'!G118)</f>
        <v>Insurance</v>
      </c>
      <c r="H143" s="5"/>
      <c r="I143" s="5"/>
      <c r="J143" s="5" t="str">
        <f t="shared" si="88"/>
        <v>SLW_CH0014852781</v>
      </c>
      <c r="K143" s="5"/>
      <c r="L143" s="5"/>
      <c r="M143" s="5"/>
      <c r="N143" s="5"/>
      <c r="O143" s="5"/>
      <c r="P143" s="5"/>
      <c r="Q143" s="5"/>
      <c r="R143" s="5"/>
      <c r="S143" s="5"/>
      <c r="T143" s="5"/>
      <c r="U143" s="5"/>
      <c r="V143" s="5"/>
      <c r="W143" s="5"/>
      <c r="X143" s="5"/>
      <c r="Y143" s="5" t="str">
        <f t="shared" si="89"/>
        <v>Insufficient</v>
      </c>
      <c r="Z143" s="5"/>
      <c r="AA143" s="5"/>
      <c r="AB143" s="5"/>
      <c r="AC143" s="5"/>
      <c r="AD143" s="5"/>
      <c r="AE143" s="5"/>
      <c r="AF143" s="5"/>
      <c r="AG143" s="5"/>
      <c r="AH143" s="5"/>
      <c r="AI143" s="5"/>
      <c r="AJ143" s="5"/>
      <c r="AK143" s="5"/>
      <c r="AL143" s="5"/>
      <c r="AM143" s="5"/>
      <c r="AN143" s="5"/>
      <c r="AO143" s="5"/>
      <c r="AP143" s="5"/>
      <c r="AQ143" s="5"/>
      <c r="AR143" s="40">
        <f t="array" ref="AR143">MIN(100, MAX(0,
  IFERROR(_xlfn.XLOOKUP(AJ143,'Lookup Tables'!$A$2:$A$7,'Lookup Tables'!$B$2:$B$7,0),0)
  + IF(Z143="Yes", IF(IFERROR(_xlfn.XLOOKUP(AJ143,'Lookup Tables'!$A$2:$A$7,'Lookup Tables'!$B$2:$B$7,0),0)&lt;20, 5, 0), 0)
  + _xlfn.IFS(AB143="Yes", IF(ISNUMBER(AC143)*AND(AC143&lt;=2030),15,10), AB143="Long-term Only", 5, AB143="No", 0, TRUE, 0)
  + _xlfn.IFS(AF143="Full",10, AF143="Partial",5, AF143="Scope 2 Only",3, TRUE,0)
  + _xlfn.IFS(AG143="Yes", IF(ISNUMBER(AH143)*AND(AH143&gt;=5),10,6), AG143="Partial",4, TRUE,0)
  + _xlfn.IFS(AI143="Yes",5, AI143="Partial (material categories only)",3, TRUE,0)
  + _xlfn.IFS(AL143="Yes — Detailed",10, AL143="Yes — High Level",5, TRUE,0)
  + _xlfn.IFS(AM143="Yes — Quantified",15, AM143="Yes — Directional Only",7, TRUE,0)
  + _xlfn.IFS(AP143="Formal",5, AP143="Referenced",2, TRUE,0)
  + _xlfn.IFS(AQ143="No Issues Found",5, AQ143="Concern Identified",-5, AQ143="Severe Contradiction",-15, TRUE,0)
  + _xlfn.IFS(BC143="Reasonable Assurance",5, BC143="Limited Assurance",3, TRUE,0)
  - IF(AND(Z143="Yes", AI143="No"), 10, 0)
  - IF(AND(Z143="Yes", AM143="No"), 10, 0)
))</f>
        <v>0</v>
      </c>
      <c r="AS143" s="5"/>
      <c r="AT143" s="5"/>
      <c r="AU143" s="5"/>
      <c r="AV143" s="5"/>
      <c r="AW143" s="5"/>
      <c r="AX143" s="5"/>
      <c r="AY143" s="5"/>
      <c r="AZ143" s="5"/>
      <c r="BA143" s="5"/>
      <c r="BB143" s="5"/>
      <c r="BC143" s="5"/>
      <c r="BD143" s="5"/>
      <c r="BE143" s="39">
        <f t="array" ref="BE143">MIN(100, MAX(0,
  IFERROR(_xlfn.XLOOKUP(AT143,'Lookup Tables'!$D$2:$D$6,'Lookup Tables'!$E$2:$E$6,0),0)
  + IFERROR(_xlfn.XLOOKUP(AV143,'Lookup Tables'!$G$2:$G$5,'Lookup Tables'!$H$2:$H$5,0),0)
  + IFERROR(_xlfn.XLOOKUP(AW143,'Lookup Tables'!$J$2:$J$5,'Lookup Tables'!$K$2:$K$5,0),0)
  + _xlfn.IFS(AX143="No Issues",10, AX143="Complaint Filed",3, AX143="Confirmed Breach",-15, TRUE,0)
  + IFERROR(_xlfn.XLOOKUP(AY143,'Lookup Tables'!$M$2:$M$6,'Lookup Tables'!$N$2:$N$6,0),0)
  + IFERROR(_xlfn.XLOOKUP(AZ143,'Lookup Tables'!$P$2:$P$6,'Lookup Tables'!$Q$2:$Q$6,0),0)
  + _xlfn.IFS(BA143="Formal Board Committee",5, BA143="Board Oversight Mentioned",2, TRUE,0)
  + _xlfn.IFS(BB143="Yes — Quantified Targets",5, BB143="Yes — Discretionary Only",2, TRUE,0)
  + _xlfn.IFS(BC143="Reasonable Assurance",5, BC143="Limited Assurance",3, BC143="Management Review Only",1, TRUE,0)
))</f>
        <v>0</v>
      </c>
      <c r="BF143" s="5"/>
      <c r="BG143" s="5"/>
      <c r="BH143" s="5"/>
      <c r="BI143" s="5"/>
      <c r="BJ143" s="5"/>
      <c r="BK143" s="5"/>
      <c r="BL143" s="5"/>
      <c r="BM143" s="5"/>
      <c r="BN143" s="5"/>
      <c r="BO143" s="5"/>
      <c r="BP143" s="5"/>
      <c r="BQ143" s="5"/>
      <c r="BR143" s="5"/>
      <c r="BS143" s="41">
        <f t="array" ref="BS143">MIN(100, MAX(0,
  IFERROR(_xlfn.XLOOKUP(BG143,'Lookup Tables'!$A$11:$A$16,'Lookup Tables'!$B$11:$B$16,0),0)
  + IFERROR(_xlfn.XLOOKUP(BR143,'Lookup Tables'!$M$11:$M$14,'Lookup Tables'!$N$11:$N$14,0),0)
  + IFERROR(_xlfn.XLOOKUP(BQ143,'Lookup Tables'!$J$11:$J$15,'Lookup Tables'!$K$11:$K$15,0),0)
  + IFERROR(_xlfn.XLOOKUP(BH143,'Lookup Tables'!$D$11:$D$15,'Lookup Tables'!$E$11:$E$15,0),0)
  + IFERROR(_xlfn.XLOOKUP(BJ143,'Lookup Tables'!$G$11:$G$16,'Lookup Tables'!$H$11:$H$16,0),0)
  + IFERROR(_xlfn.XLOOKUP(BN143,'Lookup Tables'!$P$11:$P$15,'Lookup Tables'!$Q$11:$Q$15,0),0)
  + _xlfn.IFS(BM143="No Evidence",10, BM143="Unknown",3, BM143="Likely",0, BM143="Confirmed",-10, TRUE,3)
  + IFERROR(_xlfn.XLOOKUP(BP143,'Lookup Tables'!$J$21:$J$24,'Lookup Tables'!$K$21:$K$24,0),0)
))</f>
        <v>3</v>
      </c>
      <c r="BT143" s="5"/>
      <c r="BU143" s="5"/>
      <c r="BV143" s="5"/>
      <c r="BW143" s="5"/>
      <c r="BX143" s="5"/>
      <c r="BY143" s="5"/>
      <c r="BZ143" s="5"/>
      <c r="CA143" s="5"/>
      <c r="CB143" s="5"/>
      <c r="CC143" s="5"/>
      <c r="CD143" s="5"/>
      <c r="CE143" s="43">
        <f t="array" ref="CE143">MIN(100, MAX(0,
  IF(ISNUMBER(BV143)*AND(BV143&gt;0), 10, 0)
  + _xlfn.IFS(BY143="Independently Verified",25, BY143="Yes",15, TRUE,0)
  + IFERROR(_xlfn.XLOOKUP(BZ143,'Lookup Tables'!$A$21:$A$24,'Lookup Tables'!$B$21:$B$24,0),0)
  + IFERROR(_xlfn.XLOOKUP(CA143,'Lookup Tables'!$D$21:$D$24,'Lookup Tables'!$E$21:$E$24,0),0)
  + _xlfn.IFS(ISNUMBER(CB143)*AND(CB143&gt;=11),15, ISNUMBER(CB143)*AND(CB143&gt;=6),10, ISNUMBER(CB143)*AND(CB143&gt;=1),5, TRUE,0)
  + IFERROR(_xlfn.XLOOKUP(CC143,'Lookup Tables'!$G$21:$G$25,'Lookup Tables'!$H$21:$H$25,0),0)
  - IF(ISNUMBER(BW143)*AND(ISNUMBER(BV143))*AND(BW143&gt;BV143), 20, 0)
  - IF(AND(BY143="Yes", ISNUMBER(BW143), BW143&gt;60), 10, 0)
))</f>
        <v>0</v>
      </c>
      <c r="CF143" s="5"/>
      <c r="CG143" s="5"/>
      <c r="CH143" s="5"/>
      <c r="CI143" s="5"/>
      <c r="CJ143" s="5"/>
      <c r="CK143" s="5"/>
      <c r="CL143" s="5"/>
      <c r="CM143" s="5"/>
      <c r="CN143" s="5"/>
      <c r="CO143" s="5"/>
      <c r="CP143" s="5"/>
      <c r="CQ143" s="5"/>
      <c r="CR143" s="5">
        <f t="shared" si="90"/>
        <v>0</v>
      </c>
      <c r="CS143" s="5">
        <f t="shared" si="91"/>
        <v>0</v>
      </c>
      <c r="CT143" s="5">
        <f t="shared" si="92"/>
        <v>0</v>
      </c>
      <c r="CU143" s="5">
        <f>MIN(100,
  CR143*15
  + CS143*6
  + CT143*3
  + IFERROR(_xlfn.XLOOKUP(CW143,'Lookup Tables'!$M$21:$M$25,'Lookup Tables'!$N$21:$N$25,0),0)
)</f>
        <v>0</v>
      </c>
      <c r="CV143" s="5" t="str">
        <f t="shared" si="93"/>
        <v>No failures</v>
      </c>
      <c r="CW143" s="5"/>
      <c r="CX143" s="5"/>
      <c r="CY143" s="5"/>
      <c r="CZ143" s="5"/>
      <c r="DA143" s="5" t="str">
        <f t="shared" si="94"/>
        <v>Yes</v>
      </c>
      <c r="DB143" s="5" t="str">
        <f t="shared" si="95"/>
        <v>No</v>
      </c>
      <c r="DC143" s="5"/>
      <c r="DD143" s="5"/>
      <c r="DE143" s="5"/>
      <c r="DF143" s="5"/>
      <c r="DG143" s="5"/>
      <c r="DH143" s="5"/>
      <c r="DI143" s="5"/>
      <c r="DJ143" s="5"/>
      <c r="DK143" s="5"/>
      <c r="DL143" s="5" t="str">
        <f t="shared" si="96"/>
        <v>Clear</v>
      </c>
      <c r="DM143" s="5" t="str">
        <f t="shared" si="97"/>
        <v>Yes</v>
      </c>
      <c r="DN143" s="5">
        <f t="array" ref="DN143">MIN(100,
  IF(ISNUMBER(V143), _xlfn.IFS(V143&gt;=3,25, V143=2,15, V143=1,5, TRUE,0), 0)
  + IFERROR(_xlfn.IFS(VALUE(LEFT(DF143,1))=5,25, VALUE(LEFT(DF143,1))=4,20, VALUE(LEFT(DF143,1))=3,15, VALUE(LEFT(DF143,1))=2,8, TRUE,0), 15)
  + IFERROR(_xlfn.IFS(VALUE(LEFT(DG143,1))=5,25, VALUE(LEFT(DG143,1))=4,20, VALUE(LEFT(DG143,1))=3,15, VALUE(LEFT(DG143,1))=2,8, TRUE,0), 15)
  + _xlfn.IFS(DH143="Fully Verified",25, DH143="Partially Verified",12, TRUE,0)
)</f>
        <v>30</v>
      </c>
      <c r="DO143" s="5" t="str">
        <f t="array" ref="DO143">_xlfn.IFS(
  ISBLANK(AR143), "Insufficient Evidence",
  AND(AR143&gt;=65, AJ143="Approved"), "Strong",
  AR143&gt;=65, "Adequate",
  AR143&gt;=40, "Adequate",
  AR143&gt;=20, "Weak",
  TRUE, "Insufficient Evidence"
)</f>
        <v>Insufficient Evidence</v>
      </c>
      <c r="DP143" s="5" t="str">
        <f t="array" ref="DP143">_xlfn.IFS(
  ISBLANK(BS143), "Insufficient Evidence",
  BS143&gt;=65, "Strong",
  BS143&gt;=40, "Adequate",
  BS143&gt;=20, "Weak",
  TRUE, "Insufficient Evidence"
)</f>
        <v>Insufficient Evidence</v>
      </c>
      <c r="DQ143" s="5" t="str">
        <f t="array" ref="DQ143">_xlfn.IFS(
  ISBLANK(BE143), "Insufficient Evidence",
  OR(AW143="Confirmed Violation", AX143="Confirmed Breach"), "Severe — Hard Trigger",
  BE143&gt;=65, "Strong",
  BE143&gt;=40, "Adequate",
  BE143&gt;=20, "Weak",
  TRUE, "Insufficient Evidence"
)</f>
        <v>Insufficient Evidence</v>
      </c>
      <c r="DR143" s="5" t="str">
        <f t="array" ref="DR143">_xlfn.IFS(
  ISBLANK(CU143), "Insufficient Evidence",
  CU143&lt;=20, "Low Risk",
  CU143&lt;=50, "Moderate Risk",
  CU143&lt;=75, "High Risk",
  TRUE, "Very High Risk"
)</f>
        <v>Low Risk</v>
      </c>
      <c r="DS143" s="5" t="str">
        <f t="array" ref="DS143">_xlfn.IFS(
  ISBLANK(CE143), "Insufficient Evidence",
  AND(ISNUMBER(BW143),ISNUMBER(BV143),BW143&gt;BV143), "Overclaiming Risk",
  CE143&gt;=65, "Strong",
  CE143&gt;=40, "Adequate",
  TRUE, "Weak"
)</f>
        <v>Weak</v>
      </c>
      <c r="DT143" s="5">
        <f t="shared" si="98"/>
        <v>11.7</v>
      </c>
      <c r="DU143" s="5" t="str">
        <f t="array" ref="DU143">_xlfn.IFS(
  DV143="Upgraded to Clear", "Clear",
  DV143="Downgraded to Watchlist", "Watchlist",
  DV143="Downgraded to Exclusion", "Exclusion Risk",
  DB143="Yes — Automatic", "Exclusion Risk",
  OR(AW143="Confirmed Violation", AX143="Confirmed Breach"), "Exclusion Risk",
  OR(V143=0, ISBLANK(V143), DN143&lt;20), "Insufficient Evidence",
  AND(DT143&gt;=65, DA143="No", DB143="No"), "Clear",
  OR(DT143&gt;=40, DA143="Yes"), "Watchlist",
  TRUE, "Exclusion Risk"
)</f>
        <v>Insufficient Evidence</v>
      </c>
      <c r="DV143" s="5"/>
      <c r="DW143" s="5" t="str">
        <f t="array" ref="DW143">_xlfn.IFS(
  DU143="Exclusion Risk", "Exclude — Hard Trigger",
  DU143="Insufficient Evidence", "Watchlist — Further Evidence Needed",
  DU143="Watchlist", "Watchlist — Further Evidence Needed",
  AND(DU143="Clear", DT143&gt;=80), "Include — No Conditions",
  DU143="Clear", "Include — Monitor",
  TRUE, "Watchlist — Further Evidence Needed"
)</f>
        <v>Watchlist — Further Evidence Needed</v>
      </c>
      <c r="DX143" s="5"/>
      <c r="DY143" s="5"/>
      <c r="DZ143" s="5"/>
      <c r="EA143" s="5"/>
      <c r="EB143" s="5" t="str">
        <f t="shared" si="99"/>
        <v>MISSING — No sources reviewed</v>
      </c>
      <c r="EC143" s="5" t="str">
        <f t="shared" si="100"/>
        <v/>
      </c>
    </row>
    <row r="144" spans="1:133" ht="18" customHeight="1" x14ac:dyDescent="0.15">
      <c r="A144" s="5" t="s">
        <v>773</v>
      </c>
      <c r="B144" s="5" t="s">
        <v>774</v>
      </c>
      <c r="C144" s="5" t="str">
        <f>IF(ISBLANK('Universe Tracker'!D119),"",'Universe Tracker'!D119)</f>
        <v>NO0010345853</v>
      </c>
      <c r="D144" s="5"/>
      <c r="E144" s="5"/>
      <c r="F144" s="5" t="str">
        <f>IF(ISBLANK('Universe Tracker'!F119),"",'Universe Tracker'!F119)</f>
        <v>Energy</v>
      </c>
      <c r="G144" s="5" t="str">
        <f>IF(ISBLANK('Universe Tracker'!G119),"",'Universe Tracker'!G119)</f>
        <v>Oil &amp; Gas</v>
      </c>
      <c r="H144" s="5"/>
      <c r="I144" s="5"/>
      <c r="J144" s="5" t="str">
        <f t="shared" si="88"/>
        <v>ARC_NO0010345853</v>
      </c>
      <c r="K144" s="5"/>
      <c r="L144" s="5"/>
      <c r="M144" s="5"/>
      <c r="N144" s="5"/>
      <c r="O144" s="5"/>
      <c r="P144" s="5"/>
      <c r="Q144" s="5"/>
      <c r="R144" s="5"/>
      <c r="S144" s="5"/>
      <c r="T144" s="5"/>
      <c r="U144" s="5"/>
      <c r="V144" s="5"/>
      <c r="W144" s="5"/>
      <c r="X144" s="5"/>
      <c r="Y144" s="5" t="str">
        <f t="shared" si="89"/>
        <v>Insufficient</v>
      </c>
      <c r="Z144" s="5"/>
      <c r="AA144" s="5"/>
      <c r="AB144" s="5"/>
      <c r="AC144" s="5"/>
      <c r="AD144" s="5"/>
      <c r="AE144" s="5"/>
      <c r="AF144" s="5"/>
      <c r="AG144" s="5"/>
      <c r="AH144" s="5"/>
      <c r="AI144" s="5"/>
      <c r="AJ144" s="5"/>
      <c r="AK144" s="5"/>
      <c r="AL144" s="5"/>
      <c r="AM144" s="5"/>
      <c r="AN144" s="5"/>
      <c r="AO144" s="5"/>
      <c r="AP144" s="5"/>
      <c r="AQ144" s="5"/>
      <c r="AR144" s="40">
        <f t="array" ref="AR144">MIN(100, MAX(0,
  IFERROR(_xlfn.XLOOKUP(AJ144,'Lookup Tables'!$A$2:$A$7,'Lookup Tables'!$B$2:$B$7,0),0)
  + IF(Z144="Yes", IF(IFERROR(_xlfn.XLOOKUP(AJ144,'Lookup Tables'!$A$2:$A$7,'Lookup Tables'!$B$2:$B$7,0),0)&lt;20, 5, 0), 0)
  + _xlfn.IFS(AB144="Yes", IF(ISNUMBER(AC144)*AND(AC144&lt;=2030),15,10), AB144="Long-term Only", 5, AB144="No", 0, TRUE, 0)
  + _xlfn.IFS(AF144="Full",10, AF144="Partial",5, AF144="Scope 2 Only",3, TRUE,0)
  + _xlfn.IFS(AG144="Yes", IF(ISNUMBER(AH144)*AND(AH144&gt;=5),10,6), AG144="Partial",4, TRUE,0)
  + _xlfn.IFS(AI144="Yes",5, AI144="Partial (material categories only)",3, TRUE,0)
  + _xlfn.IFS(AL144="Yes — Detailed",10, AL144="Yes — High Level",5, TRUE,0)
  + _xlfn.IFS(AM144="Yes — Quantified",15, AM144="Yes — Directional Only",7, TRUE,0)
  + _xlfn.IFS(AP144="Formal",5, AP144="Referenced",2, TRUE,0)
  + _xlfn.IFS(AQ144="No Issues Found",5, AQ144="Concern Identified",-5, AQ144="Severe Contradiction",-15, TRUE,0)
  + _xlfn.IFS(BC144="Reasonable Assurance",5, BC144="Limited Assurance",3, TRUE,0)
  - IF(AND(Z144="Yes", AI144="No"), 10, 0)
  - IF(AND(Z144="Yes", AM144="No"), 10, 0)
))</f>
        <v>0</v>
      </c>
      <c r="AS144" s="5"/>
      <c r="AT144" s="5"/>
      <c r="AU144" s="5"/>
      <c r="AV144" s="5"/>
      <c r="AW144" s="5"/>
      <c r="AX144" s="5"/>
      <c r="AY144" s="5"/>
      <c r="AZ144" s="5"/>
      <c r="BA144" s="5"/>
      <c r="BB144" s="5"/>
      <c r="BC144" s="5"/>
      <c r="BD144" s="5"/>
      <c r="BE144" s="39">
        <f t="array" ref="BE144">MIN(100, MAX(0,
  IFERROR(_xlfn.XLOOKUP(AT144,'Lookup Tables'!$D$2:$D$6,'Lookup Tables'!$E$2:$E$6,0),0)
  + IFERROR(_xlfn.XLOOKUP(AV144,'Lookup Tables'!$G$2:$G$5,'Lookup Tables'!$H$2:$H$5,0),0)
  + IFERROR(_xlfn.XLOOKUP(AW144,'Lookup Tables'!$J$2:$J$5,'Lookup Tables'!$K$2:$K$5,0),0)
  + _xlfn.IFS(AX144="No Issues",10, AX144="Complaint Filed",3, AX144="Confirmed Breach",-15, TRUE,0)
  + IFERROR(_xlfn.XLOOKUP(AY144,'Lookup Tables'!$M$2:$M$6,'Lookup Tables'!$N$2:$N$6,0),0)
  + IFERROR(_xlfn.XLOOKUP(AZ144,'Lookup Tables'!$P$2:$P$6,'Lookup Tables'!$Q$2:$Q$6,0),0)
  + _xlfn.IFS(BA144="Formal Board Committee",5, BA144="Board Oversight Mentioned",2, TRUE,0)
  + _xlfn.IFS(BB144="Yes — Quantified Targets",5, BB144="Yes — Discretionary Only",2, TRUE,0)
  + _xlfn.IFS(BC144="Reasonable Assurance",5, BC144="Limited Assurance",3, BC144="Management Review Only",1, TRUE,0)
))</f>
        <v>0</v>
      </c>
      <c r="BF144" s="5"/>
      <c r="BG144" s="5"/>
      <c r="BH144" s="5"/>
      <c r="BI144" s="5"/>
      <c r="BJ144" s="5"/>
      <c r="BK144" s="5"/>
      <c r="BL144" s="5"/>
      <c r="BM144" s="5"/>
      <c r="BN144" s="5"/>
      <c r="BO144" s="5"/>
      <c r="BP144" s="5"/>
      <c r="BQ144" s="5"/>
      <c r="BR144" s="5"/>
      <c r="BS144" s="41">
        <f t="array" ref="BS144">MIN(100, MAX(0,
  IFERROR(_xlfn.XLOOKUP(BG144,'Lookup Tables'!$A$11:$A$16,'Lookup Tables'!$B$11:$B$16,0),0)
  + IFERROR(_xlfn.XLOOKUP(BR144,'Lookup Tables'!$M$11:$M$14,'Lookup Tables'!$N$11:$N$14,0),0)
  + IFERROR(_xlfn.XLOOKUP(BQ144,'Lookup Tables'!$J$11:$J$15,'Lookup Tables'!$K$11:$K$15,0),0)
  + IFERROR(_xlfn.XLOOKUP(BH144,'Lookup Tables'!$D$11:$D$15,'Lookup Tables'!$E$11:$E$15,0),0)
  + IFERROR(_xlfn.XLOOKUP(BJ144,'Lookup Tables'!$G$11:$G$16,'Lookup Tables'!$H$11:$H$16,0),0)
  + IFERROR(_xlfn.XLOOKUP(BN144,'Lookup Tables'!$P$11:$P$15,'Lookup Tables'!$Q$11:$Q$15,0),0)
  + _xlfn.IFS(BM144="No Evidence",10, BM144="Unknown",3, BM144="Likely",0, BM144="Confirmed",-10, TRUE,3)
  + IFERROR(_xlfn.XLOOKUP(BP144,'Lookup Tables'!$J$21:$J$24,'Lookup Tables'!$K$21:$K$24,0),0)
))</f>
        <v>3</v>
      </c>
      <c r="BT144" s="5"/>
      <c r="BU144" s="5"/>
      <c r="BV144" s="5"/>
      <c r="BW144" s="5"/>
      <c r="BX144" s="5"/>
      <c r="BY144" s="5"/>
      <c r="BZ144" s="5"/>
      <c r="CA144" s="5"/>
      <c r="CB144" s="5"/>
      <c r="CC144" s="5"/>
      <c r="CD144" s="5"/>
      <c r="CE144" s="43">
        <f t="array" ref="CE144">MIN(100, MAX(0,
  IF(ISNUMBER(BV144)*AND(BV144&gt;0), 10, 0)
  + _xlfn.IFS(BY144="Independently Verified",25, BY144="Yes",15, TRUE,0)
  + IFERROR(_xlfn.XLOOKUP(BZ144,'Lookup Tables'!$A$21:$A$24,'Lookup Tables'!$B$21:$B$24,0),0)
  + IFERROR(_xlfn.XLOOKUP(CA144,'Lookup Tables'!$D$21:$D$24,'Lookup Tables'!$E$21:$E$24,0),0)
  + _xlfn.IFS(ISNUMBER(CB144)*AND(CB144&gt;=11),15, ISNUMBER(CB144)*AND(CB144&gt;=6),10, ISNUMBER(CB144)*AND(CB144&gt;=1),5, TRUE,0)
  + IFERROR(_xlfn.XLOOKUP(CC144,'Lookup Tables'!$G$21:$G$25,'Lookup Tables'!$H$21:$H$25,0),0)
  - IF(ISNUMBER(BW144)*AND(ISNUMBER(BV144))*AND(BW144&gt;BV144), 20, 0)
  - IF(AND(BY144="Yes", ISNUMBER(BW144), BW144&gt;60), 10, 0)
))</f>
        <v>0</v>
      </c>
      <c r="CF144" s="5"/>
      <c r="CG144" s="5"/>
      <c r="CH144" s="5"/>
      <c r="CI144" s="5"/>
      <c r="CJ144" s="5"/>
      <c r="CK144" s="5"/>
      <c r="CL144" s="5"/>
      <c r="CM144" s="5"/>
      <c r="CN144" s="5"/>
      <c r="CO144" s="5"/>
      <c r="CP144" s="5"/>
      <c r="CQ144" s="5"/>
      <c r="CR144" s="5">
        <f t="shared" si="90"/>
        <v>0</v>
      </c>
      <c r="CS144" s="5">
        <f t="shared" si="91"/>
        <v>0</v>
      </c>
      <c r="CT144" s="5">
        <f t="shared" si="92"/>
        <v>0</v>
      </c>
      <c r="CU144" s="5">
        <f>MIN(100,
  CR144*15
  + CS144*6
  + CT144*3
  + IFERROR(_xlfn.XLOOKUP(CW144,'Lookup Tables'!$M$21:$M$25,'Lookup Tables'!$N$21:$N$25,0),0)
)</f>
        <v>0</v>
      </c>
      <c r="CV144" s="5" t="str">
        <f t="shared" si="93"/>
        <v>No failures</v>
      </c>
      <c r="CW144" s="5"/>
      <c r="CX144" s="5"/>
      <c r="CY144" s="5"/>
      <c r="CZ144" s="5"/>
      <c r="DA144" s="5" t="str">
        <f t="shared" si="94"/>
        <v>Yes</v>
      </c>
      <c r="DB144" s="5" t="str">
        <f t="shared" si="95"/>
        <v>No</v>
      </c>
      <c r="DC144" s="5"/>
      <c r="DD144" s="5"/>
      <c r="DE144" s="5"/>
      <c r="DF144" s="5"/>
      <c r="DG144" s="5"/>
      <c r="DH144" s="5"/>
      <c r="DI144" s="5"/>
      <c r="DJ144" s="5"/>
      <c r="DK144" s="5"/>
      <c r="DL144" s="5" t="str">
        <f t="shared" si="96"/>
        <v>Clear</v>
      </c>
      <c r="DM144" s="5" t="str">
        <f t="shared" si="97"/>
        <v>Yes</v>
      </c>
      <c r="DN144" s="5">
        <f t="array" ref="DN144">MIN(100,
  IF(ISNUMBER(V144), _xlfn.IFS(V144&gt;=3,25, V144=2,15, V144=1,5, TRUE,0), 0)
  + IFERROR(_xlfn.IFS(VALUE(LEFT(DF144,1))=5,25, VALUE(LEFT(DF144,1))=4,20, VALUE(LEFT(DF144,1))=3,15, VALUE(LEFT(DF144,1))=2,8, TRUE,0), 15)
  + IFERROR(_xlfn.IFS(VALUE(LEFT(DG144,1))=5,25, VALUE(LEFT(DG144,1))=4,20, VALUE(LEFT(DG144,1))=3,15, VALUE(LEFT(DG144,1))=2,8, TRUE,0), 15)
  + _xlfn.IFS(DH144="Fully Verified",25, DH144="Partially Verified",12, TRUE,0)
)</f>
        <v>30</v>
      </c>
      <c r="DO144" s="5" t="str">
        <f t="array" ref="DO144">_xlfn.IFS(
  ISBLANK(AR144), "Insufficient Evidence",
  AND(AR144&gt;=65, AJ144="Approved"), "Strong",
  AR144&gt;=65, "Adequate",
  AR144&gt;=40, "Adequate",
  AR144&gt;=20, "Weak",
  TRUE, "Insufficient Evidence"
)</f>
        <v>Insufficient Evidence</v>
      </c>
      <c r="DP144" s="5" t="str">
        <f t="array" ref="DP144">_xlfn.IFS(
  ISBLANK(BS144), "Insufficient Evidence",
  BS144&gt;=65, "Strong",
  BS144&gt;=40, "Adequate",
  BS144&gt;=20, "Weak",
  TRUE, "Insufficient Evidence"
)</f>
        <v>Insufficient Evidence</v>
      </c>
      <c r="DQ144" s="5" t="str">
        <f t="array" ref="DQ144">_xlfn.IFS(
  ISBLANK(BE144), "Insufficient Evidence",
  OR(AW144="Confirmed Violation", AX144="Confirmed Breach"), "Severe — Hard Trigger",
  BE144&gt;=65, "Strong",
  BE144&gt;=40, "Adequate",
  BE144&gt;=20, "Weak",
  TRUE, "Insufficient Evidence"
)</f>
        <v>Insufficient Evidence</v>
      </c>
      <c r="DR144" s="5" t="str">
        <f t="array" ref="DR144">_xlfn.IFS(
  ISBLANK(CU144), "Insufficient Evidence",
  CU144&lt;=20, "Low Risk",
  CU144&lt;=50, "Moderate Risk",
  CU144&lt;=75, "High Risk",
  TRUE, "Very High Risk"
)</f>
        <v>Low Risk</v>
      </c>
      <c r="DS144" s="5" t="str">
        <f t="array" ref="DS144">_xlfn.IFS(
  ISBLANK(CE144), "Insufficient Evidence",
  AND(ISNUMBER(BW144),ISNUMBER(BV144),BW144&gt;BV144), "Overclaiming Risk",
  CE144&gt;=65, "Strong",
  CE144&gt;=40, "Adequate",
  TRUE, "Weak"
)</f>
        <v>Weak</v>
      </c>
      <c r="DT144" s="5">
        <f t="shared" si="98"/>
        <v>11.7</v>
      </c>
      <c r="DU144" s="5" t="str">
        <f t="array" ref="DU144">_xlfn.IFS(
  DV144="Upgraded to Clear", "Clear",
  DV144="Downgraded to Watchlist", "Watchlist",
  DV144="Downgraded to Exclusion", "Exclusion Risk",
  DB144="Yes — Automatic", "Exclusion Risk",
  OR(AW144="Confirmed Violation", AX144="Confirmed Breach"), "Exclusion Risk",
  OR(V144=0, ISBLANK(V144), DN144&lt;20), "Insufficient Evidence",
  AND(DT144&gt;=65, DA144="No", DB144="No"), "Clear",
  OR(DT144&gt;=40, DA144="Yes"), "Watchlist",
  TRUE, "Exclusion Risk"
)</f>
        <v>Insufficient Evidence</v>
      </c>
      <c r="DV144" s="5"/>
      <c r="DW144" s="5" t="str">
        <f t="array" ref="DW144">_xlfn.IFS(
  DU144="Exclusion Risk", "Exclude — Hard Trigger",
  DU144="Insufficient Evidence", "Watchlist — Further Evidence Needed",
  DU144="Watchlist", "Watchlist — Further Evidence Needed",
  AND(DU144="Clear", DT144&gt;=80), "Include — No Conditions",
  DU144="Clear", "Include — Monitor",
  TRUE, "Watchlist — Further Evidence Needed"
)</f>
        <v>Watchlist — Further Evidence Needed</v>
      </c>
      <c r="DX144" s="5"/>
      <c r="DY144" s="5"/>
      <c r="DZ144" s="5"/>
      <c r="EA144" s="5"/>
      <c r="EB144" s="5" t="str">
        <f t="shared" si="99"/>
        <v>MISSING — No sources reviewed</v>
      </c>
      <c r="EC144" s="5" t="str">
        <f t="shared" si="100"/>
        <v/>
      </c>
    </row>
    <row r="145" spans="1:133" ht="18" customHeight="1" x14ac:dyDescent="0.15">
      <c r="A145" s="5" t="s">
        <v>777</v>
      </c>
      <c r="B145" s="5" t="s">
        <v>778</v>
      </c>
      <c r="C145" s="5" t="str">
        <f>IF(ISBLANK('Universe Tracker'!D120),"",'Universe Tracker'!D120)</f>
        <v>CH0030380734</v>
      </c>
      <c r="D145" s="5"/>
      <c r="E145" s="5"/>
      <c r="F145" s="5" t="str">
        <f>IF(ISBLANK('Universe Tracker'!F120),"",'Universe Tracker'!F120)</f>
        <v>Industrials</v>
      </c>
      <c r="G145" s="5" t="str">
        <f>IF(ISBLANK('Universe Tracker'!G120),"",'Universe Tracker'!G120)</f>
        <v>Industrial Products</v>
      </c>
      <c r="H145" s="5"/>
      <c r="I145" s="5"/>
      <c r="J145" s="5" t="str">
        <f t="shared" si="88"/>
        <v>HGUA_CH0030380734</v>
      </c>
      <c r="K145" s="5"/>
      <c r="L145" s="5"/>
      <c r="M145" s="5"/>
      <c r="N145" s="5"/>
      <c r="O145" s="5"/>
      <c r="P145" s="5"/>
      <c r="Q145" s="5"/>
      <c r="R145" s="5"/>
      <c r="S145" s="5"/>
      <c r="T145" s="5"/>
      <c r="U145" s="5"/>
      <c r="V145" s="5"/>
      <c r="W145" s="5"/>
      <c r="X145" s="5"/>
      <c r="Y145" s="5" t="str">
        <f t="shared" si="89"/>
        <v>Insufficient</v>
      </c>
      <c r="Z145" s="5"/>
      <c r="AA145" s="5"/>
      <c r="AB145" s="5"/>
      <c r="AC145" s="5"/>
      <c r="AD145" s="5"/>
      <c r="AE145" s="5"/>
      <c r="AF145" s="5"/>
      <c r="AG145" s="5"/>
      <c r="AH145" s="5"/>
      <c r="AI145" s="5"/>
      <c r="AJ145" s="5"/>
      <c r="AK145" s="5"/>
      <c r="AL145" s="5"/>
      <c r="AM145" s="5"/>
      <c r="AN145" s="5"/>
      <c r="AO145" s="5"/>
      <c r="AP145" s="5"/>
      <c r="AQ145" s="5"/>
      <c r="AR145" s="40">
        <f t="array" ref="AR145">MIN(100, MAX(0,
  IFERROR(_xlfn.XLOOKUP(AJ145,'Lookup Tables'!$A$2:$A$7,'Lookup Tables'!$B$2:$B$7,0),0)
  + IF(Z145="Yes", IF(IFERROR(_xlfn.XLOOKUP(AJ145,'Lookup Tables'!$A$2:$A$7,'Lookup Tables'!$B$2:$B$7,0),0)&lt;20, 5, 0), 0)
  + _xlfn.IFS(AB145="Yes", IF(ISNUMBER(AC145)*AND(AC145&lt;=2030),15,10), AB145="Long-term Only", 5, AB145="No", 0, TRUE, 0)
  + _xlfn.IFS(AF145="Full",10, AF145="Partial",5, AF145="Scope 2 Only",3, TRUE,0)
  + _xlfn.IFS(AG145="Yes", IF(ISNUMBER(AH145)*AND(AH145&gt;=5),10,6), AG145="Partial",4, TRUE,0)
  + _xlfn.IFS(AI145="Yes",5, AI145="Partial (material categories only)",3, TRUE,0)
  + _xlfn.IFS(AL145="Yes — Detailed",10, AL145="Yes — High Level",5, TRUE,0)
  + _xlfn.IFS(AM145="Yes — Quantified",15, AM145="Yes — Directional Only",7, TRUE,0)
  + _xlfn.IFS(AP145="Formal",5, AP145="Referenced",2, TRUE,0)
  + _xlfn.IFS(AQ145="No Issues Found",5, AQ145="Concern Identified",-5, AQ145="Severe Contradiction",-15, TRUE,0)
  + _xlfn.IFS(BC145="Reasonable Assurance",5, BC145="Limited Assurance",3, TRUE,0)
  - IF(AND(Z145="Yes", AI145="No"), 10, 0)
  - IF(AND(Z145="Yes", AM145="No"), 10, 0)
))</f>
        <v>0</v>
      </c>
      <c r="AS145" s="5"/>
      <c r="AT145" s="5"/>
      <c r="AU145" s="5"/>
      <c r="AV145" s="5"/>
      <c r="AW145" s="5"/>
      <c r="AX145" s="5"/>
      <c r="AY145" s="5"/>
      <c r="AZ145" s="5"/>
      <c r="BA145" s="5"/>
      <c r="BB145" s="5"/>
      <c r="BC145" s="5"/>
      <c r="BD145" s="5"/>
      <c r="BE145" s="39">
        <f t="array" ref="BE145">MIN(100, MAX(0,
  IFERROR(_xlfn.XLOOKUP(AT145,'Lookup Tables'!$D$2:$D$6,'Lookup Tables'!$E$2:$E$6,0),0)
  + IFERROR(_xlfn.XLOOKUP(AV145,'Lookup Tables'!$G$2:$G$5,'Lookup Tables'!$H$2:$H$5,0),0)
  + IFERROR(_xlfn.XLOOKUP(AW145,'Lookup Tables'!$J$2:$J$5,'Lookup Tables'!$K$2:$K$5,0),0)
  + _xlfn.IFS(AX145="No Issues",10, AX145="Complaint Filed",3, AX145="Confirmed Breach",-15, TRUE,0)
  + IFERROR(_xlfn.XLOOKUP(AY145,'Lookup Tables'!$M$2:$M$6,'Lookup Tables'!$N$2:$N$6,0),0)
  + IFERROR(_xlfn.XLOOKUP(AZ145,'Lookup Tables'!$P$2:$P$6,'Lookup Tables'!$Q$2:$Q$6,0),0)
  + _xlfn.IFS(BA145="Formal Board Committee",5, BA145="Board Oversight Mentioned",2, TRUE,0)
  + _xlfn.IFS(BB145="Yes — Quantified Targets",5, BB145="Yes — Discretionary Only",2, TRUE,0)
  + _xlfn.IFS(BC145="Reasonable Assurance",5, BC145="Limited Assurance",3, BC145="Management Review Only",1, TRUE,0)
))</f>
        <v>0</v>
      </c>
      <c r="BF145" s="5"/>
      <c r="BG145" s="5"/>
      <c r="BH145" s="5"/>
      <c r="BI145" s="5"/>
      <c r="BJ145" s="5"/>
      <c r="BK145" s="5"/>
      <c r="BL145" s="5"/>
      <c r="BM145" s="5"/>
      <c r="BN145" s="5"/>
      <c r="BO145" s="5"/>
      <c r="BP145" s="5"/>
      <c r="BQ145" s="5"/>
      <c r="BR145" s="5"/>
      <c r="BS145" s="41">
        <f t="array" ref="BS145">MIN(100, MAX(0,
  IFERROR(_xlfn.XLOOKUP(BG145,'Lookup Tables'!$A$11:$A$16,'Lookup Tables'!$B$11:$B$16,0),0)
  + IFERROR(_xlfn.XLOOKUP(BR145,'Lookup Tables'!$M$11:$M$14,'Lookup Tables'!$N$11:$N$14,0),0)
  + IFERROR(_xlfn.XLOOKUP(BQ145,'Lookup Tables'!$J$11:$J$15,'Lookup Tables'!$K$11:$K$15,0),0)
  + IFERROR(_xlfn.XLOOKUP(BH145,'Lookup Tables'!$D$11:$D$15,'Lookup Tables'!$E$11:$E$15,0),0)
  + IFERROR(_xlfn.XLOOKUP(BJ145,'Lookup Tables'!$G$11:$G$16,'Lookup Tables'!$H$11:$H$16,0),0)
  + IFERROR(_xlfn.XLOOKUP(BN145,'Lookup Tables'!$P$11:$P$15,'Lookup Tables'!$Q$11:$Q$15,0),0)
  + _xlfn.IFS(BM145="No Evidence",10, BM145="Unknown",3, BM145="Likely",0, BM145="Confirmed",-10, TRUE,3)
  + IFERROR(_xlfn.XLOOKUP(BP145,'Lookup Tables'!$J$21:$J$24,'Lookup Tables'!$K$21:$K$24,0),0)
))</f>
        <v>3</v>
      </c>
      <c r="BT145" s="5"/>
      <c r="BU145" s="5"/>
      <c r="BV145" s="5"/>
      <c r="BW145" s="5"/>
      <c r="BX145" s="5"/>
      <c r="BY145" s="5"/>
      <c r="BZ145" s="5"/>
      <c r="CA145" s="5"/>
      <c r="CB145" s="5"/>
      <c r="CC145" s="5"/>
      <c r="CD145" s="5"/>
      <c r="CE145" s="43">
        <f t="array" ref="CE145">MIN(100, MAX(0,
  IF(ISNUMBER(BV145)*AND(BV145&gt;0), 10, 0)
  + _xlfn.IFS(BY145="Independently Verified",25, BY145="Yes",15, TRUE,0)
  + IFERROR(_xlfn.XLOOKUP(BZ145,'Lookup Tables'!$A$21:$A$24,'Lookup Tables'!$B$21:$B$24,0),0)
  + IFERROR(_xlfn.XLOOKUP(CA145,'Lookup Tables'!$D$21:$D$24,'Lookup Tables'!$E$21:$E$24,0),0)
  + _xlfn.IFS(ISNUMBER(CB145)*AND(CB145&gt;=11),15, ISNUMBER(CB145)*AND(CB145&gt;=6),10, ISNUMBER(CB145)*AND(CB145&gt;=1),5, TRUE,0)
  + IFERROR(_xlfn.XLOOKUP(CC145,'Lookup Tables'!$G$21:$G$25,'Lookup Tables'!$H$21:$H$25,0),0)
  - IF(ISNUMBER(BW145)*AND(ISNUMBER(BV145))*AND(BW145&gt;BV145), 20, 0)
  - IF(AND(BY145="Yes", ISNUMBER(BW145), BW145&gt;60), 10, 0)
))</f>
        <v>0</v>
      </c>
      <c r="CF145" s="5"/>
      <c r="CG145" s="5"/>
      <c r="CH145" s="5"/>
      <c r="CI145" s="5"/>
      <c r="CJ145" s="5"/>
      <c r="CK145" s="5"/>
      <c r="CL145" s="5"/>
      <c r="CM145" s="5"/>
      <c r="CN145" s="5"/>
      <c r="CO145" s="5"/>
      <c r="CP145" s="5"/>
      <c r="CQ145" s="5"/>
      <c r="CR145" s="5">
        <f t="shared" si="90"/>
        <v>0</v>
      </c>
      <c r="CS145" s="5">
        <f t="shared" si="91"/>
        <v>0</v>
      </c>
      <c r="CT145" s="5">
        <f t="shared" si="92"/>
        <v>0</v>
      </c>
      <c r="CU145" s="5">
        <f>MIN(100,
  CR145*15
  + CS145*6
  + CT145*3
  + IFERROR(_xlfn.XLOOKUP(CW145,'Lookup Tables'!$M$21:$M$25,'Lookup Tables'!$N$21:$N$25,0),0)
)</f>
        <v>0</v>
      </c>
      <c r="CV145" s="5" t="str">
        <f t="shared" si="93"/>
        <v>No failures</v>
      </c>
      <c r="CW145" s="5"/>
      <c r="CX145" s="5"/>
      <c r="CY145" s="5"/>
      <c r="CZ145" s="5"/>
      <c r="DA145" s="5" t="str">
        <f t="shared" si="94"/>
        <v>Yes</v>
      </c>
      <c r="DB145" s="5" t="str">
        <f t="shared" si="95"/>
        <v>No</v>
      </c>
      <c r="DC145" s="5"/>
      <c r="DD145" s="5"/>
      <c r="DE145" s="5"/>
      <c r="DF145" s="5"/>
      <c r="DG145" s="5"/>
      <c r="DH145" s="5"/>
      <c r="DI145" s="5"/>
      <c r="DJ145" s="5"/>
      <c r="DK145" s="5"/>
      <c r="DL145" s="5" t="str">
        <f t="shared" si="96"/>
        <v>Clear</v>
      </c>
      <c r="DM145" s="5" t="str">
        <f t="shared" si="97"/>
        <v>Yes</v>
      </c>
      <c r="DN145" s="5">
        <f t="array" ref="DN145">MIN(100,
  IF(ISNUMBER(V145), _xlfn.IFS(V145&gt;=3,25, V145=2,15, V145=1,5, TRUE,0), 0)
  + IFERROR(_xlfn.IFS(VALUE(LEFT(DF145,1))=5,25, VALUE(LEFT(DF145,1))=4,20, VALUE(LEFT(DF145,1))=3,15, VALUE(LEFT(DF145,1))=2,8, TRUE,0), 15)
  + IFERROR(_xlfn.IFS(VALUE(LEFT(DG145,1))=5,25, VALUE(LEFT(DG145,1))=4,20, VALUE(LEFT(DG145,1))=3,15, VALUE(LEFT(DG145,1))=2,8, TRUE,0), 15)
  + _xlfn.IFS(DH145="Fully Verified",25, DH145="Partially Verified",12, TRUE,0)
)</f>
        <v>30</v>
      </c>
      <c r="DO145" s="5" t="str">
        <f t="array" ref="DO145">_xlfn.IFS(
  ISBLANK(AR145), "Insufficient Evidence",
  AND(AR145&gt;=65, AJ145="Approved"), "Strong",
  AR145&gt;=65, "Adequate",
  AR145&gt;=40, "Adequate",
  AR145&gt;=20, "Weak",
  TRUE, "Insufficient Evidence"
)</f>
        <v>Insufficient Evidence</v>
      </c>
      <c r="DP145" s="5" t="str">
        <f t="array" ref="DP145">_xlfn.IFS(
  ISBLANK(BS145), "Insufficient Evidence",
  BS145&gt;=65, "Strong",
  BS145&gt;=40, "Adequate",
  BS145&gt;=20, "Weak",
  TRUE, "Insufficient Evidence"
)</f>
        <v>Insufficient Evidence</v>
      </c>
      <c r="DQ145" s="5" t="str">
        <f t="array" ref="DQ145">_xlfn.IFS(
  ISBLANK(BE145), "Insufficient Evidence",
  OR(AW145="Confirmed Violation", AX145="Confirmed Breach"), "Severe — Hard Trigger",
  BE145&gt;=65, "Strong",
  BE145&gt;=40, "Adequate",
  BE145&gt;=20, "Weak",
  TRUE, "Insufficient Evidence"
)</f>
        <v>Insufficient Evidence</v>
      </c>
      <c r="DR145" s="5" t="str">
        <f t="array" ref="DR145">_xlfn.IFS(
  ISBLANK(CU145), "Insufficient Evidence",
  CU145&lt;=20, "Low Risk",
  CU145&lt;=50, "Moderate Risk",
  CU145&lt;=75, "High Risk",
  TRUE, "Very High Risk"
)</f>
        <v>Low Risk</v>
      </c>
      <c r="DS145" s="5" t="str">
        <f t="array" ref="DS145">_xlfn.IFS(
  ISBLANK(CE145), "Insufficient Evidence",
  AND(ISNUMBER(BW145),ISNUMBER(BV145),BW145&gt;BV145), "Overclaiming Risk",
  CE145&gt;=65, "Strong",
  CE145&gt;=40, "Adequate",
  TRUE, "Weak"
)</f>
        <v>Weak</v>
      </c>
      <c r="DT145" s="5">
        <f t="shared" si="98"/>
        <v>11.7</v>
      </c>
      <c r="DU145" s="5" t="str">
        <f t="array" ref="DU145">_xlfn.IFS(
  DV145="Upgraded to Clear", "Clear",
  DV145="Downgraded to Watchlist", "Watchlist",
  DV145="Downgraded to Exclusion", "Exclusion Risk",
  DB145="Yes — Automatic", "Exclusion Risk",
  OR(AW145="Confirmed Violation", AX145="Confirmed Breach"), "Exclusion Risk",
  OR(V145=0, ISBLANK(V145), DN145&lt;20), "Insufficient Evidence",
  AND(DT145&gt;=65, DA145="No", DB145="No"), "Clear",
  OR(DT145&gt;=40, DA145="Yes"), "Watchlist",
  TRUE, "Exclusion Risk"
)</f>
        <v>Insufficient Evidence</v>
      </c>
      <c r="DV145" s="5"/>
      <c r="DW145" s="5" t="str">
        <f t="array" ref="DW145">_xlfn.IFS(
  DU145="Exclusion Risk", "Exclude — Hard Trigger",
  DU145="Insufficient Evidence", "Watchlist — Further Evidence Needed",
  DU145="Watchlist", "Watchlist — Further Evidence Needed",
  AND(DU145="Clear", DT145&gt;=80), "Include — No Conditions",
  DU145="Clear", "Include — Monitor",
  TRUE, "Watchlist — Further Evidence Needed"
)</f>
        <v>Watchlist — Further Evidence Needed</v>
      </c>
      <c r="DX145" s="5"/>
      <c r="DY145" s="5"/>
      <c r="DZ145" s="5"/>
      <c r="EA145" s="5"/>
      <c r="EB145" s="5" t="str">
        <f t="shared" si="99"/>
        <v>MISSING — No sources reviewed</v>
      </c>
      <c r="EC145" s="5" t="str">
        <f t="shared" si="100"/>
        <v/>
      </c>
    </row>
    <row r="146" spans="1:133" ht="18" customHeight="1" x14ac:dyDescent="0.15">
      <c r="A146" s="5" t="s">
        <v>781</v>
      </c>
      <c r="B146" s="5" t="s">
        <v>782</v>
      </c>
      <c r="C146" s="5" t="str">
        <f>IF(ISBLANK('Universe Tracker'!D121),"",'Universe Tracker'!D121)</f>
        <v>DE0005909006</v>
      </c>
      <c r="D146" s="5"/>
      <c r="E146" s="5"/>
      <c r="F146" s="5" t="str">
        <f>IF(ISBLANK('Universe Tracker'!F121),"",'Universe Tracker'!F121)</f>
        <v>Industrials</v>
      </c>
      <c r="G146" s="5" t="str">
        <f>IF(ISBLANK('Universe Tracker'!G121),"",'Universe Tracker'!G121)</f>
        <v>Industrial Services</v>
      </c>
      <c r="H146" s="5"/>
      <c r="I146" s="5"/>
      <c r="J146" s="5" t="str">
        <f t="shared" si="88"/>
        <v>GBF_DE0005909006</v>
      </c>
      <c r="K146" s="5"/>
      <c r="L146" s="5"/>
      <c r="M146" s="5"/>
      <c r="N146" s="5"/>
      <c r="O146" s="5"/>
      <c r="P146" s="5"/>
      <c r="Q146" s="5"/>
      <c r="R146" s="5"/>
      <c r="S146" s="5"/>
      <c r="T146" s="5"/>
      <c r="U146" s="5"/>
      <c r="V146" s="5"/>
      <c r="W146" s="5"/>
      <c r="X146" s="5"/>
      <c r="Y146" s="5" t="str">
        <f t="shared" si="89"/>
        <v>Insufficient</v>
      </c>
      <c r="Z146" s="5"/>
      <c r="AA146" s="5"/>
      <c r="AB146" s="5"/>
      <c r="AC146" s="5"/>
      <c r="AD146" s="5"/>
      <c r="AE146" s="5"/>
      <c r="AF146" s="5"/>
      <c r="AG146" s="5"/>
      <c r="AH146" s="5"/>
      <c r="AI146" s="5"/>
      <c r="AJ146" s="5"/>
      <c r="AK146" s="5"/>
      <c r="AL146" s="5"/>
      <c r="AM146" s="5"/>
      <c r="AN146" s="5"/>
      <c r="AO146" s="5"/>
      <c r="AP146" s="5"/>
      <c r="AQ146" s="5"/>
      <c r="AR146" s="40">
        <f t="array" ref="AR146">MIN(100, MAX(0,
  IFERROR(_xlfn.XLOOKUP(AJ146,'Lookup Tables'!$A$2:$A$7,'Lookup Tables'!$B$2:$B$7,0),0)
  + IF(Z146="Yes", IF(IFERROR(_xlfn.XLOOKUP(AJ146,'Lookup Tables'!$A$2:$A$7,'Lookup Tables'!$B$2:$B$7,0),0)&lt;20, 5, 0), 0)
  + _xlfn.IFS(AB146="Yes", IF(ISNUMBER(AC146)*AND(AC146&lt;=2030),15,10), AB146="Long-term Only", 5, AB146="No", 0, TRUE, 0)
  + _xlfn.IFS(AF146="Full",10, AF146="Partial",5, AF146="Scope 2 Only",3, TRUE,0)
  + _xlfn.IFS(AG146="Yes", IF(ISNUMBER(AH146)*AND(AH146&gt;=5),10,6), AG146="Partial",4, TRUE,0)
  + _xlfn.IFS(AI146="Yes",5, AI146="Partial (material categories only)",3, TRUE,0)
  + _xlfn.IFS(AL146="Yes — Detailed",10, AL146="Yes — High Level",5, TRUE,0)
  + _xlfn.IFS(AM146="Yes — Quantified",15, AM146="Yes — Directional Only",7, TRUE,0)
  + _xlfn.IFS(AP146="Formal",5, AP146="Referenced",2, TRUE,0)
  + _xlfn.IFS(AQ146="No Issues Found",5, AQ146="Concern Identified",-5, AQ146="Severe Contradiction",-15, TRUE,0)
  + _xlfn.IFS(BC146="Reasonable Assurance",5, BC146="Limited Assurance",3, TRUE,0)
  - IF(AND(Z146="Yes", AI146="No"), 10, 0)
  - IF(AND(Z146="Yes", AM146="No"), 10, 0)
))</f>
        <v>0</v>
      </c>
      <c r="AS146" s="5"/>
      <c r="AT146" s="5"/>
      <c r="AU146" s="5"/>
      <c r="AV146" s="5"/>
      <c r="AW146" s="5"/>
      <c r="AX146" s="5"/>
      <c r="AY146" s="5"/>
      <c r="AZ146" s="5"/>
      <c r="BA146" s="5"/>
      <c r="BB146" s="5"/>
      <c r="BC146" s="5"/>
      <c r="BD146" s="5"/>
      <c r="BE146" s="39">
        <f t="array" ref="BE146">MIN(100, MAX(0,
  IFERROR(_xlfn.XLOOKUP(AT146,'Lookup Tables'!$D$2:$D$6,'Lookup Tables'!$E$2:$E$6,0),0)
  + IFERROR(_xlfn.XLOOKUP(AV146,'Lookup Tables'!$G$2:$G$5,'Lookup Tables'!$H$2:$H$5,0),0)
  + IFERROR(_xlfn.XLOOKUP(AW146,'Lookup Tables'!$J$2:$J$5,'Lookup Tables'!$K$2:$K$5,0),0)
  + _xlfn.IFS(AX146="No Issues",10, AX146="Complaint Filed",3, AX146="Confirmed Breach",-15, TRUE,0)
  + IFERROR(_xlfn.XLOOKUP(AY146,'Lookup Tables'!$M$2:$M$6,'Lookup Tables'!$N$2:$N$6,0),0)
  + IFERROR(_xlfn.XLOOKUP(AZ146,'Lookup Tables'!$P$2:$P$6,'Lookup Tables'!$Q$2:$Q$6,0),0)
  + _xlfn.IFS(BA146="Formal Board Committee",5, BA146="Board Oversight Mentioned",2, TRUE,0)
  + _xlfn.IFS(BB146="Yes — Quantified Targets",5, BB146="Yes — Discretionary Only",2, TRUE,0)
  + _xlfn.IFS(BC146="Reasonable Assurance",5, BC146="Limited Assurance",3, BC146="Management Review Only",1, TRUE,0)
))</f>
        <v>0</v>
      </c>
      <c r="BF146" s="5"/>
      <c r="BG146" s="5"/>
      <c r="BH146" s="5"/>
      <c r="BI146" s="5"/>
      <c r="BJ146" s="5"/>
      <c r="BK146" s="5"/>
      <c r="BL146" s="5"/>
      <c r="BM146" s="5"/>
      <c r="BN146" s="5"/>
      <c r="BO146" s="5"/>
      <c r="BP146" s="5"/>
      <c r="BQ146" s="5"/>
      <c r="BR146" s="5"/>
      <c r="BS146" s="41">
        <f t="array" ref="BS146">MIN(100, MAX(0,
  IFERROR(_xlfn.XLOOKUP(BG146,'Lookup Tables'!$A$11:$A$16,'Lookup Tables'!$B$11:$B$16,0),0)
  + IFERROR(_xlfn.XLOOKUP(BR146,'Lookup Tables'!$M$11:$M$14,'Lookup Tables'!$N$11:$N$14,0),0)
  + IFERROR(_xlfn.XLOOKUP(BQ146,'Lookup Tables'!$J$11:$J$15,'Lookup Tables'!$K$11:$K$15,0),0)
  + IFERROR(_xlfn.XLOOKUP(BH146,'Lookup Tables'!$D$11:$D$15,'Lookup Tables'!$E$11:$E$15,0),0)
  + IFERROR(_xlfn.XLOOKUP(BJ146,'Lookup Tables'!$G$11:$G$16,'Lookup Tables'!$H$11:$H$16,0),0)
  + IFERROR(_xlfn.XLOOKUP(BN146,'Lookup Tables'!$P$11:$P$15,'Lookup Tables'!$Q$11:$Q$15,0),0)
  + _xlfn.IFS(BM146="No Evidence",10, BM146="Unknown",3, BM146="Likely",0, BM146="Confirmed",-10, TRUE,3)
  + IFERROR(_xlfn.XLOOKUP(BP146,'Lookup Tables'!$J$21:$J$24,'Lookup Tables'!$K$21:$K$24,0),0)
))</f>
        <v>3</v>
      </c>
      <c r="BT146" s="5"/>
      <c r="BU146" s="5"/>
      <c r="BV146" s="5"/>
      <c r="BW146" s="5"/>
      <c r="BX146" s="5"/>
      <c r="BY146" s="5"/>
      <c r="BZ146" s="5"/>
      <c r="CA146" s="5"/>
      <c r="CB146" s="5"/>
      <c r="CC146" s="5"/>
      <c r="CD146" s="5"/>
      <c r="CE146" s="43">
        <f t="array" ref="CE146">MIN(100, MAX(0,
  IF(ISNUMBER(BV146)*AND(BV146&gt;0), 10, 0)
  + _xlfn.IFS(BY146="Independently Verified",25, BY146="Yes",15, TRUE,0)
  + IFERROR(_xlfn.XLOOKUP(BZ146,'Lookup Tables'!$A$21:$A$24,'Lookup Tables'!$B$21:$B$24,0),0)
  + IFERROR(_xlfn.XLOOKUP(CA146,'Lookup Tables'!$D$21:$D$24,'Lookup Tables'!$E$21:$E$24,0),0)
  + _xlfn.IFS(ISNUMBER(CB146)*AND(CB146&gt;=11),15, ISNUMBER(CB146)*AND(CB146&gt;=6),10, ISNUMBER(CB146)*AND(CB146&gt;=1),5, TRUE,0)
  + IFERROR(_xlfn.XLOOKUP(CC146,'Lookup Tables'!$G$21:$G$25,'Lookup Tables'!$H$21:$H$25,0),0)
  - IF(ISNUMBER(BW146)*AND(ISNUMBER(BV146))*AND(BW146&gt;BV146), 20, 0)
  - IF(AND(BY146="Yes", ISNUMBER(BW146), BW146&gt;60), 10, 0)
))</f>
        <v>0</v>
      </c>
      <c r="CF146" s="5"/>
      <c r="CG146" s="5"/>
      <c r="CH146" s="5"/>
      <c r="CI146" s="5"/>
      <c r="CJ146" s="5"/>
      <c r="CK146" s="5"/>
      <c r="CL146" s="5"/>
      <c r="CM146" s="5"/>
      <c r="CN146" s="5"/>
      <c r="CO146" s="5"/>
      <c r="CP146" s="5"/>
      <c r="CQ146" s="5"/>
      <c r="CR146" s="5">
        <f t="shared" si="90"/>
        <v>0</v>
      </c>
      <c r="CS146" s="5">
        <f t="shared" si="91"/>
        <v>0</v>
      </c>
      <c r="CT146" s="5">
        <f t="shared" si="92"/>
        <v>0</v>
      </c>
      <c r="CU146" s="5">
        <f>MIN(100,
  CR146*15
  + CS146*6
  + CT146*3
  + IFERROR(_xlfn.XLOOKUP(CW146,'Lookup Tables'!$M$21:$M$25,'Lookup Tables'!$N$21:$N$25,0),0)
)</f>
        <v>0</v>
      </c>
      <c r="CV146" s="5" t="str">
        <f t="shared" si="93"/>
        <v>No failures</v>
      </c>
      <c r="CW146" s="5"/>
      <c r="CX146" s="5"/>
      <c r="CY146" s="5"/>
      <c r="CZ146" s="5"/>
      <c r="DA146" s="5" t="str">
        <f t="shared" si="94"/>
        <v>Yes</v>
      </c>
      <c r="DB146" s="5" t="str">
        <f t="shared" si="95"/>
        <v>No</v>
      </c>
      <c r="DC146" s="5"/>
      <c r="DD146" s="5"/>
      <c r="DE146" s="5"/>
      <c r="DF146" s="5"/>
      <c r="DG146" s="5"/>
      <c r="DH146" s="5"/>
      <c r="DI146" s="5"/>
      <c r="DJ146" s="5"/>
      <c r="DK146" s="5"/>
      <c r="DL146" s="5" t="str">
        <f t="shared" si="96"/>
        <v>Clear</v>
      </c>
      <c r="DM146" s="5" t="str">
        <f t="shared" si="97"/>
        <v>Yes</v>
      </c>
      <c r="DN146" s="5">
        <f t="array" ref="DN146">MIN(100,
  IF(ISNUMBER(V146), _xlfn.IFS(V146&gt;=3,25, V146=2,15, V146=1,5, TRUE,0), 0)
  + IFERROR(_xlfn.IFS(VALUE(LEFT(DF146,1))=5,25, VALUE(LEFT(DF146,1))=4,20, VALUE(LEFT(DF146,1))=3,15, VALUE(LEFT(DF146,1))=2,8, TRUE,0), 15)
  + IFERROR(_xlfn.IFS(VALUE(LEFT(DG146,1))=5,25, VALUE(LEFT(DG146,1))=4,20, VALUE(LEFT(DG146,1))=3,15, VALUE(LEFT(DG146,1))=2,8, TRUE,0), 15)
  + _xlfn.IFS(DH146="Fully Verified",25, DH146="Partially Verified",12, TRUE,0)
)</f>
        <v>30</v>
      </c>
      <c r="DO146" s="5" t="str">
        <f t="array" ref="DO146">_xlfn.IFS(
  ISBLANK(AR146), "Insufficient Evidence",
  AND(AR146&gt;=65, AJ146="Approved"), "Strong",
  AR146&gt;=65, "Adequate",
  AR146&gt;=40, "Adequate",
  AR146&gt;=20, "Weak",
  TRUE, "Insufficient Evidence"
)</f>
        <v>Insufficient Evidence</v>
      </c>
      <c r="DP146" s="5" t="str">
        <f t="array" ref="DP146">_xlfn.IFS(
  ISBLANK(BS146), "Insufficient Evidence",
  BS146&gt;=65, "Strong",
  BS146&gt;=40, "Adequate",
  BS146&gt;=20, "Weak",
  TRUE, "Insufficient Evidence"
)</f>
        <v>Insufficient Evidence</v>
      </c>
      <c r="DQ146" s="5" t="str">
        <f t="array" ref="DQ146">_xlfn.IFS(
  ISBLANK(BE146), "Insufficient Evidence",
  OR(AW146="Confirmed Violation", AX146="Confirmed Breach"), "Severe — Hard Trigger",
  BE146&gt;=65, "Strong",
  BE146&gt;=40, "Adequate",
  BE146&gt;=20, "Weak",
  TRUE, "Insufficient Evidence"
)</f>
        <v>Insufficient Evidence</v>
      </c>
      <c r="DR146" s="5" t="str">
        <f t="array" ref="DR146">_xlfn.IFS(
  ISBLANK(CU146), "Insufficient Evidence",
  CU146&lt;=20, "Low Risk",
  CU146&lt;=50, "Moderate Risk",
  CU146&lt;=75, "High Risk",
  TRUE, "Very High Risk"
)</f>
        <v>Low Risk</v>
      </c>
      <c r="DS146" s="5" t="str">
        <f t="array" ref="DS146">_xlfn.IFS(
  ISBLANK(CE146), "Insufficient Evidence",
  AND(ISNUMBER(BW146),ISNUMBER(BV146),BW146&gt;BV146), "Overclaiming Risk",
  CE146&gt;=65, "Strong",
  CE146&gt;=40, "Adequate",
  TRUE, "Weak"
)</f>
        <v>Weak</v>
      </c>
      <c r="DT146" s="5">
        <f t="shared" si="98"/>
        <v>11.7</v>
      </c>
      <c r="DU146" s="5" t="str">
        <f t="array" ref="DU146">_xlfn.IFS(
  DV146="Upgraded to Clear", "Clear",
  DV146="Downgraded to Watchlist", "Watchlist",
  DV146="Downgraded to Exclusion", "Exclusion Risk",
  DB146="Yes — Automatic", "Exclusion Risk",
  OR(AW146="Confirmed Violation", AX146="Confirmed Breach"), "Exclusion Risk",
  OR(V146=0, ISBLANK(V146), DN146&lt;20), "Insufficient Evidence",
  AND(DT146&gt;=65, DA146="No", DB146="No"), "Clear",
  OR(DT146&gt;=40, DA146="Yes"), "Watchlist",
  TRUE, "Exclusion Risk"
)</f>
        <v>Insufficient Evidence</v>
      </c>
      <c r="DV146" s="5"/>
      <c r="DW146" s="5" t="str">
        <f t="array" ref="DW146">_xlfn.IFS(
  DU146="Exclusion Risk", "Exclude — Hard Trigger",
  DU146="Insufficient Evidence", "Watchlist — Further Evidence Needed",
  DU146="Watchlist", "Watchlist — Further Evidence Needed",
  AND(DU146="Clear", DT146&gt;=80), "Include — No Conditions",
  DU146="Clear", "Include — Monitor",
  TRUE, "Watchlist — Further Evidence Needed"
)</f>
        <v>Watchlist — Further Evidence Needed</v>
      </c>
      <c r="DX146" s="5"/>
      <c r="DY146" s="5"/>
      <c r="DZ146" s="5"/>
      <c r="EA146" s="5"/>
      <c r="EB146" s="5" t="str">
        <f t="shared" si="99"/>
        <v>MISSING — No sources reviewed</v>
      </c>
      <c r="EC146" s="5" t="str">
        <f t="shared" si="100"/>
        <v/>
      </c>
    </row>
    <row r="147" spans="1:133" ht="18" customHeight="1" x14ac:dyDescent="0.15">
      <c r="A147" s="5" t="s">
        <v>785</v>
      </c>
      <c r="B147" s="5" t="s">
        <v>786</v>
      </c>
      <c r="C147" s="5" t="str">
        <f>IF(ISBLANK('Universe Tracker'!D122),"",'Universe Tracker'!D122)</f>
        <v>SE0000695876</v>
      </c>
      <c r="D147" s="5"/>
      <c r="E147" s="5"/>
      <c r="F147" s="5" t="str">
        <f>IF(ISBLANK('Universe Tracker'!F122),"",'Universe Tracker'!F122)</f>
        <v>Industrials</v>
      </c>
      <c r="G147" s="5" t="str">
        <f>IF(ISBLANK('Universe Tracker'!G122),"",'Universe Tracker'!G122)</f>
        <v>Industrial Products</v>
      </c>
      <c r="H147" s="5"/>
      <c r="I147" s="5"/>
      <c r="J147" s="5" t="str">
        <f t="shared" si="88"/>
        <v>AA9_SE0000695876</v>
      </c>
      <c r="K147" s="5"/>
      <c r="L147" s="5"/>
      <c r="M147" s="5"/>
      <c r="N147" s="5"/>
      <c r="O147" s="5"/>
      <c r="P147" s="5"/>
      <c r="Q147" s="5"/>
      <c r="R147" s="5"/>
      <c r="S147" s="5"/>
      <c r="T147" s="5"/>
      <c r="U147" s="5"/>
      <c r="V147" s="5"/>
      <c r="W147" s="5"/>
      <c r="X147" s="5"/>
      <c r="Y147" s="5" t="str">
        <f t="shared" si="89"/>
        <v>Insufficient</v>
      </c>
      <c r="Z147" s="5"/>
      <c r="AA147" s="5"/>
      <c r="AB147" s="5"/>
      <c r="AC147" s="5"/>
      <c r="AD147" s="5"/>
      <c r="AE147" s="5"/>
      <c r="AF147" s="5"/>
      <c r="AG147" s="5"/>
      <c r="AH147" s="5"/>
      <c r="AI147" s="5"/>
      <c r="AJ147" s="5"/>
      <c r="AK147" s="5"/>
      <c r="AL147" s="5"/>
      <c r="AM147" s="5"/>
      <c r="AN147" s="5"/>
      <c r="AO147" s="5"/>
      <c r="AP147" s="5"/>
      <c r="AQ147" s="5"/>
      <c r="AR147" s="40">
        <f t="array" ref="AR147">MIN(100, MAX(0,
  IFERROR(_xlfn.XLOOKUP(AJ147,'Lookup Tables'!$A$2:$A$7,'Lookup Tables'!$B$2:$B$7,0),0)
  + IF(Z147="Yes", IF(IFERROR(_xlfn.XLOOKUP(AJ147,'Lookup Tables'!$A$2:$A$7,'Lookup Tables'!$B$2:$B$7,0),0)&lt;20, 5, 0), 0)
  + _xlfn.IFS(AB147="Yes", IF(ISNUMBER(AC147)*AND(AC147&lt;=2030),15,10), AB147="Long-term Only", 5, AB147="No", 0, TRUE, 0)
  + _xlfn.IFS(AF147="Full",10, AF147="Partial",5, AF147="Scope 2 Only",3, TRUE,0)
  + _xlfn.IFS(AG147="Yes", IF(ISNUMBER(AH147)*AND(AH147&gt;=5),10,6), AG147="Partial",4, TRUE,0)
  + _xlfn.IFS(AI147="Yes",5, AI147="Partial (material categories only)",3, TRUE,0)
  + _xlfn.IFS(AL147="Yes — Detailed",10, AL147="Yes — High Level",5, TRUE,0)
  + _xlfn.IFS(AM147="Yes — Quantified",15, AM147="Yes — Directional Only",7, TRUE,0)
  + _xlfn.IFS(AP147="Formal",5, AP147="Referenced",2, TRUE,0)
  + _xlfn.IFS(AQ147="No Issues Found",5, AQ147="Concern Identified",-5, AQ147="Severe Contradiction",-15, TRUE,0)
  + _xlfn.IFS(BC147="Reasonable Assurance",5, BC147="Limited Assurance",3, TRUE,0)
  - IF(AND(Z147="Yes", AI147="No"), 10, 0)
  - IF(AND(Z147="Yes", AM147="No"), 10, 0)
))</f>
        <v>0</v>
      </c>
      <c r="AS147" s="5"/>
      <c r="AT147" s="5"/>
      <c r="AU147" s="5"/>
      <c r="AV147" s="5"/>
      <c r="AW147" s="5"/>
      <c r="AX147" s="5"/>
      <c r="AY147" s="5"/>
      <c r="AZ147" s="5"/>
      <c r="BA147" s="5"/>
      <c r="BB147" s="5"/>
      <c r="BC147" s="5"/>
      <c r="BD147" s="5"/>
      <c r="BE147" s="39">
        <f t="array" ref="BE147">MIN(100, MAX(0,
  IFERROR(_xlfn.XLOOKUP(AT147,'Lookup Tables'!$D$2:$D$6,'Lookup Tables'!$E$2:$E$6,0),0)
  + IFERROR(_xlfn.XLOOKUP(AV147,'Lookup Tables'!$G$2:$G$5,'Lookup Tables'!$H$2:$H$5,0),0)
  + IFERROR(_xlfn.XLOOKUP(AW147,'Lookup Tables'!$J$2:$J$5,'Lookup Tables'!$K$2:$K$5,0),0)
  + _xlfn.IFS(AX147="No Issues",10, AX147="Complaint Filed",3, AX147="Confirmed Breach",-15, TRUE,0)
  + IFERROR(_xlfn.XLOOKUP(AY147,'Lookup Tables'!$M$2:$M$6,'Lookup Tables'!$N$2:$N$6,0),0)
  + IFERROR(_xlfn.XLOOKUP(AZ147,'Lookup Tables'!$P$2:$P$6,'Lookup Tables'!$Q$2:$Q$6,0),0)
  + _xlfn.IFS(BA147="Formal Board Committee",5, BA147="Board Oversight Mentioned",2, TRUE,0)
  + _xlfn.IFS(BB147="Yes — Quantified Targets",5, BB147="Yes — Discretionary Only",2, TRUE,0)
  + _xlfn.IFS(BC147="Reasonable Assurance",5, BC147="Limited Assurance",3, BC147="Management Review Only",1, TRUE,0)
))</f>
        <v>0</v>
      </c>
      <c r="BF147" s="5"/>
      <c r="BG147" s="5"/>
      <c r="BH147" s="5"/>
      <c r="BI147" s="5"/>
      <c r="BJ147" s="5"/>
      <c r="BK147" s="5"/>
      <c r="BL147" s="5"/>
      <c r="BM147" s="5"/>
      <c r="BN147" s="5"/>
      <c r="BO147" s="5"/>
      <c r="BP147" s="5"/>
      <c r="BQ147" s="5"/>
      <c r="BR147" s="5"/>
      <c r="BS147" s="41">
        <f t="array" ref="BS147">MIN(100, MAX(0,
  IFERROR(_xlfn.XLOOKUP(BG147,'Lookup Tables'!$A$11:$A$16,'Lookup Tables'!$B$11:$B$16,0),0)
  + IFERROR(_xlfn.XLOOKUP(BR147,'Lookup Tables'!$M$11:$M$14,'Lookup Tables'!$N$11:$N$14,0),0)
  + IFERROR(_xlfn.XLOOKUP(BQ147,'Lookup Tables'!$J$11:$J$15,'Lookup Tables'!$K$11:$K$15,0),0)
  + IFERROR(_xlfn.XLOOKUP(BH147,'Lookup Tables'!$D$11:$D$15,'Lookup Tables'!$E$11:$E$15,0),0)
  + IFERROR(_xlfn.XLOOKUP(BJ147,'Lookup Tables'!$G$11:$G$16,'Lookup Tables'!$H$11:$H$16,0),0)
  + IFERROR(_xlfn.XLOOKUP(BN147,'Lookup Tables'!$P$11:$P$15,'Lookup Tables'!$Q$11:$Q$15,0),0)
  + _xlfn.IFS(BM147="No Evidence",10, BM147="Unknown",3, BM147="Likely",0, BM147="Confirmed",-10, TRUE,3)
  + IFERROR(_xlfn.XLOOKUP(BP147,'Lookup Tables'!$J$21:$J$24,'Lookup Tables'!$K$21:$K$24,0),0)
))</f>
        <v>3</v>
      </c>
      <c r="BT147" s="5"/>
      <c r="BU147" s="5"/>
      <c r="BV147" s="5"/>
      <c r="BW147" s="5"/>
      <c r="BX147" s="5"/>
      <c r="BY147" s="5"/>
      <c r="BZ147" s="5"/>
      <c r="CA147" s="5"/>
      <c r="CB147" s="5"/>
      <c r="CC147" s="5"/>
      <c r="CD147" s="5"/>
      <c r="CE147" s="43">
        <f t="array" ref="CE147">MIN(100, MAX(0,
  IF(ISNUMBER(BV147)*AND(BV147&gt;0), 10, 0)
  + _xlfn.IFS(BY147="Independently Verified",25, BY147="Yes",15, TRUE,0)
  + IFERROR(_xlfn.XLOOKUP(BZ147,'Lookup Tables'!$A$21:$A$24,'Lookup Tables'!$B$21:$B$24,0),0)
  + IFERROR(_xlfn.XLOOKUP(CA147,'Lookup Tables'!$D$21:$D$24,'Lookup Tables'!$E$21:$E$24,0),0)
  + _xlfn.IFS(ISNUMBER(CB147)*AND(CB147&gt;=11),15, ISNUMBER(CB147)*AND(CB147&gt;=6),10, ISNUMBER(CB147)*AND(CB147&gt;=1),5, TRUE,0)
  + IFERROR(_xlfn.XLOOKUP(CC147,'Lookup Tables'!$G$21:$G$25,'Lookup Tables'!$H$21:$H$25,0),0)
  - IF(ISNUMBER(BW147)*AND(ISNUMBER(BV147))*AND(BW147&gt;BV147), 20, 0)
  - IF(AND(BY147="Yes", ISNUMBER(BW147), BW147&gt;60), 10, 0)
))</f>
        <v>0</v>
      </c>
      <c r="CF147" s="5"/>
      <c r="CG147" s="5"/>
      <c r="CH147" s="5"/>
      <c r="CI147" s="5"/>
      <c r="CJ147" s="5"/>
      <c r="CK147" s="5"/>
      <c r="CL147" s="5"/>
      <c r="CM147" s="5"/>
      <c r="CN147" s="5"/>
      <c r="CO147" s="5"/>
      <c r="CP147" s="5"/>
      <c r="CQ147" s="5"/>
      <c r="CR147" s="5">
        <f t="shared" si="90"/>
        <v>0</v>
      </c>
      <c r="CS147" s="5">
        <f t="shared" si="91"/>
        <v>0</v>
      </c>
      <c r="CT147" s="5">
        <f t="shared" si="92"/>
        <v>0</v>
      </c>
      <c r="CU147" s="5">
        <f>MIN(100,
  CR147*15
  + CS147*6
  + CT147*3
  + IFERROR(_xlfn.XLOOKUP(CW147,'Lookup Tables'!$M$21:$M$25,'Lookup Tables'!$N$21:$N$25,0),0)
)</f>
        <v>0</v>
      </c>
      <c r="CV147" s="5" t="str">
        <f t="shared" si="93"/>
        <v>No failures</v>
      </c>
      <c r="CW147" s="5"/>
      <c r="CX147" s="5"/>
      <c r="CY147" s="5"/>
      <c r="CZ147" s="5"/>
      <c r="DA147" s="5" t="str">
        <f t="shared" si="94"/>
        <v>Yes</v>
      </c>
      <c r="DB147" s="5" t="str">
        <f t="shared" si="95"/>
        <v>No</v>
      </c>
      <c r="DC147" s="5"/>
      <c r="DD147" s="5"/>
      <c r="DE147" s="5"/>
      <c r="DF147" s="5"/>
      <c r="DG147" s="5"/>
      <c r="DH147" s="5"/>
      <c r="DI147" s="5"/>
      <c r="DJ147" s="5"/>
      <c r="DK147" s="5"/>
      <c r="DL147" s="5" t="str">
        <f t="shared" si="96"/>
        <v>Clear</v>
      </c>
      <c r="DM147" s="5" t="str">
        <f t="shared" si="97"/>
        <v>Yes</v>
      </c>
      <c r="DN147" s="5">
        <f t="array" ref="DN147">MIN(100,
  IF(ISNUMBER(V147), _xlfn.IFS(V147&gt;=3,25, V147=2,15, V147=1,5, TRUE,0), 0)
  + IFERROR(_xlfn.IFS(VALUE(LEFT(DF147,1))=5,25, VALUE(LEFT(DF147,1))=4,20, VALUE(LEFT(DF147,1))=3,15, VALUE(LEFT(DF147,1))=2,8, TRUE,0), 15)
  + IFERROR(_xlfn.IFS(VALUE(LEFT(DG147,1))=5,25, VALUE(LEFT(DG147,1))=4,20, VALUE(LEFT(DG147,1))=3,15, VALUE(LEFT(DG147,1))=2,8, TRUE,0), 15)
  + _xlfn.IFS(DH147="Fully Verified",25, DH147="Partially Verified",12, TRUE,0)
)</f>
        <v>30</v>
      </c>
      <c r="DO147" s="5" t="str">
        <f t="array" ref="DO147">_xlfn.IFS(
  ISBLANK(AR147), "Insufficient Evidence",
  AND(AR147&gt;=65, AJ147="Approved"), "Strong",
  AR147&gt;=65, "Adequate",
  AR147&gt;=40, "Adequate",
  AR147&gt;=20, "Weak",
  TRUE, "Insufficient Evidence"
)</f>
        <v>Insufficient Evidence</v>
      </c>
      <c r="DP147" s="5" t="str">
        <f t="array" ref="DP147">_xlfn.IFS(
  ISBLANK(BS147), "Insufficient Evidence",
  BS147&gt;=65, "Strong",
  BS147&gt;=40, "Adequate",
  BS147&gt;=20, "Weak",
  TRUE, "Insufficient Evidence"
)</f>
        <v>Insufficient Evidence</v>
      </c>
      <c r="DQ147" s="5" t="str">
        <f t="array" ref="DQ147">_xlfn.IFS(
  ISBLANK(BE147), "Insufficient Evidence",
  OR(AW147="Confirmed Violation", AX147="Confirmed Breach"), "Severe — Hard Trigger",
  BE147&gt;=65, "Strong",
  BE147&gt;=40, "Adequate",
  BE147&gt;=20, "Weak",
  TRUE, "Insufficient Evidence"
)</f>
        <v>Insufficient Evidence</v>
      </c>
      <c r="DR147" s="5" t="str">
        <f t="array" ref="DR147">_xlfn.IFS(
  ISBLANK(CU147), "Insufficient Evidence",
  CU147&lt;=20, "Low Risk",
  CU147&lt;=50, "Moderate Risk",
  CU147&lt;=75, "High Risk",
  TRUE, "Very High Risk"
)</f>
        <v>Low Risk</v>
      </c>
      <c r="DS147" s="5" t="str">
        <f t="array" ref="DS147">_xlfn.IFS(
  ISBLANK(CE147), "Insufficient Evidence",
  AND(ISNUMBER(BW147),ISNUMBER(BV147),BW147&gt;BV147), "Overclaiming Risk",
  CE147&gt;=65, "Strong",
  CE147&gt;=40, "Adequate",
  TRUE, "Weak"
)</f>
        <v>Weak</v>
      </c>
      <c r="DT147" s="5">
        <f t="shared" si="98"/>
        <v>11.7</v>
      </c>
      <c r="DU147" s="5" t="str">
        <f t="array" ref="DU147">_xlfn.IFS(
  DV147="Upgraded to Clear", "Clear",
  DV147="Downgraded to Watchlist", "Watchlist",
  DV147="Downgraded to Exclusion", "Exclusion Risk",
  DB147="Yes — Automatic", "Exclusion Risk",
  OR(AW147="Confirmed Violation", AX147="Confirmed Breach"), "Exclusion Risk",
  OR(V147=0, ISBLANK(V147), DN147&lt;20), "Insufficient Evidence",
  AND(DT147&gt;=65, DA147="No", DB147="No"), "Clear",
  OR(DT147&gt;=40, DA147="Yes"), "Watchlist",
  TRUE, "Exclusion Risk"
)</f>
        <v>Insufficient Evidence</v>
      </c>
      <c r="DV147" s="5"/>
      <c r="DW147" s="5" t="str">
        <f t="array" ref="DW147">_xlfn.IFS(
  DU147="Exclusion Risk", "Exclude — Hard Trigger",
  DU147="Insufficient Evidence", "Watchlist — Further Evidence Needed",
  DU147="Watchlist", "Watchlist — Further Evidence Needed",
  AND(DU147="Clear", DT147&gt;=80), "Include — No Conditions",
  DU147="Clear", "Include — Monitor",
  TRUE, "Watchlist — Further Evidence Needed"
)</f>
        <v>Watchlist — Further Evidence Needed</v>
      </c>
      <c r="DX147" s="5"/>
      <c r="DY147" s="5"/>
      <c r="DZ147" s="5"/>
      <c r="EA147" s="5"/>
      <c r="EB147" s="5" t="str">
        <f t="shared" si="99"/>
        <v>MISSING — No sources reviewed</v>
      </c>
      <c r="EC147" s="5" t="str">
        <f t="shared" si="100"/>
        <v/>
      </c>
    </row>
    <row r="148" spans="1:133" ht="18" customHeight="1" x14ac:dyDescent="0.15">
      <c r="A148" s="5" t="s">
        <v>789</v>
      </c>
      <c r="B148" s="5" t="s">
        <v>790</v>
      </c>
      <c r="C148" s="5" t="str">
        <f>IF(ISBLANK('Universe Tracker'!D123),"",'Universe Tracker'!D123)</f>
        <v>DE0005810055</v>
      </c>
      <c r="D148" s="5"/>
      <c r="E148" s="5"/>
      <c r="F148" s="5" t="str">
        <f>IF(ISBLANK('Universe Tracker'!F123),"",'Universe Tracker'!F123)</f>
        <v>Financials</v>
      </c>
      <c r="G148" s="5" t="str">
        <f>IF(ISBLANK('Universe Tracker'!G123),"",'Universe Tracker'!G123)</f>
        <v>Financial Services</v>
      </c>
      <c r="H148" s="5"/>
      <c r="I148" s="5"/>
      <c r="J148" s="5" t="str">
        <f t="shared" si="88"/>
        <v>DB1_DE0005810055</v>
      </c>
      <c r="K148" s="5"/>
      <c r="L148" s="5"/>
      <c r="M148" s="5"/>
      <c r="N148" s="5"/>
      <c r="O148" s="5"/>
      <c r="P148" s="5"/>
      <c r="Q148" s="5"/>
      <c r="R148" s="5"/>
      <c r="S148" s="5"/>
      <c r="T148" s="5"/>
      <c r="U148" s="5"/>
      <c r="V148" s="5"/>
      <c r="W148" s="5"/>
      <c r="X148" s="5"/>
      <c r="Y148" s="5" t="str">
        <f t="shared" si="89"/>
        <v>Insufficient</v>
      </c>
      <c r="Z148" s="5"/>
      <c r="AA148" s="5"/>
      <c r="AB148" s="5"/>
      <c r="AC148" s="5"/>
      <c r="AD148" s="5"/>
      <c r="AE148" s="5"/>
      <c r="AF148" s="5"/>
      <c r="AG148" s="5"/>
      <c r="AH148" s="5"/>
      <c r="AI148" s="5"/>
      <c r="AJ148" s="5"/>
      <c r="AK148" s="5"/>
      <c r="AL148" s="5"/>
      <c r="AM148" s="5"/>
      <c r="AN148" s="5"/>
      <c r="AO148" s="5"/>
      <c r="AP148" s="5"/>
      <c r="AQ148" s="5"/>
      <c r="AR148" s="40">
        <f t="array" ref="AR148">MIN(100, MAX(0,
  IFERROR(_xlfn.XLOOKUP(AJ148,'Lookup Tables'!$A$2:$A$7,'Lookup Tables'!$B$2:$B$7,0),0)
  + IF(Z148="Yes", IF(IFERROR(_xlfn.XLOOKUP(AJ148,'Lookup Tables'!$A$2:$A$7,'Lookup Tables'!$B$2:$B$7,0),0)&lt;20, 5, 0), 0)
  + _xlfn.IFS(AB148="Yes", IF(ISNUMBER(AC148)*AND(AC148&lt;=2030),15,10), AB148="Long-term Only", 5, AB148="No", 0, TRUE, 0)
  + _xlfn.IFS(AF148="Full",10, AF148="Partial",5, AF148="Scope 2 Only",3, TRUE,0)
  + _xlfn.IFS(AG148="Yes", IF(ISNUMBER(AH148)*AND(AH148&gt;=5),10,6), AG148="Partial",4, TRUE,0)
  + _xlfn.IFS(AI148="Yes",5, AI148="Partial (material categories only)",3, TRUE,0)
  + _xlfn.IFS(AL148="Yes — Detailed",10, AL148="Yes — High Level",5, TRUE,0)
  + _xlfn.IFS(AM148="Yes — Quantified",15, AM148="Yes — Directional Only",7, TRUE,0)
  + _xlfn.IFS(AP148="Formal",5, AP148="Referenced",2, TRUE,0)
  + _xlfn.IFS(AQ148="No Issues Found",5, AQ148="Concern Identified",-5, AQ148="Severe Contradiction",-15, TRUE,0)
  + _xlfn.IFS(BC148="Reasonable Assurance",5, BC148="Limited Assurance",3, TRUE,0)
  - IF(AND(Z148="Yes", AI148="No"), 10, 0)
  - IF(AND(Z148="Yes", AM148="No"), 10, 0)
))</f>
        <v>0</v>
      </c>
      <c r="AS148" s="5"/>
      <c r="AT148" s="5"/>
      <c r="AU148" s="5"/>
      <c r="AV148" s="5"/>
      <c r="AW148" s="5"/>
      <c r="AX148" s="5"/>
      <c r="AY148" s="5"/>
      <c r="AZ148" s="5"/>
      <c r="BA148" s="5"/>
      <c r="BB148" s="5"/>
      <c r="BC148" s="5"/>
      <c r="BD148" s="5"/>
      <c r="BE148" s="39">
        <f t="array" ref="BE148">MIN(100, MAX(0,
  IFERROR(_xlfn.XLOOKUP(AT148,'Lookup Tables'!$D$2:$D$6,'Lookup Tables'!$E$2:$E$6,0),0)
  + IFERROR(_xlfn.XLOOKUP(AV148,'Lookup Tables'!$G$2:$G$5,'Lookup Tables'!$H$2:$H$5,0),0)
  + IFERROR(_xlfn.XLOOKUP(AW148,'Lookup Tables'!$J$2:$J$5,'Lookup Tables'!$K$2:$K$5,0),0)
  + _xlfn.IFS(AX148="No Issues",10, AX148="Complaint Filed",3, AX148="Confirmed Breach",-15, TRUE,0)
  + IFERROR(_xlfn.XLOOKUP(AY148,'Lookup Tables'!$M$2:$M$6,'Lookup Tables'!$N$2:$N$6,0),0)
  + IFERROR(_xlfn.XLOOKUP(AZ148,'Lookup Tables'!$P$2:$P$6,'Lookup Tables'!$Q$2:$Q$6,0),0)
  + _xlfn.IFS(BA148="Formal Board Committee",5, BA148="Board Oversight Mentioned",2, TRUE,0)
  + _xlfn.IFS(BB148="Yes — Quantified Targets",5, BB148="Yes — Discretionary Only",2, TRUE,0)
  + _xlfn.IFS(BC148="Reasonable Assurance",5, BC148="Limited Assurance",3, BC148="Management Review Only",1, TRUE,0)
))</f>
        <v>0</v>
      </c>
      <c r="BF148" s="5"/>
      <c r="BG148" s="5"/>
      <c r="BH148" s="5"/>
      <c r="BI148" s="5"/>
      <c r="BJ148" s="5"/>
      <c r="BK148" s="5"/>
      <c r="BL148" s="5"/>
      <c r="BM148" s="5"/>
      <c r="BN148" s="5"/>
      <c r="BO148" s="5"/>
      <c r="BP148" s="5"/>
      <c r="BQ148" s="5"/>
      <c r="BR148" s="5"/>
      <c r="BS148" s="41">
        <f t="array" ref="BS148">MIN(100, MAX(0,
  IFERROR(_xlfn.XLOOKUP(BG148,'Lookup Tables'!$A$11:$A$16,'Lookup Tables'!$B$11:$B$16,0),0)
  + IFERROR(_xlfn.XLOOKUP(BR148,'Lookup Tables'!$M$11:$M$14,'Lookup Tables'!$N$11:$N$14,0),0)
  + IFERROR(_xlfn.XLOOKUP(BQ148,'Lookup Tables'!$J$11:$J$15,'Lookup Tables'!$K$11:$K$15,0),0)
  + IFERROR(_xlfn.XLOOKUP(BH148,'Lookup Tables'!$D$11:$D$15,'Lookup Tables'!$E$11:$E$15,0),0)
  + IFERROR(_xlfn.XLOOKUP(BJ148,'Lookup Tables'!$G$11:$G$16,'Lookup Tables'!$H$11:$H$16,0),0)
  + IFERROR(_xlfn.XLOOKUP(BN148,'Lookup Tables'!$P$11:$P$15,'Lookup Tables'!$Q$11:$Q$15,0),0)
  + _xlfn.IFS(BM148="No Evidence",10, BM148="Unknown",3, BM148="Likely",0, BM148="Confirmed",-10, TRUE,3)
  + IFERROR(_xlfn.XLOOKUP(BP148,'Lookup Tables'!$J$21:$J$24,'Lookup Tables'!$K$21:$K$24,0),0)
))</f>
        <v>3</v>
      </c>
      <c r="BT148" s="5"/>
      <c r="BU148" s="5"/>
      <c r="BV148" s="5"/>
      <c r="BW148" s="5"/>
      <c r="BX148" s="5"/>
      <c r="BY148" s="5"/>
      <c r="BZ148" s="5"/>
      <c r="CA148" s="5"/>
      <c r="CB148" s="5"/>
      <c r="CC148" s="5"/>
      <c r="CD148" s="5"/>
      <c r="CE148" s="43">
        <f t="array" ref="CE148">MIN(100, MAX(0,
  IF(ISNUMBER(BV148)*AND(BV148&gt;0), 10, 0)
  + _xlfn.IFS(BY148="Independently Verified",25, BY148="Yes",15, TRUE,0)
  + IFERROR(_xlfn.XLOOKUP(BZ148,'Lookup Tables'!$A$21:$A$24,'Lookup Tables'!$B$21:$B$24,0),0)
  + IFERROR(_xlfn.XLOOKUP(CA148,'Lookup Tables'!$D$21:$D$24,'Lookup Tables'!$E$21:$E$24,0),0)
  + _xlfn.IFS(ISNUMBER(CB148)*AND(CB148&gt;=11),15, ISNUMBER(CB148)*AND(CB148&gt;=6),10, ISNUMBER(CB148)*AND(CB148&gt;=1),5, TRUE,0)
  + IFERROR(_xlfn.XLOOKUP(CC148,'Lookup Tables'!$G$21:$G$25,'Lookup Tables'!$H$21:$H$25,0),0)
  - IF(ISNUMBER(BW148)*AND(ISNUMBER(BV148))*AND(BW148&gt;BV148), 20, 0)
  - IF(AND(BY148="Yes", ISNUMBER(BW148), BW148&gt;60), 10, 0)
))</f>
        <v>0</v>
      </c>
      <c r="CF148" s="5"/>
      <c r="CG148" s="5"/>
      <c r="CH148" s="5"/>
      <c r="CI148" s="5"/>
      <c r="CJ148" s="5"/>
      <c r="CK148" s="5"/>
      <c r="CL148" s="5"/>
      <c r="CM148" s="5"/>
      <c r="CN148" s="5"/>
      <c r="CO148" s="5"/>
      <c r="CP148" s="5"/>
      <c r="CQ148" s="5"/>
      <c r="CR148" s="5">
        <f t="shared" si="90"/>
        <v>0</v>
      </c>
      <c r="CS148" s="5">
        <f t="shared" si="91"/>
        <v>0</v>
      </c>
      <c r="CT148" s="5">
        <f t="shared" si="92"/>
        <v>0</v>
      </c>
      <c r="CU148" s="5">
        <f>MIN(100,
  CR148*15
  + CS148*6
  + CT148*3
  + IFERROR(_xlfn.XLOOKUP(CW148,'Lookup Tables'!$M$21:$M$25,'Lookup Tables'!$N$21:$N$25,0),0)
)</f>
        <v>0</v>
      </c>
      <c r="CV148" s="5" t="str">
        <f t="shared" si="93"/>
        <v>No failures</v>
      </c>
      <c r="CW148" s="5"/>
      <c r="CX148" s="5"/>
      <c r="CY148" s="5"/>
      <c r="CZ148" s="5"/>
      <c r="DA148" s="5" t="str">
        <f t="shared" si="94"/>
        <v>Yes</v>
      </c>
      <c r="DB148" s="5" t="str">
        <f t="shared" si="95"/>
        <v>No</v>
      </c>
      <c r="DC148" s="5"/>
      <c r="DD148" s="5"/>
      <c r="DE148" s="5"/>
      <c r="DF148" s="5"/>
      <c r="DG148" s="5"/>
      <c r="DH148" s="5"/>
      <c r="DI148" s="5"/>
      <c r="DJ148" s="5"/>
      <c r="DK148" s="5"/>
      <c r="DL148" s="5" t="str">
        <f t="shared" si="96"/>
        <v>Clear</v>
      </c>
      <c r="DM148" s="5" t="str">
        <f t="shared" si="97"/>
        <v>Yes</v>
      </c>
      <c r="DN148" s="5">
        <f t="array" ref="DN148">MIN(100,
  IF(ISNUMBER(V148), _xlfn.IFS(V148&gt;=3,25, V148=2,15, V148=1,5, TRUE,0), 0)
  + IFERROR(_xlfn.IFS(VALUE(LEFT(DF148,1))=5,25, VALUE(LEFT(DF148,1))=4,20, VALUE(LEFT(DF148,1))=3,15, VALUE(LEFT(DF148,1))=2,8, TRUE,0), 15)
  + IFERROR(_xlfn.IFS(VALUE(LEFT(DG148,1))=5,25, VALUE(LEFT(DG148,1))=4,20, VALUE(LEFT(DG148,1))=3,15, VALUE(LEFT(DG148,1))=2,8, TRUE,0), 15)
  + _xlfn.IFS(DH148="Fully Verified",25, DH148="Partially Verified",12, TRUE,0)
)</f>
        <v>30</v>
      </c>
      <c r="DO148" s="5" t="str">
        <f t="array" ref="DO148">_xlfn.IFS(
  ISBLANK(AR148), "Insufficient Evidence",
  AND(AR148&gt;=65, AJ148="Approved"), "Strong",
  AR148&gt;=65, "Adequate",
  AR148&gt;=40, "Adequate",
  AR148&gt;=20, "Weak",
  TRUE, "Insufficient Evidence"
)</f>
        <v>Insufficient Evidence</v>
      </c>
      <c r="DP148" s="5" t="str">
        <f t="array" ref="DP148">_xlfn.IFS(
  ISBLANK(BS148), "Insufficient Evidence",
  BS148&gt;=65, "Strong",
  BS148&gt;=40, "Adequate",
  BS148&gt;=20, "Weak",
  TRUE, "Insufficient Evidence"
)</f>
        <v>Insufficient Evidence</v>
      </c>
      <c r="DQ148" s="5" t="str">
        <f t="array" ref="DQ148">_xlfn.IFS(
  ISBLANK(BE148), "Insufficient Evidence",
  OR(AW148="Confirmed Violation", AX148="Confirmed Breach"), "Severe — Hard Trigger",
  BE148&gt;=65, "Strong",
  BE148&gt;=40, "Adequate",
  BE148&gt;=20, "Weak",
  TRUE, "Insufficient Evidence"
)</f>
        <v>Insufficient Evidence</v>
      </c>
      <c r="DR148" s="5" t="str">
        <f t="array" ref="DR148">_xlfn.IFS(
  ISBLANK(CU148), "Insufficient Evidence",
  CU148&lt;=20, "Low Risk",
  CU148&lt;=50, "Moderate Risk",
  CU148&lt;=75, "High Risk",
  TRUE, "Very High Risk"
)</f>
        <v>Low Risk</v>
      </c>
      <c r="DS148" s="5" t="str">
        <f t="array" ref="DS148">_xlfn.IFS(
  ISBLANK(CE148), "Insufficient Evidence",
  AND(ISNUMBER(BW148),ISNUMBER(BV148),BW148&gt;BV148), "Overclaiming Risk",
  CE148&gt;=65, "Strong",
  CE148&gt;=40, "Adequate",
  TRUE, "Weak"
)</f>
        <v>Weak</v>
      </c>
      <c r="DT148" s="5">
        <f t="shared" si="98"/>
        <v>11.7</v>
      </c>
      <c r="DU148" s="5" t="str">
        <f t="array" ref="DU148">_xlfn.IFS(
  DV148="Upgraded to Clear", "Clear",
  DV148="Downgraded to Watchlist", "Watchlist",
  DV148="Downgraded to Exclusion", "Exclusion Risk",
  DB148="Yes — Automatic", "Exclusion Risk",
  OR(AW148="Confirmed Violation", AX148="Confirmed Breach"), "Exclusion Risk",
  OR(V148=0, ISBLANK(V148), DN148&lt;20), "Insufficient Evidence",
  AND(DT148&gt;=65, DA148="No", DB148="No"), "Clear",
  OR(DT148&gt;=40, DA148="Yes"), "Watchlist",
  TRUE, "Exclusion Risk"
)</f>
        <v>Insufficient Evidence</v>
      </c>
      <c r="DV148" s="5"/>
      <c r="DW148" s="5" t="str">
        <f t="array" ref="DW148">_xlfn.IFS(
  DU148="Exclusion Risk", "Exclude — Hard Trigger",
  DU148="Insufficient Evidence", "Watchlist — Further Evidence Needed",
  DU148="Watchlist", "Watchlist — Further Evidence Needed",
  AND(DU148="Clear", DT148&gt;=80), "Include — No Conditions",
  DU148="Clear", "Include — Monitor",
  TRUE, "Watchlist — Further Evidence Needed"
)</f>
        <v>Watchlist — Further Evidence Needed</v>
      </c>
      <c r="DX148" s="5"/>
      <c r="DY148" s="5"/>
      <c r="DZ148" s="5"/>
      <c r="EA148" s="5"/>
      <c r="EB148" s="5" t="str">
        <f t="shared" si="99"/>
        <v>MISSING — No sources reviewed</v>
      </c>
      <c r="EC148" s="5" t="str">
        <f t="shared" si="100"/>
        <v/>
      </c>
    </row>
    <row r="149" spans="1:133" ht="18" customHeight="1" x14ac:dyDescent="0.15">
      <c r="A149" s="5" t="s">
        <v>793</v>
      </c>
      <c r="B149" s="5" t="s">
        <v>794</v>
      </c>
      <c r="C149" s="5" t="str">
        <f>IF(ISBLANK('Universe Tracker'!D124),"",'Universe Tracker'!D124)</f>
        <v>DE0006047004</v>
      </c>
      <c r="D149" s="5"/>
      <c r="E149" s="5"/>
      <c r="F149" s="5" t="str">
        <f>IF(ISBLANK('Universe Tracker'!F124),"",'Universe Tracker'!F124)</f>
        <v>Materials</v>
      </c>
      <c r="G149" s="5" t="str">
        <f>IF(ISBLANK('Universe Tracker'!G124),"",'Universe Tracker'!G124)</f>
        <v>Materials</v>
      </c>
      <c r="H149" s="5"/>
      <c r="I149" s="5"/>
      <c r="J149" s="5" t="str">
        <f t="shared" si="88"/>
        <v>HEI_DE0006047004</v>
      </c>
      <c r="K149" s="5"/>
      <c r="L149" s="5"/>
      <c r="M149" s="5"/>
      <c r="N149" s="5"/>
      <c r="O149" s="5"/>
      <c r="P149" s="5"/>
      <c r="Q149" s="5"/>
      <c r="R149" s="5"/>
      <c r="S149" s="5"/>
      <c r="T149" s="5"/>
      <c r="U149" s="5"/>
      <c r="V149" s="5"/>
      <c r="W149" s="5"/>
      <c r="X149" s="5"/>
      <c r="Y149" s="5" t="str">
        <f t="shared" si="89"/>
        <v>Insufficient</v>
      </c>
      <c r="Z149" s="5"/>
      <c r="AA149" s="5"/>
      <c r="AB149" s="5"/>
      <c r="AC149" s="5"/>
      <c r="AD149" s="5"/>
      <c r="AE149" s="5"/>
      <c r="AF149" s="5"/>
      <c r="AG149" s="5"/>
      <c r="AH149" s="5"/>
      <c r="AI149" s="5"/>
      <c r="AJ149" s="5"/>
      <c r="AK149" s="5"/>
      <c r="AL149" s="5"/>
      <c r="AM149" s="5"/>
      <c r="AN149" s="5"/>
      <c r="AO149" s="5"/>
      <c r="AP149" s="5"/>
      <c r="AQ149" s="5"/>
      <c r="AR149" s="40">
        <f t="array" ref="AR149">MIN(100, MAX(0,
  IFERROR(_xlfn.XLOOKUP(AJ149,'Lookup Tables'!$A$2:$A$7,'Lookup Tables'!$B$2:$B$7,0),0)
  + IF(Z149="Yes", IF(IFERROR(_xlfn.XLOOKUP(AJ149,'Lookup Tables'!$A$2:$A$7,'Lookup Tables'!$B$2:$B$7,0),0)&lt;20, 5, 0), 0)
  + _xlfn.IFS(AB149="Yes", IF(ISNUMBER(AC149)*AND(AC149&lt;=2030),15,10), AB149="Long-term Only", 5, AB149="No", 0, TRUE, 0)
  + _xlfn.IFS(AF149="Full",10, AF149="Partial",5, AF149="Scope 2 Only",3, TRUE,0)
  + _xlfn.IFS(AG149="Yes", IF(ISNUMBER(AH149)*AND(AH149&gt;=5),10,6), AG149="Partial",4, TRUE,0)
  + _xlfn.IFS(AI149="Yes",5, AI149="Partial (material categories only)",3, TRUE,0)
  + _xlfn.IFS(AL149="Yes — Detailed",10, AL149="Yes — High Level",5, TRUE,0)
  + _xlfn.IFS(AM149="Yes — Quantified",15, AM149="Yes — Directional Only",7, TRUE,0)
  + _xlfn.IFS(AP149="Formal",5, AP149="Referenced",2, TRUE,0)
  + _xlfn.IFS(AQ149="No Issues Found",5, AQ149="Concern Identified",-5, AQ149="Severe Contradiction",-15, TRUE,0)
  + _xlfn.IFS(BC149="Reasonable Assurance",5, BC149="Limited Assurance",3, TRUE,0)
  - IF(AND(Z149="Yes", AI149="No"), 10, 0)
  - IF(AND(Z149="Yes", AM149="No"), 10, 0)
))</f>
        <v>0</v>
      </c>
      <c r="AS149" s="5"/>
      <c r="AT149" s="5"/>
      <c r="AU149" s="5"/>
      <c r="AV149" s="5"/>
      <c r="AW149" s="5"/>
      <c r="AX149" s="5"/>
      <c r="AY149" s="5"/>
      <c r="AZ149" s="5"/>
      <c r="BA149" s="5"/>
      <c r="BB149" s="5"/>
      <c r="BC149" s="5"/>
      <c r="BD149" s="5"/>
      <c r="BE149" s="39">
        <f t="array" ref="BE149">MIN(100, MAX(0,
  IFERROR(_xlfn.XLOOKUP(AT149,'Lookup Tables'!$D$2:$D$6,'Lookup Tables'!$E$2:$E$6,0),0)
  + IFERROR(_xlfn.XLOOKUP(AV149,'Lookup Tables'!$G$2:$G$5,'Lookup Tables'!$H$2:$H$5,0),0)
  + IFERROR(_xlfn.XLOOKUP(AW149,'Lookup Tables'!$J$2:$J$5,'Lookup Tables'!$K$2:$K$5,0),0)
  + _xlfn.IFS(AX149="No Issues",10, AX149="Complaint Filed",3, AX149="Confirmed Breach",-15, TRUE,0)
  + IFERROR(_xlfn.XLOOKUP(AY149,'Lookup Tables'!$M$2:$M$6,'Lookup Tables'!$N$2:$N$6,0),0)
  + IFERROR(_xlfn.XLOOKUP(AZ149,'Lookup Tables'!$P$2:$P$6,'Lookup Tables'!$Q$2:$Q$6,0),0)
  + _xlfn.IFS(BA149="Formal Board Committee",5, BA149="Board Oversight Mentioned",2, TRUE,0)
  + _xlfn.IFS(BB149="Yes — Quantified Targets",5, BB149="Yes — Discretionary Only",2, TRUE,0)
  + _xlfn.IFS(BC149="Reasonable Assurance",5, BC149="Limited Assurance",3, BC149="Management Review Only",1, TRUE,0)
))</f>
        <v>0</v>
      </c>
      <c r="BF149" s="5"/>
      <c r="BG149" s="5"/>
      <c r="BH149" s="5"/>
      <c r="BI149" s="5"/>
      <c r="BJ149" s="5"/>
      <c r="BK149" s="5"/>
      <c r="BL149" s="5"/>
      <c r="BM149" s="5"/>
      <c r="BN149" s="5"/>
      <c r="BO149" s="5"/>
      <c r="BP149" s="5"/>
      <c r="BQ149" s="5"/>
      <c r="BR149" s="5"/>
      <c r="BS149" s="41">
        <f t="array" ref="BS149">MIN(100, MAX(0,
  IFERROR(_xlfn.XLOOKUP(BG149,'Lookup Tables'!$A$11:$A$16,'Lookup Tables'!$B$11:$B$16,0),0)
  + IFERROR(_xlfn.XLOOKUP(BR149,'Lookup Tables'!$M$11:$M$14,'Lookup Tables'!$N$11:$N$14,0),0)
  + IFERROR(_xlfn.XLOOKUP(BQ149,'Lookup Tables'!$J$11:$J$15,'Lookup Tables'!$K$11:$K$15,0),0)
  + IFERROR(_xlfn.XLOOKUP(BH149,'Lookup Tables'!$D$11:$D$15,'Lookup Tables'!$E$11:$E$15,0),0)
  + IFERROR(_xlfn.XLOOKUP(BJ149,'Lookup Tables'!$G$11:$G$16,'Lookup Tables'!$H$11:$H$16,0),0)
  + IFERROR(_xlfn.XLOOKUP(BN149,'Lookup Tables'!$P$11:$P$15,'Lookup Tables'!$Q$11:$Q$15,0),0)
  + _xlfn.IFS(BM149="No Evidence",10, BM149="Unknown",3, BM149="Likely",0, BM149="Confirmed",-10, TRUE,3)
  + IFERROR(_xlfn.XLOOKUP(BP149,'Lookup Tables'!$J$21:$J$24,'Lookup Tables'!$K$21:$K$24,0),0)
))</f>
        <v>3</v>
      </c>
      <c r="BT149" s="5"/>
      <c r="BU149" s="5"/>
      <c r="BV149" s="5"/>
      <c r="BW149" s="5"/>
      <c r="BX149" s="5"/>
      <c r="BY149" s="5"/>
      <c r="BZ149" s="5"/>
      <c r="CA149" s="5"/>
      <c r="CB149" s="5"/>
      <c r="CC149" s="5"/>
      <c r="CD149" s="5"/>
      <c r="CE149" s="43">
        <f t="array" ref="CE149">MIN(100, MAX(0,
  IF(ISNUMBER(BV149)*AND(BV149&gt;0), 10, 0)
  + _xlfn.IFS(BY149="Independently Verified",25, BY149="Yes",15, TRUE,0)
  + IFERROR(_xlfn.XLOOKUP(BZ149,'Lookup Tables'!$A$21:$A$24,'Lookup Tables'!$B$21:$B$24,0),0)
  + IFERROR(_xlfn.XLOOKUP(CA149,'Lookup Tables'!$D$21:$D$24,'Lookup Tables'!$E$21:$E$24,0),0)
  + _xlfn.IFS(ISNUMBER(CB149)*AND(CB149&gt;=11),15, ISNUMBER(CB149)*AND(CB149&gt;=6),10, ISNUMBER(CB149)*AND(CB149&gt;=1),5, TRUE,0)
  + IFERROR(_xlfn.XLOOKUP(CC149,'Lookup Tables'!$G$21:$G$25,'Lookup Tables'!$H$21:$H$25,0),0)
  - IF(ISNUMBER(BW149)*AND(ISNUMBER(BV149))*AND(BW149&gt;BV149), 20, 0)
  - IF(AND(BY149="Yes", ISNUMBER(BW149), BW149&gt;60), 10, 0)
))</f>
        <v>0</v>
      </c>
      <c r="CF149" s="5"/>
      <c r="CG149" s="5"/>
      <c r="CH149" s="5"/>
      <c r="CI149" s="5"/>
      <c r="CJ149" s="5"/>
      <c r="CK149" s="5"/>
      <c r="CL149" s="5"/>
      <c r="CM149" s="5"/>
      <c r="CN149" s="5"/>
      <c r="CO149" s="5"/>
      <c r="CP149" s="5"/>
      <c r="CQ149" s="5"/>
      <c r="CR149" s="5">
        <f t="shared" si="90"/>
        <v>0</v>
      </c>
      <c r="CS149" s="5">
        <f t="shared" si="91"/>
        <v>0</v>
      </c>
      <c r="CT149" s="5">
        <f t="shared" si="92"/>
        <v>0</v>
      </c>
      <c r="CU149" s="5">
        <f>MIN(100,
  CR149*15
  + CS149*6
  + CT149*3
  + IFERROR(_xlfn.XLOOKUP(CW149,'Lookup Tables'!$M$21:$M$25,'Lookup Tables'!$N$21:$N$25,0),0)
)</f>
        <v>0</v>
      </c>
      <c r="CV149" s="5" t="str">
        <f t="shared" si="93"/>
        <v>No failures</v>
      </c>
      <c r="CW149" s="5"/>
      <c r="CX149" s="5"/>
      <c r="CY149" s="5"/>
      <c r="CZ149" s="5"/>
      <c r="DA149" s="5" t="str">
        <f t="shared" si="94"/>
        <v>Yes</v>
      </c>
      <c r="DB149" s="5" t="str">
        <f t="shared" si="95"/>
        <v>No</v>
      </c>
      <c r="DC149" s="5"/>
      <c r="DD149" s="5"/>
      <c r="DE149" s="5"/>
      <c r="DF149" s="5"/>
      <c r="DG149" s="5"/>
      <c r="DH149" s="5"/>
      <c r="DI149" s="5"/>
      <c r="DJ149" s="5"/>
      <c r="DK149" s="5"/>
      <c r="DL149" s="5" t="str">
        <f t="shared" si="96"/>
        <v>Clear</v>
      </c>
      <c r="DM149" s="5" t="str">
        <f t="shared" si="97"/>
        <v>Yes</v>
      </c>
      <c r="DN149" s="5">
        <f t="array" ref="DN149">MIN(100,
  IF(ISNUMBER(V149), _xlfn.IFS(V149&gt;=3,25, V149=2,15, V149=1,5, TRUE,0), 0)
  + IFERROR(_xlfn.IFS(VALUE(LEFT(DF149,1))=5,25, VALUE(LEFT(DF149,1))=4,20, VALUE(LEFT(DF149,1))=3,15, VALUE(LEFT(DF149,1))=2,8, TRUE,0), 15)
  + IFERROR(_xlfn.IFS(VALUE(LEFT(DG149,1))=5,25, VALUE(LEFT(DG149,1))=4,20, VALUE(LEFT(DG149,1))=3,15, VALUE(LEFT(DG149,1))=2,8, TRUE,0), 15)
  + _xlfn.IFS(DH149="Fully Verified",25, DH149="Partially Verified",12, TRUE,0)
)</f>
        <v>30</v>
      </c>
      <c r="DO149" s="5" t="str">
        <f t="array" ref="DO149">_xlfn.IFS(
  ISBLANK(AR149), "Insufficient Evidence",
  AND(AR149&gt;=65, AJ149="Approved"), "Strong",
  AR149&gt;=65, "Adequate",
  AR149&gt;=40, "Adequate",
  AR149&gt;=20, "Weak",
  TRUE, "Insufficient Evidence"
)</f>
        <v>Insufficient Evidence</v>
      </c>
      <c r="DP149" s="5" t="str">
        <f t="array" ref="DP149">_xlfn.IFS(
  ISBLANK(BS149), "Insufficient Evidence",
  BS149&gt;=65, "Strong",
  BS149&gt;=40, "Adequate",
  BS149&gt;=20, "Weak",
  TRUE, "Insufficient Evidence"
)</f>
        <v>Insufficient Evidence</v>
      </c>
      <c r="DQ149" s="5" t="str">
        <f t="array" ref="DQ149">_xlfn.IFS(
  ISBLANK(BE149), "Insufficient Evidence",
  OR(AW149="Confirmed Violation", AX149="Confirmed Breach"), "Severe — Hard Trigger",
  BE149&gt;=65, "Strong",
  BE149&gt;=40, "Adequate",
  BE149&gt;=20, "Weak",
  TRUE, "Insufficient Evidence"
)</f>
        <v>Insufficient Evidence</v>
      </c>
      <c r="DR149" s="5" t="str">
        <f t="array" ref="DR149">_xlfn.IFS(
  ISBLANK(CU149), "Insufficient Evidence",
  CU149&lt;=20, "Low Risk",
  CU149&lt;=50, "Moderate Risk",
  CU149&lt;=75, "High Risk",
  TRUE, "Very High Risk"
)</f>
        <v>Low Risk</v>
      </c>
      <c r="DS149" s="5" t="str">
        <f t="array" ref="DS149">_xlfn.IFS(
  ISBLANK(CE149), "Insufficient Evidence",
  AND(ISNUMBER(BW149),ISNUMBER(BV149),BW149&gt;BV149), "Overclaiming Risk",
  CE149&gt;=65, "Strong",
  CE149&gt;=40, "Adequate",
  TRUE, "Weak"
)</f>
        <v>Weak</v>
      </c>
      <c r="DT149" s="5">
        <f t="shared" si="98"/>
        <v>11.7</v>
      </c>
      <c r="DU149" s="5" t="str">
        <f t="array" ref="DU149">_xlfn.IFS(
  DV149="Upgraded to Clear", "Clear",
  DV149="Downgraded to Watchlist", "Watchlist",
  DV149="Downgraded to Exclusion", "Exclusion Risk",
  DB149="Yes — Automatic", "Exclusion Risk",
  OR(AW149="Confirmed Violation", AX149="Confirmed Breach"), "Exclusion Risk",
  OR(V149=0, ISBLANK(V149), DN149&lt;20), "Insufficient Evidence",
  AND(DT149&gt;=65, DA149="No", DB149="No"), "Clear",
  OR(DT149&gt;=40, DA149="Yes"), "Watchlist",
  TRUE, "Exclusion Risk"
)</f>
        <v>Insufficient Evidence</v>
      </c>
      <c r="DV149" s="5"/>
      <c r="DW149" s="5" t="str">
        <f t="array" ref="DW149">_xlfn.IFS(
  DU149="Exclusion Risk", "Exclude — Hard Trigger",
  DU149="Insufficient Evidence", "Watchlist — Further Evidence Needed",
  DU149="Watchlist", "Watchlist — Further Evidence Needed",
  AND(DU149="Clear", DT149&gt;=80), "Include — No Conditions",
  DU149="Clear", "Include — Monitor",
  TRUE, "Watchlist — Further Evidence Needed"
)</f>
        <v>Watchlist — Further Evidence Needed</v>
      </c>
      <c r="DX149" s="5"/>
      <c r="DY149" s="5"/>
      <c r="DZ149" s="5"/>
      <c r="EA149" s="5"/>
      <c r="EB149" s="5" t="str">
        <f t="shared" si="99"/>
        <v>MISSING — No sources reviewed</v>
      </c>
      <c r="EC149" s="5" t="str">
        <f t="shared" si="100"/>
        <v/>
      </c>
    </row>
    <row r="150" spans="1:133" ht="18" customHeight="1" x14ac:dyDescent="0.15">
      <c r="A150" s="5" t="s">
        <v>797</v>
      </c>
      <c r="B150" s="5" t="s">
        <v>798</v>
      </c>
      <c r="C150" s="5" t="str">
        <f>IF(ISBLANK('Universe Tracker'!D125),"",'Universe Tracker'!D125)</f>
        <v>DE0008402215</v>
      </c>
      <c r="D150" s="5"/>
      <c r="E150" s="5"/>
      <c r="F150" s="5" t="str">
        <f>IF(ISBLANK('Universe Tracker'!F125),"",'Universe Tracker'!F125)</f>
        <v>Financials</v>
      </c>
      <c r="G150" s="5" t="str">
        <f>IF(ISBLANK('Universe Tracker'!G125),"",'Universe Tracker'!G125)</f>
        <v>Insurance</v>
      </c>
      <c r="H150" s="5"/>
      <c r="I150" s="5"/>
      <c r="J150" s="5" t="str">
        <f t="shared" si="88"/>
        <v>HNR1_DE0008402215</v>
      </c>
      <c r="K150" s="5"/>
      <c r="L150" s="5"/>
      <c r="M150" s="5"/>
      <c r="N150" s="5"/>
      <c r="O150" s="5"/>
      <c r="P150" s="5"/>
      <c r="Q150" s="5"/>
      <c r="R150" s="5"/>
      <c r="S150" s="5"/>
      <c r="T150" s="5"/>
      <c r="U150" s="5"/>
      <c r="V150" s="5"/>
      <c r="W150" s="5"/>
      <c r="X150" s="5"/>
      <c r="Y150" s="5" t="str">
        <f t="shared" si="89"/>
        <v>Insufficient</v>
      </c>
      <c r="Z150" s="5"/>
      <c r="AA150" s="5"/>
      <c r="AB150" s="5"/>
      <c r="AC150" s="5"/>
      <c r="AD150" s="5"/>
      <c r="AE150" s="5"/>
      <c r="AF150" s="5"/>
      <c r="AG150" s="5"/>
      <c r="AH150" s="5"/>
      <c r="AI150" s="5"/>
      <c r="AJ150" s="5"/>
      <c r="AK150" s="5"/>
      <c r="AL150" s="5"/>
      <c r="AM150" s="5"/>
      <c r="AN150" s="5"/>
      <c r="AO150" s="5"/>
      <c r="AP150" s="5"/>
      <c r="AQ150" s="5"/>
      <c r="AR150" s="40">
        <f t="array" ref="AR150">MIN(100, MAX(0,
  IFERROR(_xlfn.XLOOKUP(AJ150,'Lookup Tables'!$A$2:$A$7,'Lookup Tables'!$B$2:$B$7,0),0)
  + IF(Z150="Yes", IF(IFERROR(_xlfn.XLOOKUP(AJ150,'Lookup Tables'!$A$2:$A$7,'Lookup Tables'!$B$2:$B$7,0),0)&lt;20, 5, 0), 0)
  + _xlfn.IFS(AB150="Yes", IF(ISNUMBER(AC150)*AND(AC150&lt;=2030),15,10), AB150="Long-term Only", 5, AB150="No", 0, TRUE, 0)
  + _xlfn.IFS(AF150="Full",10, AF150="Partial",5, AF150="Scope 2 Only",3, TRUE,0)
  + _xlfn.IFS(AG150="Yes", IF(ISNUMBER(AH150)*AND(AH150&gt;=5),10,6), AG150="Partial",4, TRUE,0)
  + _xlfn.IFS(AI150="Yes",5, AI150="Partial (material categories only)",3, TRUE,0)
  + _xlfn.IFS(AL150="Yes — Detailed",10, AL150="Yes — High Level",5, TRUE,0)
  + _xlfn.IFS(AM150="Yes — Quantified",15, AM150="Yes — Directional Only",7, TRUE,0)
  + _xlfn.IFS(AP150="Formal",5, AP150="Referenced",2, TRUE,0)
  + _xlfn.IFS(AQ150="No Issues Found",5, AQ150="Concern Identified",-5, AQ150="Severe Contradiction",-15, TRUE,0)
  + _xlfn.IFS(BC150="Reasonable Assurance",5, BC150="Limited Assurance",3, TRUE,0)
  - IF(AND(Z150="Yes", AI150="No"), 10, 0)
  - IF(AND(Z150="Yes", AM150="No"), 10, 0)
))</f>
        <v>0</v>
      </c>
      <c r="AS150" s="5"/>
      <c r="AT150" s="5"/>
      <c r="AU150" s="5"/>
      <c r="AV150" s="5"/>
      <c r="AW150" s="5"/>
      <c r="AX150" s="5"/>
      <c r="AY150" s="5"/>
      <c r="AZ150" s="5"/>
      <c r="BA150" s="5"/>
      <c r="BB150" s="5"/>
      <c r="BC150" s="5"/>
      <c r="BD150" s="5"/>
      <c r="BE150" s="39">
        <f t="array" ref="BE150">MIN(100, MAX(0,
  IFERROR(_xlfn.XLOOKUP(AT150,'Lookup Tables'!$D$2:$D$6,'Lookup Tables'!$E$2:$E$6,0),0)
  + IFERROR(_xlfn.XLOOKUP(AV150,'Lookup Tables'!$G$2:$G$5,'Lookup Tables'!$H$2:$H$5,0),0)
  + IFERROR(_xlfn.XLOOKUP(AW150,'Lookup Tables'!$J$2:$J$5,'Lookup Tables'!$K$2:$K$5,0),0)
  + _xlfn.IFS(AX150="No Issues",10, AX150="Complaint Filed",3, AX150="Confirmed Breach",-15, TRUE,0)
  + IFERROR(_xlfn.XLOOKUP(AY150,'Lookup Tables'!$M$2:$M$6,'Lookup Tables'!$N$2:$N$6,0),0)
  + IFERROR(_xlfn.XLOOKUP(AZ150,'Lookup Tables'!$P$2:$P$6,'Lookup Tables'!$Q$2:$Q$6,0),0)
  + _xlfn.IFS(BA150="Formal Board Committee",5, BA150="Board Oversight Mentioned",2, TRUE,0)
  + _xlfn.IFS(BB150="Yes — Quantified Targets",5, BB150="Yes — Discretionary Only",2, TRUE,0)
  + _xlfn.IFS(BC150="Reasonable Assurance",5, BC150="Limited Assurance",3, BC150="Management Review Only",1, TRUE,0)
))</f>
        <v>0</v>
      </c>
      <c r="BF150" s="5"/>
      <c r="BG150" s="5"/>
      <c r="BH150" s="5"/>
      <c r="BI150" s="5"/>
      <c r="BJ150" s="5"/>
      <c r="BK150" s="5"/>
      <c r="BL150" s="5"/>
      <c r="BM150" s="5"/>
      <c r="BN150" s="5"/>
      <c r="BO150" s="5"/>
      <c r="BP150" s="5"/>
      <c r="BQ150" s="5"/>
      <c r="BR150" s="5"/>
      <c r="BS150" s="41">
        <f t="array" ref="BS150">MIN(100, MAX(0,
  IFERROR(_xlfn.XLOOKUP(BG150,'Lookup Tables'!$A$11:$A$16,'Lookup Tables'!$B$11:$B$16,0),0)
  + IFERROR(_xlfn.XLOOKUP(BR150,'Lookup Tables'!$M$11:$M$14,'Lookup Tables'!$N$11:$N$14,0),0)
  + IFERROR(_xlfn.XLOOKUP(BQ150,'Lookup Tables'!$J$11:$J$15,'Lookup Tables'!$K$11:$K$15,0),0)
  + IFERROR(_xlfn.XLOOKUP(BH150,'Lookup Tables'!$D$11:$D$15,'Lookup Tables'!$E$11:$E$15,0),0)
  + IFERROR(_xlfn.XLOOKUP(BJ150,'Lookup Tables'!$G$11:$G$16,'Lookup Tables'!$H$11:$H$16,0),0)
  + IFERROR(_xlfn.XLOOKUP(BN150,'Lookup Tables'!$P$11:$P$15,'Lookup Tables'!$Q$11:$Q$15,0),0)
  + _xlfn.IFS(BM150="No Evidence",10, BM150="Unknown",3, BM150="Likely",0, BM150="Confirmed",-10, TRUE,3)
  + IFERROR(_xlfn.XLOOKUP(BP150,'Lookup Tables'!$J$21:$J$24,'Lookup Tables'!$K$21:$K$24,0),0)
))</f>
        <v>3</v>
      </c>
      <c r="BT150" s="5"/>
      <c r="BU150" s="5"/>
      <c r="BV150" s="5"/>
      <c r="BW150" s="5"/>
      <c r="BX150" s="5"/>
      <c r="BY150" s="5"/>
      <c r="BZ150" s="5"/>
      <c r="CA150" s="5"/>
      <c r="CB150" s="5"/>
      <c r="CC150" s="5"/>
      <c r="CD150" s="5"/>
      <c r="CE150" s="43">
        <f t="array" ref="CE150">MIN(100, MAX(0,
  IF(ISNUMBER(BV150)*AND(BV150&gt;0), 10, 0)
  + _xlfn.IFS(BY150="Independently Verified",25, BY150="Yes",15, TRUE,0)
  + IFERROR(_xlfn.XLOOKUP(BZ150,'Lookup Tables'!$A$21:$A$24,'Lookup Tables'!$B$21:$B$24,0),0)
  + IFERROR(_xlfn.XLOOKUP(CA150,'Lookup Tables'!$D$21:$D$24,'Lookup Tables'!$E$21:$E$24,0),0)
  + _xlfn.IFS(ISNUMBER(CB150)*AND(CB150&gt;=11),15, ISNUMBER(CB150)*AND(CB150&gt;=6),10, ISNUMBER(CB150)*AND(CB150&gt;=1),5, TRUE,0)
  + IFERROR(_xlfn.XLOOKUP(CC150,'Lookup Tables'!$G$21:$G$25,'Lookup Tables'!$H$21:$H$25,0),0)
  - IF(ISNUMBER(BW150)*AND(ISNUMBER(BV150))*AND(BW150&gt;BV150), 20, 0)
  - IF(AND(BY150="Yes", ISNUMBER(BW150), BW150&gt;60), 10, 0)
))</f>
        <v>0</v>
      </c>
      <c r="CF150" s="5"/>
      <c r="CG150" s="5"/>
      <c r="CH150" s="5"/>
      <c r="CI150" s="5"/>
      <c r="CJ150" s="5"/>
      <c r="CK150" s="5"/>
      <c r="CL150" s="5"/>
      <c r="CM150" s="5"/>
      <c r="CN150" s="5"/>
      <c r="CO150" s="5"/>
      <c r="CP150" s="5"/>
      <c r="CQ150" s="5"/>
      <c r="CR150" s="5">
        <f t="shared" si="90"/>
        <v>0</v>
      </c>
      <c r="CS150" s="5">
        <f t="shared" si="91"/>
        <v>0</v>
      </c>
      <c r="CT150" s="5">
        <f t="shared" si="92"/>
        <v>0</v>
      </c>
      <c r="CU150" s="5">
        <f>MIN(100,
  CR150*15
  + CS150*6
  + CT150*3
  + IFERROR(_xlfn.XLOOKUP(CW150,'Lookup Tables'!$M$21:$M$25,'Lookup Tables'!$N$21:$N$25,0),0)
)</f>
        <v>0</v>
      </c>
      <c r="CV150" s="5" t="str">
        <f t="shared" si="93"/>
        <v>No failures</v>
      </c>
      <c r="CW150" s="5"/>
      <c r="CX150" s="5"/>
      <c r="CY150" s="5"/>
      <c r="CZ150" s="5"/>
      <c r="DA150" s="5" t="str">
        <f t="shared" si="94"/>
        <v>Yes</v>
      </c>
      <c r="DB150" s="5" t="str">
        <f t="shared" si="95"/>
        <v>No</v>
      </c>
      <c r="DC150" s="5"/>
      <c r="DD150" s="5"/>
      <c r="DE150" s="5"/>
      <c r="DF150" s="5"/>
      <c r="DG150" s="5"/>
      <c r="DH150" s="5"/>
      <c r="DI150" s="5"/>
      <c r="DJ150" s="5"/>
      <c r="DK150" s="5"/>
      <c r="DL150" s="5" t="str">
        <f t="shared" si="96"/>
        <v>Clear</v>
      </c>
      <c r="DM150" s="5" t="str">
        <f t="shared" si="97"/>
        <v>Yes</v>
      </c>
      <c r="DN150" s="5">
        <f t="array" ref="DN150">MIN(100,
  IF(ISNUMBER(V150), _xlfn.IFS(V150&gt;=3,25, V150=2,15, V150=1,5, TRUE,0), 0)
  + IFERROR(_xlfn.IFS(VALUE(LEFT(DF150,1))=5,25, VALUE(LEFT(DF150,1))=4,20, VALUE(LEFT(DF150,1))=3,15, VALUE(LEFT(DF150,1))=2,8, TRUE,0), 15)
  + IFERROR(_xlfn.IFS(VALUE(LEFT(DG150,1))=5,25, VALUE(LEFT(DG150,1))=4,20, VALUE(LEFT(DG150,1))=3,15, VALUE(LEFT(DG150,1))=2,8, TRUE,0), 15)
  + _xlfn.IFS(DH150="Fully Verified",25, DH150="Partially Verified",12, TRUE,0)
)</f>
        <v>30</v>
      </c>
      <c r="DO150" s="5" t="str">
        <f t="array" ref="DO150">_xlfn.IFS(
  ISBLANK(AR150), "Insufficient Evidence",
  AND(AR150&gt;=65, AJ150="Approved"), "Strong",
  AR150&gt;=65, "Adequate",
  AR150&gt;=40, "Adequate",
  AR150&gt;=20, "Weak",
  TRUE, "Insufficient Evidence"
)</f>
        <v>Insufficient Evidence</v>
      </c>
      <c r="DP150" s="5" t="str">
        <f t="array" ref="DP150">_xlfn.IFS(
  ISBLANK(BS150), "Insufficient Evidence",
  BS150&gt;=65, "Strong",
  BS150&gt;=40, "Adequate",
  BS150&gt;=20, "Weak",
  TRUE, "Insufficient Evidence"
)</f>
        <v>Insufficient Evidence</v>
      </c>
      <c r="DQ150" s="5" t="str">
        <f t="array" ref="DQ150">_xlfn.IFS(
  ISBLANK(BE150), "Insufficient Evidence",
  OR(AW150="Confirmed Violation", AX150="Confirmed Breach"), "Severe — Hard Trigger",
  BE150&gt;=65, "Strong",
  BE150&gt;=40, "Adequate",
  BE150&gt;=20, "Weak",
  TRUE, "Insufficient Evidence"
)</f>
        <v>Insufficient Evidence</v>
      </c>
      <c r="DR150" s="5" t="str">
        <f t="array" ref="DR150">_xlfn.IFS(
  ISBLANK(CU150), "Insufficient Evidence",
  CU150&lt;=20, "Low Risk",
  CU150&lt;=50, "Moderate Risk",
  CU150&lt;=75, "High Risk",
  TRUE, "Very High Risk"
)</f>
        <v>Low Risk</v>
      </c>
      <c r="DS150" s="5" t="str">
        <f t="array" ref="DS150">_xlfn.IFS(
  ISBLANK(CE150), "Insufficient Evidence",
  AND(ISNUMBER(BW150),ISNUMBER(BV150),BW150&gt;BV150), "Overclaiming Risk",
  CE150&gt;=65, "Strong",
  CE150&gt;=40, "Adequate",
  TRUE, "Weak"
)</f>
        <v>Weak</v>
      </c>
      <c r="DT150" s="5">
        <f t="shared" si="98"/>
        <v>11.7</v>
      </c>
      <c r="DU150" s="5" t="str">
        <f t="array" ref="DU150">_xlfn.IFS(
  DV150="Upgraded to Clear", "Clear",
  DV150="Downgraded to Watchlist", "Watchlist",
  DV150="Downgraded to Exclusion", "Exclusion Risk",
  DB150="Yes — Automatic", "Exclusion Risk",
  OR(AW150="Confirmed Violation", AX150="Confirmed Breach"), "Exclusion Risk",
  OR(V150=0, ISBLANK(V150), DN150&lt;20), "Insufficient Evidence",
  AND(DT150&gt;=65, DA150="No", DB150="No"), "Clear",
  OR(DT150&gt;=40, DA150="Yes"), "Watchlist",
  TRUE, "Exclusion Risk"
)</f>
        <v>Insufficient Evidence</v>
      </c>
      <c r="DV150" s="5"/>
      <c r="DW150" s="5" t="str">
        <f t="array" ref="DW150">_xlfn.IFS(
  DU150="Exclusion Risk", "Exclude — Hard Trigger",
  DU150="Insufficient Evidence", "Watchlist — Further Evidence Needed",
  DU150="Watchlist", "Watchlist — Further Evidence Needed",
  AND(DU150="Clear", DT150&gt;=80), "Include — No Conditions",
  DU150="Clear", "Include — Monitor",
  TRUE, "Watchlist — Further Evidence Needed"
)</f>
        <v>Watchlist — Further Evidence Needed</v>
      </c>
      <c r="DX150" s="5"/>
      <c r="DY150" s="5"/>
      <c r="DZ150" s="5"/>
      <c r="EA150" s="5"/>
      <c r="EB150" s="5" t="str">
        <f t="shared" si="99"/>
        <v>MISSING — No sources reviewed</v>
      </c>
      <c r="EC150" s="5" t="str">
        <f t="shared" si="100"/>
        <v/>
      </c>
    </row>
    <row r="151" spans="1:133" ht="18" customHeight="1" x14ac:dyDescent="0.15">
      <c r="A151" s="5" t="s">
        <v>801</v>
      </c>
      <c r="B151" s="5" t="s">
        <v>802</v>
      </c>
      <c r="C151" s="5" t="str">
        <f>IF(ISBLANK('Universe Tracker'!D126),"",'Universe Tracker'!D126)</f>
        <v>BE0003604155</v>
      </c>
      <c r="D151" s="5"/>
      <c r="E151" s="5"/>
      <c r="F151" s="5" t="str">
        <f>IF(ISBLANK('Universe Tracker'!F126),"",'Universe Tracker'!F126)</f>
        <v>Consumer Staples</v>
      </c>
      <c r="G151" s="5" t="str">
        <f>IF(ISBLANK('Universe Tracker'!G126),"",'Universe Tracker'!G126)</f>
        <v>Consumer Staple Products</v>
      </c>
      <c r="H151" s="5"/>
      <c r="I151" s="5"/>
      <c r="J151" s="5" t="str">
        <f t="shared" si="88"/>
        <v>7LB_BE0003604155</v>
      </c>
      <c r="K151" s="5"/>
      <c r="L151" s="5"/>
      <c r="M151" s="5"/>
      <c r="N151" s="5"/>
      <c r="O151" s="5"/>
      <c r="P151" s="5"/>
      <c r="Q151" s="5"/>
      <c r="R151" s="5"/>
      <c r="S151" s="5"/>
      <c r="T151" s="5"/>
      <c r="U151" s="5"/>
      <c r="V151" s="5"/>
      <c r="W151" s="5"/>
      <c r="X151" s="5"/>
      <c r="Y151" s="5" t="str">
        <f t="shared" si="89"/>
        <v>Insufficient</v>
      </c>
      <c r="Z151" s="5"/>
      <c r="AA151" s="5"/>
      <c r="AB151" s="5"/>
      <c r="AC151" s="5"/>
      <c r="AD151" s="5"/>
      <c r="AE151" s="5"/>
      <c r="AF151" s="5"/>
      <c r="AG151" s="5"/>
      <c r="AH151" s="5"/>
      <c r="AI151" s="5"/>
      <c r="AJ151" s="5"/>
      <c r="AK151" s="5"/>
      <c r="AL151" s="5"/>
      <c r="AM151" s="5"/>
      <c r="AN151" s="5"/>
      <c r="AO151" s="5"/>
      <c r="AP151" s="5"/>
      <c r="AQ151" s="5"/>
      <c r="AR151" s="40">
        <f t="array" ref="AR151">MIN(100, MAX(0,
  IFERROR(_xlfn.XLOOKUP(AJ151,'Lookup Tables'!$A$2:$A$7,'Lookup Tables'!$B$2:$B$7,0),0)
  + IF(Z151="Yes", IF(IFERROR(_xlfn.XLOOKUP(AJ151,'Lookup Tables'!$A$2:$A$7,'Lookup Tables'!$B$2:$B$7,0),0)&lt;20, 5, 0), 0)
  + _xlfn.IFS(AB151="Yes", IF(ISNUMBER(AC151)*AND(AC151&lt;=2030),15,10), AB151="Long-term Only", 5, AB151="No", 0, TRUE, 0)
  + _xlfn.IFS(AF151="Full",10, AF151="Partial",5, AF151="Scope 2 Only",3, TRUE,0)
  + _xlfn.IFS(AG151="Yes", IF(ISNUMBER(AH151)*AND(AH151&gt;=5),10,6), AG151="Partial",4, TRUE,0)
  + _xlfn.IFS(AI151="Yes",5, AI151="Partial (material categories only)",3, TRUE,0)
  + _xlfn.IFS(AL151="Yes — Detailed",10, AL151="Yes — High Level",5, TRUE,0)
  + _xlfn.IFS(AM151="Yes — Quantified",15, AM151="Yes — Directional Only",7, TRUE,0)
  + _xlfn.IFS(AP151="Formal",5, AP151="Referenced",2, TRUE,0)
  + _xlfn.IFS(AQ151="No Issues Found",5, AQ151="Concern Identified",-5, AQ151="Severe Contradiction",-15, TRUE,0)
  + _xlfn.IFS(BC151="Reasonable Assurance",5, BC151="Limited Assurance",3, TRUE,0)
  - IF(AND(Z151="Yes", AI151="No"), 10, 0)
  - IF(AND(Z151="Yes", AM151="No"), 10, 0)
))</f>
        <v>0</v>
      </c>
      <c r="AS151" s="5"/>
      <c r="AT151" s="5"/>
      <c r="AU151" s="5"/>
      <c r="AV151" s="5"/>
      <c r="AW151" s="5"/>
      <c r="AX151" s="5"/>
      <c r="AY151" s="5"/>
      <c r="AZ151" s="5"/>
      <c r="BA151" s="5"/>
      <c r="BB151" s="5"/>
      <c r="BC151" s="5"/>
      <c r="BD151" s="5"/>
      <c r="BE151" s="39">
        <f t="array" ref="BE151">MIN(100, MAX(0,
  IFERROR(_xlfn.XLOOKUP(AT151,'Lookup Tables'!$D$2:$D$6,'Lookup Tables'!$E$2:$E$6,0),0)
  + IFERROR(_xlfn.XLOOKUP(AV151,'Lookup Tables'!$G$2:$G$5,'Lookup Tables'!$H$2:$H$5,0),0)
  + IFERROR(_xlfn.XLOOKUP(AW151,'Lookup Tables'!$J$2:$J$5,'Lookup Tables'!$K$2:$K$5,0),0)
  + _xlfn.IFS(AX151="No Issues",10, AX151="Complaint Filed",3, AX151="Confirmed Breach",-15, TRUE,0)
  + IFERROR(_xlfn.XLOOKUP(AY151,'Lookup Tables'!$M$2:$M$6,'Lookup Tables'!$N$2:$N$6,0),0)
  + IFERROR(_xlfn.XLOOKUP(AZ151,'Lookup Tables'!$P$2:$P$6,'Lookup Tables'!$Q$2:$Q$6,0),0)
  + _xlfn.IFS(BA151="Formal Board Committee",5, BA151="Board Oversight Mentioned",2, TRUE,0)
  + _xlfn.IFS(BB151="Yes — Quantified Targets",5, BB151="Yes — Discretionary Only",2, TRUE,0)
  + _xlfn.IFS(BC151="Reasonable Assurance",5, BC151="Limited Assurance",3, BC151="Management Review Only",1, TRUE,0)
))</f>
        <v>0</v>
      </c>
      <c r="BF151" s="5"/>
      <c r="BG151" s="5"/>
      <c r="BH151" s="5"/>
      <c r="BI151" s="5"/>
      <c r="BJ151" s="5"/>
      <c r="BK151" s="5"/>
      <c r="BL151" s="5"/>
      <c r="BM151" s="5"/>
      <c r="BN151" s="5"/>
      <c r="BO151" s="5"/>
      <c r="BP151" s="5"/>
      <c r="BQ151" s="5"/>
      <c r="BR151" s="5"/>
      <c r="BS151" s="41">
        <f t="array" ref="BS151">MIN(100, MAX(0,
  IFERROR(_xlfn.XLOOKUP(BG151,'Lookup Tables'!$A$11:$A$16,'Lookup Tables'!$B$11:$B$16,0),0)
  + IFERROR(_xlfn.XLOOKUP(BR151,'Lookup Tables'!$M$11:$M$14,'Lookup Tables'!$N$11:$N$14,0),0)
  + IFERROR(_xlfn.XLOOKUP(BQ151,'Lookup Tables'!$J$11:$J$15,'Lookup Tables'!$K$11:$K$15,0),0)
  + IFERROR(_xlfn.XLOOKUP(BH151,'Lookup Tables'!$D$11:$D$15,'Lookup Tables'!$E$11:$E$15,0),0)
  + IFERROR(_xlfn.XLOOKUP(BJ151,'Lookup Tables'!$G$11:$G$16,'Lookup Tables'!$H$11:$H$16,0),0)
  + IFERROR(_xlfn.XLOOKUP(BN151,'Lookup Tables'!$P$11:$P$15,'Lookup Tables'!$Q$11:$Q$15,0),0)
  + _xlfn.IFS(BM151="No Evidence",10, BM151="Unknown",3, BM151="Likely",0, BM151="Confirmed",-10, TRUE,3)
  + IFERROR(_xlfn.XLOOKUP(BP151,'Lookup Tables'!$J$21:$J$24,'Lookup Tables'!$K$21:$K$24,0),0)
))</f>
        <v>3</v>
      </c>
      <c r="BT151" s="5"/>
      <c r="BU151" s="5"/>
      <c r="BV151" s="5"/>
      <c r="BW151" s="5"/>
      <c r="BX151" s="5"/>
      <c r="BY151" s="5"/>
      <c r="BZ151" s="5"/>
      <c r="CA151" s="5"/>
      <c r="CB151" s="5"/>
      <c r="CC151" s="5"/>
      <c r="CD151" s="5"/>
      <c r="CE151" s="43">
        <f t="array" ref="CE151">MIN(100, MAX(0,
  IF(ISNUMBER(BV151)*AND(BV151&gt;0), 10, 0)
  + _xlfn.IFS(BY151="Independently Verified",25, BY151="Yes",15, TRUE,0)
  + IFERROR(_xlfn.XLOOKUP(BZ151,'Lookup Tables'!$A$21:$A$24,'Lookup Tables'!$B$21:$B$24,0),0)
  + IFERROR(_xlfn.XLOOKUP(CA151,'Lookup Tables'!$D$21:$D$24,'Lookup Tables'!$E$21:$E$24,0),0)
  + _xlfn.IFS(ISNUMBER(CB151)*AND(CB151&gt;=11),15, ISNUMBER(CB151)*AND(CB151&gt;=6),10, ISNUMBER(CB151)*AND(CB151&gt;=1),5, TRUE,0)
  + IFERROR(_xlfn.XLOOKUP(CC151,'Lookup Tables'!$G$21:$G$25,'Lookup Tables'!$H$21:$H$25,0),0)
  - IF(ISNUMBER(BW151)*AND(ISNUMBER(BV151))*AND(BW151&gt;BV151), 20, 0)
  - IF(AND(BY151="Yes", ISNUMBER(BW151), BW151&gt;60), 10, 0)
))</f>
        <v>0</v>
      </c>
      <c r="CF151" s="5"/>
      <c r="CG151" s="5"/>
      <c r="CH151" s="5"/>
      <c r="CI151" s="5"/>
      <c r="CJ151" s="5"/>
      <c r="CK151" s="5"/>
      <c r="CL151" s="5"/>
      <c r="CM151" s="5"/>
      <c r="CN151" s="5"/>
      <c r="CO151" s="5"/>
      <c r="CP151" s="5"/>
      <c r="CQ151" s="5"/>
      <c r="CR151" s="5">
        <f t="shared" si="90"/>
        <v>0</v>
      </c>
      <c r="CS151" s="5">
        <f t="shared" si="91"/>
        <v>0</v>
      </c>
      <c r="CT151" s="5">
        <f t="shared" si="92"/>
        <v>0</v>
      </c>
      <c r="CU151" s="5">
        <f>MIN(100,
  CR151*15
  + CS151*6
  + CT151*3
  + IFERROR(_xlfn.XLOOKUP(CW151,'Lookup Tables'!$M$21:$M$25,'Lookup Tables'!$N$21:$N$25,0),0)
)</f>
        <v>0</v>
      </c>
      <c r="CV151" s="5" t="str">
        <f t="shared" si="93"/>
        <v>No failures</v>
      </c>
      <c r="CW151" s="5"/>
      <c r="CX151" s="5"/>
      <c r="CY151" s="5"/>
      <c r="CZ151" s="5"/>
      <c r="DA151" s="5" t="str">
        <f t="shared" si="94"/>
        <v>Yes</v>
      </c>
      <c r="DB151" s="5" t="str">
        <f t="shared" si="95"/>
        <v>No</v>
      </c>
      <c r="DC151" s="5"/>
      <c r="DD151" s="5"/>
      <c r="DE151" s="5"/>
      <c r="DF151" s="5"/>
      <c r="DG151" s="5"/>
      <c r="DH151" s="5"/>
      <c r="DI151" s="5"/>
      <c r="DJ151" s="5"/>
      <c r="DK151" s="5"/>
      <c r="DL151" s="5" t="str">
        <f t="shared" si="96"/>
        <v>Clear</v>
      </c>
      <c r="DM151" s="5" t="str">
        <f t="shared" si="97"/>
        <v>Yes</v>
      </c>
      <c r="DN151" s="5">
        <f t="array" ref="DN151">MIN(100,
  IF(ISNUMBER(V151), _xlfn.IFS(V151&gt;=3,25, V151=2,15, V151=1,5, TRUE,0), 0)
  + IFERROR(_xlfn.IFS(VALUE(LEFT(DF151,1))=5,25, VALUE(LEFT(DF151,1))=4,20, VALUE(LEFT(DF151,1))=3,15, VALUE(LEFT(DF151,1))=2,8, TRUE,0), 15)
  + IFERROR(_xlfn.IFS(VALUE(LEFT(DG151,1))=5,25, VALUE(LEFT(DG151,1))=4,20, VALUE(LEFT(DG151,1))=3,15, VALUE(LEFT(DG151,1))=2,8, TRUE,0), 15)
  + _xlfn.IFS(DH151="Fully Verified",25, DH151="Partially Verified",12, TRUE,0)
)</f>
        <v>30</v>
      </c>
      <c r="DO151" s="5" t="str">
        <f t="array" ref="DO151">_xlfn.IFS(
  ISBLANK(AR151), "Insufficient Evidence",
  AND(AR151&gt;=65, AJ151="Approved"), "Strong",
  AR151&gt;=65, "Adequate",
  AR151&gt;=40, "Adequate",
  AR151&gt;=20, "Weak",
  TRUE, "Insufficient Evidence"
)</f>
        <v>Insufficient Evidence</v>
      </c>
      <c r="DP151" s="5" t="str">
        <f t="array" ref="DP151">_xlfn.IFS(
  ISBLANK(BS151), "Insufficient Evidence",
  BS151&gt;=65, "Strong",
  BS151&gt;=40, "Adequate",
  BS151&gt;=20, "Weak",
  TRUE, "Insufficient Evidence"
)</f>
        <v>Insufficient Evidence</v>
      </c>
      <c r="DQ151" s="5" t="str">
        <f t="array" ref="DQ151">_xlfn.IFS(
  ISBLANK(BE151), "Insufficient Evidence",
  OR(AW151="Confirmed Violation", AX151="Confirmed Breach"), "Severe — Hard Trigger",
  BE151&gt;=65, "Strong",
  BE151&gt;=40, "Adequate",
  BE151&gt;=20, "Weak",
  TRUE, "Insufficient Evidence"
)</f>
        <v>Insufficient Evidence</v>
      </c>
      <c r="DR151" s="5" t="str">
        <f t="array" ref="DR151">_xlfn.IFS(
  ISBLANK(CU151), "Insufficient Evidence",
  CU151&lt;=20, "Low Risk",
  CU151&lt;=50, "Moderate Risk",
  CU151&lt;=75, "High Risk",
  TRUE, "Very High Risk"
)</f>
        <v>Low Risk</v>
      </c>
      <c r="DS151" s="5" t="str">
        <f t="array" ref="DS151">_xlfn.IFS(
  ISBLANK(CE151), "Insufficient Evidence",
  AND(ISNUMBER(BW151),ISNUMBER(BV151),BW151&gt;BV151), "Overclaiming Risk",
  CE151&gt;=65, "Strong",
  CE151&gt;=40, "Adequate",
  TRUE, "Weak"
)</f>
        <v>Weak</v>
      </c>
      <c r="DT151" s="5">
        <f t="shared" si="98"/>
        <v>11.7</v>
      </c>
      <c r="DU151" s="5" t="str">
        <f t="array" ref="DU151">_xlfn.IFS(
  DV151="Upgraded to Clear", "Clear",
  DV151="Downgraded to Watchlist", "Watchlist",
  DV151="Downgraded to Exclusion", "Exclusion Risk",
  DB151="Yes — Automatic", "Exclusion Risk",
  OR(AW151="Confirmed Violation", AX151="Confirmed Breach"), "Exclusion Risk",
  OR(V151=0, ISBLANK(V151), DN151&lt;20), "Insufficient Evidence",
  AND(DT151&gt;=65, DA151="No", DB151="No"), "Clear",
  OR(DT151&gt;=40, DA151="Yes"), "Watchlist",
  TRUE, "Exclusion Risk"
)</f>
        <v>Insufficient Evidence</v>
      </c>
      <c r="DV151" s="5"/>
      <c r="DW151" s="5" t="str">
        <f t="array" ref="DW151">_xlfn.IFS(
  DU151="Exclusion Risk", "Exclude — Hard Trigger",
  DU151="Insufficient Evidence", "Watchlist — Further Evidence Needed",
  DU151="Watchlist", "Watchlist — Further Evidence Needed",
  AND(DU151="Clear", DT151&gt;=80), "Include — No Conditions",
  DU151="Clear", "Include — Monitor",
  TRUE, "Watchlist — Further Evidence Needed"
)</f>
        <v>Watchlist — Further Evidence Needed</v>
      </c>
      <c r="DX151" s="5"/>
      <c r="DY151" s="5"/>
      <c r="DZ151" s="5"/>
      <c r="EA151" s="5"/>
      <c r="EB151" s="5" t="str">
        <f t="shared" si="99"/>
        <v>MISSING — No sources reviewed</v>
      </c>
      <c r="EC151" s="5" t="str">
        <f t="shared" si="100"/>
        <v/>
      </c>
    </row>
    <row r="152" spans="1:133" ht="18" customHeight="1" x14ac:dyDescent="0.15">
      <c r="A152" s="5" t="s">
        <v>805</v>
      </c>
      <c r="B152" s="5" t="s">
        <v>806</v>
      </c>
      <c r="C152" s="5" t="str">
        <f>IF(ISBLANK('Universe Tracker'!D127),"",'Universe Tracker'!D127)</f>
        <v>NL0006294274</v>
      </c>
      <c r="D152" s="5"/>
      <c r="E152" s="5"/>
      <c r="F152" s="5" t="str">
        <f>IF(ISBLANK('Universe Tracker'!F127),"",'Universe Tracker'!F127)</f>
        <v>Financials</v>
      </c>
      <c r="G152" s="5" t="str">
        <f>IF(ISBLANK('Universe Tracker'!G127),"",'Universe Tracker'!G127)</f>
        <v>Financial Services</v>
      </c>
      <c r="H152" s="5"/>
      <c r="I152" s="5"/>
      <c r="J152" s="5" t="str">
        <f t="shared" si="88"/>
        <v>ENXB_NL0006294274</v>
      </c>
      <c r="K152" s="5"/>
      <c r="L152" s="5"/>
      <c r="M152" s="5"/>
      <c r="N152" s="5"/>
      <c r="O152" s="5"/>
      <c r="P152" s="5"/>
      <c r="Q152" s="5"/>
      <c r="R152" s="5"/>
      <c r="S152" s="5"/>
      <c r="T152" s="5"/>
      <c r="U152" s="5"/>
      <c r="V152" s="5"/>
      <c r="W152" s="5"/>
      <c r="X152" s="5"/>
      <c r="Y152" s="5" t="str">
        <f t="shared" si="89"/>
        <v>Insufficient</v>
      </c>
      <c r="Z152" s="5"/>
      <c r="AA152" s="5"/>
      <c r="AB152" s="5"/>
      <c r="AC152" s="5"/>
      <c r="AD152" s="5"/>
      <c r="AE152" s="5"/>
      <c r="AF152" s="5"/>
      <c r="AG152" s="5"/>
      <c r="AH152" s="5"/>
      <c r="AI152" s="5"/>
      <c r="AJ152" s="5"/>
      <c r="AK152" s="5"/>
      <c r="AL152" s="5"/>
      <c r="AM152" s="5"/>
      <c r="AN152" s="5"/>
      <c r="AO152" s="5"/>
      <c r="AP152" s="5"/>
      <c r="AQ152" s="5"/>
      <c r="AR152" s="40">
        <f t="array" ref="AR152">MIN(100, MAX(0,
  IFERROR(_xlfn.XLOOKUP(AJ152,'Lookup Tables'!$A$2:$A$7,'Lookup Tables'!$B$2:$B$7,0),0)
  + IF(Z152="Yes", IF(IFERROR(_xlfn.XLOOKUP(AJ152,'Lookup Tables'!$A$2:$A$7,'Lookup Tables'!$B$2:$B$7,0),0)&lt;20, 5, 0), 0)
  + _xlfn.IFS(AB152="Yes", IF(ISNUMBER(AC152)*AND(AC152&lt;=2030),15,10), AB152="Long-term Only", 5, AB152="No", 0, TRUE, 0)
  + _xlfn.IFS(AF152="Full",10, AF152="Partial",5, AF152="Scope 2 Only",3, TRUE,0)
  + _xlfn.IFS(AG152="Yes", IF(ISNUMBER(AH152)*AND(AH152&gt;=5),10,6), AG152="Partial",4, TRUE,0)
  + _xlfn.IFS(AI152="Yes",5, AI152="Partial (material categories only)",3, TRUE,0)
  + _xlfn.IFS(AL152="Yes — Detailed",10, AL152="Yes — High Level",5, TRUE,0)
  + _xlfn.IFS(AM152="Yes — Quantified",15, AM152="Yes — Directional Only",7, TRUE,0)
  + _xlfn.IFS(AP152="Formal",5, AP152="Referenced",2, TRUE,0)
  + _xlfn.IFS(AQ152="No Issues Found",5, AQ152="Concern Identified",-5, AQ152="Severe Contradiction",-15, TRUE,0)
  + _xlfn.IFS(BC152="Reasonable Assurance",5, BC152="Limited Assurance",3, TRUE,0)
  - IF(AND(Z152="Yes", AI152="No"), 10, 0)
  - IF(AND(Z152="Yes", AM152="No"), 10, 0)
))</f>
        <v>0</v>
      </c>
      <c r="AS152" s="5"/>
      <c r="AT152" s="5"/>
      <c r="AU152" s="5"/>
      <c r="AV152" s="5"/>
      <c r="AW152" s="5"/>
      <c r="AX152" s="5"/>
      <c r="AY152" s="5"/>
      <c r="AZ152" s="5"/>
      <c r="BA152" s="5"/>
      <c r="BB152" s="5"/>
      <c r="BC152" s="5"/>
      <c r="BD152" s="5"/>
      <c r="BE152" s="39">
        <f t="array" ref="BE152">MIN(100, MAX(0,
  IFERROR(_xlfn.XLOOKUP(AT152,'Lookup Tables'!$D$2:$D$6,'Lookup Tables'!$E$2:$E$6,0),0)
  + IFERROR(_xlfn.XLOOKUP(AV152,'Lookup Tables'!$G$2:$G$5,'Lookup Tables'!$H$2:$H$5,0),0)
  + IFERROR(_xlfn.XLOOKUP(AW152,'Lookup Tables'!$J$2:$J$5,'Lookup Tables'!$K$2:$K$5,0),0)
  + _xlfn.IFS(AX152="No Issues",10, AX152="Complaint Filed",3, AX152="Confirmed Breach",-15, TRUE,0)
  + IFERROR(_xlfn.XLOOKUP(AY152,'Lookup Tables'!$M$2:$M$6,'Lookup Tables'!$N$2:$N$6,0),0)
  + IFERROR(_xlfn.XLOOKUP(AZ152,'Lookup Tables'!$P$2:$P$6,'Lookup Tables'!$Q$2:$Q$6,0),0)
  + _xlfn.IFS(BA152="Formal Board Committee",5, BA152="Board Oversight Mentioned",2, TRUE,0)
  + _xlfn.IFS(BB152="Yes — Quantified Targets",5, BB152="Yes — Discretionary Only",2, TRUE,0)
  + _xlfn.IFS(BC152="Reasonable Assurance",5, BC152="Limited Assurance",3, BC152="Management Review Only",1, TRUE,0)
))</f>
        <v>0</v>
      </c>
      <c r="BF152" s="5"/>
      <c r="BG152" s="5"/>
      <c r="BH152" s="5"/>
      <c r="BI152" s="5"/>
      <c r="BJ152" s="5"/>
      <c r="BK152" s="5"/>
      <c r="BL152" s="5"/>
      <c r="BM152" s="5"/>
      <c r="BN152" s="5"/>
      <c r="BO152" s="5"/>
      <c r="BP152" s="5"/>
      <c r="BQ152" s="5"/>
      <c r="BR152" s="5"/>
      <c r="BS152" s="41">
        <f t="array" ref="BS152">MIN(100, MAX(0,
  IFERROR(_xlfn.XLOOKUP(BG152,'Lookup Tables'!$A$11:$A$16,'Lookup Tables'!$B$11:$B$16,0),0)
  + IFERROR(_xlfn.XLOOKUP(BR152,'Lookup Tables'!$M$11:$M$14,'Lookup Tables'!$N$11:$N$14,0),0)
  + IFERROR(_xlfn.XLOOKUP(BQ152,'Lookup Tables'!$J$11:$J$15,'Lookup Tables'!$K$11:$K$15,0),0)
  + IFERROR(_xlfn.XLOOKUP(BH152,'Lookup Tables'!$D$11:$D$15,'Lookup Tables'!$E$11:$E$15,0),0)
  + IFERROR(_xlfn.XLOOKUP(BJ152,'Lookup Tables'!$G$11:$G$16,'Lookup Tables'!$H$11:$H$16,0),0)
  + IFERROR(_xlfn.XLOOKUP(BN152,'Lookup Tables'!$P$11:$P$15,'Lookup Tables'!$Q$11:$Q$15,0),0)
  + _xlfn.IFS(BM152="No Evidence",10, BM152="Unknown",3, BM152="Likely",0, BM152="Confirmed",-10, TRUE,3)
  + IFERROR(_xlfn.XLOOKUP(BP152,'Lookup Tables'!$J$21:$J$24,'Lookup Tables'!$K$21:$K$24,0),0)
))</f>
        <v>3</v>
      </c>
      <c r="BT152" s="5"/>
      <c r="BU152" s="5"/>
      <c r="BV152" s="5"/>
      <c r="BW152" s="5"/>
      <c r="BX152" s="5"/>
      <c r="BY152" s="5"/>
      <c r="BZ152" s="5"/>
      <c r="CA152" s="5"/>
      <c r="CB152" s="5"/>
      <c r="CC152" s="5"/>
      <c r="CD152" s="5"/>
      <c r="CE152" s="43">
        <f t="array" ref="CE152">MIN(100, MAX(0,
  IF(ISNUMBER(BV152)*AND(BV152&gt;0), 10, 0)
  + _xlfn.IFS(BY152="Independently Verified",25, BY152="Yes",15, TRUE,0)
  + IFERROR(_xlfn.XLOOKUP(BZ152,'Lookup Tables'!$A$21:$A$24,'Lookup Tables'!$B$21:$B$24,0),0)
  + IFERROR(_xlfn.XLOOKUP(CA152,'Lookup Tables'!$D$21:$D$24,'Lookup Tables'!$E$21:$E$24,0),0)
  + _xlfn.IFS(ISNUMBER(CB152)*AND(CB152&gt;=11),15, ISNUMBER(CB152)*AND(CB152&gt;=6),10, ISNUMBER(CB152)*AND(CB152&gt;=1),5, TRUE,0)
  + IFERROR(_xlfn.XLOOKUP(CC152,'Lookup Tables'!$G$21:$G$25,'Lookup Tables'!$H$21:$H$25,0),0)
  - IF(ISNUMBER(BW152)*AND(ISNUMBER(BV152))*AND(BW152&gt;BV152), 20, 0)
  - IF(AND(BY152="Yes", ISNUMBER(BW152), BW152&gt;60), 10, 0)
))</f>
        <v>0</v>
      </c>
      <c r="CF152" s="5"/>
      <c r="CG152" s="5"/>
      <c r="CH152" s="5"/>
      <c r="CI152" s="5"/>
      <c r="CJ152" s="5"/>
      <c r="CK152" s="5"/>
      <c r="CL152" s="5"/>
      <c r="CM152" s="5"/>
      <c r="CN152" s="5"/>
      <c r="CO152" s="5"/>
      <c r="CP152" s="5"/>
      <c r="CQ152" s="5"/>
      <c r="CR152" s="5">
        <f t="shared" si="90"/>
        <v>0</v>
      </c>
      <c r="CS152" s="5">
        <f t="shared" si="91"/>
        <v>0</v>
      </c>
      <c r="CT152" s="5">
        <f t="shared" si="92"/>
        <v>0</v>
      </c>
      <c r="CU152" s="5">
        <f>MIN(100,
  CR152*15
  + CS152*6
  + CT152*3
  + IFERROR(_xlfn.XLOOKUP(CW152,'Lookup Tables'!$M$21:$M$25,'Lookup Tables'!$N$21:$N$25,0),0)
)</f>
        <v>0</v>
      </c>
      <c r="CV152" s="5" t="str">
        <f t="shared" si="93"/>
        <v>No failures</v>
      </c>
      <c r="CW152" s="5"/>
      <c r="CX152" s="5"/>
      <c r="CY152" s="5"/>
      <c r="CZ152" s="5"/>
      <c r="DA152" s="5" t="str">
        <f t="shared" si="94"/>
        <v>Yes</v>
      </c>
      <c r="DB152" s="5" t="str">
        <f t="shared" si="95"/>
        <v>No</v>
      </c>
      <c r="DC152" s="5"/>
      <c r="DD152" s="5"/>
      <c r="DE152" s="5"/>
      <c r="DF152" s="5"/>
      <c r="DG152" s="5"/>
      <c r="DH152" s="5"/>
      <c r="DI152" s="5"/>
      <c r="DJ152" s="5"/>
      <c r="DK152" s="5"/>
      <c r="DL152" s="5" t="str">
        <f t="shared" si="96"/>
        <v>Clear</v>
      </c>
      <c r="DM152" s="5" t="str">
        <f t="shared" si="97"/>
        <v>Yes</v>
      </c>
      <c r="DN152" s="5">
        <f t="array" ref="DN152">MIN(100,
  IF(ISNUMBER(V152), _xlfn.IFS(V152&gt;=3,25, V152=2,15, V152=1,5, TRUE,0), 0)
  + IFERROR(_xlfn.IFS(VALUE(LEFT(DF152,1))=5,25, VALUE(LEFT(DF152,1))=4,20, VALUE(LEFT(DF152,1))=3,15, VALUE(LEFT(DF152,1))=2,8, TRUE,0), 15)
  + IFERROR(_xlfn.IFS(VALUE(LEFT(DG152,1))=5,25, VALUE(LEFT(DG152,1))=4,20, VALUE(LEFT(DG152,1))=3,15, VALUE(LEFT(DG152,1))=2,8, TRUE,0), 15)
  + _xlfn.IFS(DH152="Fully Verified",25, DH152="Partially Verified",12, TRUE,0)
)</f>
        <v>30</v>
      </c>
      <c r="DO152" s="5" t="str">
        <f t="array" ref="DO152">_xlfn.IFS(
  ISBLANK(AR152), "Insufficient Evidence",
  AND(AR152&gt;=65, AJ152="Approved"), "Strong",
  AR152&gt;=65, "Adequate",
  AR152&gt;=40, "Adequate",
  AR152&gt;=20, "Weak",
  TRUE, "Insufficient Evidence"
)</f>
        <v>Insufficient Evidence</v>
      </c>
      <c r="DP152" s="5" t="str">
        <f t="array" ref="DP152">_xlfn.IFS(
  ISBLANK(BS152), "Insufficient Evidence",
  BS152&gt;=65, "Strong",
  BS152&gt;=40, "Adequate",
  BS152&gt;=20, "Weak",
  TRUE, "Insufficient Evidence"
)</f>
        <v>Insufficient Evidence</v>
      </c>
      <c r="DQ152" s="5" t="str">
        <f t="array" ref="DQ152">_xlfn.IFS(
  ISBLANK(BE152), "Insufficient Evidence",
  OR(AW152="Confirmed Violation", AX152="Confirmed Breach"), "Severe — Hard Trigger",
  BE152&gt;=65, "Strong",
  BE152&gt;=40, "Adequate",
  BE152&gt;=20, "Weak",
  TRUE, "Insufficient Evidence"
)</f>
        <v>Insufficient Evidence</v>
      </c>
      <c r="DR152" s="5" t="str">
        <f t="array" ref="DR152">_xlfn.IFS(
  ISBLANK(CU152), "Insufficient Evidence",
  CU152&lt;=20, "Low Risk",
  CU152&lt;=50, "Moderate Risk",
  CU152&lt;=75, "High Risk",
  TRUE, "Very High Risk"
)</f>
        <v>Low Risk</v>
      </c>
      <c r="DS152" s="5" t="str">
        <f t="array" ref="DS152">_xlfn.IFS(
  ISBLANK(CE152), "Insufficient Evidence",
  AND(ISNUMBER(BW152),ISNUMBER(BV152),BW152&gt;BV152), "Overclaiming Risk",
  CE152&gt;=65, "Strong",
  CE152&gt;=40, "Adequate",
  TRUE, "Weak"
)</f>
        <v>Weak</v>
      </c>
      <c r="DT152" s="5">
        <f t="shared" si="98"/>
        <v>11.7</v>
      </c>
      <c r="DU152" s="5" t="str">
        <f t="array" ref="DU152">_xlfn.IFS(
  DV152="Upgraded to Clear", "Clear",
  DV152="Downgraded to Watchlist", "Watchlist",
  DV152="Downgraded to Exclusion", "Exclusion Risk",
  DB152="Yes — Automatic", "Exclusion Risk",
  OR(AW152="Confirmed Violation", AX152="Confirmed Breach"), "Exclusion Risk",
  OR(V152=0, ISBLANK(V152), DN152&lt;20), "Insufficient Evidence",
  AND(DT152&gt;=65, DA152="No", DB152="No"), "Clear",
  OR(DT152&gt;=40, DA152="Yes"), "Watchlist",
  TRUE, "Exclusion Risk"
)</f>
        <v>Insufficient Evidence</v>
      </c>
      <c r="DV152" s="5"/>
      <c r="DW152" s="5" t="str">
        <f t="array" ref="DW152">_xlfn.IFS(
  DU152="Exclusion Risk", "Exclude — Hard Trigger",
  DU152="Insufficient Evidence", "Watchlist — Further Evidence Needed",
  DU152="Watchlist", "Watchlist — Further Evidence Needed",
  AND(DU152="Clear", DT152&gt;=80), "Include — No Conditions",
  DU152="Clear", "Include — Monitor",
  TRUE, "Watchlist — Further Evidence Needed"
)</f>
        <v>Watchlist — Further Evidence Needed</v>
      </c>
      <c r="DX152" s="5"/>
      <c r="DY152" s="5"/>
      <c r="DZ152" s="5"/>
      <c r="EA152" s="5"/>
      <c r="EB152" s="5" t="str">
        <f t="shared" si="99"/>
        <v>MISSING — No sources reviewed</v>
      </c>
      <c r="EC152" s="5" t="str">
        <f t="shared" si="100"/>
        <v/>
      </c>
    </row>
    <row r="153" spans="1:133" ht="18" customHeight="1" x14ac:dyDescent="0.15">
      <c r="A153" s="5" t="s">
        <v>809</v>
      </c>
      <c r="B153" s="5" t="s">
        <v>810</v>
      </c>
      <c r="C153" s="5" t="str">
        <f>IF(ISBLANK('Universe Tracker'!D128),"",'Universe Tracker'!D128)</f>
        <v>PLSOFTB00016</v>
      </c>
      <c r="D153" s="5"/>
      <c r="E153" s="5"/>
      <c r="F153" s="5" t="str">
        <f>IF(ISBLANK('Universe Tracker'!F128),"",'Universe Tracker'!F128)</f>
        <v>Technology</v>
      </c>
      <c r="G153" s="5" t="str">
        <f>IF(ISBLANK('Universe Tracker'!G128),"",'Universe Tracker'!G128)</f>
        <v>Software &amp; Tech Services</v>
      </c>
      <c r="H153" s="5"/>
      <c r="I153" s="5"/>
      <c r="J153" s="5" t="str">
        <f t="shared" si="88"/>
        <v>SFB1_PLSOFTB00016</v>
      </c>
      <c r="K153" s="5"/>
      <c r="L153" s="5"/>
      <c r="M153" s="5"/>
      <c r="N153" s="5"/>
      <c r="O153" s="5"/>
      <c r="P153" s="5"/>
      <c r="Q153" s="5"/>
      <c r="R153" s="5"/>
      <c r="S153" s="5"/>
      <c r="T153" s="5"/>
      <c r="U153" s="5"/>
      <c r="V153" s="5"/>
      <c r="W153" s="5"/>
      <c r="X153" s="5"/>
      <c r="Y153" s="5" t="str">
        <f t="shared" si="89"/>
        <v>Insufficient</v>
      </c>
      <c r="Z153" s="5"/>
      <c r="AA153" s="5"/>
      <c r="AB153" s="5"/>
      <c r="AC153" s="5"/>
      <c r="AD153" s="5"/>
      <c r="AE153" s="5"/>
      <c r="AF153" s="5"/>
      <c r="AG153" s="5"/>
      <c r="AH153" s="5"/>
      <c r="AI153" s="5"/>
      <c r="AJ153" s="5"/>
      <c r="AK153" s="5"/>
      <c r="AL153" s="5"/>
      <c r="AM153" s="5"/>
      <c r="AN153" s="5"/>
      <c r="AO153" s="5"/>
      <c r="AP153" s="5"/>
      <c r="AQ153" s="5"/>
      <c r="AR153" s="40">
        <f t="array" ref="AR153">MIN(100, MAX(0,
  IFERROR(_xlfn.XLOOKUP(AJ153,'Lookup Tables'!$A$2:$A$7,'Lookup Tables'!$B$2:$B$7,0),0)
  + IF(Z153="Yes", IF(IFERROR(_xlfn.XLOOKUP(AJ153,'Lookup Tables'!$A$2:$A$7,'Lookup Tables'!$B$2:$B$7,0),0)&lt;20, 5, 0), 0)
  + _xlfn.IFS(AB153="Yes", IF(ISNUMBER(AC153)*AND(AC153&lt;=2030),15,10), AB153="Long-term Only", 5, AB153="No", 0, TRUE, 0)
  + _xlfn.IFS(AF153="Full",10, AF153="Partial",5, AF153="Scope 2 Only",3, TRUE,0)
  + _xlfn.IFS(AG153="Yes", IF(ISNUMBER(AH153)*AND(AH153&gt;=5),10,6), AG153="Partial",4, TRUE,0)
  + _xlfn.IFS(AI153="Yes",5, AI153="Partial (material categories only)",3, TRUE,0)
  + _xlfn.IFS(AL153="Yes — Detailed",10, AL153="Yes — High Level",5, TRUE,0)
  + _xlfn.IFS(AM153="Yes — Quantified",15, AM153="Yes — Directional Only",7, TRUE,0)
  + _xlfn.IFS(AP153="Formal",5, AP153="Referenced",2, TRUE,0)
  + _xlfn.IFS(AQ153="No Issues Found",5, AQ153="Concern Identified",-5, AQ153="Severe Contradiction",-15, TRUE,0)
  + _xlfn.IFS(BC153="Reasonable Assurance",5, BC153="Limited Assurance",3, TRUE,0)
  - IF(AND(Z153="Yes", AI153="No"), 10, 0)
  - IF(AND(Z153="Yes", AM153="No"), 10, 0)
))</f>
        <v>0</v>
      </c>
      <c r="AS153" s="5"/>
      <c r="AT153" s="5"/>
      <c r="AU153" s="5"/>
      <c r="AV153" s="5"/>
      <c r="AW153" s="5"/>
      <c r="AX153" s="5"/>
      <c r="AY153" s="5"/>
      <c r="AZ153" s="5"/>
      <c r="BA153" s="5"/>
      <c r="BB153" s="5"/>
      <c r="BC153" s="5"/>
      <c r="BD153" s="5"/>
      <c r="BE153" s="39">
        <f t="array" ref="BE153">MIN(100, MAX(0,
  IFERROR(_xlfn.XLOOKUP(AT153,'Lookup Tables'!$D$2:$D$6,'Lookup Tables'!$E$2:$E$6,0),0)
  + IFERROR(_xlfn.XLOOKUP(AV153,'Lookup Tables'!$G$2:$G$5,'Lookup Tables'!$H$2:$H$5,0),0)
  + IFERROR(_xlfn.XLOOKUP(AW153,'Lookup Tables'!$J$2:$J$5,'Lookup Tables'!$K$2:$K$5,0),0)
  + _xlfn.IFS(AX153="No Issues",10, AX153="Complaint Filed",3, AX153="Confirmed Breach",-15, TRUE,0)
  + IFERROR(_xlfn.XLOOKUP(AY153,'Lookup Tables'!$M$2:$M$6,'Lookup Tables'!$N$2:$N$6,0),0)
  + IFERROR(_xlfn.XLOOKUP(AZ153,'Lookup Tables'!$P$2:$P$6,'Lookup Tables'!$Q$2:$Q$6,0),0)
  + _xlfn.IFS(BA153="Formal Board Committee",5, BA153="Board Oversight Mentioned",2, TRUE,0)
  + _xlfn.IFS(BB153="Yes — Quantified Targets",5, BB153="Yes — Discretionary Only",2, TRUE,0)
  + _xlfn.IFS(BC153="Reasonable Assurance",5, BC153="Limited Assurance",3, BC153="Management Review Only",1, TRUE,0)
))</f>
        <v>0</v>
      </c>
      <c r="BF153" s="5"/>
      <c r="BG153" s="5"/>
      <c r="BH153" s="5"/>
      <c r="BI153" s="5"/>
      <c r="BJ153" s="5"/>
      <c r="BK153" s="5"/>
      <c r="BL153" s="5"/>
      <c r="BM153" s="5"/>
      <c r="BN153" s="5"/>
      <c r="BO153" s="5"/>
      <c r="BP153" s="5"/>
      <c r="BQ153" s="5"/>
      <c r="BR153" s="5"/>
      <c r="BS153" s="41">
        <f t="array" ref="BS153">MIN(100, MAX(0,
  IFERROR(_xlfn.XLOOKUP(BG153,'Lookup Tables'!$A$11:$A$16,'Lookup Tables'!$B$11:$B$16,0),0)
  + IFERROR(_xlfn.XLOOKUP(BR153,'Lookup Tables'!$M$11:$M$14,'Lookup Tables'!$N$11:$N$14,0),0)
  + IFERROR(_xlfn.XLOOKUP(BQ153,'Lookup Tables'!$J$11:$J$15,'Lookup Tables'!$K$11:$K$15,0),0)
  + IFERROR(_xlfn.XLOOKUP(BH153,'Lookup Tables'!$D$11:$D$15,'Lookup Tables'!$E$11:$E$15,0),0)
  + IFERROR(_xlfn.XLOOKUP(BJ153,'Lookup Tables'!$G$11:$G$16,'Lookup Tables'!$H$11:$H$16,0),0)
  + IFERROR(_xlfn.XLOOKUP(BN153,'Lookup Tables'!$P$11:$P$15,'Lookup Tables'!$Q$11:$Q$15,0),0)
  + _xlfn.IFS(BM153="No Evidence",10, BM153="Unknown",3, BM153="Likely",0, BM153="Confirmed",-10, TRUE,3)
  + IFERROR(_xlfn.XLOOKUP(BP153,'Lookup Tables'!$J$21:$J$24,'Lookup Tables'!$K$21:$K$24,0),0)
))</f>
        <v>3</v>
      </c>
      <c r="BT153" s="5"/>
      <c r="BU153" s="5"/>
      <c r="BV153" s="5"/>
      <c r="BW153" s="5"/>
      <c r="BX153" s="5"/>
      <c r="BY153" s="5"/>
      <c r="BZ153" s="5"/>
      <c r="CA153" s="5"/>
      <c r="CB153" s="5"/>
      <c r="CC153" s="5"/>
      <c r="CD153" s="5"/>
      <c r="CE153" s="43">
        <f t="array" ref="CE153">MIN(100, MAX(0,
  IF(ISNUMBER(BV153)*AND(BV153&gt;0), 10, 0)
  + _xlfn.IFS(BY153="Independently Verified",25, BY153="Yes",15, TRUE,0)
  + IFERROR(_xlfn.XLOOKUP(BZ153,'Lookup Tables'!$A$21:$A$24,'Lookup Tables'!$B$21:$B$24,0),0)
  + IFERROR(_xlfn.XLOOKUP(CA153,'Lookup Tables'!$D$21:$D$24,'Lookup Tables'!$E$21:$E$24,0),0)
  + _xlfn.IFS(ISNUMBER(CB153)*AND(CB153&gt;=11),15, ISNUMBER(CB153)*AND(CB153&gt;=6),10, ISNUMBER(CB153)*AND(CB153&gt;=1),5, TRUE,0)
  + IFERROR(_xlfn.XLOOKUP(CC153,'Lookup Tables'!$G$21:$G$25,'Lookup Tables'!$H$21:$H$25,0),0)
  - IF(ISNUMBER(BW153)*AND(ISNUMBER(BV153))*AND(BW153&gt;BV153), 20, 0)
  - IF(AND(BY153="Yes", ISNUMBER(BW153), BW153&gt;60), 10, 0)
))</f>
        <v>0</v>
      </c>
      <c r="CF153" s="5"/>
      <c r="CG153" s="5"/>
      <c r="CH153" s="5"/>
      <c r="CI153" s="5"/>
      <c r="CJ153" s="5"/>
      <c r="CK153" s="5"/>
      <c r="CL153" s="5"/>
      <c r="CM153" s="5"/>
      <c r="CN153" s="5"/>
      <c r="CO153" s="5"/>
      <c r="CP153" s="5"/>
      <c r="CQ153" s="5"/>
      <c r="CR153" s="5">
        <f t="shared" si="90"/>
        <v>0</v>
      </c>
      <c r="CS153" s="5">
        <f t="shared" si="91"/>
        <v>0</v>
      </c>
      <c r="CT153" s="5">
        <f t="shared" si="92"/>
        <v>0</v>
      </c>
      <c r="CU153" s="5">
        <f>MIN(100,
  CR153*15
  + CS153*6
  + CT153*3
  + IFERROR(_xlfn.XLOOKUP(CW153,'Lookup Tables'!$M$21:$M$25,'Lookup Tables'!$N$21:$N$25,0),0)
)</f>
        <v>0</v>
      </c>
      <c r="CV153" s="5" t="str">
        <f t="shared" si="93"/>
        <v>No failures</v>
      </c>
      <c r="CW153" s="5"/>
      <c r="CX153" s="5"/>
      <c r="CY153" s="5"/>
      <c r="CZ153" s="5"/>
      <c r="DA153" s="5" t="str">
        <f t="shared" si="94"/>
        <v>Yes</v>
      </c>
      <c r="DB153" s="5" t="str">
        <f t="shared" si="95"/>
        <v>No</v>
      </c>
      <c r="DC153" s="5"/>
      <c r="DD153" s="5"/>
      <c r="DE153" s="5"/>
      <c r="DF153" s="5"/>
      <c r="DG153" s="5"/>
      <c r="DH153" s="5"/>
      <c r="DI153" s="5"/>
      <c r="DJ153" s="5"/>
      <c r="DK153" s="5"/>
      <c r="DL153" s="5" t="str">
        <f t="shared" si="96"/>
        <v>Clear</v>
      </c>
      <c r="DM153" s="5" t="str">
        <f t="shared" si="97"/>
        <v>Yes</v>
      </c>
      <c r="DN153" s="5">
        <f t="array" ref="DN153">MIN(100,
  IF(ISNUMBER(V153), _xlfn.IFS(V153&gt;=3,25, V153=2,15, V153=1,5, TRUE,0), 0)
  + IFERROR(_xlfn.IFS(VALUE(LEFT(DF153,1))=5,25, VALUE(LEFT(DF153,1))=4,20, VALUE(LEFT(DF153,1))=3,15, VALUE(LEFT(DF153,1))=2,8, TRUE,0), 15)
  + IFERROR(_xlfn.IFS(VALUE(LEFT(DG153,1))=5,25, VALUE(LEFT(DG153,1))=4,20, VALUE(LEFT(DG153,1))=3,15, VALUE(LEFT(DG153,1))=2,8, TRUE,0), 15)
  + _xlfn.IFS(DH153="Fully Verified",25, DH153="Partially Verified",12, TRUE,0)
)</f>
        <v>30</v>
      </c>
      <c r="DO153" s="5" t="str">
        <f t="array" ref="DO153">_xlfn.IFS(
  ISBLANK(AR153), "Insufficient Evidence",
  AND(AR153&gt;=65, AJ153="Approved"), "Strong",
  AR153&gt;=65, "Adequate",
  AR153&gt;=40, "Adequate",
  AR153&gt;=20, "Weak",
  TRUE, "Insufficient Evidence"
)</f>
        <v>Insufficient Evidence</v>
      </c>
      <c r="DP153" s="5" t="str">
        <f t="array" ref="DP153">_xlfn.IFS(
  ISBLANK(BS153), "Insufficient Evidence",
  BS153&gt;=65, "Strong",
  BS153&gt;=40, "Adequate",
  BS153&gt;=20, "Weak",
  TRUE, "Insufficient Evidence"
)</f>
        <v>Insufficient Evidence</v>
      </c>
      <c r="DQ153" s="5" t="str">
        <f t="array" ref="DQ153">_xlfn.IFS(
  ISBLANK(BE153), "Insufficient Evidence",
  OR(AW153="Confirmed Violation", AX153="Confirmed Breach"), "Severe — Hard Trigger",
  BE153&gt;=65, "Strong",
  BE153&gt;=40, "Adequate",
  BE153&gt;=20, "Weak",
  TRUE, "Insufficient Evidence"
)</f>
        <v>Insufficient Evidence</v>
      </c>
      <c r="DR153" s="5" t="str">
        <f t="array" ref="DR153">_xlfn.IFS(
  ISBLANK(CU153), "Insufficient Evidence",
  CU153&lt;=20, "Low Risk",
  CU153&lt;=50, "Moderate Risk",
  CU153&lt;=75, "High Risk",
  TRUE, "Very High Risk"
)</f>
        <v>Low Risk</v>
      </c>
      <c r="DS153" s="5" t="str">
        <f t="array" ref="DS153">_xlfn.IFS(
  ISBLANK(CE153), "Insufficient Evidence",
  AND(ISNUMBER(BW153),ISNUMBER(BV153),BW153&gt;BV153), "Overclaiming Risk",
  CE153&gt;=65, "Strong",
  CE153&gt;=40, "Adequate",
  TRUE, "Weak"
)</f>
        <v>Weak</v>
      </c>
      <c r="DT153" s="5">
        <f t="shared" si="98"/>
        <v>11.7</v>
      </c>
      <c r="DU153" s="5" t="str">
        <f t="array" ref="DU153">_xlfn.IFS(
  DV153="Upgraded to Clear", "Clear",
  DV153="Downgraded to Watchlist", "Watchlist",
  DV153="Downgraded to Exclusion", "Exclusion Risk",
  DB153="Yes — Automatic", "Exclusion Risk",
  OR(AW153="Confirmed Violation", AX153="Confirmed Breach"), "Exclusion Risk",
  OR(V153=0, ISBLANK(V153), DN153&lt;20), "Insufficient Evidence",
  AND(DT153&gt;=65, DA153="No", DB153="No"), "Clear",
  OR(DT153&gt;=40, DA153="Yes"), "Watchlist",
  TRUE, "Exclusion Risk"
)</f>
        <v>Insufficient Evidence</v>
      </c>
      <c r="DV153" s="5"/>
      <c r="DW153" s="5" t="str">
        <f t="array" ref="DW153">_xlfn.IFS(
  DU153="Exclusion Risk", "Exclude — Hard Trigger",
  DU153="Insufficient Evidence", "Watchlist — Further Evidence Needed",
  DU153="Watchlist", "Watchlist — Further Evidence Needed",
  AND(DU153="Clear", DT153&gt;=80), "Include — No Conditions",
  DU153="Clear", "Include — Monitor",
  TRUE, "Watchlist — Further Evidence Needed"
)</f>
        <v>Watchlist — Further Evidence Needed</v>
      </c>
      <c r="DX153" s="5"/>
      <c r="DY153" s="5"/>
      <c r="DZ153" s="5"/>
      <c r="EA153" s="5"/>
      <c r="EB153" s="5" t="str">
        <f t="shared" si="99"/>
        <v>MISSING — No sources reviewed</v>
      </c>
      <c r="EC153" s="5" t="str">
        <f t="shared" si="100"/>
        <v/>
      </c>
    </row>
    <row r="154" spans="1:133" ht="18" customHeight="1" x14ac:dyDescent="0.15">
      <c r="A154" s="5" t="s">
        <v>813</v>
      </c>
      <c r="B154" s="5" t="s">
        <v>814</v>
      </c>
      <c r="C154" s="5" t="str">
        <f>IF(ISBLANK('Universe Tracker'!D129),"",'Universe Tracker'!D129)</f>
        <v>NO0006000207</v>
      </c>
      <c r="D154" s="5"/>
      <c r="E154" s="5"/>
      <c r="F154" s="5" t="str">
        <f>IF(ISBLANK('Universe Tracker'!F129),"",'Universe Tracker'!F129)</f>
        <v>Financials</v>
      </c>
      <c r="G154" s="5" t="str">
        <f>IF(ISBLANK('Universe Tracker'!G129),"",'Universe Tracker'!G129)</f>
        <v>Banking</v>
      </c>
      <c r="H154" s="5"/>
      <c r="I154" s="5"/>
      <c r="J154" s="5" t="str">
        <f t="shared" si="88"/>
        <v>EZ4_NO0006000207</v>
      </c>
      <c r="K154" s="5"/>
      <c r="L154" s="5"/>
      <c r="M154" s="5"/>
      <c r="N154" s="5"/>
      <c r="O154" s="5"/>
      <c r="P154" s="5"/>
      <c r="Q154" s="5"/>
      <c r="R154" s="5"/>
      <c r="S154" s="5"/>
      <c r="T154" s="5"/>
      <c r="U154" s="5"/>
      <c r="V154" s="5"/>
      <c r="W154" s="5"/>
      <c r="X154" s="5"/>
      <c r="Y154" s="5" t="str">
        <f t="shared" si="89"/>
        <v>Insufficient</v>
      </c>
      <c r="Z154" s="5"/>
      <c r="AA154" s="5"/>
      <c r="AB154" s="5"/>
      <c r="AC154" s="5"/>
      <c r="AD154" s="5"/>
      <c r="AE154" s="5"/>
      <c r="AF154" s="5"/>
      <c r="AG154" s="5"/>
      <c r="AH154" s="5"/>
      <c r="AI154" s="5"/>
      <c r="AJ154" s="5"/>
      <c r="AK154" s="5"/>
      <c r="AL154" s="5"/>
      <c r="AM154" s="5"/>
      <c r="AN154" s="5"/>
      <c r="AO154" s="5"/>
      <c r="AP154" s="5"/>
      <c r="AQ154" s="5"/>
      <c r="AR154" s="40">
        <f t="array" ref="AR154">MIN(100, MAX(0,
  IFERROR(_xlfn.XLOOKUP(AJ154,'Lookup Tables'!$A$2:$A$7,'Lookup Tables'!$B$2:$B$7,0),0)
  + IF(Z154="Yes", IF(IFERROR(_xlfn.XLOOKUP(AJ154,'Lookup Tables'!$A$2:$A$7,'Lookup Tables'!$B$2:$B$7,0),0)&lt;20, 5, 0), 0)
  + _xlfn.IFS(AB154="Yes", IF(ISNUMBER(AC154)*AND(AC154&lt;=2030),15,10), AB154="Long-term Only", 5, AB154="No", 0, TRUE, 0)
  + _xlfn.IFS(AF154="Full",10, AF154="Partial",5, AF154="Scope 2 Only",3, TRUE,0)
  + _xlfn.IFS(AG154="Yes", IF(ISNUMBER(AH154)*AND(AH154&gt;=5),10,6), AG154="Partial",4, TRUE,0)
  + _xlfn.IFS(AI154="Yes",5, AI154="Partial (material categories only)",3, TRUE,0)
  + _xlfn.IFS(AL154="Yes — Detailed",10, AL154="Yes — High Level",5, TRUE,0)
  + _xlfn.IFS(AM154="Yes — Quantified",15, AM154="Yes — Directional Only",7, TRUE,0)
  + _xlfn.IFS(AP154="Formal",5, AP154="Referenced",2, TRUE,0)
  + _xlfn.IFS(AQ154="No Issues Found",5, AQ154="Concern Identified",-5, AQ154="Severe Contradiction",-15, TRUE,0)
  + _xlfn.IFS(BC154="Reasonable Assurance",5, BC154="Limited Assurance",3, TRUE,0)
  - IF(AND(Z154="Yes", AI154="No"), 10, 0)
  - IF(AND(Z154="Yes", AM154="No"), 10, 0)
))</f>
        <v>0</v>
      </c>
      <c r="AS154" s="5"/>
      <c r="AT154" s="5"/>
      <c r="AU154" s="5"/>
      <c r="AV154" s="5"/>
      <c r="AW154" s="5"/>
      <c r="AX154" s="5"/>
      <c r="AY154" s="5"/>
      <c r="AZ154" s="5"/>
      <c r="BA154" s="5"/>
      <c r="BB154" s="5"/>
      <c r="BC154" s="5"/>
      <c r="BD154" s="5"/>
      <c r="BE154" s="39">
        <f t="array" ref="BE154">MIN(100, MAX(0,
  IFERROR(_xlfn.XLOOKUP(AT154,'Lookup Tables'!$D$2:$D$6,'Lookup Tables'!$E$2:$E$6,0),0)
  + IFERROR(_xlfn.XLOOKUP(AV154,'Lookup Tables'!$G$2:$G$5,'Lookup Tables'!$H$2:$H$5,0),0)
  + IFERROR(_xlfn.XLOOKUP(AW154,'Lookup Tables'!$J$2:$J$5,'Lookup Tables'!$K$2:$K$5,0),0)
  + _xlfn.IFS(AX154="No Issues",10, AX154="Complaint Filed",3, AX154="Confirmed Breach",-15, TRUE,0)
  + IFERROR(_xlfn.XLOOKUP(AY154,'Lookup Tables'!$M$2:$M$6,'Lookup Tables'!$N$2:$N$6,0),0)
  + IFERROR(_xlfn.XLOOKUP(AZ154,'Lookup Tables'!$P$2:$P$6,'Lookup Tables'!$Q$2:$Q$6,0),0)
  + _xlfn.IFS(BA154="Formal Board Committee",5, BA154="Board Oversight Mentioned",2, TRUE,0)
  + _xlfn.IFS(BB154="Yes — Quantified Targets",5, BB154="Yes — Discretionary Only",2, TRUE,0)
  + _xlfn.IFS(BC154="Reasonable Assurance",5, BC154="Limited Assurance",3, BC154="Management Review Only",1, TRUE,0)
))</f>
        <v>0</v>
      </c>
      <c r="BF154" s="5"/>
      <c r="BG154" s="5"/>
      <c r="BH154" s="5"/>
      <c r="BI154" s="5"/>
      <c r="BJ154" s="5"/>
      <c r="BK154" s="5"/>
      <c r="BL154" s="5"/>
      <c r="BM154" s="5"/>
      <c r="BN154" s="5"/>
      <c r="BO154" s="5"/>
      <c r="BP154" s="5"/>
      <c r="BQ154" s="5"/>
      <c r="BR154" s="5"/>
      <c r="BS154" s="41">
        <f t="array" ref="BS154">MIN(100, MAX(0,
  IFERROR(_xlfn.XLOOKUP(BG154,'Lookup Tables'!$A$11:$A$16,'Lookup Tables'!$B$11:$B$16,0),0)
  + IFERROR(_xlfn.XLOOKUP(BR154,'Lookup Tables'!$M$11:$M$14,'Lookup Tables'!$N$11:$N$14,0),0)
  + IFERROR(_xlfn.XLOOKUP(BQ154,'Lookup Tables'!$J$11:$J$15,'Lookup Tables'!$K$11:$K$15,0),0)
  + IFERROR(_xlfn.XLOOKUP(BH154,'Lookup Tables'!$D$11:$D$15,'Lookup Tables'!$E$11:$E$15,0),0)
  + IFERROR(_xlfn.XLOOKUP(BJ154,'Lookup Tables'!$G$11:$G$16,'Lookup Tables'!$H$11:$H$16,0),0)
  + IFERROR(_xlfn.XLOOKUP(BN154,'Lookup Tables'!$P$11:$P$15,'Lookup Tables'!$Q$11:$Q$15,0),0)
  + _xlfn.IFS(BM154="No Evidence",10, BM154="Unknown",3, BM154="Likely",0, BM154="Confirmed",-10, TRUE,3)
  + IFERROR(_xlfn.XLOOKUP(BP154,'Lookup Tables'!$J$21:$J$24,'Lookup Tables'!$K$21:$K$24,0),0)
))</f>
        <v>3</v>
      </c>
      <c r="BT154" s="5"/>
      <c r="BU154" s="5"/>
      <c r="BV154" s="5"/>
      <c r="BW154" s="5"/>
      <c r="BX154" s="5"/>
      <c r="BY154" s="5"/>
      <c r="BZ154" s="5"/>
      <c r="CA154" s="5"/>
      <c r="CB154" s="5"/>
      <c r="CC154" s="5"/>
      <c r="CD154" s="5"/>
      <c r="CE154" s="43">
        <f t="array" ref="CE154">MIN(100, MAX(0,
  IF(ISNUMBER(BV154)*AND(BV154&gt;0), 10, 0)
  + _xlfn.IFS(BY154="Independently Verified",25, BY154="Yes",15, TRUE,0)
  + IFERROR(_xlfn.XLOOKUP(BZ154,'Lookup Tables'!$A$21:$A$24,'Lookup Tables'!$B$21:$B$24,0),0)
  + IFERROR(_xlfn.XLOOKUP(CA154,'Lookup Tables'!$D$21:$D$24,'Lookup Tables'!$E$21:$E$24,0),0)
  + _xlfn.IFS(ISNUMBER(CB154)*AND(CB154&gt;=11),15, ISNUMBER(CB154)*AND(CB154&gt;=6),10, ISNUMBER(CB154)*AND(CB154&gt;=1),5, TRUE,0)
  + IFERROR(_xlfn.XLOOKUP(CC154,'Lookup Tables'!$G$21:$G$25,'Lookup Tables'!$H$21:$H$25,0),0)
  - IF(ISNUMBER(BW154)*AND(ISNUMBER(BV154))*AND(BW154&gt;BV154), 20, 0)
  - IF(AND(BY154="Yes", ISNUMBER(BW154), BW154&gt;60), 10, 0)
))</f>
        <v>0</v>
      </c>
      <c r="CF154" s="5"/>
      <c r="CG154" s="5"/>
      <c r="CH154" s="5"/>
      <c r="CI154" s="5"/>
      <c r="CJ154" s="5"/>
      <c r="CK154" s="5"/>
      <c r="CL154" s="5"/>
      <c r="CM154" s="5"/>
      <c r="CN154" s="5"/>
      <c r="CO154" s="5"/>
      <c r="CP154" s="5"/>
      <c r="CQ154" s="5"/>
      <c r="CR154" s="5">
        <f t="shared" si="90"/>
        <v>0</v>
      </c>
      <c r="CS154" s="5">
        <f t="shared" si="91"/>
        <v>0</v>
      </c>
      <c r="CT154" s="5">
        <f t="shared" si="92"/>
        <v>0</v>
      </c>
      <c r="CU154" s="5">
        <f>MIN(100,
  CR154*15
  + CS154*6
  + CT154*3
  + IFERROR(_xlfn.XLOOKUP(CW154,'Lookup Tables'!$M$21:$M$25,'Lookup Tables'!$N$21:$N$25,0),0)
)</f>
        <v>0</v>
      </c>
      <c r="CV154" s="5" t="str">
        <f t="shared" si="93"/>
        <v>No failures</v>
      </c>
      <c r="CW154" s="5"/>
      <c r="CX154" s="5"/>
      <c r="CY154" s="5"/>
      <c r="CZ154" s="5"/>
      <c r="DA154" s="5" t="str">
        <f t="shared" si="94"/>
        <v>Yes</v>
      </c>
      <c r="DB154" s="5" t="str">
        <f t="shared" si="95"/>
        <v>No</v>
      </c>
      <c r="DC154" s="5"/>
      <c r="DD154" s="5"/>
      <c r="DE154" s="5"/>
      <c r="DF154" s="5"/>
      <c r="DG154" s="5"/>
      <c r="DH154" s="5"/>
      <c r="DI154" s="5"/>
      <c r="DJ154" s="5"/>
      <c r="DK154" s="5"/>
      <c r="DL154" s="5" t="str">
        <f t="shared" si="96"/>
        <v>Clear</v>
      </c>
      <c r="DM154" s="5" t="str">
        <f t="shared" si="97"/>
        <v>Yes</v>
      </c>
      <c r="DN154" s="5">
        <f t="array" ref="DN154">MIN(100,
  IF(ISNUMBER(V154), _xlfn.IFS(V154&gt;=3,25, V154=2,15, V154=1,5, TRUE,0), 0)
  + IFERROR(_xlfn.IFS(VALUE(LEFT(DF154,1))=5,25, VALUE(LEFT(DF154,1))=4,20, VALUE(LEFT(DF154,1))=3,15, VALUE(LEFT(DF154,1))=2,8, TRUE,0), 15)
  + IFERROR(_xlfn.IFS(VALUE(LEFT(DG154,1))=5,25, VALUE(LEFT(DG154,1))=4,20, VALUE(LEFT(DG154,1))=3,15, VALUE(LEFT(DG154,1))=2,8, TRUE,0), 15)
  + _xlfn.IFS(DH154="Fully Verified",25, DH154="Partially Verified",12, TRUE,0)
)</f>
        <v>30</v>
      </c>
      <c r="DO154" s="5" t="str">
        <f t="array" ref="DO154">_xlfn.IFS(
  ISBLANK(AR154), "Insufficient Evidence",
  AND(AR154&gt;=65, AJ154="Approved"), "Strong",
  AR154&gt;=65, "Adequate",
  AR154&gt;=40, "Adequate",
  AR154&gt;=20, "Weak",
  TRUE, "Insufficient Evidence"
)</f>
        <v>Insufficient Evidence</v>
      </c>
      <c r="DP154" s="5" t="str">
        <f t="array" ref="DP154">_xlfn.IFS(
  ISBLANK(BS154), "Insufficient Evidence",
  BS154&gt;=65, "Strong",
  BS154&gt;=40, "Adequate",
  BS154&gt;=20, "Weak",
  TRUE, "Insufficient Evidence"
)</f>
        <v>Insufficient Evidence</v>
      </c>
      <c r="DQ154" s="5" t="str">
        <f t="array" ref="DQ154">_xlfn.IFS(
  ISBLANK(BE154), "Insufficient Evidence",
  OR(AW154="Confirmed Violation", AX154="Confirmed Breach"), "Severe — Hard Trigger",
  BE154&gt;=65, "Strong",
  BE154&gt;=40, "Adequate",
  BE154&gt;=20, "Weak",
  TRUE, "Insufficient Evidence"
)</f>
        <v>Insufficient Evidence</v>
      </c>
      <c r="DR154" s="5" t="str">
        <f t="array" ref="DR154">_xlfn.IFS(
  ISBLANK(CU154), "Insufficient Evidence",
  CU154&lt;=20, "Low Risk",
  CU154&lt;=50, "Moderate Risk",
  CU154&lt;=75, "High Risk",
  TRUE, "Very High Risk"
)</f>
        <v>Low Risk</v>
      </c>
      <c r="DS154" s="5" t="str">
        <f t="array" ref="DS154">_xlfn.IFS(
  ISBLANK(CE154), "Insufficient Evidence",
  AND(ISNUMBER(BW154),ISNUMBER(BV154),BW154&gt;BV154), "Overclaiming Risk",
  CE154&gt;=65, "Strong",
  CE154&gt;=40, "Adequate",
  TRUE, "Weak"
)</f>
        <v>Weak</v>
      </c>
      <c r="DT154" s="5">
        <f t="shared" si="98"/>
        <v>11.7</v>
      </c>
      <c r="DU154" s="5" t="str">
        <f t="array" ref="DU154">_xlfn.IFS(
  DV154="Upgraded to Clear", "Clear",
  DV154="Downgraded to Watchlist", "Watchlist",
  DV154="Downgraded to Exclusion", "Exclusion Risk",
  DB154="Yes — Automatic", "Exclusion Risk",
  OR(AW154="Confirmed Violation", AX154="Confirmed Breach"), "Exclusion Risk",
  OR(V154=0, ISBLANK(V154), DN154&lt;20), "Insufficient Evidence",
  AND(DT154&gt;=65, DA154="No", DB154="No"), "Clear",
  OR(DT154&gt;=40, DA154="Yes"), "Watchlist",
  TRUE, "Exclusion Risk"
)</f>
        <v>Insufficient Evidence</v>
      </c>
      <c r="DV154" s="5"/>
      <c r="DW154" s="5" t="str">
        <f t="array" ref="DW154">_xlfn.IFS(
  DU154="Exclusion Risk", "Exclude — Hard Trigger",
  DU154="Insufficient Evidence", "Watchlist — Further Evidence Needed",
  DU154="Watchlist", "Watchlist — Further Evidence Needed",
  AND(DU154="Clear", DT154&gt;=80), "Include — No Conditions",
  DU154="Clear", "Include — Monitor",
  TRUE, "Watchlist — Further Evidence Needed"
)</f>
        <v>Watchlist — Further Evidence Needed</v>
      </c>
      <c r="DX154" s="5"/>
      <c r="DY154" s="5"/>
      <c r="DZ154" s="5"/>
      <c r="EA154" s="5"/>
      <c r="EB154" s="5" t="str">
        <f t="shared" si="99"/>
        <v>MISSING — No sources reviewed</v>
      </c>
      <c r="EC154" s="5" t="str">
        <f t="shared" si="100"/>
        <v/>
      </c>
    </row>
    <row r="155" spans="1:133" ht="18" customHeight="1" x14ac:dyDescent="0.15">
      <c r="A155" s="5" t="s">
        <v>817</v>
      </c>
      <c r="B155" s="5" t="s">
        <v>818</v>
      </c>
      <c r="C155" s="5" t="str">
        <f>IF(ISBLANK('Universe Tracker'!D130),"",'Universe Tracker'!D130)</f>
        <v>BE0003823409</v>
      </c>
      <c r="D155" s="5"/>
      <c r="E155" s="5"/>
      <c r="F155" s="5" t="str">
        <f>IF(ISBLANK('Universe Tracker'!F130),"",'Universe Tracker'!F130)</f>
        <v>Health Care</v>
      </c>
      <c r="G155" s="5" t="str">
        <f>IF(ISBLANK('Universe Tracker'!G130),"",'Universe Tracker'!G130)</f>
        <v>Health Care</v>
      </c>
      <c r="H155" s="5"/>
      <c r="I155" s="5"/>
      <c r="J155" s="5" t="str">
        <f t="shared" si="88"/>
        <v>FTD_BE0003823409</v>
      </c>
      <c r="K155" s="5"/>
      <c r="L155" s="5"/>
      <c r="M155" s="5"/>
      <c r="N155" s="5"/>
      <c r="O155" s="5"/>
      <c r="P155" s="5"/>
      <c r="Q155" s="5"/>
      <c r="R155" s="5"/>
      <c r="S155" s="5"/>
      <c r="T155" s="5"/>
      <c r="U155" s="5"/>
      <c r="V155" s="5"/>
      <c r="W155" s="5"/>
      <c r="X155" s="5"/>
      <c r="Y155" s="5" t="str">
        <f t="shared" si="89"/>
        <v>Insufficient</v>
      </c>
      <c r="Z155" s="5"/>
      <c r="AA155" s="5"/>
      <c r="AB155" s="5"/>
      <c r="AC155" s="5"/>
      <c r="AD155" s="5"/>
      <c r="AE155" s="5"/>
      <c r="AF155" s="5"/>
      <c r="AG155" s="5"/>
      <c r="AH155" s="5"/>
      <c r="AI155" s="5"/>
      <c r="AJ155" s="5"/>
      <c r="AK155" s="5"/>
      <c r="AL155" s="5"/>
      <c r="AM155" s="5"/>
      <c r="AN155" s="5"/>
      <c r="AO155" s="5"/>
      <c r="AP155" s="5"/>
      <c r="AQ155" s="5"/>
      <c r="AR155" s="40">
        <f t="array" ref="AR155">MIN(100, MAX(0,
  IFERROR(_xlfn.XLOOKUP(AJ155,'Lookup Tables'!$A$2:$A$7,'Lookup Tables'!$B$2:$B$7,0),0)
  + IF(Z155="Yes", IF(IFERROR(_xlfn.XLOOKUP(AJ155,'Lookup Tables'!$A$2:$A$7,'Lookup Tables'!$B$2:$B$7,0),0)&lt;20, 5, 0), 0)
  + _xlfn.IFS(AB155="Yes", IF(ISNUMBER(AC155)*AND(AC155&lt;=2030),15,10), AB155="Long-term Only", 5, AB155="No", 0, TRUE, 0)
  + _xlfn.IFS(AF155="Full",10, AF155="Partial",5, AF155="Scope 2 Only",3, TRUE,0)
  + _xlfn.IFS(AG155="Yes", IF(ISNUMBER(AH155)*AND(AH155&gt;=5),10,6), AG155="Partial",4, TRUE,0)
  + _xlfn.IFS(AI155="Yes",5, AI155="Partial (material categories only)",3, TRUE,0)
  + _xlfn.IFS(AL155="Yes — Detailed",10, AL155="Yes — High Level",5, TRUE,0)
  + _xlfn.IFS(AM155="Yes — Quantified",15, AM155="Yes — Directional Only",7, TRUE,0)
  + _xlfn.IFS(AP155="Formal",5, AP155="Referenced",2, TRUE,0)
  + _xlfn.IFS(AQ155="No Issues Found",5, AQ155="Concern Identified",-5, AQ155="Severe Contradiction",-15, TRUE,0)
  + _xlfn.IFS(BC155="Reasonable Assurance",5, BC155="Limited Assurance",3, TRUE,0)
  - IF(AND(Z155="Yes", AI155="No"), 10, 0)
  - IF(AND(Z155="Yes", AM155="No"), 10, 0)
))</f>
        <v>0</v>
      </c>
      <c r="AS155" s="5"/>
      <c r="AT155" s="5"/>
      <c r="AU155" s="5"/>
      <c r="AV155" s="5"/>
      <c r="AW155" s="5"/>
      <c r="AX155" s="5"/>
      <c r="AY155" s="5"/>
      <c r="AZ155" s="5"/>
      <c r="BA155" s="5"/>
      <c r="BB155" s="5"/>
      <c r="BC155" s="5"/>
      <c r="BD155" s="5"/>
      <c r="BE155" s="39">
        <f t="array" ref="BE155">MIN(100, MAX(0,
  IFERROR(_xlfn.XLOOKUP(AT155,'Lookup Tables'!$D$2:$D$6,'Lookup Tables'!$E$2:$E$6,0),0)
  + IFERROR(_xlfn.XLOOKUP(AV155,'Lookup Tables'!$G$2:$G$5,'Lookup Tables'!$H$2:$H$5,0),0)
  + IFERROR(_xlfn.XLOOKUP(AW155,'Lookup Tables'!$J$2:$J$5,'Lookup Tables'!$K$2:$K$5,0),0)
  + _xlfn.IFS(AX155="No Issues",10, AX155="Complaint Filed",3, AX155="Confirmed Breach",-15, TRUE,0)
  + IFERROR(_xlfn.XLOOKUP(AY155,'Lookup Tables'!$M$2:$M$6,'Lookup Tables'!$N$2:$N$6,0),0)
  + IFERROR(_xlfn.XLOOKUP(AZ155,'Lookup Tables'!$P$2:$P$6,'Lookup Tables'!$Q$2:$Q$6,0),0)
  + _xlfn.IFS(BA155="Formal Board Committee",5, BA155="Board Oversight Mentioned",2, TRUE,0)
  + _xlfn.IFS(BB155="Yes — Quantified Targets",5, BB155="Yes — Discretionary Only",2, TRUE,0)
  + _xlfn.IFS(BC155="Reasonable Assurance",5, BC155="Limited Assurance",3, BC155="Management Review Only",1, TRUE,0)
))</f>
        <v>0</v>
      </c>
      <c r="BF155" s="5"/>
      <c r="BG155" s="5"/>
      <c r="BH155" s="5"/>
      <c r="BI155" s="5"/>
      <c r="BJ155" s="5"/>
      <c r="BK155" s="5"/>
      <c r="BL155" s="5"/>
      <c r="BM155" s="5"/>
      <c r="BN155" s="5"/>
      <c r="BO155" s="5"/>
      <c r="BP155" s="5"/>
      <c r="BQ155" s="5"/>
      <c r="BR155" s="5"/>
      <c r="BS155" s="41">
        <f t="array" ref="BS155">MIN(100, MAX(0,
  IFERROR(_xlfn.XLOOKUP(BG155,'Lookup Tables'!$A$11:$A$16,'Lookup Tables'!$B$11:$B$16,0),0)
  + IFERROR(_xlfn.XLOOKUP(BR155,'Lookup Tables'!$M$11:$M$14,'Lookup Tables'!$N$11:$N$14,0),0)
  + IFERROR(_xlfn.XLOOKUP(BQ155,'Lookup Tables'!$J$11:$J$15,'Lookup Tables'!$K$11:$K$15,0),0)
  + IFERROR(_xlfn.XLOOKUP(BH155,'Lookup Tables'!$D$11:$D$15,'Lookup Tables'!$E$11:$E$15,0),0)
  + IFERROR(_xlfn.XLOOKUP(BJ155,'Lookup Tables'!$G$11:$G$16,'Lookup Tables'!$H$11:$H$16,0),0)
  + IFERROR(_xlfn.XLOOKUP(BN155,'Lookup Tables'!$P$11:$P$15,'Lookup Tables'!$Q$11:$Q$15,0),0)
  + _xlfn.IFS(BM155="No Evidence",10, BM155="Unknown",3, BM155="Likely",0, BM155="Confirmed",-10, TRUE,3)
  + IFERROR(_xlfn.XLOOKUP(BP155,'Lookup Tables'!$J$21:$J$24,'Lookup Tables'!$K$21:$K$24,0),0)
))</f>
        <v>3</v>
      </c>
      <c r="BT155" s="5"/>
      <c r="BU155" s="5"/>
      <c r="BV155" s="5"/>
      <c r="BW155" s="5"/>
      <c r="BX155" s="5"/>
      <c r="BY155" s="5"/>
      <c r="BZ155" s="5"/>
      <c r="CA155" s="5"/>
      <c r="CB155" s="5"/>
      <c r="CC155" s="5"/>
      <c r="CD155" s="5"/>
      <c r="CE155" s="43">
        <f t="array" ref="CE155">MIN(100, MAX(0,
  IF(ISNUMBER(BV155)*AND(BV155&gt;0), 10, 0)
  + _xlfn.IFS(BY155="Independently Verified",25, BY155="Yes",15, TRUE,0)
  + IFERROR(_xlfn.XLOOKUP(BZ155,'Lookup Tables'!$A$21:$A$24,'Lookup Tables'!$B$21:$B$24,0),0)
  + IFERROR(_xlfn.XLOOKUP(CA155,'Lookup Tables'!$D$21:$D$24,'Lookup Tables'!$E$21:$E$24,0),0)
  + _xlfn.IFS(ISNUMBER(CB155)*AND(CB155&gt;=11),15, ISNUMBER(CB155)*AND(CB155&gt;=6),10, ISNUMBER(CB155)*AND(CB155&gt;=1),5, TRUE,0)
  + IFERROR(_xlfn.XLOOKUP(CC155,'Lookup Tables'!$G$21:$G$25,'Lookup Tables'!$H$21:$H$25,0),0)
  - IF(ISNUMBER(BW155)*AND(ISNUMBER(BV155))*AND(BW155&gt;BV155), 20, 0)
  - IF(AND(BY155="Yes", ISNUMBER(BW155), BW155&gt;60), 10, 0)
))</f>
        <v>0</v>
      </c>
      <c r="CF155" s="5"/>
      <c r="CG155" s="5"/>
      <c r="CH155" s="5"/>
      <c r="CI155" s="5"/>
      <c r="CJ155" s="5"/>
      <c r="CK155" s="5"/>
      <c r="CL155" s="5"/>
      <c r="CM155" s="5"/>
      <c r="CN155" s="5"/>
      <c r="CO155" s="5"/>
      <c r="CP155" s="5"/>
      <c r="CQ155" s="5"/>
      <c r="CR155" s="5">
        <f t="shared" si="90"/>
        <v>0</v>
      </c>
      <c r="CS155" s="5">
        <f t="shared" si="91"/>
        <v>0</v>
      </c>
      <c r="CT155" s="5">
        <f t="shared" si="92"/>
        <v>0</v>
      </c>
      <c r="CU155" s="5">
        <f>MIN(100,
  CR155*15
  + CS155*6
  + CT155*3
  + IFERROR(_xlfn.XLOOKUP(CW155,'Lookup Tables'!$M$21:$M$25,'Lookup Tables'!$N$21:$N$25,0),0)
)</f>
        <v>0</v>
      </c>
      <c r="CV155" s="5" t="str">
        <f t="shared" si="93"/>
        <v>No failures</v>
      </c>
      <c r="CW155" s="5"/>
      <c r="CX155" s="5"/>
      <c r="CY155" s="5"/>
      <c r="CZ155" s="5"/>
      <c r="DA155" s="5" t="str">
        <f t="shared" si="94"/>
        <v>Yes</v>
      </c>
      <c r="DB155" s="5" t="str">
        <f t="shared" si="95"/>
        <v>No</v>
      </c>
      <c r="DC155" s="5"/>
      <c r="DD155" s="5"/>
      <c r="DE155" s="5"/>
      <c r="DF155" s="5"/>
      <c r="DG155" s="5"/>
      <c r="DH155" s="5"/>
      <c r="DI155" s="5"/>
      <c r="DJ155" s="5"/>
      <c r="DK155" s="5"/>
      <c r="DL155" s="5" t="str">
        <f t="shared" si="96"/>
        <v>Clear</v>
      </c>
      <c r="DM155" s="5" t="str">
        <f t="shared" si="97"/>
        <v>Yes</v>
      </c>
      <c r="DN155" s="5">
        <f t="array" ref="DN155">MIN(100,
  IF(ISNUMBER(V155), _xlfn.IFS(V155&gt;=3,25, V155=2,15, V155=1,5, TRUE,0), 0)
  + IFERROR(_xlfn.IFS(VALUE(LEFT(DF155,1))=5,25, VALUE(LEFT(DF155,1))=4,20, VALUE(LEFT(DF155,1))=3,15, VALUE(LEFT(DF155,1))=2,8, TRUE,0), 15)
  + IFERROR(_xlfn.IFS(VALUE(LEFT(DG155,1))=5,25, VALUE(LEFT(DG155,1))=4,20, VALUE(LEFT(DG155,1))=3,15, VALUE(LEFT(DG155,1))=2,8, TRUE,0), 15)
  + _xlfn.IFS(DH155="Fully Verified",25, DH155="Partially Verified",12, TRUE,0)
)</f>
        <v>30</v>
      </c>
      <c r="DO155" s="5" t="str">
        <f t="array" ref="DO155">_xlfn.IFS(
  ISBLANK(AR155), "Insufficient Evidence",
  AND(AR155&gt;=65, AJ155="Approved"), "Strong",
  AR155&gt;=65, "Adequate",
  AR155&gt;=40, "Adequate",
  AR155&gt;=20, "Weak",
  TRUE, "Insufficient Evidence"
)</f>
        <v>Insufficient Evidence</v>
      </c>
      <c r="DP155" s="5" t="str">
        <f t="array" ref="DP155">_xlfn.IFS(
  ISBLANK(BS155), "Insufficient Evidence",
  BS155&gt;=65, "Strong",
  BS155&gt;=40, "Adequate",
  BS155&gt;=20, "Weak",
  TRUE, "Insufficient Evidence"
)</f>
        <v>Insufficient Evidence</v>
      </c>
      <c r="DQ155" s="5" t="str">
        <f t="array" ref="DQ155">_xlfn.IFS(
  ISBLANK(BE155), "Insufficient Evidence",
  OR(AW155="Confirmed Violation", AX155="Confirmed Breach"), "Severe — Hard Trigger",
  BE155&gt;=65, "Strong",
  BE155&gt;=40, "Adequate",
  BE155&gt;=20, "Weak",
  TRUE, "Insufficient Evidence"
)</f>
        <v>Insufficient Evidence</v>
      </c>
      <c r="DR155" s="5" t="str">
        <f t="array" ref="DR155">_xlfn.IFS(
  ISBLANK(CU155), "Insufficient Evidence",
  CU155&lt;=20, "Low Risk",
  CU155&lt;=50, "Moderate Risk",
  CU155&lt;=75, "High Risk",
  TRUE, "Very High Risk"
)</f>
        <v>Low Risk</v>
      </c>
      <c r="DS155" s="5" t="str">
        <f t="array" ref="DS155">_xlfn.IFS(
  ISBLANK(CE155), "Insufficient Evidence",
  AND(ISNUMBER(BW155),ISNUMBER(BV155),BW155&gt;BV155), "Overclaiming Risk",
  CE155&gt;=65, "Strong",
  CE155&gt;=40, "Adequate",
  TRUE, "Weak"
)</f>
        <v>Weak</v>
      </c>
      <c r="DT155" s="5">
        <f t="shared" si="98"/>
        <v>11.7</v>
      </c>
      <c r="DU155" s="5" t="str">
        <f t="array" ref="DU155">_xlfn.IFS(
  DV155="Upgraded to Clear", "Clear",
  DV155="Downgraded to Watchlist", "Watchlist",
  DV155="Downgraded to Exclusion", "Exclusion Risk",
  DB155="Yes — Automatic", "Exclusion Risk",
  OR(AW155="Confirmed Violation", AX155="Confirmed Breach"), "Exclusion Risk",
  OR(V155=0, ISBLANK(V155), DN155&lt;20), "Insufficient Evidence",
  AND(DT155&gt;=65, DA155="No", DB155="No"), "Clear",
  OR(DT155&gt;=40, DA155="Yes"), "Watchlist",
  TRUE, "Exclusion Risk"
)</f>
        <v>Insufficient Evidence</v>
      </c>
      <c r="DV155" s="5"/>
      <c r="DW155" s="5" t="str">
        <f t="array" ref="DW155">_xlfn.IFS(
  DU155="Exclusion Risk", "Exclude — Hard Trigger",
  DU155="Insufficient Evidence", "Watchlist — Further Evidence Needed",
  DU155="Watchlist", "Watchlist — Further Evidence Needed",
  AND(DU155="Clear", DT155&gt;=80), "Include — No Conditions",
  DU155="Clear", "Include — Monitor",
  TRUE, "Watchlist — Further Evidence Needed"
)</f>
        <v>Watchlist — Further Evidence Needed</v>
      </c>
      <c r="DX155" s="5"/>
      <c r="DY155" s="5"/>
      <c r="DZ155" s="5"/>
      <c r="EA155" s="5"/>
      <c r="EB155" s="5" t="str">
        <f t="shared" si="99"/>
        <v>MISSING — No sources reviewed</v>
      </c>
      <c r="EC155" s="5" t="str">
        <f t="shared" si="100"/>
        <v/>
      </c>
    </row>
    <row r="156" spans="1:133" ht="18" customHeight="1" x14ac:dyDescent="0.15">
      <c r="A156" s="5" t="s">
        <v>821</v>
      </c>
      <c r="B156" s="5" t="s">
        <v>822</v>
      </c>
      <c r="C156" s="5" t="str">
        <f>IF(ISBLANK('Universe Tracker'!D131),"",'Universe Tracker'!D131)</f>
        <v>GB00BYQ0JC66</v>
      </c>
      <c r="D156" s="5"/>
      <c r="E156" s="5"/>
      <c r="F156" s="5" t="str">
        <f>IF(ISBLANK('Universe Tracker'!F131),"",'Universe Tracker'!F131)</f>
        <v>Financials</v>
      </c>
      <c r="G156" s="5" t="str">
        <f>IF(ISBLANK('Universe Tracker'!G131),"",'Universe Tracker'!G131)</f>
        <v>Insurance</v>
      </c>
      <c r="H156" s="5"/>
      <c r="I156" s="5"/>
      <c r="J156" s="5" t="str">
        <f t="shared" si="88"/>
        <v>2D7_GB00BYQ0JC66</v>
      </c>
      <c r="K156" s="5"/>
      <c r="L156" s="5"/>
      <c r="M156" s="5"/>
      <c r="N156" s="5"/>
      <c r="O156" s="5"/>
      <c r="P156" s="5"/>
      <c r="Q156" s="5"/>
      <c r="R156" s="5"/>
      <c r="S156" s="5"/>
      <c r="T156" s="5"/>
      <c r="U156" s="5"/>
      <c r="V156" s="5"/>
      <c r="W156" s="5"/>
      <c r="X156" s="5"/>
      <c r="Y156" s="5" t="str">
        <f t="shared" si="89"/>
        <v>Insufficient</v>
      </c>
      <c r="Z156" s="5"/>
      <c r="AA156" s="5"/>
      <c r="AB156" s="5"/>
      <c r="AC156" s="5"/>
      <c r="AD156" s="5"/>
      <c r="AE156" s="5"/>
      <c r="AF156" s="5"/>
      <c r="AG156" s="5"/>
      <c r="AH156" s="5"/>
      <c r="AI156" s="5"/>
      <c r="AJ156" s="5"/>
      <c r="AK156" s="5"/>
      <c r="AL156" s="5"/>
      <c r="AM156" s="5"/>
      <c r="AN156" s="5"/>
      <c r="AO156" s="5"/>
      <c r="AP156" s="5"/>
      <c r="AQ156" s="5"/>
      <c r="AR156" s="40">
        <f t="array" ref="AR156">MIN(100, MAX(0,
  IFERROR(_xlfn.XLOOKUP(AJ156,'Lookup Tables'!$A$2:$A$7,'Lookup Tables'!$B$2:$B$7,0),0)
  + IF(Z156="Yes", IF(IFERROR(_xlfn.XLOOKUP(AJ156,'Lookup Tables'!$A$2:$A$7,'Lookup Tables'!$B$2:$B$7,0),0)&lt;20, 5, 0), 0)
  + _xlfn.IFS(AB156="Yes", IF(ISNUMBER(AC156)*AND(AC156&lt;=2030),15,10), AB156="Long-term Only", 5, AB156="No", 0, TRUE, 0)
  + _xlfn.IFS(AF156="Full",10, AF156="Partial",5, AF156="Scope 2 Only",3, TRUE,0)
  + _xlfn.IFS(AG156="Yes", IF(ISNUMBER(AH156)*AND(AH156&gt;=5),10,6), AG156="Partial",4, TRUE,0)
  + _xlfn.IFS(AI156="Yes",5, AI156="Partial (material categories only)",3, TRUE,0)
  + _xlfn.IFS(AL156="Yes — Detailed",10, AL156="Yes — High Level",5, TRUE,0)
  + _xlfn.IFS(AM156="Yes — Quantified",15, AM156="Yes — Directional Only",7, TRUE,0)
  + _xlfn.IFS(AP156="Formal",5, AP156="Referenced",2, TRUE,0)
  + _xlfn.IFS(AQ156="No Issues Found",5, AQ156="Concern Identified",-5, AQ156="Severe Contradiction",-15, TRUE,0)
  + _xlfn.IFS(BC156="Reasonable Assurance",5, BC156="Limited Assurance",3, TRUE,0)
  - IF(AND(Z156="Yes", AI156="No"), 10, 0)
  - IF(AND(Z156="Yes", AM156="No"), 10, 0)
))</f>
        <v>0</v>
      </c>
      <c r="AS156" s="5"/>
      <c r="AT156" s="5"/>
      <c r="AU156" s="5"/>
      <c r="AV156" s="5"/>
      <c r="AW156" s="5"/>
      <c r="AX156" s="5"/>
      <c r="AY156" s="5"/>
      <c r="AZ156" s="5"/>
      <c r="BA156" s="5"/>
      <c r="BB156" s="5"/>
      <c r="BC156" s="5"/>
      <c r="BD156" s="5"/>
      <c r="BE156" s="39">
        <f t="array" ref="BE156">MIN(100, MAX(0,
  IFERROR(_xlfn.XLOOKUP(AT156,'Lookup Tables'!$D$2:$D$6,'Lookup Tables'!$E$2:$E$6,0),0)
  + IFERROR(_xlfn.XLOOKUP(AV156,'Lookup Tables'!$G$2:$G$5,'Lookup Tables'!$H$2:$H$5,0),0)
  + IFERROR(_xlfn.XLOOKUP(AW156,'Lookup Tables'!$J$2:$J$5,'Lookup Tables'!$K$2:$K$5,0),0)
  + _xlfn.IFS(AX156="No Issues",10, AX156="Complaint Filed",3, AX156="Confirmed Breach",-15, TRUE,0)
  + IFERROR(_xlfn.XLOOKUP(AY156,'Lookup Tables'!$M$2:$M$6,'Lookup Tables'!$N$2:$N$6,0),0)
  + IFERROR(_xlfn.XLOOKUP(AZ156,'Lookup Tables'!$P$2:$P$6,'Lookup Tables'!$Q$2:$Q$6,0),0)
  + _xlfn.IFS(BA156="Formal Board Committee",5, BA156="Board Oversight Mentioned",2, TRUE,0)
  + _xlfn.IFS(BB156="Yes — Quantified Targets",5, BB156="Yes — Discretionary Only",2, TRUE,0)
  + _xlfn.IFS(BC156="Reasonable Assurance",5, BC156="Limited Assurance",3, BC156="Management Review Only",1, TRUE,0)
))</f>
        <v>0</v>
      </c>
      <c r="BF156" s="5"/>
      <c r="BG156" s="5"/>
      <c r="BH156" s="5"/>
      <c r="BI156" s="5"/>
      <c r="BJ156" s="5"/>
      <c r="BK156" s="5"/>
      <c r="BL156" s="5"/>
      <c r="BM156" s="5"/>
      <c r="BN156" s="5"/>
      <c r="BO156" s="5"/>
      <c r="BP156" s="5"/>
      <c r="BQ156" s="5"/>
      <c r="BR156" s="5"/>
      <c r="BS156" s="41">
        <f t="array" ref="BS156">MIN(100, MAX(0,
  IFERROR(_xlfn.XLOOKUP(BG156,'Lookup Tables'!$A$11:$A$16,'Lookup Tables'!$B$11:$B$16,0),0)
  + IFERROR(_xlfn.XLOOKUP(BR156,'Lookup Tables'!$M$11:$M$14,'Lookup Tables'!$N$11:$N$14,0),0)
  + IFERROR(_xlfn.XLOOKUP(BQ156,'Lookup Tables'!$J$11:$J$15,'Lookup Tables'!$K$11:$K$15,0),0)
  + IFERROR(_xlfn.XLOOKUP(BH156,'Lookup Tables'!$D$11:$D$15,'Lookup Tables'!$E$11:$E$15,0),0)
  + IFERROR(_xlfn.XLOOKUP(BJ156,'Lookup Tables'!$G$11:$G$16,'Lookup Tables'!$H$11:$H$16,0),0)
  + IFERROR(_xlfn.XLOOKUP(BN156,'Lookup Tables'!$P$11:$P$15,'Lookup Tables'!$Q$11:$Q$15,0),0)
  + _xlfn.IFS(BM156="No Evidence",10, BM156="Unknown",3, BM156="Likely",0, BM156="Confirmed",-10, TRUE,3)
  + IFERROR(_xlfn.XLOOKUP(BP156,'Lookup Tables'!$J$21:$J$24,'Lookup Tables'!$K$21:$K$24,0),0)
))</f>
        <v>3</v>
      </c>
      <c r="BT156" s="5"/>
      <c r="BU156" s="5"/>
      <c r="BV156" s="5"/>
      <c r="BW156" s="5"/>
      <c r="BX156" s="5"/>
      <c r="BY156" s="5"/>
      <c r="BZ156" s="5"/>
      <c r="CA156" s="5"/>
      <c r="CB156" s="5"/>
      <c r="CC156" s="5"/>
      <c r="CD156" s="5"/>
      <c r="CE156" s="43">
        <f t="array" ref="CE156">MIN(100, MAX(0,
  IF(ISNUMBER(BV156)*AND(BV156&gt;0), 10, 0)
  + _xlfn.IFS(BY156="Independently Verified",25, BY156="Yes",15, TRUE,0)
  + IFERROR(_xlfn.XLOOKUP(BZ156,'Lookup Tables'!$A$21:$A$24,'Lookup Tables'!$B$21:$B$24,0),0)
  + IFERROR(_xlfn.XLOOKUP(CA156,'Lookup Tables'!$D$21:$D$24,'Lookup Tables'!$E$21:$E$24,0),0)
  + _xlfn.IFS(ISNUMBER(CB156)*AND(CB156&gt;=11),15, ISNUMBER(CB156)*AND(CB156&gt;=6),10, ISNUMBER(CB156)*AND(CB156&gt;=1),5, TRUE,0)
  + IFERROR(_xlfn.XLOOKUP(CC156,'Lookup Tables'!$G$21:$G$25,'Lookup Tables'!$H$21:$H$25,0),0)
  - IF(ISNUMBER(BW156)*AND(ISNUMBER(BV156))*AND(BW156&gt;BV156), 20, 0)
  - IF(AND(BY156="Yes", ISNUMBER(BW156), BW156&gt;60), 10, 0)
))</f>
        <v>0</v>
      </c>
      <c r="CF156" s="5"/>
      <c r="CG156" s="5"/>
      <c r="CH156" s="5"/>
      <c r="CI156" s="5"/>
      <c r="CJ156" s="5"/>
      <c r="CK156" s="5"/>
      <c r="CL156" s="5"/>
      <c r="CM156" s="5"/>
      <c r="CN156" s="5"/>
      <c r="CO156" s="5"/>
      <c r="CP156" s="5"/>
      <c r="CQ156" s="5"/>
      <c r="CR156" s="5">
        <f t="shared" si="90"/>
        <v>0</v>
      </c>
      <c r="CS156" s="5">
        <f t="shared" si="91"/>
        <v>0</v>
      </c>
      <c r="CT156" s="5">
        <f t="shared" si="92"/>
        <v>0</v>
      </c>
      <c r="CU156" s="5">
        <f>MIN(100,
  CR156*15
  + CS156*6
  + CT156*3
  + IFERROR(_xlfn.XLOOKUP(CW156,'Lookup Tables'!$M$21:$M$25,'Lookup Tables'!$N$21:$N$25,0),0)
)</f>
        <v>0</v>
      </c>
      <c r="CV156" s="5" t="str">
        <f t="shared" si="93"/>
        <v>No failures</v>
      </c>
      <c r="CW156" s="5"/>
      <c r="CX156" s="5"/>
      <c r="CY156" s="5"/>
      <c r="CZ156" s="5"/>
      <c r="DA156" s="5" t="str">
        <f t="shared" si="94"/>
        <v>Yes</v>
      </c>
      <c r="DB156" s="5" t="str">
        <f t="shared" si="95"/>
        <v>No</v>
      </c>
      <c r="DC156" s="5"/>
      <c r="DD156" s="5"/>
      <c r="DE156" s="5"/>
      <c r="DF156" s="5"/>
      <c r="DG156" s="5"/>
      <c r="DH156" s="5"/>
      <c r="DI156" s="5"/>
      <c r="DJ156" s="5"/>
      <c r="DK156" s="5"/>
      <c r="DL156" s="5" t="str">
        <f t="shared" si="96"/>
        <v>Clear</v>
      </c>
      <c r="DM156" s="5" t="str">
        <f t="shared" si="97"/>
        <v>Yes</v>
      </c>
      <c r="DN156" s="5">
        <f t="array" ref="DN156">MIN(100,
  IF(ISNUMBER(V156), _xlfn.IFS(V156&gt;=3,25, V156=2,15, V156=1,5, TRUE,0), 0)
  + IFERROR(_xlfn.IFS(VALUE(LEFT(DF156,1))=5,25, VALUE(LEFT(DF156,1))=4,20, VALUE(LEFT(DF156,1))=3,15, VALUE(LEFT(DF156,1))=2,8, TRUE,0), 15)
  + IFERROR(_xlfn.IFS(VALUE(LEFT(DG156,1))=5,25, VALUE(LEFT(DG156,1))=4,20, VALUE(LEFT(DG156,1))=3,15, VALUE(LEFT(DG156,1))=2,8, TRUE,0), 15)
  + _xlfn.IFS(DH156="Fully Verified",25, DH156="Partially Verified",12, TRUE,0)
)</f>
        <v>30</v>
      </c>
      <c r="DO156" s="5" t="str">
        <f t="array" ref="DO156">_xlfn.IFS(
  ISBLANK(AR156), "Insufficient Evidence",
  AND(AR156&gt;=65, AJ156="Approved"), "Strong",
  AR156&gt;=65, "Adequate",
  AR156&gt;=40, "Adequate",
  AR156&gt;=20, "Weak",
  TRUE, "Insufficient Evidence"
)</f>
        <v>Insufficient Evidence</v>
      </c>
      <c r="DP156" s="5" t="str">
        <f t="array" ref="DP156">_xlfn.IFS(
  ISBLANK(BS156), "Insufficient Evidence",
  BS156&gt;=65, "Strong",
  BS156&gt;=40, "Adequate",
  BS156&gt;=20, "Weak",
  TRUE, "Insufficient Evidence"
)</f>
        <v>Insufficient Evidence</v>
      </c>
      <c r="DQ156" s="5" t="str">
        <f t="array" ref="DQ156">_xlfn.IFS(
  ISBLANK(BE156), "Insufficient Evidence",
  OR(AW156="Confirmed Violation", AX156="Confirmed Breach"), "Severe — Hard Trigger",
  BE156&gt;=65, "Strong",
  BE156&gt;=40, "Adequate",
  BE156&gt;=20, "Weak",
  TRUE, "Insufficient Evidence"
)</f>
        <v>Insufficient Evidence</v>
      </c>
      <c r="DR156" s="5" t="str">
        <f t="array" ref="DR156">_xlfn.IFS(
  ISBLANK(CU156), "Insufficient Evidence",
  CU156&lt;=20, "Low Risk",
  CU156&lt;=50, "Moderate Risk",
  CU156&lt;=75, "High Risk",
  TRUE, "Very High Risk"
)</f>
        <v>Low Risk</v>
      </c>
      <c r="DS156" s="5" t="str">
        <f t="array" ref="DS156">_xlfn.IFS(
  ISBLANK(CE156), "Insufficient Evidence",
  AND(ISNUMBER(BW156),ISNUMBER(BV156),BW156&gt;BV156), "Overclaiming Risk",
  CE156&gt;=65, "Strong",
  CE156&gt;=40, "Adequate",
  TRUE, "Weak"
)</f>
        <v>Weak</v>
      </c>
      <c r="DT156" s="5">
        <f t="shared" si="98"/>
        <v>11.7</v>
      </c>
      <c r="DU156" s="5" t="str">
        <f t="array" ref="DU156">_xlfn.IFS(
  DV156="Upgraded to Clear", "Clear",
  DV156="Downgraded to Watchlist", "Watchlist",
  DV156="Downgraded to Exclusion", "Exclusion Risk",
  DB156="Yes — Automatic", "Exclusion Risk",
  OR(AW156="Confirmed Violation", AX156="Confirmed Breach"), "Exclusion Risk",
  OR(V156=0, ISBLANK(V156), DN156&lt;20), "Insufficient Evidence",
  AND(DT156&gt;=65, DA156="No", DB156="No"), "Clear",
  OR(DT156&gt;=40, DA156="Yes"), "Watchlist",
  TRUE, "Exclusion Risk"
)</f>
        <v>Insufficient Evidence</v>
      </c>
      <c r="DV156" s="5"/>
      <c r="DW156" s="5" t="str">
        <f t="array" ref="DW156">_xlfn.IFS(
  DU156="Exclusion Risk", "Exclude — Hard Trigger",
  DU156="Insufficient Evidence", "Watchlist — Further Evidence Needed",
  DU156="Watchlist", "Watchlist — Further Evidence Needed",
  AND(DU156="Clear", DT156&gt;=80), "Include — No Conditions",
  DU156="Clear", "Include — Monitor",
  TRUE, "Watchlist — Further Evidence Needed"
)</f>
        <v>Watchlist — Further Evidence Needed</v>
      </c>
      <c r="DX156" s="5"/>
      <c r="DY156" s="5"/>
      <c r="DZ156" s="5"/>
      <c r="EA156" s="5"/>
      <c r="EB156" s="5" t="str">
        <f t="shared" si="99"/>
        <v>MISSING — No sources reviewed</v>
      </c>
      <c r="EC156" s="5" t="str">
        <f t="shared" si="100"/>
        <v/>
      </c>
    </row>
    <row r="157" spans="1:133" ht="18" customHeight="1" x14ac:dyDescent="0.15">
      <c r="A157" s="5" t="s">
        <v>825</v>
      </c>
      <c r="B157" s="5" t="s">
        <v>826</v>
      </c>
      <c r="C157" s="5" t="str">
        <f>IF(ISBLANK('Universe Tracker'!D132),"",'Universe Tracker'!D132)</f>
        <v>SE0014781795</v>
      </c>
      <c r="D157" s="5"/>
      <c r="E157" s="5"/>
      <c r="F157" s="5" t="str">
        <f>IF(ISBLANK('Universe Tracker'!F132),"",'Universe Tracker'!F132)</f>
        <v>Industrials</v>
      </c>
      <c r="G157" s="5" t="str">
        <f>IF(ISBLANK('Universe Tracker'!G132),"",'Universe Tracker'!G132)</f>
        <v>Industrial Services</v>
      </c>
      <c r="H157" s="5"/>
      <c r="I157" s="5"/>
      <c r="J157" s="5" t="str">
        <f t="shared" si="88"/>
        <v>AZZ2_SE0014781795</v>
      </c>
      <c r="K157" s="5"/>
      <c r="L157" s="5"/>
      <c r="M157" s="5"/>
      <c r="N157" s="5"/>
      <c r="O157" s="5"/>
      <c r="P157" s="5"/>
      <c r="Q157" s="5"/>
      <c r="R157" s="5"/>
      <c r="S157" s="5"/>
      <c r="T157" s="5"/>
      <c r="U157" s="5"/>
      <c r="V157" s="5"/>
      <c r="W157" s="5"/>
      <c r="X157" s="5"/>
      <c r="Y157" s="5" t="str">
        <f t="shared" si="89"/>
        <v>Insufficient</v>
      </c>
      <c r="Z157" s="5"/>
      <c r="AA157" s="5"/>
      <c r="AB157" s="5"/>
      <c r="AC157" s="5"/>
      <c r="AD157" s="5"/>
      <c r="AE157" s="5"/>
      <c r="AF157" s="5"/>
      <c r="AG157" s="5"/>
      <c r="AH157" s="5"/>
      <c r="AI157" s="5"/>
      <c r="AJ157" s="5"/>
      <c r="AK157" s="5"/>
      <c r="AL157" s="5"/>
      <c r="AM157" s="5"/>
      <c r="AN157" s="5"/>
      <c r="AO157" s="5"/>
      <c r="AP157" s="5"/>
      <c r="AQ157" s="5"/>
      <c r="AR157" s="40">
        <f t="array" ref="AR157">MIN(100, MAX(0,
  IFERROR(_xlfn.XLOOKUP(AJ157,'Lookup Tables'!$A$2:$A$7,'Lookup Tables'!$B$2:$B$7,0),0)
  + IF(Z157="Yes", IF(IFERROR(_xlfn.XLOOKUP(AJ157,'Lookup Tables'!$A$2:$A$7,'Lookup Tables'!$B$2:$B$7,0),0)&lt;20, 5, 0), 0)
  + _xlfn.IFS(AB157="Yes", IF(ISNUMBER(AC157)*AND(AC157&lt;=2030),15,10), AB157="Long-term Only", 5, AB157="No", 0, TRUE, 0)
  + _xlfn.IFS(AF157="Full",10, AF157="Partial",5, AF157="Scope 2 Only",3, TRUE,0)
  + _xlfn.IFS(AG157="Yes", IF(ISNUMBER(AH157)*AND(AH157&gt;=5),10,6), AG157="Partial",4, TRUE,0)
  + _xlfn.IFS(AI157="Yes",5, AI157="Partial (material categories only)",3, TRUE,0)
  + _xlfn.IFS(AL157="Yes — Detailed",10, AL157="Yes — High Level",5, TRUE,0)
  + _xlfn.IFS(AM157="Yes — Quantified",15, AM157="Yes — Directional Only",7, TRUE,0)
  + _xlfn.IFS(AP157="Formal",5, AP157="Referenced",2, TRUE,0)
  + _xlfn.IFS(AQ157="No Issues Found",5, AQ157="Concern Identified",-5, AQ157="Severe Contradiction",-15, TRUE,0)
  + _xlfn.IFS(BC157="Reasonable Assurance",5, BC157="Limited Assurance",3, TRUE,0)
  - IF(AND(Z157="Yes", AI157="No"), 10, 0)
  - IF(AND(Z157="Yes", AM157="No"), 10, 0)
))</f>
        <v>0</v>
      </c>
      <c r="AS157" s="5"/>
      <c r="AT157" s="5"/>
      <c r="AU157" s="5"/>
      <c r="AV157" s="5"/>
      <c r="AW157" s="5"/>
      <c r="AX157" s="5"/>
      <c r="AY157" s="5"/>
      <c r="AZ157" s="5"/>
      <c r="BA157" s="5"/>
      <c r="BB157" s="5"/>
      <c r="BC157" s="5"/>
      <c r="BD157" s="5"/>
      <c r="BE157" s="39">
        <f t="array" ref="BE157">MIN(100, MAX(0,
  IFERROR(_xlfn.XLOOKUP(AT157,'Lookup Tables'!$D$2:$D$6,'Lookup Tables'!$E$2:$E$6,0),0)
  + IFERROR(_xlfn.XLOOKUP(AV157,'Lookup Tables'!$G$2:$G$5,'Lookup Tables'!$H$2:$H$5,0),0)
  + IFERROR(_xlfn.XLOOKUP(AW157,'Lookup Tables'!$J$2:$J$5,'Lookup Tables'!$K$2:$K$5,0),0)
  + _xlfn.IFS(AX157="No Issues",10, AX157="Complaint Filed",3, AX157="Confirmed Breach",-15, TRUE,0)
  + IFERROR(_xlfn.XLOOKUP(AY157,'Lookup Tables'!$M$2:$M$6,'Lookup Tables'!$N$2:$N$6,0),0)
  + IFERROR(_xlfn.XLOOKUP(AZ157,'Lookup Tables'!$P$2:$P$6,'Lookup Tables'!$Q$2:$Q$6,0),0)
  + _xlfn.IFS(BA157="Formal Board Committee",5, BA157="Board Oversight Mentioned",2, TRUE,0)
  + _xlfn.IFS(BB157="Yes — Quantified Targets",5, BB157="Yes — Discretionary Only",2, TRUE,0)
  + _xlfn.IFS(BC157="Reasonable Assurance",5, BC157="Limited Assurance",3, BC157="Management Review Only",1, TRUE,0)
))</f>
        <v>0</v>
      </c>
      <c r="BF157" s="5"/>
      <c r="BG157" s="5"/>
      <c r="BH157" s="5"/>
      <c r="BI157" s="5"/>
      <c r="BJ157" s="5"/>
      <c r="BK157" s="5"/>
      <c r="BL157" s="5"/>
      <c r="BM157" s="5"/>
      <c r="BN157" s="5"/>
      <c r="BO157" s="5"/>
      <c r="BP157" s="5"/>
      <c r="BQ157" s="5"/>
      <c r="BR157" s="5"/>
      <c r="BS157" s="41">
        <f t="array" ref="BS157">MIN(100, MAX(0,
  IFERROR(_xlfn.XLOOKUP(BG157,'Lookup Tables'!$A$11:$A$16,'Lookup Tables'!$B$11:$B$16,0),0)
  + IFERROR(_xlfn.XLOOKUP(BR157,'Lookup Tables'!$M$11:$M$14,'Lookup Tables'!$N$11:$N$14,0),0)
  + IFERROR(_xlfn.XLOOKUP(BQ157,'Lookup Tables'!$J$11:$J$15,'Lookup Tables'!$K$11:$K$15,0),0)
  + IFERROR(_xlfn.XLOOKUP(BH157,'Lookup Tables'!$D$11:$D$15,'Lookup Tables'!$E$11:$E$15,0),0)
  + IFERROR(_xlfn.XLOOKUP(BJ157,'Lookup Tables'!$G$11:$G$16,'Lookup Tables'!$H$11:$H$16,0),0)
  + IFERROR(_xlfn.XLOOKUP(BN157,'Lookup Tables'!$P$11:$P$15,'Lookup Tables'!$Q$11:$Q$15,0),0)
  + _xlfn.IFS(BM157="No Evidence",10, BM157="Unknown",3, BM157="Likely",0, BM157="Confirmed",-10, TRUE,3)
  + IFERROR(_xlfn.XLOOKUP(BP157,'Lookup Tables'!$J$21:$J$24,'Lookup Tables'!$K$21:$K$24,0),0)
))</f>
        <v>3</v>
      </c>
      <c r="BT157" s="5"/>
      <c r="BU157" s="5"/>
      <c r="BV157" s="5"/>
      <c r="BW157" s="5"/>
      <c r="BX157" s="5"/>
      <c r="BY157" s="5"/>
      <c r="BZ157" s="5"/>
      <c r="CA157" s="5"/>
      <c r="CB157" s="5"/>
      <c r="CC157" s="5"/>
      <c r="CD157" s="5"/>
      <c r="CE157" s="43">
        <f t="array" ref="CE157">MIN(100, MAX(0,
  IF(ISNUMBER(BV157)*AND(BV157&gt;0), 10, 0)
  + _xlfn.IFS(BY157="Independently Verified",25, BY157="Yes",15, TRUE,0)
  + IFERROR(_xlfn.XLOOKUP(BZ157,'Lookup Tables'!$A$21:$A$24,'Lookup Tables'!$B$21:$B$24,0),0)
  + IFERROR(_xlfn.XLOOKUP(CA157,'Lookup Tables'!$D$21:$D$24,'Lookup Tables'!$E$21:$E$24,0),0)
  + _xlfn.IFS(ISNUMBER(CB157)*AND(CB157&gt;=11),15, ISNUMBER(CB157)*AND(CB157&gt;=6),10, ISNUMBER(CB157)*AND(CB157&gt;=1),5, TRUE,0)
  + IFERROR(_xlfn.XLOOKUP(CC157,'Lookup Tables'!$G$21:$G$25,'Lookup Tables'!$H$21:$H$25,0),0)
  - IF(ISNUMBER(BW157)*AND(ISNUMBER(BV157))*AND(BW157&gt;BV157), 20, 0)
  - IF(AND(BY157="Yes", ISNUMBER(BW157), BW157&gt;60), 10, 0)
))</f>
        <v>0</v>
      </c>
      <c r="CF157" s="5"/>
      <c r="CG157" s="5"/>
      <c r="CH157" s="5"/>
      <c r="CI157" s="5"/>
      <c r="CJ157" s="5"/>
      <c r="CK157" s="5"/>
      <c r="CL157" s="5"/>
      <c r="CM157" s="5"/>
      <c r="CN157" s="5"/>
      <c r="CO157" s="5"/>
      <c r="CP157" s="5"/>
      <c r="CQ157" s="5"/>
      <c r="CR157" s="5">
        <f t="shared" si="90"/>
        <v>0</v>
      </c>
      <c r="CS157" s="5">
        <f t="shared" si="91"/>
        <v>0</v>
      </c>
      <c r="CT157" s="5">
        <f t="shared" si="92"/>
        <v>0</v>
      </c>
      <c r="CU157" s="5">
        <f>MIN(100,
  CR157*15
  + CS157*6
  + CT157*3
  + IFERROR(_xlfn.XLOOKUP(CW157,'Lookup Tables'!$M$21:$M$25,'Lookup Tables'!$N$21:$N$25,0),0)
)</f>
        <v>0</v>
      </c>
      <c r="CV157" s="5" t="str">
        <f t="shared" si="93"/>
        <v>No failures</v>
      </c>
      <c r="CW157" s="5"/>
      <c r="CX157" s="5"/>
      <c r="CY157" s="5"/>
      <c r="CZ157" s="5"/>
      <c r="DA157" s="5" t="str">
        <f t="shared" si="94"/>
        <v>Yes</v>
      </c>
      <c r="DB157" s="5" t="str">
        <f t="shared" si="95"/>
        <v>No</v>
      </c>
      <c r="DC157" s="5"/>
      <c r="DD157" s="5"/>
      <c r="DE157" s="5"/>
      <c r="DF157" s="5"/>
      <c r="DG157" s="5"/>
      <c r="DH157" s="5"/>
      <c r="DI157" s="5"/>
      <c r="DJ157" s="5"/>
      <c r="DK157" s="5"/>
      <c r="DL157" s="5" t="str">
        <f t="shared" si="96"/>
        <v>Clear</v>
      </c>
      <c r="DM157" s="5" t="str">
        <f t="shared" si="97"/>
        <v>Yes</v>
      </c>
      <c r="DN157" s="5">
        <f t="array" ref="DN157">MIN(100,
  IF(ISNUMBER(V157), _xlfn.IFS(V157&gt;=3,25, V157=2,15, V157=1,5, TRUE,0), 0)
  + IFERROR(_xlfn.IFS(VALUE(LEFT(DF157,1))=5,25, VALUE(LEFT(DF157,1))=4,20, VALUE(LEFT(DF157,1))=3,15, VALUE(LEFT(DF157,1))=2,8, TRUE,0), 15)
  + IFERROR(_xlfn.IFS(VALUE(LEFT(DG157,1))=5,25, VALUE(LEFT(DG157,1))=4,20, VALUE(LEFT(DG157,1))=3,15, VALUE(LEFT(DG157,1))=2,8, TRUE,0), 15)
  + _xlfn.IFS(DH157="Fully Verified",25, DH157="Partially Verified",12, TRUE,0)
)</f>
        <v>30</v>
      </c>
      <c r="DO157" s="5" t="str">
        <f t="array" ref="DO157">_xlfn.IFS(
  ISBLANK(AR157), "Insufficient Evidence",
  AND(AR157&gt;=65, AJ157="Approved"), "Strong",
  AR157&gt;=65, "Adequate",
  AR157&gt;=40, "Adequate",
  AR157&gt;=20, "Weak",
  TRUE, "Insufficient Evidence"
)</f>
        <v>Insufficient Evidence</v>
      </c>
      <c r="DP157" s="5" t="str">
        <f t="array" ref="DP157">_xlfn.IFS(
  ISBLANK(BS157), "Insufficient Evidence",
  BS157&gt;=65, "Strong",
  BS157&gt;=40, "Adequate",
  BS157&gt;=20, "Weak",
  TRUE, "Insufficient Evidence"
)</f>
        <v>Insufficient Evidence</v>
      </c>
      <c r="DQ157" s="5" t="str">
        <f t="array" ref="DQ157">_xlfn.IFS(
  ISBLANK(BE157), "Insufficient Evidence",
  OR(AW157="Confirmed Violation", AX157="Confirmed Breach"), "Severe — Hard Trigger",
  BE157&gt;=65, "Strong",
  BE157&gt;=40, "Adequate",
  BE157&gt;=20, "Weak",
  TRUE, "Insufficient Evidence"
)</f>
        <v>Insufficient Evidence</v>
      </c>
      <c r="DR157" s="5" t="str">
        <f t="array" ref="DR157">_xlfn.IFS(
  ISBLANK(CU157), "Insufficient Evidence",
  CU157&lt;=20, "Low Risk",
  CU157&lt;=50, "Moderate Risk",
  CU157&lt;=75, "High Risk",
  TRUE, "Very High Risk"
)</f>
        <v>Low Risk</v>
      </c>
      <c r="DS157" s="5" t="str">
        <f t="array" ref="DS157">_xlfn.IFS(
  ISBLANK(CE157), "Insufficient Evidence",
  AND(ISNUMBER(BW157),ISNUMBER(BV157),BW157&gt;BV157), "Overclaiming Risk",
  CE157&gt;=65, "Strong",
  CE157&gt;=40, "Adequate",
  TRUE, "Weak"
)</f>
        <v>Weak</v>
      </c>
      <c r="DT157" s="5">
        <f t="shared" si="98"/>
        <v>11.7</v>
      </c>
      <c r="DU157" s="5" t="str">
        <f t="array" ref="DU157">_xlfn.IFS(
  DV157="Upgraded to Clear", "Clear",
  DV157="Downgraded to Watchlist", "Watchlist",
  DV157="Downgraded to Exclusion", "Exclusion Risk",
  DB157="Yes — Automatic", "Exclusion Risk",
  OR(AW157="Confirmed Violation", AX157="Confirmed Breach"), "Exclusion Risk",
  OR(V157=0, ISBLANK(V157), DN157&lt;20), "Insufficient Evidence",
  AND(DT157&gt;=65, DA157="No", DB157="No"), "Clear",
  OR(DT157&gt;=40, DA157="Yes"), "Watchlist",
  TRUE, "Exclusion Risk"
)</f>
        <v>Insufficient Evidence</v>
      </c>
      <c r="DV157" s="5"/>
      <c r="DW157" s="5" t="str">
        <f t="array" ref="DW157">_xlfn.IFS(
  DU157="Exclusion Risk", "Exclude — Hard Trigger",
  DU157="Insufficient Evidence", "Watchlist — Further Evidence Needed",
  DU157="Watchlist", "Watchlist — Further Evidence Needed",
  AND(DU157="Clear", DT157&gt;=80), "Include — No Conditions",
  DU157="Clear", "Include — Monitor",
  TRUE, "Watchlist — Further Evidence Needed"
)</f>
        <v>Watchlist — Further Evidence Needed</v>
      </c>
      <c r="DX157" s="5"/>
      <c r="DY157" s="5"/>
      <c r="DZ157" s="5"/>
      <c r="EA157" s="5"/>
      <c r="EB157" s="5" t="str">
        <f t="shared" si="99"/>
        <v>MISSING — No sources reviewed</v>
      </c>
      <c r="EC157" s="5" t="str">
        <f t="shared" si="100"/>
        <v/>
      </c>
    </row>
    <row r="158" spans="1:133" ht="18" customHeight="1" x14ac:dyDescent="0.15">
      <c r="A158" s="5" t="s">
        <v>829</v>
      </c>
      <c r="B158" s="5" t="s">
        <v>830</v>
      </c>
      <c r="C158" s="5" t="str">
        <f>IF(ISBLANK('Universe Tracker'!D133),"",'Universe Tracker'!D133)</f>
        <v>FR0012757854</v>
      </c>
      <c r="D158" s="5"/>
      <c r="E158" s="5"/>
      <c r="F158" s="5" t="str">
        <f>IF(ISBLANK('Universe Tracker'!F133),"",'Universe Tracker'!F133)</f>
        <v>Industrials</v>
      </c>
      <c r="G158" s="5" t="str">
        <f>IF(ISBLANK('Universe Tracker'!G133),"",'Universe Tracker'!G133)</f>
        <v>Industrial Services</v>
      </c>
      <c r="H158" s="5"/>
      <c r="I158" s="5"/>
      <c r="J158" s="5" t="str">
        <f t="shared" si="88"/>
        <v>4SP_FR0012757854</v>
      </c>
      <c r="K158" s="5"/>
      <c r="L158" s="5"/>
      <c r="M158" s="5"/>
      <c r="N158" s="5"/>
      <c r="O158" s="5"/>
      <c r="P158" s="5"/>
      <c r="Q158" s="5"/>
      <c r="R158" s="5"/>
      <c r="S158" s="5"/>
      <c r="T158" s="5"/>
      <c r="U158" s="5"/>
      <c r="V158" s="5"/>
      <c r="W158" s="5"/>
      <c r="X158" s="5"/>
      <c r="Y158" s="5" t="str">
        <f t="shared" si="89"/>
        <v>Insufficient</v>
      </c>
      <c r="Z158" s="5"/>
      <c r="AA158" s="5"/>
      <c r="AB158" s="5"/>
      <c r="AC158" s="5"/>
      <c r="AD158" s="5"/>
      <c r="AE158" s="5"/>
      <c r="AF158" s="5"/>
      <c r="AG158" s="5"/>
      <c r="AH158" s="5"/>
      <c r="AI158" s="5"/>
      <c r="AJ158" s="5"/>
      <c r="AK158" s="5"/>
      <c r="AL158" s="5"/>
      <c r="AM158" s="5"/>
      <c r="AN158" s="5"/>
      <c r="AO158" s="5"/>
      <c r="AP158" s="5"/>
      <c r="AQ158" s="5"/>
      <c r="AR158" s="40">
        <f t="array" ref="AR158">MIN(100, MAX(0,
  IFERROR(_xlfn.XLOOKUP(AJ158,'Lookup Tables'!$A$2:$A$7,'Lookup Tables'!$B$2:$B$7,0),0)
  + IF(Z158="Yes", IF(IFERROR(_xlfn.XLOOKUP(AJ158,'Lookup Tables'!$A$2:$A$7,'Lookup Tables'!$B$2:$B$7,0),0)&lt;20, 5, 0), 0)
  + _xlfn.IFS(AB158="Yes", IF(ISNUMBER(AC158)*AND(AC158&lt;=2030),15,10), AB158="Long-term Only", 5, AB158="No", 0, TRUE, 0)
  + _xlfn.IFS(AF158="Full",10, AF158="Partial",5, AF158="Scope 2 Only",3, TRUE,0)
  + _xlfn.IFS(AG158="Yes", IF(ISNUMBER(AH158)*AND(AH158&gt;=5),10,6), AG158="Partial",4, TRUE,0)
  + _xlfn.IFS(AI158="Yes",5, AI158="Partial (material categories only)",3, TRUE,0)
  + _xlfn.IFS(AL158="Yes — Detailed",10, AL158="Yes — High Level",5, TRUE,0)
  + _xlfn.IFS(AM158="Yes — Quantified",15, AM158="Yes — Directional Only",7, TRUE,0)
  + _xlfn.IFS(AP158="Formal",5, AP158="Referenced",2, TRUE,0)
  + _xlfn.IFS(AQ158="No Issues Found",5, AQ158="Concern Identified",-5, AQ158="Severe Contradiction",-15, TRUE,0)
  + _xlfn.IFS(BC158="Reasonable Assurance",5, BC158="Limited Assurance",3, TRUE,0)
  - IF(AND(Z158="Yes", AI158="No"), 10, 0)
  - IF(AND(Z158="Yes", AM158="No"), 10, 0)
))</f>
        <v>0</v>
      </c>
      <c r="AS158" s="5"/>
      <c r="AT158" s="5"/>
      <c r="AU158" s="5"/>
      <c r="AV158" s="5"/>
      <c r="AW158" s="5"/>
      <c r="AX158" s="5"/>
      <c r="AY158" s="5"/>
      <c r="AZ158" s="5"/>
      <c r="BA158" s="5"/>
      <c r="BB158" s="5"/>
      <c r="BC158" s="5"/>
      <c r="BD158" s="5"/>
      <c r="BE158" s="39">
        <f t="array" ref="BE158">MIN(100, MAX(0,
  IFERROR(_xlfn.XLOOKUP(AT158,'Lookup Tables'!$D$2:$D$6,'Lookup Tables'!$E$2:$E$6,0),0)
  + IFERROR(_xlfn.XLOOKUP(AV158,'Lookup Tables'!$G$2:$G$5,'Lookup Tables'!$H$2:$H$5,0),0)
  + IFERROR(_xlfn.XLOOKUP(AW158,'Lookup Tables'!$J$2:$J$5,'Lookup Tables'!$K$2:$K$5,0),0)
  + _xlfn.IFS(AX158="No Issues",10, AX158="Complaint Filed",3, AX158="Confirmed Breach",-15, TRUE,0)
  + IFERROR(_xlfn.XLOOKUP(AY158,'Lookup Tables'!$M$2:$M$6,'Lookup Tables'!$N$2:$N$6,0),0)
  + IFERROR(_xlfn.XLOOKUP(AZ158,'Lookup Tables'!$P$2:$P$6,'Lookup Tables'!$Q$2:$Q$6,0),0)
  + _xlfn.IFS(BA158="Formal Board Committee",5, BA158="Board Oversight Mentioned",2, TRUE,0)
  + _xlfn.IFS(BB158="Yes — Quantified Targets",5, BB158="Yes — Discretionary Only",2, TRUE,0)
  + _xlfn.IFS(BC158="Reasonable Assurance",5, BC158="Limited Assurance",3, BC158="Management Review Only",1, TRUE,0)
))</f>
        <v>0</v>
      </c>
      <c r="BF158" s="5"/>
      <c r="BG158" s="5"/>
      <c r="BH158" s="5"/>
      <c r="BI158" s="5"/>
      <c r="BJ158" s="5"/>
      <c r="BK158" s="5"/>
      <c r="BL158" s="5"/>
      <c r="BM158" s="5"/>
      <c r="BN158" s="5"/>
      <c r="BO158" s="5"/>
      <c r="BP158" s="5"/>
      <c r="BQ158" s="5"/>
      <c r="BR158" s="5"/>
      <c r="BS158" s="41">
        <f t="array" ref="BS158">MIN(100, MAX(0,
  IFERROR(_xlfn.XLOOKUP(BG158,'Lookup Tables'!$A$11:$A$16,'Lookup Tables'!$B$11:$B$16,0),0)
  + IFERROR(_xlfn.XLOOKUP(BR158,'Lookup Tables'!$M$11:$M$14,'Lookup Tables'!$N$11:$N$14,0),0)
  + IFERROR(_xlfn.XLOOKUP(BQ158,'Lookup Tables'!$J$11:$J$15,'Lookup Tables'!$K$11:$K$15,0),0)
  + IFERROR(_xlfn.XLOOKUP(BH158,'Lookup Tables'!$D$11:$D$15,'Lookup Tables'!$E$11:$E$15,0),0)
  + IFERROR(_xlfn.XLOOKUP(BJ158,'Lookup Tables'!$G$11:$G$16,'Lookup Tables'!$H$11:$H$16,0),0)
  + IFERROR(_xlfn.XLOOKUP(BN158,'Lookup Tables'!$P$11:$P$15,'Lookup Tables'!$Q$11:$Q$15,0),0)
  + _xlfn.IFS(BM158="No Evidence",10, BM158="Unknown",3, BM158="Likely",0, BM158="Confirmed",-10, TRUE,3)
  + IFERROR(_xlfn.XLOOKUP(BP158,'Lookup Tables'!$J$21:$J$24,'Lookup Tables'!$K$21:$K$24,0),0)
))</f>
        <v>3</v>
      </c>
      <c r="BT158" s="5"/>
      <c r="BU158" s="5"/>
      <c r="BV158" s="5"/>
      <c r="BW158" s="5"/>
      <c r="BX158" s="5"/>
      <c r="BY158" s="5"/>
      <c r="BZ158" s="5"/>
      <c r="CA158" s="5"/>
      <c r="CB158" s="5"/>
      <c r="CC158" s="5"/>
      <c r="CD158" s="5"/>
      <c r="CE158" s="43">
        <f t="array" ref="CE158">MIN(100, MAX(0,
  IF(ISNUMBER(BV158)*AND(BV158&gt;0), 10, 0)
  + _xlfn.IFS(BY158="Independently Verified",25, BY158="Yes",15, TRUE,0)
  + IFERROR(_xlfn.XLOOKUP(BZ158,'Lookup Tables'!$A$21:$A$24,'Lookup Tables'!$B$21:$B$24,0),0)
  + IFERROR(_xlfn.XLOOKUP(CA158,'Lookup Tables'!$D$21:$D$24,'Lookup Tables'!$E$21:$E$24,0),0)
  + _xlfn.IFS(ISNUMBER(CB158)*AND(CB158&gt;=11),15, ISNUMBER(CB158)*AND(CB158&gt;=6),10, ISNUMBER(CB158)*AND(CB158&gt;=1),5, TRUE,0)
  + IFERROR(_xlfn.XLOOKUP(CC158,'Lookup Tables'!$G$21:$G$25,'Lookup Tables'!$H$21:$H$25,0),0)
  - IF(ISNUMBER(BW158)*AND(ISNUMBER(BV158))*AND(BW158&gt;BV158), 20, 0)
  - IF(AND(BY158="Yes", ISNUMBER(BW158), BW158&gt;60), 10, 0)
))</f>
        <v>0</v>
      </c>
      <c r="CF158" s="5"/>
      <c r="CG158" s="5"/>
      <c r="CH158" s="5"/>
      <c r="CI158" s="5"/>
      <c r="CJ158" s="5"/>
      <c r="CK158" s="5"/>
      <c r="CL158" s="5"/>
      <c r="CM158" s="5"/>
      <c r="CN158" s="5"/>
      <c r="CO158" s="5"/>
      <c r="CP158" s="5"/>
      <c r="CQ158" s="5"/>
      <c r="CR158" s="5">
        <f t="shared" si="90"/>
        <v>0</v>
      </c>
      <c r="CS158" s="5">
        <f t="shared" si="91"/>
        <v>0</v>
      </c>
      <c r="CT158" s="5">
        <f t="shared" si="92"/>
        <v>0</v>
      </c>
      <c r="CU158" s="5">
        <f>MIN(100,
  CR158*15
  + CS158*6
  + CT158*3
  + IFERROR(_xlfn.XLOOKUP(CW158,'Lookup Tables'!$M$21:$M$25,'Lookup Tables'!$N$21:$N$25,0),0)
)</f>
        <v>0</v>
      </c>
      <c r="CV158" s="5" t="str">
        <f t="shared" si="93"/>
        <v>No failures</v>
      </c>
      <c r="CW158" s="5"/>
      <c r="CX158" s="5"/>
      <c r="CY158" s="5"/>
      <c r="CZ158" s="5"/>
      <c r="DA158" s="5" t="str">
        <f t="shared" si="94"/>
        <v>Yes</v>
      </c>
      <c r="DB158" s="5" t="str">
        <f t="shared" si="95"/>
        <v>No</v>
      </c>
      <c r="DC158" s="5"/>
      <c r="DD158" s="5"/>
      <c r="DE158" s="5"/>
      <c r="DF158" s="5"/>
      <c r="DG158" s="5"/>
      <c r="DH158" s="5"/>
      <c r="DI158" s="5"/>
      <c r="DJ158" s="5"/>
      <c r="DK158" s="5"/>
      <c r="DL158" s="5" t="str">
        <f t="shared" si="96"/>
        <v>Clear</v>
      </c>
      <c r="DM158" s="5" t="str">
        <f t="shared" si="97"/>
        <v>Yes</v>
      </c>
      <c r="DN158" s="5">
        <f t="array" ref="DN158">MIN(100,
  IF(ISNUMBER(V158), _xlfn.IFS(V158&gt;=3,25, V158=2,15, V158=1,5, TRUE,0), 0)
  + IFERROR(_xlfn.IFS(VALUE(LEFT(DF158,1))=5,25, VALUE(LEFT(DF158,1))=4,20, VALUE(LEFT(DF158,1))=3,15, VALUE(LEFT(DF158,1))=2,8, TRUE,0), 15)
  + IFERROR(_xlfn.IFS(VALUE(LEFT(DG158,1))=5,25, VALUE(LEFT(DG158,1))=4,20, VALUE(LEFT(DG158,1))=3,15, VALUE(LEFT(DG158,1))=2,8, TRUE,0), 15)
  + _xlfn.IFS(DH158="Fully Verified",25, DH158="Partially Verified",12, TRUE,0)
)</f>
        <v>30</v>
      </c>
      <c r="DO158" s="5" t="str">
        <f t="array" ref="DO158">_xlfn.IFS(
  ISBLANK(AR158), "Insufficient Evidence",
  AND(AR158&gt;=65, AJ158="Approved"), "Strong",
  AR158&gt;=65, "Adequate",
  AR158&gt;=40, "Adequate",
  AR158&gt;=20, "Weak",
  TRUE, "Insufficient Evidence"
)</f>
        <v>Insufficient Evidence</v>
      </c>
      <c r="DP158" s="5" t="str">
        <f t="array" ref="DP158">_xlfn.IFS(
  ISBLANK(BS158), "Insufficient Evidence",
  BS158&gt;=65, "Strong",
  BS158&gt;=40, "Adequate",
  BS158&gt;=20, "Weak",
  TRUE, "Insufficient Evidence"
)</f>
        <v>Insufficient Evidence</v>
      </c>
      <c r="DQ158" s="5" t="str">
        <f t="array" ref="DQ158">_xlfn.IFS(
  ISBLANK(BE158), "Insufficient Evidence",
  OR(AW158="Confirmed Violation", AX158="Confirmed Breach"), "Severe — Hard Trigger",
  BE158&gt;=65, "Strong",
  BE158&gt;=40, "Adequate",
  BE158&gt;=20, "Weak",
  TRUE, "Insufficient Evidence"
)</f>
        <v>Insufficient Evidence</v>
      </c>
      <c r="DR158" s="5" t="str">
        <f t="array" ref="DR158">_xlfn.IFS(
  ISBLANK(CU158), "Insufficient Evidence",
  CU158&lt;=20, "Low Risk",
  CU158&lt;=50, "Moderate Risk",
  CU158&lt;=75, "High Risk",
  TRUE, "Very High Risk"
)</f>
        <v>Low Risk</v>
      </c>
      <c r="DS158" s="5" t="str">
        <f t="array" ref="DS158">_xlfn.IFS(
  ISBLANK(CE158), "Insufficient Evidence",
  AND(ISNUMBER(BW158),ISNUMBER(BV158),BW158&gt;BV158), "Overclaiming Risk",
  CE158&gt;=65, "Strong",
  CE158&gt;=40, "Adequate",
  TRUE, "Weak"
)</f>
        <v>Weak</v>
      </c>
      <c r="DT158" s="5">
        <f t="shared" si="98"/>
        <v>11.7</v>
      </c>
      <c r="DU158" s="5" t="str">
        <f t="array" ref="DU158">_xlfn.IFS(
  DV158="Upgraded to Clear", "Clear",
  DV158="Downgraded to Watchlist", "Watchlist",
  DV158="Downgraded to Exclusion", "Exclusion Risk",
  DB158="Yes — Automatic", "Exclusion Risk",
  OR(AW158="Confirmed Violation", AX158="Confirmed Breach"), "Exclusion Risk",
  OR(V158=0, ISBLANK(V158), DN158&lt;20), "Insufficient Evidence",
  AND(DT158&gt;=65, DA158="No", DB158="No"), "Clear",
  OR(DT158&gt;=40, DA158="Yes"), "Watchlist",
  TRUE, "Exclusion Risk"
)</f>
        <v>Insufficient Evidence</v>
      </c>
      <c r="DV158" s="5"/>
      <c r="DW158" s="5" t="str">
        <f t="array" ref="DW158">_xlfn.IFS(
  DU158="Exclusion Risk", "Exclude — Hard Trigger",
  DU158="Insufficient Evidence", "Watchlist — Further Evidence Needed",
  DU158="Watchlist", "Watchlist — Further Evidence Needed",
  AND(DU158="Clear", DT158&gt;=80), "Include — No Conditions",
  DU158="Clear", "Include — Monitor",
  TRUE, "Watchlist — Further Evidence Needed"
)</f>
        <v>Watchlist — Further Evidence Needed</v>
      </c>
      <c r="DX158" s="5"/>
      <c r="DY158" s="5"/>
      <c r="DZ158" s="5"/>
      <c r="EA158" s="5"/>
      <c r="EB158" s="5" t="str">
        <f t="shared" si="99"/>
        <v>MISSING — No sources reviewed</v>
      </c>
      <c r="EC158" s="5" t="str">
        <f t="shared" si="100"/>
        <v/>
      </c>
    </row>
    <row r="159" spans="1:133" ht="18" customHeight="1" x14ac:dyDescent="0.15">
      <c r="A159" s="5" t="s">
        <v>833</v>
      </c>
      <c r="B159" s="5" t="s">
        <v>834</v>
      </c>
      <c r="C159" s="5" t="str">
        <f>IF(ISBLANK('Universe Tracker'!D134),"",'Universe Tracker'!D134)</f>
        <v>SE0000148884</v>
      </c>
      <c r="D159" s="5"/>
      <c r="E159" s="5"/>
      <c r="F159" s="5" t="str">
        <f>IF(ISBLANK('Universe Tracker'!F134),"",'Universe Tracker'!F134)</f>
        <v>Financials</v>
      </c>
      <c r="G159" s="5" t="str">
        <f>IF(ISBLANK('Universe Tracker'!G134),"",'Universe Tracker'!G134)</f>
        <v>Banking</v>
      </c>
      <c r="H159" s="5"/>
      <c r="I159" s="5"/>
      <c r="J159" s="5" t="str">
        <f t="shared" si="88"/>
        <v>SEBA_SE0000148884</v>
      </c>
      <c r="K159" s="5"/>
      <c r="L159" s="5"/>
      <c r="M159" s="5"/>
      <c r="N159" s="5"/>
      <c r="O159" s="5"/>
      <c r="P159" s="5"/>
      <c r="Q159" s="5"/>
      <c r="R159" s="5"/>
      <c r="S159" s="5"/>
      <c r="T159" s="5"/>
      <c r="U159" s="5"/>
      <c r="V159" s="5"/>
      <c r="W159" s="5"/>
      <c r="X159" s="5"/>
      <c r="Y159" s="5" t="str">
        <f t="shared" si="89"/>
        <v>Insufficient</v>
      </c>
      <c r="Z159" s="5"/>
      <c r="AA159" s="5"/>
      <c r="AB159" s="5"/>
      <c r="AC159" s="5"/>
      <c r="AD159" s="5"/>
      <c r="AE159" s="5"/>
      <c r="AF159" s="5"/>
      <c r="AG159" s="5"/>
      <c r="AH159" s="5"/>
      <c r="AI159" s="5"/>
      <c r="AJ159" s="5"/>
      <c r="AK159" s="5"/>
      <c r="AL159" s="5"/>
      <c r="AM159" s="5"/>
      <c r="AN159" s="5"/>
      <c r="AO159" s="5"/>
      <c r="AP159" s="5"/>
      <c r="AQ159" s="5"/>
      <c r="AR159" s="40">
        <f t="array" ref="AR159">MIN(100, MAX(0,
  IFERROR(_xlfn.XLOOKUP(AJ159,'Lookup Tables'!$A$2:$A$7,'Lookup Tables'!$B$2:$B$7,0),0)
  + IF(Z159="Yes", IF(IFERROR(_xlfn.XLOOKUP(AJ159,'Lookup Tables'!$A$2:$A$7,'Lookup Tables'!$B$2:$B$7,0),0)&lt;20, 5, 0), 0)
  + _xlfn.IFS(AB159="Yes", IF(ISNUMBER(AC159)*AND(AC159&lt;=2030),15,10), AB159="Long-term Only", 5, AB159="No", 0, TRUE, 0)
  + _xlfn.IFS(AF159="Full",10, AF159="Partial",5, AF159="Scope 2 Only",3, TRUE,0)
  + _xlfn.IFS(AG159="Yes", IF(ISNUMBER(AH159)*AND(AH159&gt;=5),10,6), AG159="Partial",4, TRUE,0)
  + _xlfn.IFS(AI159="Yes",5, AI159="Partial (material categories only)",3, TRUE,0)
  + _xlfn.IFS(AL159="Yes — Detailed",10, AL159="Yes — High Level",5, TRUE,0)
  + _xlfn.IFS(AM159="Yes — Quantified",15, AM159="Yes — Directional Only",7, TRUE,0)
  + _xlfn.IFS(AP159="Formal",5, AP159="Referenced",2, TRUE,0)
  + _xlfn.IFS(AQ159="No Issues Found",5, AQ159="Concern Identified",-5, AQ159="Severe Contradiction",-15, TRUE,0)
  + _xlfn.IFS(BC159="Reasonable Assurance",5, BC159="Limited Assurance",3, TRUE,0)
  - IF(AND(Z159="Yes", AI159="No"), 10, 0)
  - IF(AND(Z159="Yes", AM159="No"), 10, 0)
))</f>
        <v>0</v>
      </c>
      <c r="AS159" s="5"/>
      <c r="AT159" s="5"/>
      <c r="AU159" s="5"/>
      <c r="AV159" s="5"/>
      <c r="AW159" s="5"/>
      <c r="AX159" s="5"/>
      <c r="AY159" s="5"/>
      <c r="AZ159" s="5"/>
      <c r="BA159" s="5"/>
      <c r="BB159" s="5"/>
      <c r="BC159" s="5"/>
      <c r="BD159" s="5"/>
      <c r="BE159" s="39">
        <f t="array" ref="BE159">MIN(100, MAX(0,
  IFERROR(_xlfn.XLOOKUP(AT159,'Lookup Tables'!$D$2:$D$6,'Lookup Tables'!$E$2:$E$6,0),0)
  + IFERROR(_xlfn.XLOOKUP(AV159,'Lookup Tables'!$G$2:$G$5,'Lookup Tables'!$H$2:$H$5,0),0)
  + IFERROR(_xlfn.XLOOKUP(AW159,'Lookup Tables'!$J$2:$J$5,'Lookup Tables'!$K$2:$K$5,0),0)
  + _xlfn.IFS(AX159="No Issues",10, AX159="Complaint Filed",3, AX159="Confirmed Breach",-15, TRUE,0)
  + IFERROR(_xlfn.XLOOKUP(AY159,'Lookup Tables'!$M$2:$M$6,'Lookup Tables'!$N$2:$N$6,0),0)
  + IFERROR(_xlfn.XLOOKUP(AZ159,'Lookup Tables'!$P$2:$P$6,'Lookup Tables'!$Q$2:$Q$6,0),0)
  + _xlfn.IFS(BA159="Formal Board Committee",5, BA159="Board Oversight Mentioned",2, TRUE,0)
  + _xlfn.IFS(BB159="Yes — Quantified Targets",5, BB159="Yes — Discretionary Only",2, TRUE,0)
  + _xlfn.IFS(BC159="Reasonable Assurance",5, BC159="Limited Assurance",3, BC159="Management Review Only",1, TRUE,0)
))</f>
        <v>0</v>
      </c>
      <c r="BF159" s="5"/>
      <c r="BG159" s="5"/>
      <c r="BH159" s="5"/>
      <c r="BI159" s="5"/>
      <c r="BJ159" s="5"/>
      <c r="BK159" s="5"/>
      <c r="BL159" s="5"/>
      <c r="BM159" s="5"/>
      <c r="BN159" s="5"/>
      <c r="BO159" s="5"/>
      <c r="BP159" s="5"/>
      <c r="BQ159" s="5"/>
      <c r="BR159" s="5"/>
      <c r="BS159" s="41">
        <f t="array" ref="BS159">MIN(100, MAX(0,
  IFERROR(_xlfn.XLOOKUP(BG159,'Lookup Tables'!$A$11:$A$16,'Lookup Tables'!$B$11:$B$16,0),0)
  + IFERROR(_xlfn.XLOOKUP(BR159,'Lookup Tables'!$M$11:$M$14,'Lookup Tables'!$N$11:$N$14,0),0)
  + IFERROR(_xlfn.XLOOKUP(BQ159,'Lookup Tables'!$J$11:$J$15,'Lookup Tables'!$K$11:$K$15,0),0)
  + IFERROR(_xlfn.XLOOKUP(BH159,'Lookup Tables'!$D$11:$D$15,'Lookup Tables'!$E$11:$E$15,0),0)
  + IFERROR(_xlfn.XLOOKUP(BJ159,'Lookup Tables'!$G$11:$G$16,'Lookup Tables'!$H$11:$H$16,0),0)
  + IFERROR(_xlfn.XLOOKUP(BN159,'Lookup Tables'!$P$11:$P$15,'Lookup Tables'!$Q$11:$Q$15,0),0)
  + _xlfn.IFS(BM159="No Evidence",10, BM159="Unknown",3, BM159="Likely",0, BM159="Confirmed",-10, TRUE,3)
  + IFERROR(_xlfn.XLOOKUP(BP159,'Lookup Tables'!$J$21:$J$24,'Lookup Tables'!$K$21:$K$24,0),0)
))</f>
        <v>3</v>
      </c>
      <c r="BT159" s="5"/>
      <c r="BU159" s="5"/>
      <c r="BV159" s="5"/>
      <c r="BW159" s="5"/>
      <c r="BX159" s="5"/>
      <c r="BY159" s="5"/>
      <c r="BZ159" s="5"/>
      <c r="CA159" s="5"/>
      <c r="CB159" s="5"/>
      <c r="CC159" s="5"/>
      <c r="CD159" s="5"/>
      <c r="CE159" s="43">
        <f t="array" ref="CE159">MIN(100, MAX(0,
  IF(ISNUMBER(BV159)*AND(BV159&gt;0), 10, 0)
  + _xlfn.IFS(BY159="Independently Verified",25, BY159="Yes",15, TRUE,0)
  + IFERROR(_xlfn.XLOOKUP(BZ159,'Lookup Tables'!$A$21:$A$24,'Lookup Tables'!$B$21:$B$24,0),0)
  + IFERROR(_xlfn.XLOOKUP(CA159,'Lookup Tables'!$D$21:$D$24,'Lookup Tables'!$E$21:$E$24,0),0)
  + _xlfn.IFS(ISNUMBER(CB159)*AND(CB159&gt;=11),15, ISNUMBER(CB159)*AND(CB159&gt;=6),10, ISNUMBER(CB159)*AND(CB159&gt;=1),5, TRUE,0)
  + IFERROR(_xlfn.XLOOKUP(CC159,'Lookup Tables'!$G$21:$G$25,'Lookup Tables'!$H$21:$H$25,0),0)
  - IF(ISNUMBER(BW159)*AND(ISNUMBER(BV159))*AND(BW159&gt;BV159), 20, 0)
  - IF(AND(BY159="Yes", ISNUMBER(BW159), BW159&gt;60), 10, 0)
))</f>
        <v>0</v>
      </c>
      <c r="CF159" s="5"/>
      <c r="CG159" s="5"/>
      <c r="CH159" s="5"/>
      <c r="CI159" s="5"/>
      <c r="CJ159" s="5"/>
      <c r="CK159" s="5"/>
      <c r="CL159" s="5"/>
      <c r="CM159" s="5"/>
      <c r="CN159" s="5"/>
      <c r="CO159" s="5"/>
      <c r="CP159" s="5"/>
      <c r="CQ159" s="5"/>
      <c r="CR159" s="5">
        <f t="shared" si="90"/>
        <v>0</v>
      </c>
      <c r="CS159" s="5">
        <f t="shared" si="91"/>
        <v>0</v>
      </c>
      <c r="CT159" s="5">
        <f t="shared" si="92"/>
        <v>0</v>
      </c>
      <c r="CU159" s="5">
        <f>MIN(100,
  CR159*15
  + CS159*6
  + CT159*3
  + IFERROR(_xlfn.XLOOKUP(CW159,'Lookup Tables'!$M$21:$M$25,'Lookup Tables'!$N$21:$N$25,0),0)
)</f>
        <v>0</v>
      </c>
      <c r="CV159" s="5" t="str">
        <f t="shared" si="93"/>
        <v>No failures</v>
      </c>
      <c r="CW159" s="5"/>
      <c r="CX159" s="5"/>
      <c r="CY159" s="5"/>
      <c r="CZ159" s="5"/>
      <c r="DA159" s="5" t="str">
        <f t="shared" si="94"/>
        <v>Yes</v>
      </c>
      <c r="DB159" s="5" t="str">
        <f t="shared" si="95"/>
        <v>No</v>
      </c>
      <c r="DC159" s="5"/>
      <c r="DD159" s="5"/>
      <c r="DE159" s="5"/>
      <c r="DF159" s="5"/>
      <c r="DG159" s="5"/>
      <c r="DH159" s="5"/>
      <c r="DI159" s="5"/>
      <c r="DJ159" s="5"/>
      <c r="DK159" s="5"/>
      <c r="DL159" s="5" t="str">
        <f t="shared" si="96"/>
        <v>Clear</v>
      </c>
      <c r="DM159" s="5" t="str">
        <f t="shared" si="97"/>
        <v>Yes</v>
      </c>
      <c r="DN159" s="5">
        <f t="array" ref="DN159">MIN(100,
  IF(ISNUMBER(V159), _xlfn.IFS(V159&gt;=3,25, V159=2,15, V159=1,5, TRUE,0), 0)
  + IFERROR(_xlfn.IFS(VALUE(LEFT(DF159,1))=5,25, VALUE(LEFT(DF159,1))=4,20, VALUE(LEFT(DF159,1))=3,15, VALUE(LEFT(DF159,1))=2,8, TRUE,0), 15)
  + IFERROR(_xlfn.IFS(VALUE(LEFT(DG159,1))=5,25, VALUE(LEFT(DG159,1))=4,20, VALUE(LEFT(DG159,1))=3,15, VALUE(LEFT(DG159,1))=2,8, TRUE,0), 15)
  + _xlfn.IFS(DH159="Fully Verified",25, DH159="Partially Verified",12, TRUE,0)
)</f>
        <v>30</v>
      </c>
      <c r="DO159" s="5" t="str">
        <f t="array" ref="DO159">_xlfn.IFS(
  ISBLANK(AR159), "Insufficient Evidence",
  AND(AR159&gt;=65, AJ159="Approved"), "Strong",
  AR159&gt;=65, "Adequate",
  AR159&gt;=40, "Adequate",
  AR159&gt;=20, "Weak",
  TRUE, "Insufficient Evidence"
)</f>
        <v>Insufficient Evidence</v>
      </c>
      <c r="DP159" s="5" t="str">
        <f t="array" ref="DP159">_xlfn.IFS(
  ISBLANK(BS159), "Insufficient Evidence",
  BS159&gt;=65, "Strong",
  BS159&gt;=40, "Adequate",
  BS159&gt;=20, "Weak",
  TRUE, "Insufficient Evidence"
)</f>
        <v>Insufficient Evidence</v>
      </c>
      <c r="DQ159" s="5" t="str">
        <f t="array" ref="DQ159">_xlfn.IFS(
  ISBLANK(BE159), "Insufficient Evidence",
  OR(AW159="Confirmed Violation", AX159="Confirmed Breach"), "Severe — Hard Trigger",
  BE159&gt;=65, "Strong",
  BE159&gt;=40, "Adequate",
  BE159&gt;=20, "Weak",
  TRUE, "Insufficient Evidence"
)</f>
        <v>Insufficient Evidence</v>
      </c>
      <c r="DR159" s="5" t="str">
        <f t="array" ref="DR159">_xlfn.IFS(
  ISBLANK(CU159), "Insufficient Evidence",
  CU159&lt;=20, "Low Risk",
  CU159&lt;=50, "Moderate Risk",
  CU159&lt;=75, "High Risk",
  TRUE, "Very High Risk"
)</f>
        <v>Low Risk</v>
      </c>
      <c r="DS159" s="5" t="str">
        <f t="array" ref="DS159">_xlfn.IFS(
  ISBLANK(CE159), "Insufficient Evidence",
  AND(ISNUMBER(BW159),ISNUMBER(BV159),BW159&gt;BV159), "Overclaiming Risk",
  CE159&gt;=65, "Strong",
  CE159&gt;=40, "Adequate",
  TRUE, "Weak"
)</f>
        <v>Weak</v>
      </c>
      <c r="DT159" s="5">
        <f t="shared" si="98"/>
        <v>11.7</v>
      </c>
      <c r="DU159" s="5" t="str">
        <f t="array" ref="DU159">_xlfn.IFS(
  DV159="Upgraded to Clear", "Clear",
  DV159="Downgraded to Watchlist", "Watchlist",
  DV159="Downgraded to Exclusion", "Exclusion Risk",
  DB159="Yes — Automatic", "Exclusion Risk",
  OR(AW159="Confirmed Violation", AX159="Confirmed Breach"), "Exclusion Risk",
  OR(V159=0, ISBLANK(V159), DN159&lt;20), "Insufficient Evidence",
  AND(DT159&gt;=65, DA159="No", DB159="No"), "Clear",
  OR(DT159&gt;=40, DA159="Yes"), "Watchlist",
  TRUE, "Exclusion Risk"
)</f>
        <v>Insufficient Evidence</v>
      </c>
      <c r="DV159" s="5"/>
      <c r="DW159" s="5" t="str">
        <f t="array" ref="DW159">_xlfn.IFS(
  DU159="Exclusion Risk", "Exclude — Hard Trigger",
  DU159="Insufficient Evidence", "Watchlist — Further Evidence Needed",
  DU159="Watchlist", "Watchlist — Further Evidence Needed",
  AND(DU159="Clear", DT159&gt;=80), "Include — No Conditions",
  DU159="Clear", "Include — Monitor",
  TRUE, "Watchlist — Further Evidence Needed"
)</f>
        <v>Watchlist — Further Evidence Needed</v>
      </c>
      <c r="DX159" s="5"/>
      <c r="DY159" s="5"/>
      <c r="DZ159" s="5"/>
      <c r="EA159" s="5"/>
      <c r="EB159" s="5" t="str">
        <f t="shared" si="99"/>
        <v>MISSING — No sources reviewed</v>
      </c>
      <c r="EC159" s="5" t="str">
        <f t="shared" si="100"/>
        <v/>
      </c>
    </row>
    <row r="160" spans="1:133" ht="18" customHeight="1" x14ac:dyDescent="0.15">
      <c r="A160" s="5" t="s">
        <v>837</v>
      </c>
      <c r="B160" s="5" t="s">
        <v>838</v>
      </c>
      <c r="C160" s="5" t="str">
        <f>IF(ISBLANK('Universe Tracker'!D135),"",'Universe Tracker'!D135)</f>
        <v>DE0006070006</v>
      </c>
      <c r="D160" s="5"/>
      <c r="E160" s="5"/>
      <c r="F160" s="5" t="str">
        <f>IF(ISBLANK('Universe Tracker'!F135),"",'Universe Tracker'!F135)</f>
        <v>Industrials</v>
      </c>
      <c r="G160" s="5" t="str">
        <f>IF(ISBLANK('Universe Tracker'!G135),"",'Universe Tracker'!G135)</f>
        <v>Industrial Services</v>
      </c>
      <c r="H160" s="5"/>
      <c r="I160" s="5"/>
      <c r="J160" s="5" t="str">
        <f t="shared" si="88"/>
        <v>HOT_DE0006070006</v>
      </c>
      <c r="K160" s="5"/>
      <c r="L160" s="5"/>
      <c r="M160" s="5"/>
      <c r="N160" s="5"/>
      <c r="O160" s="5"/>
      <c r="P160" s="5"/>
      <c r="Q160" s="5"/>
      <c r="R160" s="5"/>
      <c r="S160" s="5"/>
      <c r="T160" s="5"/>
      <c r="U160" s="5"/>
      <c r="V160" s="5"/>
      <c r="W160" s="5"/>
      <c r="X160" s="5"/>
      <c r="Y160" s="5" t="str">
        <f t="shared" si="89"/>
        <v>Insufficient</v>
      </c>
      <c r="Z160" s="5"/>
      <c r="AA160" s="5"/>
      <c r="AB160" s="5"/>
      <c r="AC160" s="5"/>
      <c r="AD160" s="5"/>
      <c r="AE160" s="5"/>
      <c r="AF160" s="5"/>
      <c r="AG160" s="5"/>
      <c r="AH160" s="5"/>
      <c r="AI160" s="5"/>
      <c r="AJ160" s="5"/>
      <c r="AK160" s="5"/>
      <c r="AL160" s="5"/>
      <c r="AM160" s="5"/>
      <c r="AN160" s="5"/>
      <c r="AO160" s="5"/>
      <c r="AP160" s="5"/>
      <c r="AQ160" s="5"/>
      <c r="AR160" s="40">
        <f t="array" ref="AR160">MIN(100, MAX(0,
  IFERROR(_xlfn.XLOOKUP(AJ160,'Lookup Tables'!$A$2:$A$7,'Lookup Tables'!$B$2:$B$7,0),0)
  + IF(Z160="Yes", IF(IFERROR(_xlfn.XLOOKUP(AJ160,'Lookup Tables'!$A$2:$A$7,'Lookup Tables'!$B$2:$B$7,0),0)&lt;20, 5, 0), 0)
  + _xlfn.IFS(AB160="Yes", IF(ISNUMBER(AC160)*AND(AC160&lt;=2030),15,10), AB160="Long-term Only", 5, AB160="No", 0, TRUE, 0)
  + _xlfn.IFS(AF160="Full",10, AF160="Partial",5, AF160="Scope 2 Only",3, TRUE,0)
  + _xlfn.IFS(AG160="Yes", IF(ISNUMBER(AH160)*AND(AH160&gt;=5),10,6), AG160="Partial",4, TRUE,0)
  + _xlfn.IFS(AI160="Yes",5, AI160="Partial (material categories only)",3, TRUE,0)
  + _xlfn.IFS(AL160="Yes — Detailed",10, AL160="Yes — High Level",5, TRUE,0)
  + _xlfn.IFS(AM160="Yes — Quantified",15, AM160="Yes — Directional Only",7, TRUE,0)
  + _xlfn.IFS(AP160="Formal",5, AP160="Referenced",2, TRUE,0)
  + _xlfn.IFS(AQ160="No Issues Found",5, AQ160="Concern Identified",-5, AQ160="Severe Contradiction",-15, TRUE,0)
  + _xlfn.IFS(BC160="Reasonable Assurance",5, BC160="Limited Assurance",3, TRUE,0)
  - IF(AND(Z160="Yes", AI160="No"), 10, 0)
  - IF(AND(Z160="Yes", AM160="No"), 10, 0)
))</f>
        <v>0</v>
      </c>
      <c r="AS160" s="5"/>
      <c r="AT160" s="5"/>
      <c r="AU160" s="5"/>
      <c r="AV160" s="5"/>
      <c r="AW160" s="5"/>
      <c r="AX160" s="5"/>
      <c r="AY160" s="5"/>
      <c r="AZ160" s="5"/>
      <c r="BA160" s="5"/>
      <c r="BB160" s="5"/>
      <c r="BC160" s="5"/>
      <c r="BD160" s="5"/>
      <c r="BE160" s="39">
        <f t="array" ref="BE160">MIN(100, MAX(0,
  IFERROR(_xlfn.XLOOKUP(AT160,'Lookup Tables'!$D$2:$D$6,'Lookup Tables'!$E$2:$E$6,0),0)
  + IFERROR(_xlfn.XLOOKUP(AV160,'Lookup Tables'!$G$2:$G$5,'Lookup Tables'!$H$2:$H$5,0),0)
  + IFERROR(_xlfn.XLOOKUP(AW160,'Lookup Tables'!$J$2:$J$5,'Lookup Tables'!$K$2:$K$5,0),0)
  + _xlfn.IFS(AX160="No Issues",10, AX160="Complaint Filed",3, AX160="Confirmed Breach",-15, TRUE,0)
  + IFERROR(_xlfn.XLOOKUP(AY160,'Lookup Tables'!$M$2:$M$6,'Lookup Tables'!$N$2:$N$6,0),0)
  + IFERROR(_xlfn.XLOOKUP(AZ160,'Lookup Tables'!$P$2:$P$6,'Lookup Tables'!$Q$2:$Q$6,0),0)
  + _xlfn.IFS(BA160="Formal Board Committee",5, BA160="Board Oversight Mentioned",2, TRUE,0)
  + _xlfn.IFS(BB160="Yes — Quantified Targets",5, BB160="Yes — Discretionary Only",2, TRUE,0)
  + _xlfn.IFS(BC160="Reasonable Assurance",5, BC160="Limited Assurance",3, BC160="Management Review Only",1, TRUE,0)
))</f>
        <v>0</v>
      </c>
      <c r="BF160" s="5"/>
      <c r="BG160" s="5"/>
      <c r="BH160" s="5"/>
      <c r="BI160" s="5"/>
      <c r="BJ160" s="5"/>
      <c r="BK160" s="5"/>
      <c r="BL160" s="5"/>
      <c r="BM160" s="5"/>
      <c r="BN160" s="5"/>
      <c r="BO160" s="5"/>
      <c r="BP160" s="5"/>
      <c r="BQ160" s="5"/>
      <c r="BR160" s="5"/>
      <c r="BS160" s="41">
        <f t="array" ref="BS160">MIN(100, MAX(0,
  IFERROR(_xlfn.XLOOKUP(BG160,'Lookup Tables'!$A$11:$A$16,'Lookup Tables'!$B$11:$B$16,0),0)
  + IFERROR(_xlfn.XLOOKUP(BR160,'Lookup Tables'!$M$11:$M$14,'Lookup Tables'!$N$11:$N$14,0),0)
  + IFERROR(_xlfn.XLOOKUP(BQ160,'Lookup Tables'!$J$11:$J$15,'Lookup Tables'!$K$11:$K$15,0),0)
  + IFERROR(_xlfn.XLOOKUP(BH160,'Lookup Tables'!$D$11:$D$15,'Lookup Tables'!$E$11:$E$15,0),0)
  + IFERROR(_xlfn.XLOOKUP(BJ160,'Lookup Tables'!$G$11:$G$16,'Lookup Tables'!$H$11:$H$16,0),0)
  + IFERROR(_xlfn.XLOOKUP(BN160,'Lookup Tables'!$P$11:$P$15,'Lookup Tables'!$Q$11:$Q$15,0),0)
  + _xlfn.IFS(BM160="No Evidence",10, BM160="Unknown",3, BM160="Likely",0, BM160="Confirmed",-10, TRUE,3)
  + IFERROR(_xlfn.XLOOKUP(BP160,'Lookup Tables'!$J$21:$J$24,'Lookup Tables'!$K$21:$K$24,0),0)
))</f>
        <v>3</v>
      </c>
      <c r="BT160" s="5"/>
      <c r="BU160" s="5"/>
      <c r="BV160" s="5"/>
      <c r="BW160" s="5"/>
      <c r="BX160" s="5"/>
      <c r="BY160" s="5"/>
      <c r="BZ160" s="5"/>
      <c r="CA160" s="5"/>
      <c r="CB160" s="5"/>
      <c r="CC160" s="5"/>
      <c r="CD160" s="5"/>
      <c r="CE160" s="43">
        <f t="array" ref="CE160">MIN(100, MAX(0,
  IF(ISNUMBER(BV160)*AND(BV160&gt;0), 10, 0)
  + _xlfn.IFS(BY160="Independently Verified",25, BY160="Yes",15, TRUE,0)
  + IFERROR(_xlfn.XLOOKUP(BZ160,'Lookup Tables'!$A$21:$A$24,'Lookup Tables'!$B$21:$B$24,0),0)
  + IFERROR(_xlfn.XLOOKUP(CA160,'Lookup Tables'!$D$21:$D$24,'Lookup Tables'!$E$21:$E$24,0),0)
  + _xlfn.IFS(ISNUMBER(CB160)*AND(CB160&gt;=11),15, ISNUMBER(CB160)*AND(CB160&gt;=6),10, ISNUMBER(CB160)*AND(CB160&gt;=1),5, TRUE,0)
  + IFERROR(_xlfn.XLOOKUP(CC160,'Lookup Tables'!$G$21:$G$25,'Lookup Tables'!$H$21:$H$25,0),0)
  - IF(ISNUMBER(BW160)*AND(ISNUMBER(BV160))*AND(BW160&gt;BV160), 20, 0)
  - IF(AND(BY160="Yes", ISNUMBER(BW160), BW160&gt;60), 10, 0)
))</f>
        <v>0</v>
      </c>
      <c r="CF160" s="5"/>
      <c r="CG160" s="5"/>
      <c r="CH160" s="5"/>
      <c r="CI160" s="5"/>
      <c r="CJ160" s="5"/>
      <c r="CK160" s="5"/>
      <c r="CL160" s="5"/>
      <c r="CM160" s="5"/>
      <c r="CN160" s="5"/>
      <c r="CO160" s="5"/>
      <c r="CP160" s="5"/>
      <c r="CQ160" s="5"/>
      <c r="CR160" s="5">
        <f t="shared" si="90"/>
        <v>0</v>
      </c>
      <c r="CS160" s="5">
        <f t="shared" si="91"/>
        <v>0</v>
      </c>
      <c r="CT160" s="5">
        <f t="shared" si="92"/>
        <v>0</v>
      </c>
      <c r="CU160" s="5">
        <f>MIN(100,
  CR160*15
  + CS160*6
  + CT160*3
  + IFERROR(_xlfn.XLOOKUP(CW160,'Lookup Tables'!$M$21:$M$25,'Lookup Tables'!$N$21:$N$25,0),0)
)</f>
        <v>0</v>
      </c>
      <c r="CV160" s="5" t="str">
        <f t="shared" si="93"/>
        <v>No failures</v>
      </c>
      <c r="CW160" s="5"/>
      <c r="CX160" s="5"/>
      <c r="CY160" s="5"/>
      <c r="CZ160" s="5"/>
      <c r="DA160" s="5" t="str">
        <f t="shared" si="94"/>
        <v>Yes</v>
      </c>
      <c r="DB160" s="5" t="str">
        <f t="shared" si="95"/>
        <v>No</v>
      </c>
      <c r="DC160" s="5"/>
      <c r="DD160" s="5"/>
      <c r="DE160" s="5"/>
      <c r="DF160" s="5"/>
      <c r="DG160" s="5"/>
      <c r="DH160" s="5"/>
      <c r="DI160" s="5"/>
      <c r="DJ160" s="5"/>
      <c r="DK160" s="5"/>
      <c r="DL160" s="5" t="str">
        <f t="shared" si="96"/>
        <v>Clear</v>
      </c>
      <c r="DM160" s="5" t="str">
        <f t="shared" si="97"/>
        <v>Yes</v>
      </c>
      <c r="DN160" s="5">
        <f t="array" ref="DN160">MIN(100,
  IF(ISNUMBER(V160), _xlfn.IFS(V160&gt;=3,25, V160=2,15, V160=1,5, TRUE,0), 0)
  + IFERROR(_xlfn.IFS(VALUE(LEFT(DF160,1))=5,25, VALUE(LEFT(DF160,1))=4,20, VALUE(LEFT(DF160,1))=3,15, VALUE(LEFT(DF160,1))=2,8, TRUE,0), 15)
  + IFERROR(_xlfn.IFS(VALUE(LEFT(DG160,1))=5,25, VALUE(LEFT(DG160,1))=4,20, VALUE(LEFT(DG160,1))=3,15, VALUE(LEFT(DG160,1))=2,8, TRUE,0), 15)
  + _xlfn.IFS(DH160="Fully Verified",25, DH160="Partially Verified",12, TRUE,0)
)</f>
        <v>30</v>
      </c>
      <c r="DO160" s="5" t="str">
        <f t="array" ref="DO160">_xlfn.IFS(
  ISBLANK(AR160), "Insufficient Evidence",
  AND(AR160&gt;=65, AJ160="Approved"), "Strong",
  AR160&gt;=65, "Adequate",
  AR160&gt;=40, "Adequate",
  AR160&gt;=20, "Weak",
  TRUE, "Insufficient Evidence"
)</f>
        <v>Insufficient Evidence</v>
      </c>
      <c r="DP160" s="5" t="str">
        <f t="array" ref="DP160">_xlfn.IFS(
  ISBLANK(BS160), "Insufficient Evidence",
  BS160&gt;=65, "Strong",
  BS160&gt;=40, "Adequate",
  BS160&gt;=20, "Weak",
  TRUE, "Insufficient Evidence"
)</f>
        <v>Insufficient Evidence</v>
      </c>
      <c r="DQ160" s="5" t="str">
        <f t="array" ref="DQ160">_xlfn.IFS(
  ISBLANK(BE160), "Insufficient Evidence",
  OR(AW160="Confirmed Violation", AX160="Confirmed Breach"), "Severe — Hard Trigger",
  BE160&gt;=65, "Strong",
  BE160&gt;=40, "Adequate",
  BE160&gt;=20, "Weak",
  TRUE, "Insufficient Evidence"
)</f>
        <v>Insufficient Evidence</v>
      </c>
      <c r="DR160" s="5" t="str">
        <f t="array" ref="DR160">_xlfn.IFS(
  ISBLANK(CU160), "Insufficient Evidence",
  CU160&lt;=20, "Low Risk",
  CU160&lt;=50, "Moderate Risk",
  CU160&lt;=75, "High Risk",
  TRUE, "Very High Risk"
)</f>
        <v>Low Risk</v>
      </c>
      <c r="DS160" s="5" t="str">
        <f t="array" ref="DS160">_xlfn.IFS(
  ISBLANK(CE160), "Insufficient Evidence",
  AND(ISNUMBER(BW160),ISNUMBER(BV160),BW160&gt;BV160), "Overclaiming Risk",
  CE160&gt;=65, "Strong",
  CE160&gt;=40, "Adequate",
  TRUE, "Weak"
)</f>
        <v>Weak</v>
      </c>
      <c r="DT160" s="5">
        <f t="shared" si="98"/>
        <v>11.7</v>
      </c>
      <c r="DU160" s="5" t="str">
        <f t="array" ref="DU160">_xlfn.IFS(
  DV160="Upgraded to Clear", "Clear",
  DV160="Downgraded to Watchlist", "Watchlist",
  DV160="Downgraded to Exclusion", "Exclusion Risk",
  DB160="Yes — Automatic", "Exclusion Risk",
  OR(AW160="Confirmed Violation", AX160="Confirmed Breach"), "Exclusion Risk",
  OR(V160=0, ISBLANK(V160), DN160&lt;20), "Insufficient Evidence",
  AND(DT160&gt;=65, DA160="No", DB160="No"), "Clear",
  OR(DT160&gt;=40, DA160="Yes"), "Watchlist",
  TRUE, "Exclusion Risk"
)</f>
        <v>Insufficient Evidence</v>
      </c>
      <c r="DV160" s="5"/>
      <c r="DW160" s="5" t="str">
        <f t="array" ref="DW160">_xlfn.IFS(
  DU160="Exclusion Risk", "Exclude — Hard Trigger",
  DU160="Insufficient Evidence", "Watchlist — Further Evidence Needed",
  DU160="Watchlist", "Watchlist — Further Evidence Needed",
  AND(DU160="Clear", DT160&gt;=80), "Include — No Conditions",
  DU160="Clear", "Include — Monitor",
  TRUE, "Watchlist — Further Evidence Needed"
)</f>
        <v>Watchlist — Further Evidence Needed</v>
      </c>
      <c r="DX160" s="5"/>
      <c r="DY160" s="5"/>
      <c r="DZ160" s="5"/>
      <c r="EA160" s="5"/>
      <c r="EB160" s="5" t="str">
        <f t="shared" si="99"/>
        <v>MISSING — No sources reviewed</v>
      </c>
      <c r="EC160" s="5" t="str">
        <f t="shared" si="100"/>
        <v/>
      </c>
    </row>
    <row r="161" spans="1:133" ht="18" customHeight="1" x14ac:dyDescent="0.15">
      <c r="A161" s="5" t="s">
        <v>841</v>
      </c>
      <c r="B161" s="5" t="s">
        <v>842</v>
      </c>
      <c r="C161" s="5" t="str">
        <f>IF(ISBLANK('Universe Tracker'!D136),"",'Universe Tracker'!D136)</f>
        <v>SE0014990966</v>
      </c>
      <c r="D161" s="5"/>
      <c r="E161" s="5"/>
      <c r="F161" s="5" t="str">
        <f>IF(ISBLANK('Universe Tracker'!F136),"",'Universe Tracker'!F136)</f>
        <v>Technology</v>
      </c>
      <c r="G161" s="5" t="str">
        <f>IF(ISBLANK('Universe Tracker'!G136),"",'Universe Tracker'!G136)</f>
        <v>Tech Hardware &amp; Semiconductors</v>
      </c>
      <c r="H161" s="5"/>
      <c r="I161" s="5"/>
      <c r="J161" s="5" t="str">
        <f t="shared" si="88"/>
        <v>LG72_SE0014990966</v>
      </c>
      <c r="K161" s="5"/>
      <c r="L161" s="5"/>
      <c r="M161" s="5"/>
      <c r="N161" s="5"/>
      <c r="O161" s="5"/>
      <c r="P161" s="5"/>
      <c r="Q161" s="5"/>
      <c r="R161" s="5"/>
      <c r="S161" s="5"/>
      <c r="T161" s="5"/>
      <c r="U161" s="5"/>
      <c r="V161" s="5"/>
      <c r="W161" s="5"/>
      <c r="X161" s="5"/>
      <c r="Y161" s="5" t="str">
        <f t="shared" si="89"/>
        <v>Insufficient</v>
      </c>
      <c r="Z161" s="5"/>
      <c r="AA161" s="5"/>
      <c r="AB161" s="5"/>
      <c r="AC161" s="5"/>
      <c r="AD161" s="5"/>
      <c r="AE161" s="5"/>
      <c r="AF161" s="5"/>
      <c r="AG161" s="5"/>
      <c r="AH161" s="5"/>
      <c r="AI161" s="5"/>
      <c r="AJ161" s="5"/>
      <c r="AK161" s="5"/>
      <c r="AL161" s="5"/>
      <c r="AM161" s="5"/>
      <c r="AN161" s="5"/>
      <c r="AO161" s="5"/>
      <c r="AP161" s="5"/>
      <c r="AQ161" s="5"/>
      <c r="AR161" s="40">
        <f t="array" ref="AR161">MIN(100, MAX(0,
  IFERROR(_xlfn.XLOOKUP(AJ161,'Lookup Tables'!$A$2:$A$7,'Lookup Tables'!$B$2:$B$7,0),0)
  + IF(Z161="Yes", IF(IFERROR(_xlfn.XLOOKUP(AJ161,'Lookup Tables'!$A$2:$A$7,'Lookup Tables'!$B$2:$B$7,0),0)&lt;20, 5, 0), 0)
  + _xlfn.IFS(AB161="Yes", IF(ISNUMBER(AC161)*AND(AC161&lt;=2030),15,10), AB161="Long-term Only", 5, AB161="No", 0, TRUE, 0)
  + _xlfn.IFS(AF161="Full",10, AF161="Partial",5, AF161="Scope 2 Only",3, TRUE,0)
  + _xlfn.IFS(AG161="Yes", IF(ISNUMBER(AH161)*AND(AH161&gt;=5),10,6), AG161="Partial",4, TRUE,0)
  + _xlfn.IFS(AI161="Yes",5, AI161="Partial (material categories only)",3, TRUE,0)
  + _xlfn.IFS(AL161="Yes — Detailed",10, AL161="Yes — High Level",5, TRUE,0)
  + _xlfn.IFS(AM161="Yes — Quantified",15, AM161="Yes — Directional Only",7, TRUE,0)
  + _xlfn.IFS(AP161="Formal",5, AP161="Referenced",2, TRUE,0)
  + _xlfn.IFS(AQ161="No Issues Found",5, AQ161="Concern Identified",-5, AQ161="Severe Contradiction",-15, TRUE,0)
  + _xlfn.IFS(BC161="Reasonable Assurance",5, BC161="Limited Assurance",3, TRUE,0)
  - IF(AND(Z161="Yes", AI161="No"), 10, 0)
  - IF(AND(Z161="Yes", AM161="No"), 10, 0)
))</f>
        <v>0</v>
      </c>
      <c r="AS161" s="5"/>
      <c r="AT161" s="5"/>
      <c r="AU161" s="5"/>
      <c r="AV161" s="5"/>
      <c r="AW161" s="5"/>
      <c r="AX161" s="5"/>
      <c r="AY161" s="5"/>
      <c r="AZ161" s="5"/>
      <c r="BA161" s="5"/>
      <c r="BB161" s="5"/>
      <c r="BC161" s="5"/>
      <c r="BD161" s="5"/>
      <c r="BE161" s="39">
        <f t="array" ref="BE161">MIN(100, MAX(0,
  IFERROR(_xlfn.XLOOKUP(AT161,'Lookup Tables'!$D$2:$D$6,'Lookup Tables'!$E$2:$E$6,0),0)
  + IFERROR(_xlfn.XLOOKUP(AV161,'Lookup Tables'!$G$2:$G$5,'Lookup Tables'!$H$2:$H$5,0),0)
  + IFERROR(_xlfn.XLOOKUP(AW161,'Lookup Tables'!$J$2:$J$5,'Lookup Tables'!$K$2:$K$5,0),0)
  + _xlfn.IFS(AX161="No Issues",10, AX161="Complaint Filed",3, AX161="Confirmed Breach",-15, TRUE,0)
  + IFERROR(_xlfn.XLOOKUP(AY161,'Lookup Tables'!$M$2:$M$6,'Lookup Tables'!$N$2:$N$6,0),0)
  + IFERROR(_xlfn.XLOOKUP(AZ161,'Lookup Tables'!$P$2:$P$6,'Lookup Tables'!$Q$2:$Q$6,0),0)
  + _xlfn.IFS(BA161="Formal Board Committee",5, BA161="Board Oversight Mentioned",2, TRUE,0)
  + _xlfn.IFS(BB161="Yes — Quantified Targets",5, BB161="Yes — Discretionary Only",2, TRUE,0)
  + _xlfn.IFS(BC161="Reasonable Assurance",5, BC161="Limited Assurance",3, BC161="Management Review Only",1, TRUE,0)
))</f>
        <v>0</v>
      </c>
      <c r="BF161" s="5"/>
      <c r="BG161" s="5"/>
      <c r="BH161" s="5"/>
      <c r="BI161" s="5"/>
      <c r="BJ161" s="5"/>
      <c r="BK161" s="5"/>
      <c r="BL161" s="5"/>
      <c r="BM161" s="5"/>
      <c r="BN161" s="5"/>
      <c r="BO161" s="5"/>
      <c r="BP161" s="5"/>
      <c r="BQ161" s="5"/>
      <c r="BR161" s="5"/>
      <c r="BS161" s="41">
        <f t="array" ref="BS161">MIN(100, MAX(0,
  IFERROR(_xlfn.XLOOKUP(BG161,'Lookup Tables'!$A$11:$A$16,'Lookup Tables'!$B$11:$B$16,0),0)
  + IFERROR(_xlfn.XLOOKUP(BR161,'Lookup Tables'!$M$11:$M$14,'Lookup Tables'!$N$11:$N$14,0),0)
  + IFERROR(_xlfn.XLOOKUP(BQ161,'Lookup Tables'!$J$11:$J$15,'Lookup Tables'!$K$11:$K$15,0),0)
  + IFERROR(_xlfn.XLOOKUP(BH161,'Lookup Tables'!$D$11:$D$15,'Lookup Tables'!$E$11:$E$15,0),0)
  + IFERROR(_xlfn.XLOOKUP(BJ161,'Lookup Tables'!$G$11:$G$16,'Lookup Tables'!$H$11:$H$16,0),0)
  + IFERROR(_xlfn.XLOOKUP(BN161,'Lookup Tables'!$P$11:$P$15,'Lookup Tables'!$Q$11:$Q$15,0),0)
  + _xlfn.IFS(BM161="No Evidence",10, BM161="Unknown",3, BM161="Likely",0, BM161="Confirmed",-10, TRUE,3)
  + IFERROR(_xlfn.XLOOKUP(BP161,'Lookup Tables'!$J$21:$J$24,'Lookup Tables'!$K$21:$K$24,0),0)
))</f>
        <v>3</v>
      </c>
      <c r="BT161" s="5"/>
      <c r="BU161" s="5"/>
      <c r="BV161" s="5"/>
      <c r="BW161" s="5"/>
      <c r="BX161" s="5"/>
      <c r="BY161" s="5"/>
      <c r="BZ161" s="5"/>
      <c r="CA161" s="5"/>
      <c r="CB161" s="5"/>
      <c r="CC161" s="5"/>
      <c r="CD161" s="5"/>
      <c r="CE161" s="43">
        <f t="array" ref="CE161">MIN(100, MAX(0,
  IF(ISNUMBER(BV161)*AND(BV161&gt;0), 10, 0)
  + _xlfn.IFS(BY161="Independently Verified",25, BY161="Yes",15, TRUE,0)
  + IFERROR(_xlfn.XLOOKUP(BZ161,'Lookup Tables'!$A$21:$A$24,'Lookup Tables'!$B$21:$B$24,0),0)
  + IFERROR(_xlfn.XLOOKUP(CA161,'Lookup Tables'!$D$21:$D$24,'Lookup Tables'!$E$21:$E$24,0),0)
  + _xlfn.IFS(ISNUMBER(CB161)*AND(CB161&gt;=11),15, ISNUMBER(CB161)*AND(CB161&gt;=6),10, ISNUMBER(CB161)*AND(CB161&gt;=1),5, TRUE,0)
  + IFERROR(_xlfn.XLOOKUP(CC161,'Lookup Tables'!$G$21:$G$25,'Lookup Tables'!$H$21:$H$25,0),0)
  - IF(ISNUMBER(BW161)*AND(ISNUMBER(BV161))*AND(BW161&gt;BV161), 20, 0)
  - IF(AND(BY161="Yes", ISNUMBER(BW161), BW161&gt;60), 10, 0)
))</f>
        <v>0</v>
      </c>
      <c r="CF161" s="5"/>
      <c r="CG161" s="5"/>
      <c r="CH161" s="5"/>
      <c r="CI161" s="5"/>
      <c r="CJ161" s="5"/>
      <c r="CK161" s="5"/>
      <c r="CL161" s="5"/>
      <c r="CM161" s="5"/>
      <c r="CN161" s="5"/>
      <c r="CO161" s="5"/>
      <c r="CP161" s="5"/>
      <c r="CQ161" s="5"/>
      <c r="CR161" s="5">
        <f t="shared" si="90"/>
        <v>0</v>
      </c>
      <c r="CS161" s="5">
        <f t="shared" si="91"/>
        <v>0</v>
      </c>
      <c r="CT161" s="5">
        <f t="shared" si="92"/>
        <v>0</v>
      </c>
      <c r="CU161" s="5">
        <f>MIN(100,
  CR161*15
  + CS161*6
  + CT161*3
  + IFERROR(_xlfn.XLOOKUP(CW161,'Lookup Tables'!$M$21:$M$25,'Lookup Tables'!$N$21:$N$25,0),0)
)</f>
        <v>0</v>
      </c>
      <c r="CV161" s="5" t="str">
        <f t="shared" si="93"/>
        <v>No failures</v>
      </c>
      <c r="CW161" s="5"/>
      <c r="CX161" s="5"/>
      <c r="CY161" s="5"/>
      <c r="CZ161" s="5"/>
      <c r="DA161" s="5" t="str">
        <f t="shared" si="94"/>
        <v>Yes</v>
      </c>
      <c r="DB161" s="5" t="str">
        <f t="shared" si="95"/>
        <v>No</v>
      </c>
      <c r="DC161" s="5"/>
      <c r="DD161" s="5"/>
      <c r="DE161" s="5"/>
      <c r="DF161" s="5"/>
      <c r="DG161" s="5"/>
      <c r="DH161" s="5"/>
      <c r="DI161" s="5"/>
      <c r="DJ161" s="5"/>
      <c r="DK161" s="5"/>
      <c r="DL161" s="5" t="str">
        <f t="shared" si="96"/>
        <v>Clear</v>
      </c>
      <c r="DM161" s="5" t="str">
        <f t="shared" si="97"/>
        <v>Yes</v>
      </c>
      <c r="DN161" s="5">
        <f t="array" ref="DN161">MIN(100,
  IF(ISNUMBER(V161), _xlfn.IFS(V161&gt;=3,25, V161=2,15, V161=1,5, TRUE,0), 0)
  + IFERROR(_xlfn.IFS(VALUE(LEFT(DF161,1))=5,25, VALUE(LEFT(DF161,1))=4,20, VALUE(LEFT(DF161,1))=3,15, VALUE(LEFT(DF161,1))=2,8, TRUE,0), 15)
  + IFERROR(_xlfn.IFS(VALUE(LEFT(DG161,1))=5,25, VALUE(LEFT(DG161,1))=4,20, VALUE(LEFT(DG161,1))=3,15, VALUE(LEFT(DG161,1))=2,8, TRUE,0), 15)
  + _xlfn.IFS(DH161="Fully Verified",25, DH161="Partially Verified",12, TRUE,0)
)</f>
        <v>30</v>
      </c>
      <c r="DO161" s="5" t="str">
        <f t="array" ref="DO161">_xlfn.IFS(
  ISBLANK(AR161), "Insufficient Evidence",
  AND(AR161&gt;=65, AJ161="Approved"), "Strong",
  AR161&gt;=65, "Adequate",
  AR161&gt;=40, "Adequate",
  AR161&gt;=20, "Weak",
  TRUE, "Insufficient Evidence"
)</f>
        <v>Insufficient Evidence</v>
      </c>
      <c r="DP161" s="5" t="str">
        <f t="array" ref="DP161">_xlfn.IFS(
  ISBLANK(BS161), "Insufficient Evidence",
  BS161&gt;=65, "Strong",
  BS161&gt;=40, "Adequate",
  BS161&gt;=20, "Weak",
  TRUE, "Insufficient Evidence"
)</f>
        <v>Insufficient Evidence</v>
      </c>
      <c r="DQ161" s="5" t="str">
        <f t="array" ref="DQ161">_xlfn.IFS(
  ISBLANK(BE161), "Insufficient Evidence",
  OR(AW161="Confirmed Violation", AX161="Confirmed Breach"), "Severe — Hard Trigger",
  BE161&gt;=65, "Strong",
  BE161&gt;=40, "Adequate",
  BE161&gt;=20, "Weak",
  TRUE, "Insufficient Evidence"
)</f>
        <v>Insufficient Evidence</v>
      </c>
      <c r="DR161" s="5" t="str">
        <f t="array" ref="DR161">_xlfn.IFS(
  ISBLANK(CU161), "Insufficient Evidence",
  CU161&lt;=20, "Low Risk",
  CU161&lt;=50, "Moderate Risk",
  CU161&lt;=75, "High Risk",
  TRUE, "Very High Risk"
)</f>
        <v>Low Risk</v>
      </c>
      <c r="DS161" s="5" t="str">
        <f t="array" ref="DS161">_xlfn.IFS(
  ISBLANK(CE161), "Insufficient Evidence",
  AND(ISNUMBER(BW161),ISNUMBER(BV161),BW161&gt;BV161), "Overclaiming Risk",
  CE161&gt;=65, "Strong",
  CE161&gt;=40, "Adequate",
  TRUE, "Weak"
)</f>
        <v>Weak</v>
      </c>
      <c r="DT161" s="5">
        <f t="shared" si="98"/>
        <v>11.7</v>
      </c>
      <c r="DU161" s="5" t="str">
        <f t="array" ref="DU161">_xlfn.IFS(
  DV161="Upgraded to Clear", "Clear",
  DV161="Downgraded to Watchlist", "Watchlist",
  DV161="Downgraded to Exclusion", "Exclusion Risk",
  DB161="Yes — Automatic", "Exclusion Risk",
  OR(AW161="Confirmed Violation", AX161="Confirmed Breach"), "Exclusion Risk",
  OR(V161=0, ISBLANK(V161), DN161&lt;20), "Insufficient Evidence",
  AND(DT161&gt;=65, DA161="No", DB161="No"), "Clear",
  OR(DT161&gt;=40, DA161="Yes"), "Watchlist",
  TRUE, "Exclusion Risk"
)</f>
        <v>Insufficient Evidence</v>
      </c>
      <c r="DV161" s="5"/>
      <c r="DW161" s="5" t="str">
        <f t="array" ref="DW161">_xlfn.IFS(
  DU161="Exclusion Risk", "Exclude — Hard Trigger",
  DU161="Insufficient Evidence", "Watchlist — Further Evidence Needed",
  DU161="Watchlist", "Watchlist — Further Evidence Needed",
  AND(DU161="Clear", DT161&gt;=80), "Include — No Conditions",
  DU161="Clear", "Include — Monitor",
  TRUE, "Watchlist — Further Evidence Needed"
)</f>
        <v>Watchlist — Further Evidence Needed</v>
      </c>
      <c r="DX161" s="5"/>
      <c r="DY161" s="5"/>
      <c r="DZ161" s="5"/>
      <c r="EA161" s="5"/>
      <c r="EB161" s="5" t="str">
        <f t="shared" si="99"/>
        <v>MISSING — No sources reviewed</v>
      </c>
      <c r="EC161" s="5" t="str">
        <f t="shared" si="100"/>
        <v/>
      </c>
    </row>
    <row r="162" spans="1:133" ht="18" customHeight="1" x14ac:dyDescent="0.15">
      <c r="A162" s="5" t="s">
        <v>845</v>
      </c>
      <c r="B162" s="5" t="s">
        <v>846</v>
      </c>
      <c r="C162" s="5" t="str">
        <f>IF(ISBLANK('Universe Tracker'!D137),"",'Universe Tracker'!D137)</f>
        <v>DE0007037129</v>
      </c>
      <c r="D162" s="5"/>
      <c r="E162" s="5"/>
      <c r="F162" s="5" t="str">
        <f>IF(ISBLANK('Universe Tracker'!F137),"",'Universe Tracker'!F137)</f>
        <v>Utilities</v>
      </c>
      <c r="G162" s="5" t="str">
        <f>IF(ISBLANK('Universe Tracker'!G137),"",'Universe Tracker'!G137)</f>
        <v>Utilities</v>
      </c>
      <c r="H162" s="5"/>
      <c r="I162" s="5"/>
      <c r="J162" s="5" t="str">
        <f t="shared" si="88"/>
        <v>RWE_DE0007037129</v>
      </c>
      <c r="K162" s="5"/>
      <c r="L162" s="5"/>
      <c r="M162" s="5"/>
      <c r="N162" s="5"/>
      <c r="O162" s="5"/>
      <c r="P162" s="5"/>
      <c r="Q162" s="5"/>
      <c r="R162" s="5"/>
      <c r="S162" s="5"/>
      <c r="T162" s="5"/>
      <c r="U162" s="5"/>
      <c r="V162" s="5"/>
      <c r="W162" s="5"/>
      <c r="X162" s="5"/>
      <c r="Y162" s="5" t="str">
        <f t="shared" si="89"/>
        <v>Insufficient</v>
      </c>
      <c r="Z162" s="5"/>
      <c r="AA162" s="5"/>
      <c r="AB162" s="5"/>
      <c r="AC162" s="5"/>
      <c r="AD162" s="5"/>
      <c r="AE162" s="5"/>
      <c r="AF162" s="5"/>
      <c r="AG162" s="5"/>
      <c r="AH162" s="5"/>
      <c r="AI162" s="5"/>
      <c r="AJ162" s="5"/>
      <c r="AK162" s="5"/>
      <c r="AL162" s="5"/>
      <c r="AM162" s="5"/>
      <c r="AN162" s="5"/>
      <c r="AO162" s="5"/>
      <c r="AP162" s="5"/>
      <c r="AQ162" s="5"/>
      <c r="AR162" s="40">
        <f t="array" ref="AR162">MIN(100, MAX(0,
  IFERROR(_xlfn.XLOOKUP(AJ162,'Lookup Tables'!$A$2:$A$7,'Lookup Tables'!$B$2:$B$7,0),0)
  + IF(Z162="Yes", IF(IFERROR(_xlfn.XLOOKUP(AJ162,'Lookup Tables'!$A$2:$A$7,'Lookup Tables'!$B$2:$B$7,0),0)&lt;20, 5, 0), 0)
  + _xlfn.IFS(AB162="Yes", IF(ISNUMBER(AC162)*AND(AC162&lt;=2030),15,10), AB162="Long-term Only", 5, AB162="No", 0, TRUE, 0)
  + _xlfn.IFS(AF162="Full",10, AF162="Partial",5, AF162="Scope 2 Only",3, TRUE,0)
  + _xlfn.IFS(AG162="Yes", IF(ISNUMBER(AH162)*AND(AH162&gt;=5),10,6), AG162="Partial",4, TRUE,0)
  + _xlfn.IFS(AI162="Yes",5, AI162="Partial (material categories only)",3, TRUE,0)
  + _xlfn.IFS(AL162="Yes — Detailed",10, AL162="Yes — High Level",5, TRUE,0)
  + _xlfn.IFS(AM162="Yes — Quantified",15, AM162="Yes — Directional Only",7, TRUE,0)
  + _xlfn.IFS(AP162="Formal",5, AP162="Referenced",2, TRUE,0)
  + _xlfn.IFS(AQ162="No Issues Found",5, AQ162="Concern Identified",-5, AQ162="Severe Contradiction",-15, TRUE,0)
  + _xlfn.IFS(BC162="Reasonable Assurance",5, BC162="Limited Assurance",3, TRUE,0)
  - IF(AND(Z162="Yes", AI162="No"), 10, 0)
  - IF(AND(Z162="Yes", AM162="No"), 10, 0)
))</f>
        <v>0</v>
      </c>
      <c r="AS162" s="5"/>
      <c r="AT162" s="5"/>
      <c r="AU162" s="5"/>
      <c r="AV162" s="5"/>
      <c r="AW162" s="5"/>
      <c r="AX162" s="5"/>
      <c r="AY162" s="5"/>
      <c r="AZ162" s="5"/>
      <c r="BA162" s="5"/>
      <c r="BB162" s="5"/>
      <c r="BC162" s="5"/>
      <c r="BD162" s="5"/>
      <c r="BE162" s="39">
        <f t="array" ref="BE162">MIN(100, MAX(0,
  IFERROR(_xlfn.XLOOKUP(AT162,'Lookup Tables'!$D$2:$D$6,'Lookup Tables'!$E$2:$E$6,0),0)
  + IFERROR(_xlfn.XLOOKUP(AV162,'Lookup Tables'!$G$2:$G$5,'Lookup Tables'!$H$2:$H$5,0),0)
  + IFERROR(_xlfn.XLOOKUP(AW162,'Lookup Tables'!$J$2:$J$5,'Lookup Tables'!$K$2:$K$5,0),0)
  + _xlfn.IFS(AX162="No Issues",10, AX162="Complaint Filed",3, AX162="Confirmed Breach",-15, TRUE,0)
  + IFERROR(_xlfn.XLOOKUP(AY162,'Lookup Tables'!$M$2:$M$6,'Lookup Tables'!$N$2:$N$6,0),0)
  + IFERROR(_xlfn.XLOOKUP(AZ162,'Lookup Tables'!$P$2:$P$6,'Lookup Tables'!$Q$2:$Q$6,0),0)
  + _xlfn.IFS(BA162="Formal Board Committee",5, BA162="Board Oversight Mentioned",2, TRUE,0)
  + _xlfn.IFS(BB162="Yes — Quantified Targets",5, BB162="Yes — Discretionary Only",2, TRUE,0)
  + _xlfn.IFS(BC162="Reasonable Assurance",5, BC162="Limited Assurance",3, BC162="Management Review Only",1, TRUE,0)
))</f>
        <v>0</v>
      </c>
      <c r="BF162" s="5"/>
      <c r="BG162" s="5"/>
      <c r="BH162" s="5"/>
      <c r="BI162" s="5"/>
      <c r="BJ162" s="5"/>
      <c r="BK162" s="5"/>
      <c r="BL162" s="5"/>
      <c r="BM162" s="5"/>
      <c r="BN162" s="5"/>
      <c r="BO162" s="5"/>
      <c r="BP162" s="5"/>
      <c r="BQ162" s="5"/>
      <c r="BR162" s="5"/>
      <c r="BS162" s="41">
        <f t="array" ref="BS162">MIN(100, MAX(0,
  IFERROR(_xlfn.XLOOKUP(BG162,'Lookup Tables'!$A$11:$A$16,'Lookup Tables'!$B$11:$B$16,0),0)
  + IFERROR(_xlfn.XLOOKUP(BR162,'Lookup Tables'!$M$11:$M$14,'Lookup Tables'!$N$11:$N$14,0),0)
  + IFERROR(_xlfn.XLOOKUP(BQ162,'Lookup Tables'!$J$11:$J$15,'Lookup Tables'!$K$11:$K$15,0),0)
  + IFERROR(_xlfn.XLOOKUP(BH162,'Lookup Tables'!$D$11:$D$15,'Lookup Tables'!$E$11:$E$15,0),0)
  + IFERROR(_xlfn.XLOOKUP(BJ162,'Lookup Tables'!$G$11:$G$16,'Lookup Tables'!$H$11:$H$16,0),0)
  + IFERROR(_xlfn.XLOOKUP(BN162,'Lookup Tables'!$P$11:$P$15,'Lookup Tables'!$Q$11:$Q$15,0),0)
  + _xlfn.IFS(BM162="No Evidence",10, BM162="Unknown",3, BM162="Likely",0, BM162="Confirmed",-10, TRUE,3)
  + IFERROR(_xlfn.XLOOKUP(BP162,'Lookup Tables'!$J$21:$J$24,'Lookup Tables'!$K$21:$K$24,0),0)
))</f>
        <v>3</v>
      </c>
      <c r="BT162" s="5"/>
      <c r="BU162" s="5"/>
      <c r="BV162" s="5"/>
      <c r="BW162" s="5"/>
      <c r="BX162" s="5"/>
      <c r="BY162" s="5"/>
      <c r="BZ162" s="5"/>
      <c r="CA162" s="5"/>
      <c r="CB162" s="5"/>
      <c r="CC162" s="5"/>
      <c r="CD162" s="5"/>
      <c r="CE162" s="43">
        <f t="array" ref="CE162">MIN(100, MAX(0,
  IF(ISNUMBER(BV162)*AND(BV162&gt;0), 10, 0)
  + _xlfn.IFS(BY162="Independently Verified",25, BY162="Yes",15, TRUE,0)
  + IFERROR(_xlfn.XLOOKUP(BZ162,'Lookup Tables'!$A$21:$A$24,'Lookup Tables'!$B$21:$B$24,0),0)
  + IFERROR(_xlfn.XLOOKUP(CA162,'Lookup Tables'!$D$21:$D$24,'Lookup Tables'!$E$21:$E$24,0),0)
  + _xlfn.IFS(ISNUMBER(CB162)*AND(CB162&gt;=11),15, ISNUMBER(CB162)*AND(CB162&gt;=6),10, ISNUMBER(CB162)*AND(CB162&gt;=1),5, TRUE,0)
  + IFERROR(_xlfn.XLOOKUP(CC162,'Lookup Tables'!$G$21:$G$25,'Lookup Tables'!$H$21:$H$25,0),0)
  - IF(ISNUMBER(BW162)*AND(ISNUMBER(BV162))*AND(BW162&gt;BV162), 20, 0)
  - IF(AND(BY162="Yes", ISNUMBER(BW162), BW162&gt;60), 10, 0)
))</f>
        <v>0</v>
      </c>
      <c r="CF162" s="5"/>
      <c r="CG162" s="5"/>
      <c r="CH162" s="5"/>
      <c r="CI162" s="5"/>
      <c r="CJ162" s="5"/>
      <c r="CK162" s="5"/>
      <c r="CL162" s="5"/>
      <c r="CM162" s="5"/>
      <c r="CN162" s="5"/>
      <c r="CO162" s="5"/>
      <c r="CP162" s="5"/>
      <c r="CQ162" s="5"/>
      <c r="CR162" s="5">
        <f t="shared" si="90"/>
        <v>0</v>
      </c>
      <c r="CS162" s="5">
        <f t="shared" si="91"/>
        <v>0</v>
      </c>
      <c r="CT162" s="5">
        <f t="shared" si="92"/>
        <v>0</v>
      </c>
      <c r="CU162" s="5">
        <f>MIN(100,
  CR162*15
  + CS162*6
  + CT162*3
  + IFERROR(_xlfn.XLOOKUP(CW162,'Lookup Tables'!$M$21:$M$25,'Lookup Tables'!$N$21:$N$25,0),0)
)</f>
        <v>0</v>
      </c>
      <c r="CV162" s="5" t="str">
        <f t="shared" si="93"/>
        <v>No failures</v>
      </c>
      <c r="CW162" s="5"/>
      <c r="CX162" s="5"/>
      <c r="CY162" s="5"/>
      <c r="CZ162" s="5"/>
      <c r="DA162" s="5" t="str">
        <f t="shared" si="94"/>
        <v>Yes</v>
      </c>
      <c r="DB162" s="5" t="str">
        <f t="shared" si="95"/>
        <v>No</v>
      </c>
      <c r="DC162" s="5"/>
      <c r="DD162" s="5"/>
      <c r="DE162" s="5"/>
      <c r="DF162" s="5"/>
      <c r="DG162" s="5"/>
      <c r="DH162" s="5"/>
      <c r="DI162" s="5"/>
      <c r="DJ162" s="5"/>
      <c r="DK162" s="5"/>
      <c r="DL162" s="5" t="str">
        <f t="shared" si="96"/>
        <v>Clear</v>
      </c>
      <c r="DM162" s="5" t="str">
        <f t="shared" si="97"/>
        <v>Yes</v>
      </c>
      <c r="DN162" s="5">
        <f t="array" ref="DN162">MIN(100,
  IF(ISNUMBER(V162), _xlfn.IFS(V162&gt;=3,25, V162=2,15, V162=1,5, TRUE,0), 0)
  + IFERROR(_xlfn.IFS(VALUE(LEFT(DF162,1))=5,25, VALUE(LEFT(DF162,1))=4,20, VALUE(LEFT(DF162,1))=3,15, VALUE(LEFT(DF162,1))=2,8, TRUE,0), 15)
  + IFERROR(_xlfn.IFS(VALUE(LEFT(DG162,1))=5,25, VALUE(LEFT(DG162,1))=4,20, VALUE(LEFT(DG162,1))=3,15, VALUE(LEFT(DG162,1))=2,8, TRUE,0), 15)
  + _xlfn.IFS(DH162="Fully Verified",25, DH162="Partially Verified",12, TRUE,0)
)</f>
        <v>30</v>
      </c>
      <c r="DO162" s="5" t="str">
        <f t="array" ref="DO162">_xlfn.IFS(
  ISBLANK(AR162), "Insufficient Evidence",
  AND(AR162&gt;=65, AJ162="Approved"), "Strong",
  AR162&gt;=65, "Adequate",
  AR162&gt;=40, "Adequate",
  AR162&gt;=20, "Weak",
  TRUE, "Insufficient Evidence"
)</f>
        <v>Insufficient Evidence</v>
      </c>
      <c r="DP162" s="5" t="str">
        <f t="array" ref="DP162">_xlfn.IFS(
  ISBLANK(BS162), "Insufficient Evidence",
  BS162&gt;=65, "Strong",
  BS162&gt;=40, "Adequate",
  BS162&gt;=20, "Weak",
  TRUE, "Insufficient Evidence"
)</f>
        <v>Insufficient Evidence</v>
      </c>
      <c r="DQ162" s="5" t="str">
        <f t="array" ref="DQ162">_xlfn.IFS(
  ISBLANK(BE162), "Insufficient Evidence",
  OR(AW162="Confirmed Violation", AX162="Confirmed Breach"), "Severe — Hard Trigger",
  BE162&gt;=65, "Strong",
  BE162&gt;=40, "Adequate",
  BE162&gt;=20, "Weak",
  TRUE, "Insufficient Evidence"
)</f>
        <v>Insufficient Evidence</v>
      </c>
      <c r="DR162" s="5" t="str">
        <f t="array" ref="DR162">_xlfn.IFS(
  ISBLANK(CU162), "Insufficient Evidence",
  CU162&lt;=20, "Low Risk",
  CU162&lt;=50, "Moderate Risk",
  CU162&lt;=75, "High Risk",
  TRUE, "Very High Risk"
)</f>
        <v>Low Risk</v>
      </c>
      <c r="DS162" s="5" t="str">
        <f t="array" ref="DS162">_xlfn.IFS(
  ISBLANK(CE162), "Insufficient Evidence",
  AND(ISNUMBER(BW162),ISNUMBER(BV162),BW162&gt;BV162), "Overclaiming Risk",
  CE162&gt;=65, "Strong",
  CE162&gt;=40, "Adequate",
  TRUE, "Weak"
)</f>
        <v>Weak</v>
      </c>
      <c r="DT162" s="5">
        <f t="shared" si="98"/>
        <v>11.7</v>
      </c>
      <c r="DU162" s="5" t="str">
        <f t="array" ref="DU162">_xlfn.IFS(
  DV162="Upgraded to Clear", "Clear",
  DV162="Downgraded to Watchlist", "Watchlist",
  DV162="Downgraded to Exclusion", "Exclusion Risk",
  DB162="Yes — Automatic", "Exclusion Risk",
  OR(AW162="Confirmed Violation", AX162="Confirmed Breach"), "Exclusion Risk",
  OR(V162=0, ISBLANK(V162), DN162&lt;20), "Insufficient Evidence",
  AND(DT162&gt;=65, DA162="No", DB162="No"), "Clear",
  OR(DT162&gt;=40, DA162="Yes"), "Watchlist",
  TRUE, "Exclusion Risk"
)</f>
        <v>Insufficient Evidence</v>
      </c>
      <c r="DV162" s="5"/>
      <c r="DW162" s="5" t="str">
        <f t="array" ref="DW162">_xlfn.IFS(
  DU162="Exclusion Risk", "Exclude — Hard Trigger",
  DU162="Insufficient Evidence", "Watchlist — Further Evidence Needed",
  DU162="Watchlist", "Watchlist — Further Evidence Needed",
  AND(DU162="Clear", DT162&gt;=80), "Include — No Conditions",
  DU162="Clear", "Include — Monitor",
  TRUE, "Watchlist — Further Evidence Needed"
)</f>
        <v>Watchlist — Further Evidence Needed</v>
      </c>
      <c r="DX162" s="5"/>
      <c r="DY162" s="5"/>
      <c r="DZ162" s="5"/>
      <c r="EA162" s="5"/>
      <c r="EB162" s="5" t="str">
        <f t="shared" si="99"/>
        <v>MISSING — No sources reviewed</v>
      </c>
      <c r="EC162" s="5" t="str">
        <f t="shared" si="100"/>
        <v/>
      </c>
    </row>
    <row r="163" spans="1:133" ht="18" customHeight="1" x14ac:dyDescent="0.15">
      <c r="A163" s="5" t="s">
        <v>849</v>
      </c>
      <c r="B163" s="5" t="s">
        <v>850</v>
      </c>
      <c r="C163" s="5" t="str">
        <f>IF(ISBLANK('Universe Tracker'!D138),"",'Universe Tracker'!D138)</f>
        <v>FR0010208488</v>
      </c>
      <c r="D163" s="5"/>
      <c r="E163" s="5"/>
      <c r="F163" s="5" t="str">
        <f>IF(ISBLANK('Universe Tracker'!F138),"",'Universe Tracker'!F138)</f>
        <v>Utilities</v>
      </c>
      <c r="G163" s="5" t="str">
        <f>IF(ISBLANK('Universe Tracker'!G138),"",'Universe Tracker'!G138)</f>
        <v>Utilities</v>
      </c>
      <c r="H163" s="5"/>
      <c r="I163" s="5"/>
      <c r="J163" s="5" t="str">
        <f t="shared" si="88"/>
        <v>GZF_FR0010208488</v>
      </c>
      <c r="K163" s="5"/>
      <c r="L163" s="5"/>
      <c r="M163" s="5"/>
      <c r="N163" s="5"/>
      <c r="O163" s="5"/>
      <c r="P163" s="5"/>
      <c r="Q163" s="5"/>
      <c r="R163" s="5"/>
      <c r="S163" s="5"/>
      <c r="T163" s="5"/>
      <c r="U163" s="5"/>
      <c r="V163" s="5"/>
      <c r="W163" s="5"/>
      <c r="X163" s="5"/>
      <c r="Y163" s="5" t="str">
        <f t="shared" si="89"/>
        <v>Insufficient</v>
      </c>
      <c r="Z163" s="5"/>
      <c r="AA163" s="5"/>
      <c r="AB163" s="5"/>
      <c r="AC163" s="5"/>
      <c r="AD163" s="5"/>
      <c r="AE163" s="5"/>
      <c r="AF163" s="5"/>
      <c r="AG163" s="5"/>
      <c r="AH163" s="5"/>
      <c r="AI163" s="5"/>
      <c r="AJ163" s="5"/>
      <c r="AK163" s="5"/>
      <c r="AL163" s="5"/>
      <c r="AM163" s="5"/>
      <c r="AN163" s="5"/>
      <c r="AO163" s="5"/>
      <c r="AP163" s="5"/>
      <c r="AQ163" s="5"/>
      <c r="AR163" s="40">
        <f t="array" ref="AR163">MIN(100, MAX(0,
  IFERROR(_xlfn.XLOOKUP(AJ163,'Lookup Tables'!$A$2:$A$7,'Lookup Tables'!$B$2:$B$7,0),0)
  + IF(Z163="Yes", IF(IFERROR(_xlfn.XLOOKUP(AJ163,'Lookup Tables'!$A$2:$A$7,'Lookup Tables'!$B$2:$B$7,0),0)&lt;20, 5, 0), 0)
  + _xlfn.IFS(AB163="Yes", IF(ISNUMBER(AC163)*AND(AC163&lt;=2030),15,10), AB163="Long-term Only", 5, AB163="No", 0, TRUE, 0)
  + _xlfn.IFS(AF163="Full",10, AF163="Partial",5, AF163="Scope 2 Only",3, TRUE,0)
  + _xlfn.IFS(AG163="Yes", IF(ISNUMBER(AH163)*AND(AH163&gt;=5),10,6), AG163="Partial",4, TRUE,0)
  + _xlfn.IFS(AI163="Yes",5, AI163="Partial (material categories only)",3, TRUE,0)
  + _xlfn.IFS(AL163="Yes — Detailed",10, AL163="Yes — High Level",5, TRUE,0)
  + _xlfn.IFS(AM163="Yes — Quantified",15, AM163="Yes — Directional Only",7, TRUE,0)
  + _xlfn.IFS(AP163="Formal",5, AP163="Referenced",2, TRUE,0)
  + _xlfn.IFS(AQ163="No Issues Found",5, AQ163="Concern Identified",-5, AQ163="Severe Contradiction",-15, TRUE,0)
  + _xlfn.IFS(BC163="Reasonable Assurance",5, BC163="Limited Assurance",3, TRUE,0)
  - IF(AND(Z163="Yes", AI163="No"), 10, 0)
  - IF(AND(Z163="Yes", AM163="No"), 10, 0)
))</f>
        <v>0</v>
      </c>
      <c r="AS163" s="5"/>
      <c r="AT163" s="5"/>
      <c r="AU163" s="5"/>
      <c r="AV163" s="5"/>
      <c r="AW163" s="5"/>
      <c r="AX163" s="5"/>
      <c r="AY163" s="5"/>
      <c r="AZ163" s="5"/>
      <c r="BA163" s="5"/>
      <c r="BB163" s="5"/>
      <c r="BC163" s="5"/>
      <c r="BD163" s="5"/>
      <c r="BE163" s="39">
        <f t="array" ref="BE163">MIN(100, MAX(0,
  IFERROR(_xlfn.XLOOKUP(AT163,'Lookup Tables'!$D$2:$D$6,'Lookup Tables'!$E$2:$E$6,0),0)
  + IFERROR(_xlfn.XLOOKUP(AV163,'Lookup Tables'!$G$2:$G$5,'Lookup Tables'!$H$2:$H$5,0),0)
  + IFERROR(_xlfn.XLOOKUP(AW163,'Lookup Tables'!$J$2:$J$5,'Lookup Tables'!$K$2:$K$5,0),0)
  + _xlfn.IFS(AX163="No Issues",10, AX163="Complaint Filed",3, AX163="Confirmed Breach",-15, TRUE,0)
  + IFERROR(_xlfn.XLOOKUP(AY163,'Lookup Tables'!$M$2:$M$6,'Lookup Tables'!$N$2:$N$6,0),0)
  + IFERROR(_xlfn.XLOOKUP(AZ163,'Lookup Tables'!$P$2:$P$6,'Lookup Tables'!$Q$2:$Q$6,0),0)
  + _xlfn.IFS(BA163="Formal Board Committee",5, BA163="Board Oversight Mentioned",2, TRUE,0)
  + _xlfn.IFS(BB163="Yes — Quantified Targets",5, BB163="Yes — Discretionary Only",2, TRUE,0)
  + _xlfn.IFS(BC163="Reasonable Assurance",5, BC163="Limited Assurance",3, BC163="Management Review Only",1, TRUE,0)
))</f>
        <v>0</v>
      </c>
      <c r="BF163" s="5"/>
      <c r="BG163" s="5"/>
      <c r="BH163" s="5"/>
      <c r="BI163" s="5"/>
      <c r="BJ163" s="5"/>
      <c r="BK163" s="5"/>
      <c r="BL163" s="5"/>
      <c r="BM163" s="5"/>
      <c r="BN163" s="5"/>
      <c r="BO163" s="5"/>
      <c r="BP163" s="5"/>
      <c r="BQ163" s="5"/>
      <c r="BR163" s="5"/>
      <c r="BS163" s="41">
        <f t="array" ref="BS163">MIN(100, MAX(0,
  IFERROR(_xlfn.XLOOKUP(BG163,'Lookup Tables'!$A$11:$A$16,'Lookup Tables'!$B$11:$B$16,0),0)
  + IFERROR(_xlfn.XLOOKUP(BR163,'Lookup Tables'!$M$11:$M$14,'Lookup Tables'!$N$11:$N$14,0),0)
  + IFERROR(_xlfn.XLOOKUP(BQ163,'Lookup Tables'!$J$11:$J$15,'Lookup Tables'!$K$11:$K$15,0),0)
  + IFERROR(_xlfn.XLOOKUP(BH163,'Lookup Tables'!$D$11:$D$15,'Lookup Tables'!$E$11:$E$15,0),0)
  + IFERROR(_xlfn.XLOOKUP(BJ163,'Lookup Tables'!$G$11:$G$16,'Lookup Tables'!$H$11:$H$16,0),0)
  + IFERROR(_xlfn.XLOOKUP(BN163,'Lookup Tables'!$P$11:$P$15,'Lookup Tables'!$Q$11:$Q$15,0),0)
  + _xlfn.IFS(BM163="No Evidence",10, BM163="Unknown",3, BM163="Likely",0, BM163="Confirmed",-10, TRUE,3)
  + IFERROR(_xlfn.XLOOKUP(BP163,'Lookup Tables'!$J$21:$J$24,'Lookup Tables'!$K$21:$K$24,0),0)
))</f>
        <v>3</v>
      </c>
      <c r="BT163" s="5"/>
      <c r="BU163" s="5"/>
      <c r="BV163" s="5"/>
      <c r="BW163" s="5"/>
      <c r="BX163" s="5"/>
      <c r="BY163" s="5"/>
      <c r="BZ163" s="5"/>
      <c r="CA163" s="5"/>
      <c r="CB163" s="5"/>
      <c r="CC163" s="5"/>
      <c r="CD163" s="5"/>
      <c r="CE163" s="43">
        <f t="array" ref="CE163">MIN(100, MAX(0,
  IF(ISNUMBER(BV163)*AND(BV163&gt;0), 10, 0)
  + _xlfn.IFS(BY163="Independently Verified",25, BY163="Yes",15, TRUE,0)
  + IFERROR(_xlfn.XLOOKUP(BZ163,'Lookup Tables'!$A$21:$A$24,'Lookup Tables'!$B$21:$B$24,0),0)
  + IFERROR(_xlfn.XLOOKUP(CA163,'Lookup Tables'!$D$21:$D$24,'Lookup Tables'!$E$21:$E$24,0),0)
  + _xlfn.IFS(ISNUMBER(CB163)*AND(CB163&gt;=11),15, ISNUMBER(CB163)*AND(CB163&gt;=6),10, ISNUMBER(CB163)*AND(CB163&gt;=1),5, TRUE,0)
  + IFERROR(_xlfn.XLOOKUP(CC163,'Lookup Tables'!$G$21:$G$25,'Lookup Tables'!$H$21:$H$25,0),0)
  - IF(ISNUMBER(BW163)*AND(ISNUMBER(BV163))*AND(BW163&gt;BV163), 20, 0)
  - IF(AND(BY163="Yes", ISNUMBER(BW163), BW163&gt;60), 10, 0)
))</f>
        <v>0</v>
      </c>
      <c r="CF163" s="5"/>
      <c r="CG163" s="5"/>
      <c r="CH163" s="5"/>
      <c r="CI163" s="5"/>
      <c r="CJ163" s="5"/>
      <c r="CK163" s="5"/>
      <c r="CL163" s="5"/>
      <c r="CM163" s="5"/>
      <c r="CN163" s="5"/>
      <c r="CO163" s="5"/>
      <c r="CP163" s="5"/>
      <c r="CQ163" s="5"/>
      <c r="CR163" s="5">
        <f t="shared" si="90"/>
        <v>0</v>
      </c>
      <c r="CS163" s="5">
        <f t="shared" si="91"/>
        <v>0</v>
      </c>
      <c r="CT163" s="5">
        <f t="shared" si="92"/>
        <v>0</v>
      </c>
      <c r="CU163" s="5">
        <f>MIN(100,
  CR163*15
  + CS163*6
  + CT163*3
  + IFERROR(_xlfn.XLOOKUP(CW163,'Lookup Tables'!$M$21:$M$25,'Lookup Tables'!$N$21:$N$25,0),0)
)</f>
        <v>0</v>
      </c>
      <c r="CV163" s="5" t="str">
        <f t="shared" si="93"/>
        <v>No failures</v>
      </c>
      <c r="CW163" s="5"/>
      <c r="CX163" s="5"/>
      <c r="CY163" s="5"/>
      <c r="CZ163" s="5"/>
      <c r="DA163" s="5" t="str">
        <f t="shared" si="94"/>
        <v>Yes</v>
      </c>
      <c r="DB163" s="5" t="str">
        <f t="shared" si="95"/>
        <v>No</v>
      </c>
      <c r="DC163" s="5"/>
      <c r="DD163" s="5"/>
      <c r="DE163" s="5"/>
      <c r="DF163" s="5"/>
      <c r="DG163" s="5"/>
      <c r="DH163" s="5"/>
      <c r="DI163" s="5"/>
      <c r="DJ163" s="5"/>
      <c r="DK163" s="5"/>
      <c r="DL163" s="5" t="str">
        <f t="shared" si="96"/>
        <v>Clear</v>
      </c>
      <c r="DM163" s="5" t="str">
        <f t="shared" si="97"/>
        <v>Yes</v>
      </c>
      <c r="DN163" s="5">
        <f t="array" ref="DN163">MIN(100,
  IF(ISNUMBER(V163), _xlfn.IFS(V163&gt;=3,25, V163=2,15, V163=1,5, TRUE,0), 0)
  + IFERROR(_xlfn.IFS(VALUE(LEFT(DF163,1))=5,25, VALUE(LEFT(DF163,1))=4,20, VALUE(LEFT(DF163,1))=3,15, VALUE(LEFT(DF163,1))=2,8, TRUE,0), 15)
  + IFERROR(_xlfn.IFS(VALUE(LEFT(DG163,1))=5,25, VALUE(LEFT(DG163,1))=4,20, VALUE(LEFT(DG163,1))=3,15, VALUE(LEFT(DG163,1))=2,8, TRUE,0), 15)
  + _xlfn.IFS(DH163="Fully Verified",25, DH163="Partially Verified",12, TRUE,0)
)</f>
        <v>30</v>
      </c>
      <c r="DO163" s="5" t="str">
        <f t="array" ref="DO163">_xlfn.IFS(
  ISBLANK(AR163), "Insufficient Evidence",
  AND(AR163&gt;=65, AJ163="Approved"), "Strong",
  AR163&gt;=65, "Adequate",
  AR163&gt;=40, "Adequate",
  AR163&gt;=20, "Weak",
  TRUE, "Insufficient Evidence"
)</f>
        <v>Insufficient Evidence</v>
      </c>
      <c r="DP163" s="5" t="str">
        <f t="array" ref="DP163">_xlfn.IFS(
  ISBLANK(BS163), "Insufficient Evidence",
  BS163&gt;=65, "Strong",
  BS163&gt;=40, "Adequate",
  BS163&gt;=20, "Weak",
  TRUE, "Insufficient Evidence"
)</f>
        <v>Insufficient Evidence</v>
      </c>
      <c r="DQ163" s="5" t="str">
        <f t="array" ref="DQ163">_xlfn.IFS(
  ISBLANK(BE163), "Insufficient Evidence",
  OR(AW163="Confirmed Violation", AX163="Confirmed Breach"), "Severe — Hard Trigger",
  BE163&gt;=65, "Strong",
  BE163&gt;=40, "Adequate",
  BE163&gt;=20, "Weak",
  TRUE, "Insufficient Evidence"
)</f>
        <v>Insufficient Evidence</v>
      </c>
      <c r="DR163" s="5" t="str">
        <f t="array" ref="DR163">_xlfn.IFS(
  ISBLANK(CU163), "Insufficient Evidence",
  CU163&lt;=20, "Low Risk",
  CU163&lt;=50, "Moderate Risk",
  CU163&lt;=75, "High Risk",
  TRUE, "Very High Risk"
)</f>
        <v>Low Risk</v>
      </c>
      <c r="DS163" s="5" t="str">
        <f t="array" ref="DS163">_xlfn.IFS(
  ISBLANK(CE163), "Insufficient Evidence",
  AND(ISNUMBER(BW163),ISNUMBER(BV163),BW163&gt;BV163), "Overclaiming Risk",
  CE163&gt;=65, "Strong",
  CE163&gt;=40, "Adequate",
  TRUE, "Weak"
)</f>
        <v>Weak</v>
      </c>
      <c r="DT163" s="5">
        <f t="shared" si="98"/>
        <v>11.7</v>
      </c>
      <c r="DU163" s="5" t="str">
        <f t="array" ref="DU163">_xlfn.IFS(
  DV163="Upgraded to Clear", "Clear",
  DV163="Downgraded to Watchlist", "Watchlist",
  DV163="Downgraded to Exclusion", "Exclusion Risk",
  DB163="Yes — Automatic", "Exclusion Risk",
  OR(AW163="Confirmed Violation", AX163="Confirmed Breach"), "Exclusion Risk",
  OR(V163=0, ISBLANK(V163), DN163&lt;20), "Insufficient Evidence",
  AND(DT163&gt;=65, DA163="No", DB163="No"), "Clear",
  OR(DT163&gt;=40, DA163="Yes"), "Watchlist",
  TRUE, "Exclusion Risk"
)</f>
        <v>Insufficient Evidence</v>
      </c>
      <c r="DV163" s="5"/>
      <c r="DW163" s="5" t="str">
        <f t="array" ref="DW163">_xlfn.IFS(
  DU163="Exclusion Risk", "Exclude — Hard Trigger",
  DU163="Insufficient Evidence", "Watchlist — Further Evidence Needed",
  DU163="Watchlist", "Watchlist — Further Evidence Needed",
  AND(DU163="Clear", DT163&gt;=80), "Include — No Conditions",
  DU163="Clear", "Include — Monitor",
  TRUE, "Watchlist — Further Evidence Needed"
)</f>
        <v>Watchlist — Further Evidence Needed</v>
      </c>
      <c r="DX163" s="5"/>
      <c r="DY163" s="5"/>
      <c r="DZ163" s="5"/>
      <c r="EA163" s="5"/>
      <c r="EB163" s="5" t="str">
        <f t="shared" si="99"/>
        <v>MISSING — No sources reviewed</v>
      </c>
      <c r="EC163" s="5" t="str">
        <f t="shared" si="100"/>
        <v/>
      </c>
    </row>
    <row r="164" spans="1:133" ht="18" customHeight="1" x14ac:dyDescent="0.15">
      <c r="A164" s="5" t="s">
        <v>853</v>
      </c>
      <c r="B164" s="5" t="s">
        <v>854</v>
      </c>
      <c r="C164" s="5" t="str">
        <f>IF(ISBLANK('Universe Tracker'!D139),"",'Universe Tracker'!D139)</f>
        <v>BE0974259880</v>
      </c>
      <c r="D164" s="5"/>
      <c r="E164" s="5"/>
      <c r="F164" s="5" t="str">
        <f>IF(ISBLANK('Universe Tracker'!F139),"",'Universe Tracker'!F139)</f>
        <v>Consumer Discretionary</v>
      </c>
      <c r="G164" s="5" t="str">
        <f>IF(ISBLANK('Universe Tracker'!G139),"",'Universe Tracker'!G139)</f>
        <v>Retail &amp; Whsle - Discretionary</v>
      </c>
      <c r="H164" s="5"/>
      <c r="I164" s="5"/>
      <c r="J164" s="5" t="str">
        <f t="shared" si="88"/>
        <v>DJDA_BE0974259880</v>
      </c>
      <c r="K164" s="5"/>
      <c r="L164" s="5"/>
      <c r="M164" s="5"/>
      <c r="N164" s="5"/>
      <c r="O164" s="5"/>
      <c r="P164" s="5"/>
      <c r="Q164" s="5"/>
      <c r="R164" s="5"/>
      <c r="S164" s="5"/>
      <c r="T164" s="5"/>
      <c r="U164" s="5"/>
      <c r="V164" s="5"/>
      <c r="W164" s="5"/>
      <c r="X164" s="5"/>
      <c r="Y164" s="5" t="str">
        <f t="shared" si="89"/>
        <v>Insufficient</v>
      </c>
      <c r="Z164" s="5"/>
      <c r="AA164" s="5"/>
      <c r="AB164" s="5"/>
      <c r="AC164" s="5"/>
      <c r="AD164" s="5"/>
      <c r="AE164" s="5"/>
      <c r="AF164" s="5"/>
      <c r="AG164" s="5"/>
      <c r="AH164" s="5"/>
      <c r="AI164" s="5"/>
      <c r="AJ164" s="5"/>
      <c r="AK164" s="5"/>
      <c r="AL164" s="5"/>
      <c r="AM164" s="5"/>
      <c r="AN164" s="5"/>
      <c r="AO164" s="5"/>
      <c r="AP164" s="5"/>
      <c r="AQ164" s="5"/>
      <c r="AR164" s="40">
        <f t="array" ref="AR164">MIN(100, MAX(0,
  IFERROR(_xlfn.XLOOKUP(AJ164,'Lookup Tables'!$A$2:$A$7,'Lookup Tables'!$B$2:$B$7,0),0)
  + IF(Z164="Yes", IF(IFERROR(_xlfn.XLOOKUP(AJ164,'Lookup Tables'!$A$2:$A$7,'Lookup Tables'!$B$2:$B$7,0),0)&lt;20, 5, 0), 0)
  + _xlfn.IFS(AB164="Yes", IF(ISNUMBER(AC164)*AND(AC164&lt;=2030),15,10), AB164="Long-term Only", 5, AB164="No", 0, TRUE, 0)
  + _xlfn.IFS(AF164="Full",10, AF164="Partial",5, AF164="Scope 2 Only",3, TRUE,0)
  + _xlfn.IFS(AG164="Yes", IF(ISNUMBER(AH164)*AND(AH164&gt;=5),10,6), AG164="Partial",4, TRUE,0)
  + _xlfn.IFS(AI164="Yes",5, AI164="Partial (material categories only)",3, TRUE,0)
  + _xlfn.IFS(AL164="Yes — Detailed",10, AL164="Yes — High Level",5, TRUE,0)
  + _xlfn.IFS(AM164="Yes — Quantified",15, AM164="Yes — Directional Only",7, TRUE,0)
  + _xlfn.IFS(AP164="Formal",5, AP164="Referenced",2, TRUE,0)
  + _xlfn.IFS(AQ164="No Issues Found",5, AQ164="Concern Identified",-5, AQ164="Severe Contradiction",-15, TRUE,0)
  + _xlfn.IFS(BC164="Reasonable Assurance",5, BC164="Limited Assurance",3, TRUE,0)
  - IF(AND(Z164="Yes", AI164="No"), 10, 0)
  - IF(AND(Z164="Yes", AM164="No"), 10, 0)
))</f>
        <v>0</v>
      </c>
      <c r="AS164" s="5"/>
      <c r="AT164" s="5"/>
      <c r="AU164" s="5"/>
      <c r="AV164" s="5"/>
      <c r="AW164" s="5"/>
      <c r="AX164" s="5"/>
      <c r="AY164" s="5"/>
      <c r="AZ164" s="5"/>
      <c r="BA164" s="5"/>
      <c r="BB164" s="5"/>
      <c r="BC164" s="5"/>
      <c r="BD164" s="5"/>
      <c r="BE164" s="39">
        <f t="array" ref="BE164">MIN(100, MAX(0,
  IFERROR(_xlfn.XLOOKUP(AT164,'Lookup Tables'!$D$2:$D$6,'Lookup Tables'!$E$2:$E$6,0),0)
  + IFERROR(_xlfn.XLOOKUP(AV164,'Lookup Tables'!$G$2:$G$5,'Lookup Tables'!$H$2:$H$5,0),0)
  + IFERROR(_xlfn.XLOOKUP(AW164,'Lookup Tables'!$J$2:$J$5,'Lookup Tables'!$K$2:$K$5,0),0)
  + _xlfn.IFS(AX164="No Issues",10, AX164="Complaint Filed",3, AX164="Confirmed Breach",-15, TRUE,0)
  + IFERROR(_xlfn.XLOOKUP(AY164,'Lookup Tables'!$M$2:$M$6,'Lookup Tables'!$N$2:$N$6,0),0)
  + IFERROR(_xlfn.XLOOKUP(AZ164,'Lookup Tables'!$P$2:$P$6,'Lookup Tables'!$Q$2:$Q$6,0),0)
  + _xlfn.IFS(BA164="Formal Board Committee",5, BA164="Board Oversight Mentioned",2, TRUE,0)
  + _xlfn.IFS(BB164="Yes — Quantified Targets",5, BB164="Yes — Discretionary Only",2, TRUE,0)
  + _xlfn.IFS(BC164="Reasonable Assurance",5, BC164="Limited Assurance",3, BC164="Management Review Only",1, TRUE,0)
))</f>
        <v>0</v>
      </c>
      <c r="BF164" s="5"/>
      <c r="BG164" s="5"/>
      <c r="BH164" s="5"/>
      <c r="BI164" s="5"/>
      <c r="BJ164" s="5"/>
      <c r="BK164" s="5"/>
      <c r="BL164" s="5"/>
      <c r="BM164" s="5"/>
      <c r="BN164" s="5"/>
      <c r="BO164" s="5"/>
      <c r="BP164" s="5"/>
      <c r="BQ164" s="5"/>
      <c r="BR164" s="5"/>
      <c r="BS164" s="41">
        <f t="array" ref="BS164">MIN(100, MAX(0,
  IFERROR(_xlfn.XLOOKUP(BG164,'Lookup Tables'!$A$11:$A$16,'Lookup Tables'!$B$11:$B$16,0),0)
  + IFERROR(_xlfn.XLOOKUP(BR164,'Lookup Tables'!$M$11:$M$14,'Lookup Tables'!$N$11:$N$14,0),0)
  + IFERROR(_xlfn.XLOOKUP(BQ164,'Lookup Tables'!$J$11:$J$15,'Lookup Tables'!$K$11:$K$15,0),0)
  + IFERROR(_xlfn.XLOOKUP(BH164,'Lookup Tables'!$D$11:$D$15,'Lookup Tables'!$E$11:$E$15,0),0)
  + IFERROR(_xlfn.XLOOKUP(BJ164,'Lookup Tables'!$G$11:$G$16,'Lookup Tables'!$H$11:$H$16,0),0)
  + IFERROR(_xlfn.XLOOKUP(BN164,'Lookup Tables'!$P$11:$P$15,'Lookup Tables'!$Q$11:$Q$15,0),0)
  + _xlfn.IFS(BM164="No Evidence",10, BM164="Unknown",3, BM164="Likely",0, BM164="Confirmed",-10, TRUE,3)
  + IFERROR(_xlfn.XLOOKUP(BP164,'Lookup Tables'!$J$21:$J$24,'Lookup Tables'!$K$21:$K$24,0),0)
))</f>
        <v>3</v>
      </c>
      <c r="BT164" s="5"/>
      <c r="BU164" s="5"/>
      <c r="BV164" s="5"/>
      <c r="BW164" s="5"/>
      <c r="BX164" s="5"/>
      <c r="BY164" s="5"/>
      <c r="BZ164" s="5"/>
      <c r="CA164" s="5"/>
      <c r="CB164" s="5"/>
      <c r="CC164" s="5"/>
      <c r="CD164" s="5"/>
      <c r="CE164" s="43">
        <f t="array" ref="CE164">MIN(100, MAX(0,
  IF(ISNUMBER(BV164)*AND(BV164&gt;0), 10, 0)
  + _xlfn.IFS(BY164="Independently Verified",25, BY164="Yes",15, TRUE,0)
  + IFERROR(_xlfn.XLOOKUP(BZ164,'Lookup Tables'!$A$21:$A$24,'Lookup Tables'!$B$21:$B$24,0),0)
  + IFERROR(_xlfn.XLOOKUP(CA164,'Lookup Tables'!$D$21:$D$24,'Lookup Tables'!$E$21:$E$24,0),0)
  + _xlfn.IFS(ISNUMBER(CB164)*AND(CB164&gt;=11),15, ISNUMBER(CB164)*AND(CB164&gt;=6),10, ISNUMBER(CB164)*AND(CB164&gt;=1),5, TRUE,0)
  + IFERROR(_xlfn.XLOOKUP(CC164,'Lookup Tables'!$G$21:$G$25,'Lookup Tables'!$H$21:$H$25,0),0)
  - IF(ISNUMBER(BW164)*AND(ISNUMBER(BV164))*AND(BW164&gt;BV164), 20, 0)
  - IF(AND(BY164="Yes", ISNUMBER(BW164), BW164&gt;60), 10, 0)
))</f>
        <v>0</v>
      </c>
      <c r="CF164" s="5"/>
      <c r="CG164" s="5"/>
      <c r="CH164" s="5"/>
      <c r="CI164" s="5"/>
      <c r="CJ164" s="5"/>
      <c r="CK164" s="5"/>
      <c r="CL164" s="5"/>
      <c r="CM164" s="5"/>
      <c r="CN164" s="5"/>
      <c r="CO164" s="5"/>
      <c r="CP164" s="5"/>
      <c r="CQ164" s="5"/>
      <c r="CR164" s="5">
        <f t="shared" si="90"/>
        <v>0</v>
      </c>
      <c r="CS164" s="5">
        <f t="shared" si="91"/>
        <v>0</v>
      </c>
      <c r="CT164" s="5">
        <f t="shared" si="92"/>
        <v>0</v>
      </c>
      <c r="CU164" s="5">
        <f>MIN(100,
  CR164*15
  + CS164*6
  + CT164*3
  + IFERROR(_xlfn.XLOOKUP(CW164,'Lookup Tables'!$M$21:$M$25,'Lookup Tables'!$N$21:$N$25,0),0)
)</f>
        <v>0</v>
      </c>
      <c r="CV164" s="5" t="str">
        <f t="shared" si="93"/>
        <v>No failures</v>
      </c>
      <c r="CW164" s="5"/>
      <c r="CX164" s="5"/>
      <c r="CY164" s="5"/>
      <c r="CZ164" s="5"/>
      <c r="DA164" s="5" t="str">
        <f t="shared" si="94"/>
        <v>Yes</v>
      </c>
      <c r="DB164" s="5" t="str">
        <f t="shared" si="95"/>
        <v>No</v>
      </c>
      <c r="DC164" s="5"/>
      <c r="DD164" s="5"/>
      <c r="DE164" s="5"/>
      <c r="DF164" s="5"/>
      <c r="DG164" s="5"/>
      <c r="DH164" s="5"/>
      <c r="DI164" s="5"/>
      <c r="DJ164" s="5"/>
      <c r="DK164" s="5"/>
      <c r="DL164" s="5" t="str">
        <f t="shared" si="96"/>
        <v>Clear</v>
      </c>
      <c r="DM164" s="5" t="str">
        <f t="shared" si="97"/>
        <v>Yes</v>
      </c>
      <c r="DN164" s="5">
        <f t="array" ref="DN164">MIN(100,
  IF(ISNUMBER(V164), _xlfn.IFS(V164&gt;=3,25, V164=2,15, V164=1,5, TRUE,0), 0)
  + IFERROR(_xlfn.IFS(VALUE(LEFT(DF164,1))=5,25, VALUE(LEFT(DF164,1))=4,20, VALUE(LEFT(DF164,1))=3,15, VALUE(LEFT(DF164,1))=2,8, TRUE,0), 15)
  + IFERROR(_xlfn.IFS(VALUE(LEFT(DG164,1))=5,25, VALUE(LEFT(DG164,1))=4,20, VALUE(LEFT(DG164,1))=3,15, VALUE(LEFT(DG164,1))=2,8, TRUE,0), 15)
  + _xlfn.IFS(DH164="Fully Verified",25, DH164="Partially Verified",12, TRUE,0)
)</f>
        <v>30</v>
      </c>
      <c r="DO164" s="5" t="str">
        <f t="array" ref="DO164">_xlfn.IFS(
  ISBLANK(AR164), "Insufficient Evidence",
  AND(AR164&gt;=65, AJ164="Approved"), "Strong",
  AR164&gt;=65, "Adequate",
  AR164&gt;=40, "Adequate",
  AR164&gt;=20, "Weak",
  TRUE, "Insufficient Evidence"
)</f>
        <v>Insufficient Evidence</v>
      </c>
      <c r="DP164" s="5" t="str">
        <f t="array" ref="DP164">_xlfn.IFS(
  ISBLANK(BS164), "Insufficient Evidence",
  BS164&gt;=65, "Strong",
  BS164&gt;=40, "Adequate",
  BS164&gt;=20, "Weak",
  TRUE, "Insufficient Evidence"
)</f>
        <v>Insufficient Evidence</v>
      </c>
      <c r="DQ164" s="5" t="str">
        <f t="array" ref="DQ164">_xlfn.IFS(
  ISBLANK(BE164), "Insufficient Evidence",
  OR(AW164="Confirmed Violation", AX164="Confirmed Breach"), "Severe — Hard Trigger",
  BE164&gt;=65, "Strong",
  BE164&gt;=40, "Adequate",
  BE164&gt;=20, "Weak",
  TRUE, "Insufficient Evidence"
)</f>
        <v>Insufficient Evidence</v>
      </c>
      <c r="DR164" s="5" t="str">
        <f t="array" ref="DR164">_xlfn.IFS(
  ISBLANK(CU164), "Insufficient Evidence",
  CU164&lt;=20, "Low Risk",
  CU164&lt;=50, "Moderate Risk",
  CU164&lt;=75, "High Risk",
  TRUE, "Very High Risk"
)</f>
        <v>Low Risk</v>
      </c>
      <c r="DS164" s="5" t="str">
        <f t="array" ref="DS164">_xlfn.IFS(
  ISBLANK(CE164), "Insufficient Evidence",
  AND(ISNUMBER(BW164),ISNUMBER(BV164),BW164&gt;BV164), "Overclaiming Risk",
  CE164&gt;=65, "Strong",
  CE164&gt;=40, "Adequate",
  TRUE, "Weak"
)</f>
        <v>Weak</v>
      </c>
      <c r="DT164" s="5">
        <f t="shared" si="98"/>
        <v>11.7</v>
      </c>
      <c r="DU164" s="5" t="str">
        <f t="array" ref="DU164">_xlfn.IFS(
  DV164="Upgraded to Clear", "Clear",
  DV164="Downgraded to Watchlist", "Watchlist",
  DV164="Downgraded to Exclusion", "Exclusion Risk",
  DB164="Yes — Automatic", "Exclusion Risk",
  OR(AW164="Confirmed Violation", AX164="Confirmed Breach"), "Exclusion Risk",
  OR(V164=0, ISBLANK(V164), DN164&lt;20), "Insufficient Evidence",
  AND(DT164&gt;=65, DA164="No", DB164="No"), "Clear",
  OR(DT164&gt;=40, DA164="Yes"), "Watchlist",
  TRUE, "Exclusion Risk"
)</f>
        <v>Insufficient Evidence</v>
      </c>
      <c r="DV164" s="5"/>
      <c r="DW164" s="5" t="str">
        <f t="array" ref="DW164">_xlfn.IFS(
  DU164="Exclusion Risk", "Exclude — Hard Trigger",
  DU164="Insufficient Evidence", "Watchlist — Further Evidence Needed",
  DU164="Watchlist", "Watchlist — Further Evidence Needed",
  AND(DU164="Clear", DT164&gt;=80), "Include — No Conditions",
  DU164="Clear", "Include — Monitor",
  TRUE, "Watchlist — Further Evidence Needed"
)</f>
        <v>Watchlist — Further Evidence Needed</v>
      </c>
      <c r="DX164" s="5"/>
      <c r="DY164" s="5"/>
      <c r="DZ164" s="5"/>
      <c r="EA164" s="5"/>
      <c r="EB164" s="5" t="str">
        <f t="shared" si="99"/>
        <v>MISSING — No sources reviewed</v>
      </c>
      <c r="EC164" s="5" t="str">
        <f t="shared" si="100"/>
        <v/>
      </c>
    </row>
    <row r="165" spans="1:133" ht="18" customHeight="1" x14ac:dyDescent="0.15">
      <c r="A165" s="5" t="s">
        <v>857</v>
      </c>
      <c r="B165" s="5" t="s">
        <v>858</v>
      </c>
      <c r="C165" s="5" t="str">
        <f>IF(ISBLANK('Universe Tracker'!D140),"",'Universe Tracker'!D140)</f>
        <v>FR0000044448</v>
      </c>
      <c r="D165" s="5"/>
      <c r="E165" s="5"/>
      <c r="F165" s="5" t="str">
        <f>IF(ISBLANK('Universe Tracker'!F140),"",'Universe Tracker'!F140)</f>
        <v>Industrials</v>
      </c>
      <c r="G165" s="5" t="str">
        <f>IF(ISBLANK('Universe Tracker'!G140),"",'Universe Tracker'!G140)</f>
        <v>Industrial Products</v>
      </c>
      <c r="H165" s="5"/>
      <c r="I165" s="5"/>
      <c r="J165" s="5" t="str">
        <f t="shared" si="88"/>
        <v>NXS_FR0000044448</v>
      </c>
      <c r="K165" s="5"/>
      <c r="L165" s="5"/>
      <c r="M165" s="5"/>
      <c r="N165" s="5"/>
      <c r="O165" s="5"/>
      <c r="P165" s="5"/>
      <c r="Q165" s="5"/>
      <c r="R165" s="5"/>
      <c r="S165" s="5"/>
      <c r="T165" s="5"/>
      <c r="U165" s="5"/>
      <c r="V165" s="5"/>
      <c r="W165" s="5"/>
      <c r="X165" s="5"/>
      <c r="Y165" s="5" t="str">
        <f t="shared" si="89"/>
        <v>Insufficient</v>
      </c>
      <c r="Z165" s="5"/>
      <c r="AA165" s="5"/>
      <c r="AB165" s="5"/>
      <c r="AC165" s="5"/>
      <c r="AD165" s="5"/>
      <c r="AE165" s="5"/>
      <c r="AF165" s="5"/>
      <c r="AG165" s="5"/>
      <c r="AH165" s="5"/>
      <c r="AI165" s="5"/>
      <c r="AJ165" s="5"/>
      <c r="AK165" s="5"/>
      <c r="AL165" s="5"/>
      <c r="AM165" s="5"/>
      <c r="AN165" s="5"/>
      <c r="AO165" s="5"/>
      <c r="AP165" s="5"/>
      <c r="AQ165" s="5"/>
      <c r="AR165" s="40">
        <f t="array" ref="AR165">MIN(100, MAX(0,
  IFERROR(_xlfn.XLOOKUP(AJ165,'Lookup Tables'!$A$2:$A$7,'Lookup Tables'!$B$2:$B$7,0),0)
  + IF(Z165="Yes", IF(IFERROR(_xlfn.XLOOKUP(AJ165,'Lookup Tables'!$A$2:$A$7,'Lookup Tables'!$B$2:$B$7,0),0)&lt;20, 5, 0), 0)
  + _xlfn.IFS(AB165="Yes", IF(ISNUMBER(AC165)*AND(AC165&lt;=2030),15,10), AB165="Long-term Only", 5, AB165="No", 0, TRUE, 0)
  + _xlfn.IFS(AF165="Full",10, AF165="Partial",5, AF165="Scope 2 Only",3, TRUE,0)
  + _xlfn.IFS(AG165="Yes", IF(ISNUMBER(AH165)*AND(AH165&gt;=5),10,6), AG165="Partial",4, TRUE,0)
  + _xlfn.IFS(AI165="Yes",5, AI165="Partial (material categories only)",3, TRUE,0)
  + _xlfn.IFS(AL165="Yes — Detailed",10, AL165="Yes — High Level",5, TRUE,0)
  + _xlfn.IFS(AM165="Yes — Quantified",15, AM165="Yes — Directional Only",7, TRUE,0)
  + _xlfn.IFS(AP165="Formal",5, AP165="Referenced",2, TRUE,0)
  + _xlfn.IFS(AQ165="No Issues Found",5, AQ165="Concern Identified",-5, AQ165="Severe Contradiction",-15, TRUE,0)
  + _xlfn.IFS(BC165="Reasonable Assurance",5, BC165="Limited Assurance",3, TRUE,0)
  - IF(AND(Z165="Yes", AI165="No"), 10, 0)
  - IF(AND(Z165="Yes", AM165="No"), 10, 0)
))</f>
        <v>0</v>
      </c>
      <c r="AS165" s="5"/>
      <c r="AT165" s="5"/>
      <c r="AU165" s="5"/>
      <c r="AV165" s="5"/>
      <c r="AW165" s="5"/>
      <c r="AX165" s="5"/>
      <c r="AY165" s="5"/>
      <c r="AZ165" s="5"/>
      <c r="BA165" s="5"/>
      <c r="BB165" s="5"/>
      <c r="BC165" s="5"/>
      <c r="BD165" s="5"/>
      <c r="BE165" s="39">
        <f t="array" ref="BE165">MIN(100, MAX(0,
  IFERROR(_xlfn.XLOOKUP(AT165,'Lookup Tables'!$D$2:$D$6,'Lookup Tables'!$E$2:$E$6,0),0)
  + IFERROR(_xlfn.XLOOKUP(AV165,'Lookup Tables'!$G$2:$G$5,'Lookup Tables'!$H$2:$H$5,0),0)
  + IFERROR(_xlfn.XLOOKUP(AW165,'Lookup Tables'!$J$2:$J$5,'Lookup Tables'!$K$2:$K$5,0),0)
  + _xlfn.IFS(AX165="No Issues",10, AX165="Complaint Filed",3, AX165="Confirmed Breach",-15, TRUE,0)
  + IFERROR(_xlfn.XLOOKUP(AY165,'Lookup Tables'!$M$2:$M$6,'Lookup Tables'!$N$2:$N$6,0),0)
  + IFERROR(_xlfn.XLOOKUP(AZ165,'Lookup Tables'!$P$2:$P$6,'Lookup Tables'!$Q$2:$Q$6,0),0)
  + _xlfn.IFS(BA165="Formal Board Committee",5, BA165="Board Oversight Mentioned",2, TRUE,0)
  + _xlfn.IFS(BB165="Yes — Quantified Targets",5, BB165="Yes — Discretionary Only",2, TRUE,0)
  + _xlfn.IFS(BC165="Reasonable Assurance",5, BC165="Limited Assurance",3, BC165="Management Review Only",1, TRUE,0)
))</f>
        <v>0</v>
      </c>
      <c r="BF165" s="5"/>
      <c r="BG165" s="5"/>
      <c r="BH165" s="5"/>
      <c r="BI165" s="5"/>
      <c r="BJ165" s="5"/>
      <c r="BK165" s="5"/>
      <c r="BL165" s="5"/>
      <c r="BM165" s="5"/>
      <c r="BN165" s="5"/>
      <c r="BO165" s="5"/>
      <c r="BP165" s="5"/>
      <c r="BQ165" s="5"/>
      <c r="BR165" s="5"/>
      <c r="BS165" s="41">
        <f t="array" ref="BS165">MIN(100, MAX(0,
  IFERROR(_xlfn.XLOOKUP(BG165,'Lookup Tables'!$A$11:$A$16,'Lookup Tables'!$B$11:$B$16,0),0)
  + IFERROR(_xlfn.XLOOKUP(BR165,'Lookup Tables'!$M$11:$M$14,'Lookup Tables'!$N$11:$N$14,0),0)
  + IFERROR(_xlfn.XLOOKUP(BQ165,'Lookup Tables'!$J$11:$J$15,'Lookup Tables'!$K$11:$K$15,0),0)
  + IFERROR(_xlfn.XLOOKUP(BH165,'Lookup Tables'!$D$11:$D$15,'Lookup Tables'!$E$11:$E$15,0),0)
  + IFERROR(_xlfn.XLOOKUP(BJ165,'Lookup Tables'!$G$11:$G$16,'Lookup Tables'!$H$11:$H$16,0),0)
  + IFERROR(_xlfn.XLOOKUP(BN165,'Lookup Tables'!$P$11:$P$15,'Lookup Tables'!$Q$11:$Q$15,0),0)
  + _xlfn.IFS(BM165="No Evidence",10, BM165="Unknown",3, BM165="Likely",0, BM165="Confirmed",-10, TRUE,3)
  + IFERROR(_xlfn.XLOOKUP(BP165,'Lookup Tables'!$J$21:$J$24,'Lookup Tables'!$K$21:$K$24,0),0)
))</f>
        <v>3</v>
      </c>
      <c r="BT165" s="5"/>
      <c r="BU165" s="5"/>
      <c r="BV165" s="5"/>
      <c r="BW165" s="5"/>
      <c r="BX165" s="5"/>
      <c r="BY165" s="5"/>
      <c r="BZ165" s="5"/>
      <c r="CA165" s="5"/>
      <c r="CB165" s="5"/>
      <c r="CC165" s="5"/>
      <c r="CD165" s="5"/>
      <c r="CE165" s="43">
        <f t="array" ref="CE165">MIN(100, MAX(0,
  IF(ISNUMBER(BV165)*AND(BV165&gt;0), 10, 0)
  + _xlfn.IFS(BY165="Independently Verified",25, BY165="Yes",15, TRUE,0)
  + IFERROR(_xlfn.XLOOKUP(BZ165,'Lookup Tables'!$A$21:$A$24,'Lookup Tables'!$B$21:$B$24,0),0)
  + IFERROR(_xlfn.XLOOKUP(CA165,'Lookup Tables'!$D$21:$D$24,'Lookup Tables'!$E$21:$E$24,0),0)
  + _xlfn.IFS(ISNUMBER(CB165)*AND(CB165&gt;=11),15, ISNUMBER(CB165)*AND(CB165&gt;=6),10, ISNUMBER(CB165)*AND(CB165&gt;=1),5, TRUE,0)
  + IFERROR(_xlfn.XLOOKUP(CC165,'Lookup Tables'!$G$21:$G$25,'Lookup Tables'!$H$21:$H$25,0),0)
  - IF(ISNUMBER(BW165)*AND(ISNUMBER(BV165))*AND(BW165&gt;BV165), 20, 0)
  - IF(AND(BY165="Yes", ISNUMBER(BW165), BW165&gt;60), 10, 0)
))</f>
        <v>0</v>
      </c>
      <c r="CF165" s="5"/>
      <c r="CG165" s="5"/>
      <c r="CH165" s="5"/>
      <c r="CI165" s="5"/>
      <c r="CJ165" s="5"/>
      <c r="CK165" s="5"/>
      <c r="CL165" s="5"/>
      <c r="CM165" s="5"/>
      <c r="CN165" s="5"/>
      <c r="CO165" s="5"/>
      <c r="CP165" s="5"/>
      <c r="CQ165" s="5"/>
      <c r="CR165" s="5">
        <f t="shared" si="90"/>
        <v>0</v>
      </c>
      <c r="CS165" s="5">
        <f t="shared" si="91"/>
        <v>0</v>
      </c>
      <c r="CT165" s="5">
        <f t="shared" si="92"/>
        <v>0</v>
      </c>
      <c r="CU165" s="5">
        <f>MIN(100,
  CR165*15
  + CS165*6
  + CT165*3
  + IFERROR(_xlfn.XLOOKUP(CW165,'Lookup Tables'!$M$21:$M$25,'Lookup Tables'!$N$21:$N$25,0),0)
)</f>
        <v>0</v>
      </c>
      <c r="CV165" s="5" t="str">
        <f t="shared" si="93"/>
        <v>No failures</v>
      </c>
      <c r="CW165" s="5"/>
      <c r="CX165" s="5"/>
      <c r="CY165" s="5"/>
      <c r="CZ165" s="5"/>
      <c r="DA165" s="5" t="str">
        <f t="shared" si="94"/>
        <v>Yes</v>
      </c>
      <c r="DB165" s="5" t="str">
        <f t="shared" si="95"/>
        <v>No</v>
      </c>
      <c r="DC165" s="5"/>
      <c r="DD165" s="5"/>
      <c r="DE165" s="5"/>
      <c r="DF165" s="5"/>
      <c r="DG165" s="5"/>
      <c r="DH165" s="5"/>
      <c r="DI165" s="5"/>
      <c r="DJ165" s="5"/>
      <c r="DK165" s="5"/>
      <c r="DL165" s="5" t="str">
        <f t="shared" si="96"/>
        <v>Clear</v>
      </c>
      <c r="DM165" s="5" t="str">
        <f t="shared" si="97"/>
        <v>Yes</v>
      </c>
      <c r="DN165" s="5">
        <f t="array" ref="DN165">MIN(100,
  IF(ISNUMBER(V165), _xlfn.IFS(V165&gt;=3,25, V165=2,15, V165=1,5, TRUE,0), 0)
  + IFERROR(_xlfn.IFS(VALUE(LEFT(DF165,1))=5,25, VALUE(LEFT(DF165,1))=4,20, VALUE(LEFT(DF165,1))=3,15, VALUE(LEFT(DF165,1))=2,8, TRUE,0), 15)
  + IFERROR(_xlfn.IFS(VALUE(LEFT(DG165,1))=5,25, VALUE(LEFT(DG165,1))=4,20, VALUE(LEFT(DG165,1))=3,15, VALUE(LEFT(DG165,1))=2,8, TRUE,0), 15)
  + _xlfn.IFS(DH165="Fully Verified",25, DH165="Partially Verified",12, TRUE,0)
)</f>
        <v>30</v>
      </c>
      <c r="DO165" s="5" t="str">
        <f t="array" ref="DO165">_xlfn.IFS(
  ISBLANK(AR165), "Insufficient Evidence",
  AND(AR165&gt;=65, AJ165="Approved"), "Strong",
  AR165&gt;=65, "Adequate",
  AR165&gt;=40, "Adequate",
  AR165&gt;=20, "Weak",
  TRUE, "Insufficient Evidence"
)</f>
        <v>Insufficient Evidence</v>
      </c>
      <c r="DP165" s="5" t="str">
        <f t="array" ref="DP165">_xlfn.IFS(
  ISBLANK(BS165), "Insufficient Evidence",
  BS165&gt;=65, "Strong",
  BS165&gt;=40, "Adequate",
  BS165&gt;=20, "Weak",
  TRUE, "Insufficient Evidence"
)</f>
        <v>Insufficient Evidence</v>
      </c>
      <c r="DQ165" s="5" t="str">
        <f t="array" ref="DQ165">_xlfn.IFS(
  ISBLANK(BE165), "Insufficient Evidence",
  OR(AW165="Confirmed Violation", AX165="Confirmed Breach"), "Severe — Hard Trigger",
  BE165&gt;=65, "Strong",
  BE165&gt;=40, "Adequate",
  BE165&gt;=20, "Weak",
  TRUE, "Insufficient Evidence"
)</f>
        <v>Insufficient Evidence</v>
      </c>
      <c r="DR165" s="5" t="str">
        <f t="array" ref="DR165">_xlfn.IFS(
  ISBLANK(CU165), "Insufficient Evidence",
  CU165&lt;=20, "Low Risk",
  CU165&lt;=50, "Moderate Risk",
  CU165&lt;=75, "High Risk",
  TRUE, "Very High Risk"
)</f>
        <v>Low Risk</v>
      </c>
      <c r="DS165" s="5" t="str">
        <f t="array" ref="DS165">_xlfn.IFS(
  ISBLANK(CE165), "Insufficient Evidence",
  AND(ISNUMBER(BW165),ISNUMBER(BV165),BW165&gt;BV165), "Overclaiming Risk",
  CE165&gt;=65, "Strong",
  CE165&gt;=40, "Adequate",
  TRUE, "Weak"
)</f>
        <v>Weak</v>
      </c>
      <c r="DT165" s="5">
        <f t="shared" si="98"/>
        <v>11.7</v>
      </c>
      <c r="DU165" s="5" t="str">
        <f t="array" ref="DU165">_xlfn.IFS(
  DV165="Upgraded to Clear", "Clear",
  DV165="Downgraded to Watchlist", "Watchlist",
  DV165="Downgraded to Exclusion", "Exclusion Risk",
  DB165="Yes — Automatic", "Exclusion Risk",
  OR(AW165="Confirmed Violation", AX165="Confirmed Breach"), "Exclusion Risk",
  OR(V165=0, ISBLANK(V165), DN165&lt;20), "Insufficient Evidence",
  AND(DT165&gt;=65, DA165="No", DB165="No"), "Clear",
  OR(DT165&gt;=40, DA165="Yes"), "Watchlist",
  TRUE, "Exclusion Risk"
)</f>
        <v>Insufficient Evidence</v>
      </c>
      <c r="DV165" s="5"/>
      <c r="DW165" s="5" t="str">
        <f t="array" ref="DW165">_xlfn.IFS(
  DU165="Exclusion Risk", "Exclude — Hard Trigger",
  DU165="Insufficient Evidence", "Watchlist — Further Evidence Needed",
  DU165="Watchlist", "Watchlist — Further Evidence Needed",
  AND(DU165="Clear", DT165&gt;=80), "Include — No Conditions",
  DU165="Clear", "Include — Monitor",
  TRUE, "Watchlist — Further Evidence Needed"
)</f>
        <v>Watchlist — Further Evidence Needed</v>
      </c>
      <c r="DX165" s="5"/>
      <c r="DY165" s="5"/>
      <c r="DZ165" s="5"/>
      <c r="EA165" s="5"/>
      <c r="EB165" s="5" t="str">
        <f t="shared" si="99"/>
        <v>MISSING — No sources reviewed</v>
      </c>
      <c r="EC165" s="5" t="str">
        <f t="shared" si="100"/>
        <v/>
      </c>
    </row>
    <row r="166" spans="1:133" ht="18" customHeight="1" x14ac:dyDescent="0.15">
      <c r="A166" s="5" t="s">
        <v>861</v>
      </c>
      <c r="B166" s="5" t="s">
        <v>862</v>
      </c>
      <c r="C166" s="5" t="str">
        <f>IF(ISBLANK('Universe Tracker'!D141),"",'Universe Tracker'!D141)</f>
        <v>SE0000114837</v>
      </c>
      <c r="D166" s="5"/>
      <c r="E166" s="5"/>
      <c r="F166" s="5" t="str">
        <f>IF(ISBLANK('Universe Tracker'!F141),"",'Universe Tracker'!F141)</f>
        <v>Industrials</v>
      </c>
      <c r="G166" s="5" t="str">
        <f>IF(ISBLANK('Universe Tracker'!G141),"",'Universe Tracker'!G141)</f>
        <v>Industrial Products</v>
      </c>
      <c r="H166" s="5"/>
      <c r="I166" s="5"/>
      <c r="J166" s="5" t="str">
        <f t="shared" si="88"/>
        <v>TLLB_SE0000114837</v>
      </c>
      <c r="K166" s="5"/>
      <c r="L166" s="5"/>
      <c r="M166" s="5"/>
      <c r="N166" s="5"/>
      <c r="O166" s="5"/>
      <c r="P166" s="5"/>
      <c r="Q166" s="5"/>
      <c r="R166" s="5"/>
      <c r="S166" s="5"/>
      <c r="T166" s="5"/>
      <c r="U166" s="5"/>
      <c r="V166" s="5"/>
      <c r="W166" s="5"/>
      <c r="X166" s="5"/>
      <c r="Y166" s="5" t="str">
        <f t="shared" si="89"/>
        <v>Insufficient</v>
      </c>
      <c r="Z166" s="5"/>
      <c r="AA166" s="5"/>
      <c r="AB166" s="5"/>
      <c r="AC166" s="5"/>
      <c r="AD166" s="5"/>
      <c r="AE166" s="5"/>
      <c r="AF166" s="5"/>
      <c r="AG166" s="5"/>
      <c r="AH166" s="5"/>
      <c r="AI166" s="5"/>
      <c r="AJ166" s="5"/>
      <c r="AK166" s="5"/>
      <c r="AL166" s="5"/>
      <c r="AM166" s="5"/>
      <c r="AN166" s="5"/>
      <c r="AO166" s="5"/>
      <c r="AP166" s="5"/>
      <c r="AQ166" s="5"/>
      <c r="AR166" s="40">
        <f t="array" ref="AR166">MIN(100, MAX(0,
  IFERROR(_xlfn.XLOOKUP(AJ166,'Lookup Tables'!$A$2:$A$7,'Lookup Tables'!$B$2:$B$7,0),0)
  + IF(Z166="Yes", IF(IFERROR(_xlfn.XLOOKUP(AJ166,'Lookup Tables'!$A$2:$A$7,'Lookup Tables'!$B$2:$B$7,0),0)&lt;20, 5, 0), 0)
  + _xlfn.IFS(AB166="Yes", IF(ISNUMBER(AC166)*AND(AC166&lt;=2030),15,10), AB166="Long-term Only", 5, AB166="No", 0, TRUE, 0)
  + _xlfn.IFS(AF166="Full",10, AF166="Partial",5, AF166="Scope 2 Only",3, TRUE,0)
  + _xlfn.IFS(AG166="Yes", IF(ISNUMBER(AH166)*AND(AH166&gt;=5),10,6), AG166="Partial",4, TRUE,0)
  + _xlfn.IFS(AI166="Yes",5, AI166="Partial (material categories only)",3, TRUE,0)
  + _xlfn.IFS(AL166="Yes — Detailed",10, AL166="Yes — High Level",5, TRUE,0)
  + _xlfn.IFS(AM166="Yes — Quantified",15, AM166="Yes — Directional Only",7, TRUE,0)
  + _xlfn.IFS(AP166="Formal",5, AP166="Referenced",2, TRUE,0)
  + _xlfn.IFS(AQ166="No Issues Found",5, AQ166="Concern Identified",-5, AQ166="Severe Contradiction",-15, TRUE,0)
  + _xlfn.IFS(BC166="Reasonable Assurance",5, BC166="Limited Assurance",3, TRUE,0)
  - IF(AND(Z166="Yes", AI166="No"), 10, 0)
  - IF(AND(Z166="Yes", AM166="No"), 10, 0)
))</f>
        <v>0</v>
      </c>
      <c r="AS166" s="5"/>
      <c r="AT166" s="5"/>
      <c r="AU166" s="5"/>
      <c r="AV166" s="5"/>
      <c r="AW166" s="5"/>
      <c r="AX166" s="5"/>
      <c r="AY166" s="5"/>
      <c r="AZ166" s="5"/>
      <c r="BA166" s="5"/>
      <c r="BB166" s="5"/>
      <c r="BC166" s="5"/>
      <c r="BD166" s="5"/>
      <c r="BE166" s="39">
        <f t="array" ref="BE166">MIN(100, MAX(0,
  IFERROR(_xlfn.XLOOKUP(AT166,'Lookup Tables'!$D$2:$D$6,'Lookup Tables'!$E$2:$E$6,0),0)
  + IFERROR(_xlfn.XLOOKUP(AV166,'Lookup Tables'!$G$2:$G$5,'Lookup Tables'!$H$2:$H$5,0),0)
  + IFERROR(_xlfn.XLOOKUP(AW166,'Lookup Tables'!$J$2:$J$5,'Lookup Tables'!$K$2:$K$5,0),0)
  + _xlfn.IFS(AX166="No Issues",10, AX166="Complaint Filed",3, AX166="Confirmed Breach",-15, TRUE,0)
  + IFERROR(_xlfn.XLOOKUP(AY166,'Lookup Tables'!$M$2:$M$6,'Lookup Tables'!$N$2:$N$6,0),0)
  + IFERROR(_xlfn.XLOOKUP(AZ166,'Lookup Tables'!$P$2:$P$6,'Lookup Tables'!$Q$2:$Q$6,0),0)
  + _xlfn.IFS(BA166="Formal Board Committee",5, BA166="Board Oversight Mentioned",2, TRUE,0)
  + _xlfn.IFS(BB166="Yes — Quantified Targets",5, BB166="Yes — Discretionary Only",2, TRUE,0)
  + _xlfn.IFS(BC166="Reasonable Assurance",5, BC166="Limited Assurance",3, BC166="Management Review Only",1, TRUE,0)
))</f>
        <v>0</v>
      </c>
      <c r="BF166" s="5"/>
      <c r="BG166" s="5"/>
      <c r="BH166" s="5"/>
      <c r="BI166" s="5"/>
      <c r="BJ166" s="5"/>
      <c r="BK166" s="5"/>
      <c r="BL166" s="5"/>
      <c r="BM166" s="5"/>
      <c r="BN166" s="5"/>
      <c r="BO166" s="5"/>
      <c r="BP166" s="5"/>
      <c r="BQ166" s="5"/>
      <c r="BR166" s="5"/>
      <c r="BS166" s="41">
        <f t="array" ref="BS166">MIN(100, MAX(0,
  IFERROR(_xlfn.XLOOKUP(BG166,'Lookup Tables'!$A$11:$A$16,'Lookup Tables'!$B$11:$B$16,0),0)
  + IFERROR(_xlfn.XLOOKUP(BR166,'Lookup Tables'!$M$11:$M$14,'Lookup Tables'!$N$11:$N$14,0),0)
  + IFERROR(_xlfn.XLOOKUP(BQ166,'Lookup Tables'!$J$11:$J$15,'Lookup Tables'!$K$11:$K$15,0),0)
  + IFERROR(_xlfn.XLOOKUP(BH166,'Lookup Tables'!$D$11:$D$15,'Lookup Tables'!$E$11:$E$15,0),0)
  + IFERROR(_xlfn.XLOOKUP(BJ166,'Lookup Tables'!$G$11:$G$16,'Lookup Tables'!$H$11:$H$16,0),0)
  + IFERROR(_xlfn.XLOOKUP(BN166,'Lookup Tables'!$P$11:$P$15,'Lookup Tables'!$Q$11:$Q$15,0),0)
  + _xlfn.IFS(BM166="No Evidence",10, BM166="Unknown",3, BM166="Likely",0, BM166="Confirmed",-10, TRUE,3)
  + IFERROR(_xlfn.XLOOKUP(BP166,'Lookup Tables'!$J$21:$J$24,'Lookup Tables'!$K$21:$K$24,0),0)
))</f>
        <v>3</v>
      </c>
      <c r="BT166" s="5"/>
      <c r="BU166" s="5"/>
      <c r="BV166" s="5"/>
      <c r="BW166" s="5"/>
      <c r="BX166" s="5"/>
      <c r="BY166" s="5"/>
      <c r="BZ166" s="5"/>
      <c r="CA166" s="5"/>
      <c r="CB166" s="5"/>
      <c r="CC166" s="5"/>
      <c r="CD166" s="5"/>
      <c r="CE166" s="43">
        <f t="array" ref="CE166">MIN(100, MAX(0,
  IF(ISNUMBER(BV166)*AND(BV166&gt;0), 10, 0)
  + _xlfn.IFS(BY166="Independently Verified",25, BY166="Yes",15, TRUE,0)
  + IFERROR(_xlfn.XLOOKUP(BZ166,'Lookup Tables'!$A$21:$A$24,'Lookup Tables'!$B$21:$B$24,0),0)
  + IFERROR(_xlfn.XLOOKUP(CA166,'Lookup Tables'!$D$21:$D$24,'Lookup Tables'!$E$21:$E$24,0),0)
  + _xlfn.IFS(ISNUMBER(CB166)*AND(CB166&gt;=11),15, ISNUMBER(CB166)*AND(CB166&gt;=6),10, ISNUMBER(CB166)*AND(CB166&gt;=1),5, TRUE,0)
  + IFERROR(_xlfn.XLOOKUP(CC166,'Lookup Tables'!$G$21:$G$25,'Lookup Tables'!$H$21:$H$25,0),0)
  - IF(ISNUMBER(BW166)*AND(ISNUMBER(BV166))*AND(BW166&gt;BV166), 20, 0)
  - IF(AND(BY166="Yes", ISNUMBER(BW166), BW166&gt;60), 10, 0)
))</f>
        <v>0</v>
      </c>
      <c r="CF166" s="5"/>
      <c r="CG166" s="5"/>
      <c r="CH166" s="5"/>
      <c r="CI166" s="5"/>
      <c r="CJ166" s="5"/>
      <c r="CK166" s="5"/>
      <c r="CL166" s="5"/>
      <c r="CM166" s="5"/>
      <c r="CN166" s="5"/>
      <c r="CO166" s="5"/>
      <c r="CP166" s="5"/>
      <c r="CQ166" s="5"/>
      <c r="CR166" s="5">
        <f t="shared" si="90"/>
        <v>0</v>
      </c>
      <c r="CS166" s="5">
        <f t="shared" si="91"/>
        <v>0</v>
      </c>
      <c r="CT166" s="5">
        <f t="shared" si="92"/>
        <v>0</v>
      </c>
      <c r="CU166" s="5">
        <f>MIN(100,
  CR166*15
  + CS166*6
  + CT166*3
  + IFERROR(_xlfn.XLOOKUP(CW166,'Lookup Tables'!$M$21:$M$25,'Lookup Tables'!$N$21:$N$25,0),0)
)</f>
        <v>0</v>
      </c>
      <c r="CV166" s="5" t="str">
        <f t="shared" si="93"/>
        <v>No failures</v>
      </c>
      <c r="CW166" s="5"/>
      <c r="CX166" s="5"/>
      <c r="CY166" s="5"/>
      <c r="CZ166" s="5"/>
      <c r="DA166" s="5" t="str">
        <f t="shared" si="94"/>
        <v>Yes</v>
      </c>
      <c r="DB166" s="5" t="str">
        <f t="shared" si="95"/>
        <v>No</v>
      </c>
      <c r="DC166" s="5"/>
      <c r="DD166" s="5"/>
      <c r="DE166" s="5"/>
      <c r="DF166" s="5"/>
      <c r="DG166" s="5"/>
      <c r="DH166" s="5"/>
      <c r="DI166" s="5"/>
      <c r="DJ166" s="5"/>
      <c r="DK166" s="5"/>
      <c r="DL166" s="5" t="str">
        <f t="shared" si="96"/>
        <v>Clear</v>
      </c>
      <c r="DM166" s="5" t="str">
        <f t="shared" si="97"/>
        <v>Yes</v>
      </c>
      <c r="DN166" s="5">
        <f t="array" ref="DN166">MIN(100,
  IF(ISNUMBER(V166), _xlfn.IFS(V166&gt;=3,25, V166=2,15, V166=1,5, TRUE,0), 0)
  + IFERROR(_xlfn.IFS(VALUE(LEFT(DF166,1))=5,25, VALUE(LEFT(DF166,1))=4,20, VALUE(LEFT(DF166,1))=3,15, VALUE(LEFT(DF166,1))=2,8, TRUE,0), 15)
  + IFERROR(_xlfn.IFS(VALUE(LEFT(DG166,1))=5,25, VALUE(LEFT(DG166,1))=4,20, VALUE(LEFT(DG166,1))=3,15, VALUE(LEFT(DG166,1))=2,8, TRUE,0), 15)
  + _xlfn.IFS(DH166="Fully Verified",25, DH166="Partially Verified",12, TRUE,0)
)</f>
        <v>30</v>
      </c>
      <c r="DO166" s="5" t="str">
        <f t="array" ref="DO166">_xlfn.IFS(
  ISBLANK(AR166), "Insufficient Evidence",
  AND(AR166&gt;=65, AJ166="Approved"), "Strong",
  AR166&gt;=65, "Adequate",
  AR166&gt;=40, "Adequate",
  AR166&gt;=20, "Weak",
  TRUE, "Insufficient Evidence"
)</f>
        <v>Insufficient Evidence</v>
      </c>
      <c r="DP166" s="5" t="str">
        <f t="array" ref="DP166">_xlfn.IFS(
  ISBLANK(BS166), "Insufficient Evidence",
  BS166&gt;=65, "Strong",
  BS166&gt;=40, "Adequate",
  BS166&gt;=20, "Weak",
  TRUE, "Insufficient Evidence"
)</f>
        <v>Insufficient Evidence</v>
      </c>
      <c r="DQ166" s="5" t="str">
        <f t="array" ref="DQ166">_xlfn.IFS(
  ISBLANK(BE166), "Insufficient Evidence",
  OR(AW166="Confirmed Violation", AX166="Confirmed Breach"), "Severe — Hard Trigger",
  BE166&gt;=65, "Strong",
  BE166&gt;=40, "Adequate",
  BE166&gt;=20, "Weak",
  TRUE, "Insufficient Evidence"
)</f>
        <v>Insufficient Evidence</v>
      </c>
      <c r="DR166" s="5" t="str">
        <f t="array" ref="DR166">_xlfn.IFS(
  ISBLANK(CU166), "Insufficient Evidence",
  CU166&lt;=20, "Low Risk",
  CU166&lt;=50, "Moderate Risk",
  CU166&lt;=75, "High Risk",
  TRUE, "Very High Risk"
)</f>
        <v>Low Risk</v>
      </c>
      <c r="DS166" s="5" t="str">
        <f t="array" ref="DS166">_xlfn.IFS(
  ISBLANK(CE166), "Insufficient Evidence",
  AND(ISNUMBER(BW166),ISNUMBER(BV166),BW166&gt;BV166), "Overclaiming Risk",
  CE166&gt;=65, "Strong",
  CE166&gt;=40, "Adequate",
  TRUE, "Weak"
)</f>
        <v>Weak</v>
      </c>
      <c r="DT166" s="5">
        <f t="shared" si="98"/>
        <v>11.7</v>
      </c>
      <c r="DU166" s="5" t="str">
        <f t="array" ref="DU166">_xlfn.IFS(
  DV166="Upgraded to Clear", "Clear",
  DV166="Downgraded to Watchlist", "Watchlist",
  DV166="Downgraded to Exclusion", "Exclusion Risk",
  DB166="Yes — Automatic", "Exclusion Risk",
  OR(AW166="Confirmed Violation", AX166="Confirmed Breach"), "Exclusion Risk",
  OR(V166=0, ISBLANK(V166), DN166&lt;20), "Insufficient Evidence",
  AND(DT166&gt;=65, DA166="No", DB166="No"), "Clear",
  OR(DT166&gt;=40, DA166="Yes"), "Watchlist",
  TRUE, "Exclusion Risk"
)</f>
        <v>Insufficient Evidence</v>
      </c>
      <c r="DV166" s="5"/>
      <c r="DW166" s="5" t="str">
        <f t="array" ref="DW166">_xlfn.IFS(
  DU166="Exclusion Risk", "Exclude — Hard Trigger",
  DU166="Insufficient Evidence", "Watchlist — Further Evidence Needed",
  DU166="Watchlist", "Watchlist — Further Evidence Needed",
  AND(DU166="Clear", DT166&gt;=80), "Include — No Conditions",
  DU166="Clear", "Include — Monitor",
  TRUE, "Watchlist — Further Evidence Needed"
)</f>
        <v>Watchlist — Further Evidence Needed</v>
      </c>
      <c r="DX166" s="5"/>
      <c r="DY166" s="5"/>
      <c r="DZ166" s="5"/>
      <c r="EA166" s="5"/>
      <c r="EB166" s="5" t="str">
        <f t="shared" si="99"/>
        <v>MISSING — No sources reviewed</v>
      </c>
      <c r="EC166" s="5" t="str">
        <f t="shared" si="100"/>
        <v/>
      </c>
    </row>
    <row r="167" spans="1:133" ht="18" customHeight="1" x14ac:dyDescent="0.15">
      <c r="A167" s="5" t="s">
        <v>865</v>
      </c>
      <c r="B167" s="5" t="s">
        <v>866</v>
      </c>
      <c r="C167" s="5" t="str">
        <f>IF(ISBLANK('Universe Tracker'!D142),"",'Universe Tracker'!D142)</f>
        <v>BE0003565737</v>
      </c>
      <c r="D167" s="5"/>
      <c r="E167" s="5"/>
      <c r="F167" s="5" t="str">
        <f>IF(ISBLANK('Universe Tracker'!F142),"",'Universe Tracker'!F142)</f>
        <v>Financials</v>
      </c>
      <c r="G167" s="5" t="str">
        <f>IF(ISBLANK('Universe Tracker'!G142),"",'Universe Tracker'!G142)</f>
        <v>Banking</v>
      </c>
      <c r="H167" s="5"/>
      <c r="I167" s="5"/>
      <c r="J167" s="5" t="str">
        <f t="shared" si="88"/>
        <v>KDB_BE0003565737</v>
      </c>
      <c r="K167" s="5"/>
      <c r="L167" s="5"/>
      <c r="M167" s="5"/>
      <c r="N167" s="5"/>
      <c r="O167" s="5"/>
      <c r="P167" s="5"/>
      <c r="Q167" s="5"/>
      <c r="R167" s="5"/>
      <c r="S167" s="5"/>
      <c r="T167" s="5"/>
      <c r="U167" s="5"/>
      <c r="V167" s="5"/>
      <c r="W167" s="5"/>
      <c r="X167" s="5"/>
      <c r="Y167" s="5" t="str">
        <f t="shared" si="89"/>
        <v>Insufficient</v>
      </c>
      <c r="Z167" s="5"/>
      <c r="AA167" s="5"/>
      <c r="AB167" s="5"/>
      <c r="AC167" s="5"/>
      <c r="AD167" s="5"/>
      <c r="AE167" s="5"/>
      <c r="AF167" s="5"/>
      <c r="AG167" s="5"/>
      <c r="AH167" s="5"/>
      <c r="AI167" s="5"/>
      <c r="AJ167" s="5"/>
      <c r="AK167" s="5"/>
      <c r="AL167" s="5"/>
      <c r="AM167" s="5"/>
      <c r="AN167" s="5"/>
      <c r="AO167" s="5"/>
      <c r="AP167" s="5"/>
      <c r="AQ167" s="5"/>
      <c r="AR167" s="40">
        <f t="array" ref="AR167">MIN(100, MAX(0,
  IFERROR(_xlfn.XLOOKUP(AJ167,'Lookup Tables'!$A$2:$A$7,'Lookup Tables'!$B$2:$B$7,0),0)
  + IF(Z167="Yes", IF(IFERROR(_xlfn.XLOOKUP(AJ167,'Lookup Tables'!$A$2:$A$7,'Lookup Tables'!$B$2:$B$7,0),0)&lt;20, 5, 0), 0)
  + _xlfn.IFS(AB167="Yes", IF(ISNUMBER(AC167)*AND(AC167&lt;=2030),15,10), AB167="Long-term Only", 5, AB167="No", 0, TRUE, 0)
  + _xlfn.IFS(AF167="Full",10, AF167="Partial",5, AF167="Scope 2 Only",3, TRUE,0)
  + _xlfn.IFS(AG167="Yes", IF(ISNUMBER(AH167)*AND(AH167&gt;=5),10,6), AG167="Partial",4, TRUE,0)
  + _xlfn.IFS(AI167="Yes",5, AI167="Partial (material categories only)",3, TRUE,0)
  + _xlfn.IFS(AL167="Yes — Detailed",10, AL167="Yes — High Level",5, TRUE,0)
  + _xlfn.IFS(AM167="Yes — Quantified",15, AM167="Yes — Directional Only",7, TRUE,0)
  + _xlfn.IFS(AP167="Formal",5, AP167="Referenced",2, TRUE,0)
  + _xlfn.IFS(AQ167="No Issues Found",5, AQ167="Concern Identified",-5, AQ167="Severe Contradiction",-15, TRUE,0)
  + _xlfn.IFS(BC167="Reasonable Assurance",5, BC167="Limited Assurance",3, TRUE,0)
  - IF(AND(Z167="Yes", AI167="No"), 10, 0)
  - IF(AND(Z167="Yes", AM167="No"), 10, 0)
))</f>
        <v>0</v>
      </c>
      <c r="AS167" s="5"/>
      <c r="AT167" s="5"/>
      <c r="AU167" s="5"/>
      <c r="AV167" s="5"/>
      <c r="AW167" s="5"/>
      <c r="AX167" s="5"/>
      <c r="AY167" s="5"/>
      <c r="AZ167" s="5"/>
      <c r="BA167" s="5"/>
      <c r="BB167" s="5"/>
      <c r="BC167" s="5"/>
      <c r="BD167" s="5"/>
      <c r="BE167" s="39">
        <f t="array" ref="BE167">MIN(100, MAX(0,
  IFERROR(_xlfn.XLOOKUP(AT167,'Lookup Tables'!$D$2:$D$6,'Lookup Tables'!$E$2:$E$6,0),0)
  + IFERROR(_xlfn.XLOOKUP(AV167,'Lookup Tables'!$G$2:$G$5,'Lookup Tables'!$H$2:$H$5,0),0)
  + IFERROR(_xlfn.XLOOKUP(AW167,'Lookup Tables'!$J$2:$J$5,'Lookup Tables'!$K$2:$K$5,0),0)
  + _xlfn.IFS(AX167="No Issues",10, AX167="Complaint Filed",3, AX167="Confirmed Breach",-15, TRUE,0)
  + IFERROR(_xlfn.XLOOKUP(AY167,'Lookup Tables'!$M$2:$M$6,'Lookup Tables'!$N$2:$N$6,0),0)
  + IFERROR(_xlfn.XLOOKUP(AZ167,'Lookup Tables'!$P$2:$P$6,'Lookup Tables'!$Q$2:$Q$6,0),0)
  + _xlfn.IFS(BA167="Formal Board Committee",5, BA167="Board Oversight Mentioned",2, TRUE,0)
  + _xlfn.IFS(BB167="Yes — Quantified Targets",5, BB167="Yes — Discretionary Only",2, TRUE,0)
  + _xlfn.IFS(BC167="Reasonable Assurance",5, BC167="Limited Assurance",3, BC167="Management Review Only",1, TRUE,0)
))</f>
        <v>0</v>
      </c>
      <c r="BF167" s="5"/>
      <c r="BG167" s="5"/>
      <c r="BH167" s="5"/>
      <c r="BI167" s="5"/>
      <c r="BJ167" s="5"/>
      <c r="BK167" s="5"/>
      <c r="BL167" s="5"/>
      <c r="BM167" s="5"/>
      <c r="BN167" s="5"/>
      <c r="BO167" s="5"/>
      <c r="BP167" s="5"/>
      <c r="BQ167" s="5"/>
      <c r="BR167" s="5"/>
      <c r="BS167" s="41">
        <f t="array" ref="BS167">MIN(100, MAX(0,
  IFERROR(_xlfn.XLOOKUP(BG167,'Lookup Tables'!$A$11:$A$16,'Lookup Tables'!$B$11:$B$16,0),0)
  + IFERROR(_xlfn.XLOOKUP(BR167,'Lookup Tables'!$M$11:$M$14,'Lookup Tables'!$N$11:$N$14,0),0)
  + IFERROR(_xlfn.XLOOKUP(BQ167,'Lookup Tables'!$J$11:$J$15,'Lookup Tables'!$K$11:$K$15,0),0)
  + IFERROR(_xlfn.XLOOKUP(BH167,'Lookup Tables'!$D$11:$D$15,'Lookup Tables'!$E$11:$E$15,0),0)
  + IFERROR(_xlfn.XLOOKUP(BJ167,'Lookup Tables'!$G$11:$G$16,'Lookup Tables'!$H$11:$H$16,0),0)
  + IFERROR(_xlfn.XLOOKUP(BN167,'Lookup Tables'!$P$11:$P$15,'Lookup Tables'!$Q$11:$Q$15,0),0)
  + _xlfn.IFS(BM167="No Evidence",10, BM167="Unknown",3, BM167="Likely",0, BM167="Confirmed",-10, TRUE,3)
  + IFERROR(_xlfn.XLOOKUP(BP167,'Lookup Tables'!$J$21:$J$24,'Lookup Tables'!$K$21:$K$24,0),0)
))</f>
        <v>3</v>
      </c>
      <c r="BT167" s="5"/>
      <c r="BU167" s="5"/>
      <c r="BV167" s="5"/>
      <c r="BW167" s="5"/>
      <c r="BX167" s="5"/>
      <c r="BY167" s="5"/>
      <c r="BZ167" s="5"/>
      <c r="CA167" s="5"/>
      <c r="CB167" s="5"/>
      <c r="CC167" s="5"/>
      <c r="CD167" s="5"/>
      <c r="CE167" s="43">
        <f t="array" ref="CE167">MIN(100, MAX(0,
  IF(ISNUMBER(BV167)*AND(BV167&gt;0), 10, 0)
  + _xlfn.IFS(BY167="Independently Verified",25, BY167="Yes",15, TRUE,0)
  + IFERROR(_xlfn.XLOOKUP(BZ167,'Lookup Tables'!$A$21:$A$24,'Lookup Tables'!$B$21:$B$24,0),0)
  + IFERROR(_xlfn.XLOOKUP(CA167,'Lookup Tables'!$D$21:$D$24,'Lookup Tables'!$E$21:$E$24,0),0)
  + _xlfn.IFS(ISNUMBER(CB167)*AND(CB167&gt;=11),15, ISNUMBER(CB167)*AND(CB167&gt;=6),10, ISNUMBER(CB167)*AND(CB167&gt;=1),5, TRUE,0)
  + IFERROR(_xlfn.XLOOKUP(CC167,'Lookup Tables'!$G$21:$G$25,'Lookup Tables'!$H$21:$H$25,0),0)
  - IF(ISNUMBER(BW167)*AND(ISNUMBER(BV167))*AND(BW167&gt;BV167), 20, 0)
  - IF(AND(BY167="Yes", ISNUMBER(BW167), BW167&gt;60), 10, 0)
))</f>
        <v>0</v>
      </c>
      <c r="CF167" s="5"/>
      <c r="CG167" s="5"/>
      <c r="CH167" s="5"/>
      <c r="CI167" s="5"/>
      <c r="CJ167" s="5"/>
      <c r="CK167" s="5"/>
      <c r="CL167" s="5"/>
      <c r="CM167" s="5"/>
      <c r="CN167" s="5"/>
      <c r="CO167" s="5"/>
      <c r="CP167" s="5"/>
      <c r="CQ167" s="5"/>
      <c r="CR167" s="5">
        <f t="shared" si="90"/>
        <v>0</v>
      </c>
      <c r="CS167" s="5">
        <f t="shared" si="91"/>
        <v>0</v>
      </c>
      <c r="CT167" s="5">
        <f t="shared" si="92"/>
        <v>0</v>
      </c>
      <c r="CU167" s="5">
        <f>MIN(100,
  CR167*15
  + CS167*6
  + CT167*3
  + IFERROR(_xlfn.XLOOKUP(CW167,'Lookup Tables'!$M$21:$M$25,'Lookup Tables'!$N$21:$N$25,0),0)
)</f>
        <v>0</v>
      </c>
      <c r="CV167" s="5" t="str">
        <f t="shared" si="93"/>
        <v>No failures</v>
      </c>
      <c r="CW167" s="5"/>
      <c r="CX167" s="5"/>
      <c r="CY167" s="5"/>
      <c r="CZ167" s="5"/>
      <c r="DA167" s="5" t="str">
        <f t="shared" si="94"/>
        <v>Yes</v>
      </c>
      <c r="DB167" s="5" t="str">
        <f t="shared" si="95"/>
        <v>No</v>
      </c>
      <c r="DC167" s="5"/>
      <c r="DD167" s="5"/>
      <c r="DE167" s="5"/>
      <c r="DF167" s="5"/>
      <c r="DG167" s="5"/>
      <c r="DH167" s="5"/>
      <c r="DI167" s="5"/>
      <c r="DJ167" s="5"/>
      <c r="DK167" s="5"/>
      <c r="DL167" s="5" t="str">
        <f t="shared" si="96"/>
        <v>Clear</v>
      </c>
      <c r="DM167" s="5" t="str">
        <f t="shared" si="97"/>
        <v>Yes</v>
      </c>
      <c r="DN167" s="5">
        <f t="array" ref="DN167">MIN(100,
  IF(ISNUMBER(V167), _xlfn.IFS(V167&gt;=3,25, V167=2,15, V167=1,5, TRUE,0), 0)
  + IFERROR(_xlfn.IFS(VALUE(LEFT(DF167,1))=5,25, VALUE(LEFT(DF167,1))=4,20, VALUE(LEFT(DF167,1))=3,15, VALUE(LEFT(DF167,1))=2,8, TRUE,0), 15)
  + IFERROR(_xlfn.IFS(VALUE(LEFT(DG167,1))=5,25, VALUE(LEFT(DG167,1))=4,20, VALUE(LEFT(DG167,1))=3,15, VALUE(LEFT(DG167,1))=2,8, TRUE,0), 15)
  + _xlfn.IFS(DH167="Fully Verified",25, DH167="Partially Verified",12, TRUE,0)
)</f>
        <v>30</v>
      </c>
      <c r="DO167" s="5" t="str">
        <f t="array" ref="DO167">_xlfn.IFS(
  ISBLANK(AR167), "Insufficient Evidence",
  AND(AR167&gt;=65, AJ167="Approved"), "Strong",
  AR167&gt;=65, "Adequate",
  AR167&gt;=40, "Adequate",
  AR167&gt;=20, "Weak",
  TRUE, "Insufficient Evidence"
)</f>
        <v>Insufficient Evidence</v>
      </c>
      <c r="DP167" s="5" t="str">
        <f t="array" ref="DP167">_xlfn.IFS(
  ISBLANK(BS167), "Insufficient Evidence",
  BS167&gt;=65, "Strong",
  BS167&gt;=40, "Adequate",
  BS167&gt;=20, "Weak",
  TRUE, "Insufficient Evidence"
)</f>
        <v>Insufficient Evidence</v>
      </c>
      <c r="DQ167" s="5" t="str">
        <f t="array" ref="DQ167">_xlfn.IFS(
  ISBLANK(BE167), "Insufficient Evidence",
  OR(AW167="Confirmed Violation", AX167="Confirmed Breach"), "Severe — Hard Trigger",
  BE167&gt;=65, "Strong",
  BE167&gt;=40, "Adequate",
  BE167&gt;=20, "Weak",
  TRUE, "Insufficient Evidence"
)</f>
        <v>Insufficient Evidence</v>
      </c>
      <c r="DR167" s="5" t="str">
        <f t="array" ref="DR167">_xlfn.IFS(
  ISBLANK(CU167), "Insufficient Evidence",
  CU167&lt;=20, "Low Risk",
  CU167&lt;=50, "Moderate Risk",
  CU167&lt;=75, "High Risk",
  TRUE, "Very High Risk"
)</f>
        <v>Low Risk</v>
      </c>
      <c r="DS167" s="5" t="str">
        <f t="array" ref="DS167">_xlfn.IFS(
  ISBLANK(CE167), "Insufficient Evidence",
  AND(ISNUMBER(BW167),ISNUMBER(BV167),BW167&gt;BV167), "Overclaiming Risk",
  CE167&gt;=65, "Strong",
  CE167&gt;=40, "Adequate",
  TRUE, "Weak"
)</f>
        <v>Weak</v>
      </c>
      <c r="DT167" s="5">
        <f t="shared" si="98"/>
        <v>11.7</v>
      </c>
      <c r="DU167" s="5" t="str">
        <f t="array" ref="DU167">_xlfn.IFS(
  DV167="Upgraded to Clear", "Clear",
  DV167="Downgraded to Watchlist", "Watchlist",
  DV167="Downgraded to Exclusion", "Exclusion Risk",
  DB167="Yes — Automatic", "Exclusion Risk",
  OR(AW167="Confirmed Violation", AX167="Confirmed Breach"), "Exclusion Risk",
  OR(V167=0, ISBLANK(V167), DN167&lt;20), "Insufficient Evidence",
  AND(DT167&gt;=65, DA167="No", DB167="No"), "Clear",
  OR(DT167&gt;=40, DA167="Yes"), "Watchlist",
  TRUE, "Exclusion Risk"
)</f>
        <v>Insufficient Evidence</v>
      </c>
      <c r="DV167" s="5"/>
      <c r="DW167" s="5" t="str">
        <f t="array" ref="DW167">_xlfn.IFS(
  DU167="Exclusion Risk", "Exclude — Hard Trigger",
  DU167="Insufficient Evidence", "Watchlist — Further Evidence Needed",
  DU167="Watchlist", "Watchlist — Further Evidence Needed",
  AND(DU167="Clear", DT167&gt;=80), "Include — No Conditions",
  DU167="Clear", "Include — Monitor",
  TRUE, "Watchlist — Further Evidence Needed"
)</f>
        <v>Watchlist — Further Evidence Needed</v>
      </c>
      <c r="DX167" s="5"/>
      <c r="DY167" s="5"/>
      <c r="DZ167" s="5"/>
      <c r="EA167" s="5"/>
      <c r="EB167" s="5" t="str">
        <f t="shared" si="99"/>
        <v>MISSING — No sources reviewed</v>
      </c>
      <c r="EC167" s="5" t="str">
        <f t="shared" si="100"/>
        <v/>
      </c>
    </row>
    <row r="168" spans="1:133" ht="18" customHeight="1" x14ac:dyDescent="0.15">
      <c r="A168" s="5" t="s">
        <v>869</v>
      </c>
      <c r="B168" s="5" t="s">
        <v>870</v>
      </c>
      <c r="C168" s="5" t="str">
        <f>IF(ISBLANK('Universe Tracker'!D143),"",'Universe Tracker'!D143)</f>
        <v>BE0003867844</v>
      </c>
      <c r="D168" s="5"/>
      <c r="E168" s="5"/>
      <c r="F168" s="5" t="str">
        <f>IF(ISBLANK('Universe Tracker'!F143),"",'Universe Tracker'!F143)</f>
        <v>Financials</v>
      </c>
      <c r="G168" s="5" t="str">
        <f>IF(ISBLANK('Universe Tracker'!G143),"",'Universe Tracker'!G143)</f>
        <v>Banking</v>
      </c>
      <c r="H168" s="5"/>
      <c r="I168" s="5"/>
      <c r="J168" s="5" t="str">
        <f t="shared" si="88"/>
        <v>KB9_BE0003867844</v>
      </c>
      <c r="K168" s="5"/>
      <c r="L168" s="5"/>
      <c r="M168" s="5"/>
      <c r="N168" s="5"/>
      <c r="O168" s="5"/>
      <c r="P168" s="5"/>
      <c r="Q168" s="5"/>
      <c r="R168" s="5"/>
      <c r="S168" s="5"/>
      <c r="T168" s="5"/>
      <c r="U168" s="5"/>
      <c r="V168" s="5"/>
      <c r="W168" s="5"/>
      <c r="X168" s="5"/>
      <c r="Y168" s="5" t="str">
        <f t="shared" si="89"/>
        <v>Insufficient</v>
      </c>
      <c r="Z168" s="5"/>
      <c r="AA168" s="5"/>
      <c r="AB168" s="5"/>
      <c r="AC168" s="5"/>
      <c r="AD168" s="5"/>
      <c r="AE168" s="5"/>
      <c r="AF168" s="5"/>
      <c r="AG168" s="5"/>
      <c r="AH168" s="5"/>
      <c r="AI168" s="5"/>
      <c r="AJ168" s="5"/>
      <c r="AK168" s="5"/>
      <c r="AL168" s="5"/>
      <c r="AM168" s="5"/>
      <c r="AN168" s="5"/>
      <c r="AO168" s="5"/>
      <c r="AP168" s="5"/>
      <c r="AQ168" s="5"/>
      <c r="AR168" s="40">
        <f t="array" ref="AR168">MIN(100, MAX(0,
  IFERROR(_xlfn.XLOOKUP(AJ168,'Lookup Tables'!$A$2:$A$7,'Lookup Tables'!$B$2:$B$7,0),0)
  + IF(Z168="Yes", IF(IFERROR(_xlfn.XLOOKUP(AJ168,'Lookup Tables'!$A$2:$A$7,'Lookup Tables'!$B$2:$B$7,0),0)&lt;20, 5, 0), 0)
  + _xlfn.IFS(AB168="Yes", IF(ISNUMBER(AC168)*AND(AC168&lt;=2030),15,10), AB168="Long-term Only", 5, AB168="No", 0, TRUE, 0)
  + _xlfn.IFS(AF168="Full",10, AF168="Partial",5, AF168="Scope 2 Only",3, TRUE,0)
  + _xlfn.IFS(AG168="Yes", IF(ISNUMBER(AH168)*AND(AH168&gt;=5),10,6), AG168="Partial",4, TRUE,0)
  + _xlfn.IFS(AI168="Yes",5, AI168="Partial (material categories only)",3, TRUE,0)
  + _xlfn.IFS(AL168="Yes — Detailed",10, AL168="Yes — High Level",5, TRUE,0)
  + _xlfn.IFS(AM168="Yes — Quantified",15, AM168="Yes — Directional Only",7, TRUE,0)
  + _xlfn.IFS(AP168="Formal",5, AP168="Referenced",2, TRUE,0)
  + _xlfn.IFS(AQ168="No Issues Found",5, AQ168="Concern Identified",-5, AQ168="Severe Contradiction",-15, TRUE,0)
  + _xlfn.IFS(BC168="Reasonable Assurance",5, BC168="Limited Assurance",3, TRUE,0)
  - IF(AND(Z168="Yes", AI168="No"), 10, 0)
  - IF(AND(Z168="Yes", AM168="No"), 10, 0)
))</f>
        <v>0</v>
      </c>
      <c r="AS168" s="5"/>
      <c r="AT168" s="5"/>
      <c r="AU168" s="5"/>
      <c r="AV168" s="5"/>
      <c r="AW168" s="5"/>
      <c r="AX168" s="5"/>
      <c r="AY168" s="5"/>
      <c r="AZ168" s="5"/>
      <c r="BA168" s="5"/>
      <c r="BB168" s="5"/>
      <c r="BC168" s="5"/>
      <c r="BD168" s="5"/>
      <c r="BE168" s="39">
        <f t="array" ref="BE168">MIN(100, MAX(0,
  IFERROR(_xlfn.XLOOKUP(AT168,'Lookup Tables'!$D$2:$D$6,'Lookup Tables'!$E$2:$E$6,0),0)
  + IFERROR(_xlfn.XLOOKUP(AV168,'Lookup Tables'!$G$2:$G$5,'Lookup Tables'!$H$2:$H$5,0),0)
  + IFERROR(_xlfn.XLOOKUP(AW168,'Lookup Tables'!$J$2:$J$5,'Lookup Tables'!$K$2:$K$5,0),0)
  + _xlfn.IFS(AX168="No Issues",10, AX168="Complaint Filed",3, AX168="Confirmed Breach",-15, TRUE,0)
  + IFERROR(_xlfn.XLOOKUP(AY168,'Lookup Tables'!$M$2:$M$6,'Lookup Tables'!$N$2:$N$6,0),0)
  + IFERROR(_xlfn.XLOOKUP(AZ168,'Lookup Tables'!$P$2:$P$6,'Lookup Tables'!$Q$2:$Q$6,0),0)
  + _xlfn.IFS(BA168="Formal Board Committee",5, BA168="Board Oversight Mentioned",2, TRUE,0)
  + _xlfn.IFS(BB168="Yes — Quantified Targets",5, BB168="Yes — Discretionary Only",2, TRUE,0)
  + _xlfn.IFS(BC168="Reasonable Assurance",5, BC168="Limited Assurance",3, BC168="Management Review Only",1, TRUE,0)
))</f>
        <v>0</v>
      </c>
      <c r="BF168" s="5"/>
      <c r="BG168" s="5"/>
      <c r="BH168" s="5"/>
      <c r="BI168" s="5"/>
      <c r="BJ168" s="5"/>
      <c r="BK168" s="5"/>
      <c r="BL168" s="5"/>
      <c r="BM168" s="5"/>
      <c r="BN168" s="5"/>
      <c r="BO168" s="5"/>
      <c r="BP168" s="5"/>
      <c r="BQ168" s="5"/>
      <c r="BR168" s="5"/>
      <c r="BS168" s="41">
        <f t="array" ref="BS168">MIN(100, MAX(0,
  IFERROR(_xlfn.XLOOKUP(BG168,'Lookup Tables'!$A$11:$A$16,'Lookup Tables'!$B$11:$B$16,0),0)
  + IFERROR(_xlfn.XLOOKUP(BR168,'Lookup Tables'!$M$11:$M$14,'Lookup Tables'!$N$11:$N$14,0),0)
  + IFERROR(_xlfn.XLOOKUP(BQ168,'Lookup Tables'!$J$11:$J$15,'Lookup Tables'!$K$11:$K$15,0),0)
  + IFERROR(_xlfn.XLOOKUP(BH168,'Lookup Tables'!$D$11:$D$15,'Lookup Tables'!$E$11:$E$15,0),0)
  + IFERROR(_xlfn.XLOOKUP(BJ168,'Lookup Tables'!$G$11:$G$16,'Lookup Tables'!$H$11:$H$16,0),0)
  + IFERROR(_xlfn.XLOOKUP(BN168,'Lookup Tables'!$P$11:$P$15,'Lookup Tables'!$Q$11:$Q$15,0),0)
  + _xlfn.IFS(BM168="No Evidence",10, BM168="Unknown",3, BM168="Likely",0, BM168="Confirmed",-10, TRUE,3)
  + IFERROR(_xlfn.XLOOKUP(BP168,'Lookup Tables'!$J$21:$J$24,'Lookup Tables'!$K$21:$K$24,0),0)
))</f>
        <v>3</v>
      </c>
      <c r="BT168" s="5"/>
      <c r="BU168" s="5"/>
      <c r="BV168" s="5"/>
      <c r="BW168" s="5"/>
      <c r="BX168" s="5"/>
      <c r="BY168" s="5"/>
      <c r="BZ168" s="5"/>
      <c r="CA168" s="5"/>
      <c r="CB168" s="5"/>
      <c r="CC168" s="5"/>
      <c r="CD168" s="5"/>
      <c r="CE168" s="43">
        <f t="array" ref="CE168">MIN(100, MAX(0,
  IF(ISNUMBER(BV168)*AND(BV168&gt;0), 10, 0)
  + _xlfn.IFS(BY168="Independently Verified",25, BY168="Yes",15, TRUE,0)
  + IFERROR(_xlfn.XLOOKUP(BZ168,'Lookup Tables'!$A$21:$A$24,'Lookup Tables'!$B$21:$B$24,0),0)
  + IFERROR(_xlfn.XLOOKUP(CA168,'Lookup Tables'!$D$21:$D$24,'Lookup Tables'!$E$21:$E$24,0),0)
  + _xlfn.IFS(ISNUMBER(CB168)*AND(CB168&gt;=11),15, ISNUMBER(CB168)*AND(CB168&gt;=6),10, ISNUMBER(CB168)*AND(CB168&gt;=1),5, TRUE,0)
  + IFERROR(_xlfn.XLOOKUP(CC168,'Lookup Tables'!$G$21:$G$25,'Lookup Tables'!$H$21:$H$25,0),0)
  - IF(ISNUMBER(BW168)*AND(ISNUMBER(BV168))*AND(BW168&gt;BV168), 20, 0)
  - IF(AND(BY168="Yes", ISNUMBER(BW168), BW168&gt;60), 10, 0)
))</f>
        <v>0</v>
      </c>
      <c r="CF168" s="5"/>
      <c r="CG168" s="5"/>
      <c r="CH168" s="5"/>
      <c r="CI168" s="5"/>
      <c r="CJ168" s="5"/>
      <c r="CK168" s="5"/>
      <c r="CL168" s="5"/>
      <c r="CM168" s="5"/>
      <c r="CN168" s="5"/>
      <c r="CO168" s="5"/>
      <c r="CP168" s="5"/>
      <c r="CQ168" s="5"/>
      <c r="CR168" s="5">
        <f t="shared" si="90"/>
        <v>0</v>
      </c>
      <c r="CS168" s="5">
        <f t="shared" si="91"/>
        <v>0</v>
      </c>
      <c r="CT168" s="5">
        <f t="shared" si="92"/>
        <v>0</v>
      </c>
      <c r="CU168" s="5">
        <f>MIN(100,
  CR168*15
  + CS168*6
  + CT168*3
  + IFERROR(_xlfn.XLOOKUP(CW168,'Lookup Tables'!$M$21:$M$25,'Lookup Tables'!$N$21:$N$25,0),0)
)</f>
        <v>0</v>
      </c>
      <c r="CV168" s="5" t="str">
        <f t="shared" si="93"/>
        <v>No failures</v>
      </c>
      <c r="CW168" s="5"/>
      <c r="CX168" s="5"/>
      <c r="CY168" s="5"/>
      <c r="CZ168" s="5"/>
      <c r="DA168" s="5" t="str">
        <f t="shared" si="94"/>
        <v>Yes</v>
      </c>
      <c r="DB168" s="5" t="str">
        <f t="shared" si="95"/>
        <v>No</v>
      </c>
      <c r="DC168" s="5"/>
      <c r="DD168" s="5"/>
      <c r="DE168" s="5"/>
      <c r="DF168" s="5"/>
      <c r="DG168" s="5"/>
      <c r="DH168" s="5"/>
      <c r="DI168" s="5"/>
      <c r="DJ168" s="5"/>
      <c r="DK168" s="5"/>
      <c r="DL168" s="5" t="str">
        <f t="shared" si="96"/>
        <v>Clear</v>
      </c>
      <c r="DM168" s="5" t="str">
        <f t="shared" si="97"/>
        <v>Yes</v>
      </c>
      <c r="DN168" s="5">
        <f t="array" ref="DN168">MIN(100,
  IF(ISNUMBER(V168), _xlfn.IFS(V168&gt;=3,25, V168=2,15, V168=1,5, TRUE,0), 0)
  + IFERROR(_xlfn.IFS(VALUE(LEFT(DF168,1))=5,25, VALUE(LEFT(DF168,1))=4,20, VALUE(LEFT(DF168,1))=3,15, VALUE(LEFT(DF168,1))=2,8, TRUE,0), 15)
  + IFERROR(_xlfn.IFS(VALUE(LEFT(DG168,1))=5,25, VALUE(LEFT(DG168,1))=4,20, VALUE(LEFT(DG168,1))=3,15, VALUE(LEFT(DG168,1))=2,8, TRUE,0), 15)
  + _xlfn.IFS(DH168="Fully Verified",25, DH168="Partially Verified",12, TRUE,0)
)</f>
        <v>30</v>
      </c>
      <c r="DO168" s="5" t="str">
        <f t="array" ref="DO168">_xlfn.IFS(
  ISBLANK(AR168), "Insufficient Evidence",
  AND(AR168&gt;=65, AJ168="Approved"), "Strong",
  AR168&gt;=65, "Adequate",
  AR168&gt;=40, "Adequate",
  AR168&gt;=20, "Weak",
  TRUE, "Insufficient Evidence"
)</f>
        <v>Insufficient Evidence</v>
      </c>
      <c r="DP168" s="5" t="str">
        <f t="array" ref="DP168">_xlfn.IFS(
  ISBLANK(BS168), "Insufficient Evidence",
  BS168&gt;=65, "Strong",
  BS168&gt;=40, "Adequate",
  BS168&gt;=20, "Weak",
  TRUE, "Insufficient Evidence"
)</f>
        <v>Insufficient Evidence</v>
      </c>
      <c r="DQ168" s="5" t="str">
        <f t="array" ref="DQ168">_xlfn.IFS(
  ISBLANK(BE168), "Insufficient Evidence",
  OR(AW168="Confirmed Violation", AX168="Confirmed Breach"), "Severe — Hard Trigger",
  BE168&gt;=65, "Strong",
  BE168&gt;=40, "Adequate",
  BE168&gt;=20, "Weak",
  TRUE, "Insufficient Evidence"
)</f>
        <v>Insufficient Evidence</v>
      </c>
      <c r="DR168" s="5" t="str">
        <f t="array" ref="DR168">_xlfn.IFS(
  ISBLANK(CU168), "Insufficient Evidence",
  CU168&lt;=20, "Low Risk",
  CU168&lt;=50, "Moderate Risk",
  CU168&lt;=75, "High Risk",
  TRUE, "Very High Risk"
)</f>
        <v>Low Risk</v>
      </c>
      <c r="DS168" s="5" t="str">
        <f t="array" ref="DS168">_xlfn.IFS(
  ISBLANK(CE168), "Insufficient Evidence",
  AND(ISNUMBER(BW168),ISNUMBER(BV168),BW168&gt;BV168), "Overclaiming Risk",
  CE168&gt;=65, "Strong",
  CE168&gt;=40, "Adequate",
  TRUE, "Weak"
)</f>
        <v>Weak</v>
      </c>
      <c r="DT168" s="5">
        <f t="shared" si="98"/>
        <v>11.7</v>
      </c>
      <c r="DU168" s="5" t="str">
        <f t="array" ref="DU168">_xlfn.IFS(
  DV168="Upgraded to Clear", "Clear",
  DV168="Downgraded to Watchlist", "Watchlist",
  DV168="Downgraded to Exclusion", "Exclusion Risk",
  DB168="Yes — Automatic", "Exclusion Risk",
  OR(AW168="Confirmed Violation", AX168="Confirmed Breach"), "Exclusion Risk",
  OR(V168=0, ISBLANK(V168), DN168&lt;20), "Insufficient Evidence",
  AND(DT168&gt;=65, DA168="No", DB168="No"), "Clear",
  OR(DT168&gt;=40, DA168="Yes"), "Watchlist",
  TRUE, "Exclusion Risk"
)</f>
        <v>Insufficient Evidence</v>
      </c>
      <c r="DV168" s="5"/>
      <c r="DW168" s="5" t="str">
        <f t="array" ref="DW168">_xlfn.IFS(
  DU168="Exclusion Risk", "Exclude — Hard Trigger",
  DU168="Insufficient Evidence", "Watchlist — Further Evidence Needed",
  DU168="Watchlist", "Watchlist — Further Evidence Needed",
  AND(DU168="Clear", DT168&gt;=80), "Include — No Conditions",
  DU168="Clear", "Include — Monitor",
  TRUE, "Watchlist — Further Evidence Needed"
)</f>
        <v>Watchlist — Further Evidence Needed</v>
      </c>
      <c r="DX168" s="5"/>
      <c r="DY168" s="5"/>
      <c r="DZ168" s="5"/>
      <c r="EA168" s="5"/>
      <c r="EB168" s="5" t="str">
        <f t="shared" si="99"/>
        <v>MISSING — No sources reviewed</v>
      </c>
      <c r="EC168" s="5" t="str">
        <f t="shared" si="100"/>
        <v/>
      </c>
    </row>
    <row r="169" spans="1:133" ht="18" customHeight="1" x14ac:dyDescent="0.15">
      <c r="A169" s="5" t="s">
        <v>873</v>
      </c>
      <c r="B169" s="5" t="s">
        <v>874</v>
      </c>
      <c r="C169" s="5" t="str">
        <f>IF(ISBLANK('Universe Tracker'!D144),"",'Universe Tracker'!D144)</f>
        <v>CH1101098163</v>
      </c>
      <c r="D169" s="5"/>
      <c r="E169" s="5"/>
      <c r="F169" s="5" t="str">
        <f>IF(ISBLANK('Universe Tracker'!F144),"",'Universe Tracker'!F144)</f>
        <v>Industrials</v>
      </c>
      <c r="G169" s="5" t="str">
        <f>IF(ISBLANK('Universe Tracker'!G144),"",'Universe Tracker'!G144)</f>
        <v>Industrial Products</v>
      </c>
      <c r="H169" s="5"/>
      <c r="I169" s="5"/>
      <c r="J169" s="5" t="str">
        <f t="shared" si="88"/>
        <v>8RJ_CH1101098163</v>
      </c>
      <c r="K169" s="5"/>
      <c r="L169" s="5"/>
      <c r="M169" s="5"/>
      <c r="N169" s="5"/>
      <c r="O169" s="5"/>
      <c r="P169" s="5"/>
      <c r="Q169" s="5"/>
      <c r="R169" s="5"/>
      <c r="S169" s="5"/>
      <c r="T169" s="5"/>
      <c r="U169" s="5"/>
      <c r="V169" s="5"/>
      <c r="W169" s="5"/>
      <c r="X169" s="5"/>
      <c r="Y169" s="5" t="str">
        <f t="shared" si="89"/>
        <v>Insufficient</v>
      </c>
      <c r="Z169" s="5"/>
      <c r="AA169" s="5"/>
      <c r="AB169" s="5"/>
      <c r="AC169" s="5"/>
      <c r="AD169" s="5"/>
      <c r="AE169" s="5"/>
      <c r="AF169" s="5"/>
      <c r="AG169" s="5"/>
      <c r="AH169" s="5"/>
      <c r="AI169" s="5"/>
      <c r="AJ169" s="5"/>
      <c r="AK169" s="5"/>
      <c r="AL169" s="5"/>
      <c r="AM169" s="5"/>
      <c r="AN169" s="5"/>
      <c r="AO169" s="5"/>
      <c r="AP169" s="5"/>
      <c r="AQ169" s="5"/>
      <c r="AR169" s="40">
        <f t="array" ref="AR169">MIN(100, MAX(0,
  IFERROR(_xlfn.XLOOKUP(AJ169,'Lookup Tables'!$A$2:$A$7,'Lookup Tables'!$B$2:$B$7,0),0)
  + IF(Z169="Yes", IF(IFERROR(_xlfn.XLOOKUP(AJ169,'Lookup Tables'!$A$2:$A$7,'Lookup Tables'!$B$2:$B$7,0),0)&lt;20, 5, 0), 0)
  + _xlfn.IFS(AB169="Yes", IF(ISNUMBER(AC169)*AND(AC169&lt;=2030),15,10), AB169="Long-term Only", 5, AB169="No", 0, TRUE, 0)
  + _xlfn.IFS(AF169="Full",10, AF169="Partial",5, AF169="Scope 2 Only",3, TRUE,0)
  + _xlfn.IFS(AG169="Yes", IF(ISNUMBER(AH169)*AND(AH169&gt;=5),10,6), AG169="Partial",4, TRUE,0)
  + _xlfn.IFS(AI169="Yes",5, AI169="Partial (material categories only)",3, TRUE,0)
  + _xlfn.IFS(AL169="Yes — Detailed",10, AL169="Yes — High Level",5, TRUE,0)
  + _xlfn.IFS(AM169="Yes — Quantified",15, AM169="Yes — Directional Only",7, TRUE,0)
  + _xlfn.IFS(AP169="Formal",5, AP169="Referenced",2, TRUE,0)
  + _xlfn.IFS(AQ169="No Issues Found",5, AQ169="Concern Identified",-5, AQ169="Severe Contradiction",-15, TRUE,0)
  + _xlfn.IFS(BC169="Reasonable Assurance",5, BC169="Limited Assurance",3, TRUE,0)
  - IF(AND(Z169="Yes", AI169="No"), 10, 0)
  - IF(AND(Z169="Yes", AM169="No"), 10, 0)
))</f>
        <v>0</v>
      </c>
      <c r="AS169" s="5"/>
      <c r="AT169" s="5"/>
      <c r="AU169" s="5"/>
      <c r="AV169" s="5"/>
      <c r="AW169" s="5"/>
      <c r="AX169" s="5"/>
      <c r="AY169" s="5"/>
      <c r="AZ169" s="5"/>
      <c r="BA169" s="5"/>
      <c r="BB169" s="5"/>
      <c r="BC169" s="5"/>
      <c r="BD169" s="5"/>
      <c r="BE169" s="39">
        <f t="array" ref="BE169">MIN(100, MAX(0,
  IFERROR(_xlfn.XLOOKUP(AT169,'Lookup Tables'!$D$2:$D$6,'Lookup Tables'!$E$2:$E$6,0),0)
  + IFERROR(_xlfn.XLOOKUP(AV169,'Lookup Tables'!$G$2:$G$5,'Lookup Tables'!$H$2:$H$5,0),0)
  + IFERROR(_xlfn.XLOOKUP(AW169,'Lookup Tables'!$J$2:$J$5,'Lookup Tables'!$K$2:$K$5,0),0)
  + _xlfn.IFS(AX169="No Issues",10, AX169="Complaint Filed",3, AX169="Confirmed Breach",-15, TRUE,0)
  + IFERROR(_xlfn.XLOOKUP(AY169,'Lookup Tables'!$M$2:$M$6,'Lookup Tables'!$N$2:$N$6,0),0)
  + IFERROR(_xlfn.XLOOKUP(AZ169,'Lookup Tables'!$P$2:$P$6,'Lookup Tables'!$Q$2:$Q$6,0),0)
  + _xlfn.IFS(BA169="Formal Board Committee",5, BA169="Board Oversight Mentioned",2, TRUE,0)
  + _xlfn.IFS(BB169="Yes — Quantified Targets",5, BB169="Yes — Discretionary Only",2, TRUE,0)
  + _xlfn.IFS(BC169="Reasonable Assurance",5, BC169="Limited Assurance",3, BC169="Management Review Only",1, TRUE,0)
))</f>
        <v>0</v>
      </c>
      <c r="BF169" s="5"/>
      <c r="BG169" s="5"/>
      <c r="BH169" s="5"/>
      <c r="BI169" s="5"/>
      <c r="BJ169" s="5"/>
      <c r="BK169" s="5"/>
      <c r="BL169" s="5"/>
      <c r="BM169" s="5"/>
      <c r="BN169" s="5"/>
      <c r="BO169" s="5"/>
      <c r="BP169" s="5"/>
      <c r="BQ169" s="5"/>
      <c r="BR169" s="5"/>
      <c r="BS169" s="41">
        <f t="array" ref="BS169">MIN(100, MAX(0,
  IFERROR(_xlfn.XLOOKUP(BG169,'Lookup Tables'!$A$11:$A$16,'Lookup Tables'!$B$11:$B$16,0),0)
  + IFERROR(_xlfn.XLOOKUP(BR169,'Lookup Tables'!$M$11:$M$14,'Lookup Tables'!$N$11:$N$14,0),0)
  + IFERROR(_xlfn.XLOOKUP(BQ169,'Lookup Tables'!$J$11:$J$15,'Lookup Tables'!$K$11:$K$15,0),0)
  + IFERROR(_xlfn.XLOOKUP(BH169,'Lookup Tables'!$D$11:$D$15,'Lookup Tables'!$E$11:$E$15,0),0)
  + IFERROR(_xlfn.XLOOKUP(BJ169,'Lookup Tables'!$G$11:$G$16,'Lookup Tables'!$H$11:$H$16,0),0)
  + IFERROR(_xlfn.XLOOKUP(BN169,'Lookup Tables'!$P$11:$P$15,'Lookup Tables'!$Q$11:$Q$15,0),0)
  + _xlfn.IFS(BM169="No Evidence",10, BM169="Unknown",3, BM169="Likely",0, BM169="Confirmed",-10, TRUE,3)
  + IFERROR(_xlfn.XLOOKUP(BP169,'Lookup Tables'!$J$21:$J$24,'Lookup Tables'!$K$21:$K$24,0),0)
))</f>
        <v>3</v>
      </c>
      <c r="BT169" s="5"/>
      <c r="BU169" s="5"/>
      <c r="BV169" s="5"/>
      <c r="BW169" s="5"/>
      <c r="BX169" s="5"/>
      <c r="BY169" s="5"/>
      <c r="BZ169" s="5"/>
      <c r="CA169" s="5"/>
      <c r="CB169" s="5"/>
      <c r="CC169" s="5"/>
      <c r="CD169" s="5"/>
      <c r="CE169" s="43">
        <f t="array" ref="CE169">MIN(100, MAX(0,
  IF(ISNUMBER(BV169)*AND(BV169&gt;0), 10, 0)
  + _xlfn.IFS(BY169="Independently Verified",25, BY169="Yes",15, TRUE,0)
  + IFERROR(_xlfn.XLOOKUP(BZ169,'Lookup Tables'!$A$21:$A$24,'Lookup Tables'!$B$21:$B$24,0),0)
  + IFERROR(_xlfn.XLOOKUP(CA169,'Lookup Tables'!$D$21:$D$24,'Lookup Tables'!$E$21:$E$24,0),0)
  + _xlfn.IFS(ISNUMBER(CB169)*AND(CB169&gt;=11),15, ISNUMBER(CB169)*AND(CB169&gt;=6),10, ISNUMBER(CB169)*AND(CB169&gt;=1),5, TRUE,0)
  + IFERROR(_xlfn.XLOOKUP(CC169,'Lookup Tables'!$G$21:$G$25,'Lookup Tables'!$H$21:$H$25,0),0)
  - IF(ISNUMBER(BW169)*AND(ISNUMBER(BV169))*AND(BW169&gt;BV169), 20, 0)
  - IF(AND(BY169="Yes", ISNUMBER(BW169), BW169&gt;60), 10, 0)
))</f>
        <v>0</v>
      </c>
      <c r="CF169" s="5"/>
      <c r="CG169" s="5"/>
      <c r="CH169" s="5"/>
      <c r="CI169" s="5"/>
      <c r="CJ169" s="5"/>
      <c r="CK169" s="5"/>
      <c r="CL169" s="5"/>
      <c r="CM169" s="5"/>
      <c r="CN169" s="5"/>
      <c r="CO169" s="5"/>
      <c r="CP169" s="5"/>
      <c r="CQ169" s="5"/>
      <c r="CR169" s="5">
        <f t="shared" si="90"/>
        <v>0</v>
      </c>
      <c r="CS169" s="5">
        <f t="shared" si="91"/>
        <v>0</v>
      </c>
      <c r="CT169" s="5">
        <f t="shared" si="92"/>
        <v>0</v>
      </c>
      <c r="CU169" s="5">
        <f>MIN(100,
  CR169*15
  + CS169*6
  + CT169*3
  + IFERROR(_xlfn.XLOOKUP(CW169,'Lookup Tables'!$M$21:$M$25,'Lookup Tables'!$N$21:$N$25,0),0)
)</f>
        <v>0</v>
      </c>
      <c r="CV169" s="5" t="str">
        <f t="shared" si="93"/>
        <v>No failures</v>
      </c>
      <c r="CW169" s="5"/>
      <c r="CX169" s="5"/>
      <c r="CY169" s="5"/>
      <c r="CZ169" s="5"/>
      <c r="DA169" s="5" t="str">
        <f t="shared" si="94"/>
        <v>Yes</v>
      </c>
      <c r="DB169" s="5" t="str">
        <f t="shared" si="95"/>
        <v>No</v>
      </c>
      <c r="DC169" s="5"/>
      <c r="DD169" s="5"/>
      <c r="DE169" s="5"/>
      <c r="DF169" s="5"/>
      <c r="DG169" s="5"/>
      <c r="DH169" s="5"/>
      <c r="DI169" s="5"/>
      <c r="DJ169" s="5"/>
      <c r="DK169" s="5"/>
      <c r="DL169" s="5" t="str">
        <f t="shared" si="96"/>
        <v>Clear</v>
      </c>
      <c r="DM169" s="5" t="str">
        <f t="shared" si="97"/>
        <v>Yes</v>
      </c>
      <c r="DN169" s="5">
        <f t="array" ref="DN169">MIN(100,
  IF(ISNUMBER(V169), _xlfn.IFS(V169&gt;=3,25, V169=2,15, V169=1,5, TRUE,0), 0)
  + IFERROR(_xlfn.IFS(VALUE(LEFT(DF169,1))=5,25, VALUE(LEFT(DF169,1))=4,20, VALUE(LEFT(DF169,1))=3,15, VALUE(LEFT(DF169,1))=2,8, TRUE,0), 15)
  + IFERROR(_xlfn.IFS(VALUE(LEFT(DG169,1))=5,25, VALUE(LEFT(DG169,1))=4,20, VALUE(LEFT(DG169,1))=3,15, VALUE(LEFT(DG169,1))=2,8, TRUE,0), 15)
  + _xlfn.IFS(DH169="Fully Verified",25, DH169="Partially Verified",12, TRUE,0)
)</f>
        <v>30</v>
      </c>
      <c r="DO169" s="5" t="str">
        <f t="array" ref="DO169">_xlfn.IFS(
  ISBLANK(AR169), "Insufficient Evidence",
  AND(AR169&gt;=65, AJ169="Approved"), "Strong",
  AR169&gt;=65, "Adequate",
  AR169&gt;=40, "Adequate",
  AR169&gt;=20, "Weak",
  TRUE, "Insufficient Evidence"
)</f>
        <v>Insufficient Evidence</v>
      </c>
      <c r="DP169" s="5" t="str">
        <f t="array" ref="DP169">_xlfn.IFS(
  ISBLANK(BS169), "Insufficient Evidence",
  BS169&gt;=65, "Strong",
  BS169&gt;=40, "Adequate",
  BS169&gt;=20, "Weak",
  TRUE, "Insufficient Evidence"
)</f>
        <v>Insufficient Evidence</v>
      </c>
      <c r="DQ169" s="5" t="str">
        <f t="array" ref="DQ169">_xlfn.IFS(
  ISBLANK(BE169), "Insufficient Evidence",
  OR(AW169="Confirmed Violation", AX169="Confirmed Breach"), "Severe — Hard Trigger",
  BE169&gt;=65, "Strong",
  BE169&gt;=40, "Adequate",
  BE169&gt;=20, "Weak",
  TRUE, "Insufficient Evidence"
)</f>
        <v>Insufficient Evidence</v>
      </c>
      <c r="DR169" s="5" t="str">
        <f t="array" ref="DR169">_xlfn.IFS(
  ISBLANK(CU169), "Insufficient Evidence",
  CU169&lt;=20, "Low Risk",
  CU169&lt;=50, "Moderate Risk",
  CU169&lt;=75, "High Risk",
  TRUE, "Very High Risk"
)</f>
        <v>Low Risk</v>
      </c>
      <c r="DS169" s="5" t="str">
        <f t="array" ref="DS169">_xlfn.IFS(
  ISBLANK(CE169), "Insufficient Evidence",
  AND(ISNUMBER(BW169),ISNUMBER(BV169),BW169&gt;BV169), "Overclaiming Risk",
  CE169&gt;=65, "Strong",
  CE169&gt;=40, "Adequate",
  TRUE, "Weak"
)</f>
        <v>Weak</v>
      </c>
      <c r="DT169" s="5">
        <f t="shared" si="98"/>
        <v>11.7</v>
      </c>
      <c r="DU169" s="5" t="str">
        <f t="array" ref="DU169">_xlfn.IFS(
  DV169="Upgraded to Clear", "Clear",
  DV169="Downgraded to Watchlist", "Watchlist",
  DV169="Downgraded to Exclusion", "Exclusion Risk",
  DB169="Yes — Automatic", "Exclusion Risk",
  OR(AW169="Confirmed Violation", AX169="Confirmed Breach"), "Exclusion Risk",
  OR(V169=0, ISBLANK(V169), DN169&lt;20), "Insufficient Evidence",
  AND(DT169&gt;=65, DA169="No", DB169="No"), "Clear",
  OR(DT169&gt;=40, DA169="Yes"), "Watchlist",
  TRUE, "Exclusion Risk"
)</f>
        <v>Insufficient Evidence</v>
      </c>
      <c r="DV169" s="5"/>
      <c r="DW169" s="5" t="str">
        <f t="array" ref="DW169">_xlfn.IFS(
  DU169="Exclusion Risk", "Exclude — Hard Trigger",
  DU169="Insufficient Evidence", "Watchlist — Further Evidence Needed",
  DU169="Watchlist", "Watchlist — Further Evidence Needed",
  AND(DU169="Clear", DT169&gt;=80), "Include — No Conditions",
  DU169="Clear", "Include — Monitor",
  TRUE, "Watchlist — Further Evidence Needed"
)</f>
        <v>Watchlist — Further Evidence Needed</v>
      </c>
      <c r="DX169" s="5"/>
      <c r="DY169" s="5"/>
      <c r="DZ169" s="5"/>
      <c r="EA169" s="5"/>
      <c r="EB169" s="5" t="str">
        <f t="shared" si="99"/>
        <v>MISSING — No sources reviewed</v>
      </c>
      <c r="EC169" s="5" t="str">
        <f t="shared" si="100"/>
        <v/>
      </c>
    </row>
    <row r="170" spans="1:133" ht="18" customHeight="1" x14ac:dyDescent="0.15">
      <c r="A170" s="5" t="s">
        <v>877</v>
      </c>
      <c r="B170" s="5" t="s">
        <v>878</v>
      </c>
      <c r="C170" s="5" t="str">
        <f>IF(ISBLANK('Universe Tracker'!D145),"",'Universe Tracker'!D145)</f>
        <v>IT0001347308</v>
      </c>
      <c r="D170" s="5"/>
      <c r="E170" s="5"/>
      <c r="F170" s="5" t="str">
        <f>IF(ISBLANK('Universe Tracker'!F145),"",'Universe Tracker'!F145)</f>
        <v>Materials</v>
      </c>
      <c r="G170" s="5" t="str">
        <f>IF(ISBLANK('Universe Tracker'!G145),"",'Universe Tracker'!G145)</f>
        <v>Materials</v>
      </c>
      <c r="H170" s="5"/>
      <c r="I170" s="5"/>
      <c r="J170" s="5" t="str">
        <f t="shared" si="88"/>
        <v>UCM_IT0001347308</v>
      </c>
      <c r="K170" s="5"/>
      <c r="L170" s="5"/>
      <c r="M170" s="5"/>
      <c r="N170" s="5"/>
      <c r="O170" s="5"/>
      <c r="P170" s="5"/>
      <c r="Q170" s="5"/>
      <c r="R170" s="5"/>
      <c r="S170" s="5"/>
      <c r="T170" s="5"/>
      <c r="U170" s="5"/>
      <c r="V170" s="5"/>
      <c r="W170" s="5"/>
      <c r="X170" s="5"/>
      <c r="Y170" s="5" t="str">
        <f t="shared" si="89"/>
        <v>Insufficient</v>
      </c>
      <c r="Z170" s="5"/>
      <c r="AA170" s="5"/>
      <c r="AB170" s="5"/>
      <c r="AC170" s="5"/>
      <c r="AD170" s="5"/>
      <c r="AE170" s="5"/>
      <c r="AF170" s="5"/>
      <c r="AG170" s="5"/>
      <c r="AH170" s="5"/>
      <c r="AI170" s="5"/>
      <c r="AJ170" s="5"/>
      <c r="AK170" s="5"/>
      <c r="AL170" s="5"/>
      <c r="AM170" s="5"/>
      <c r="AN170" s="5"/>
      <c r="AO170" s="5"/>
      <c r="AP170" s="5"/>
      <c r="AQ170" s="5"/>
      <c r="AR170" s="40">
        <f t="array" ref="AR170">MIN(100, MAX(0,
  IFERROR(_xlfn.XLOOKUP(AJ170,'Lookup Tables'!$A$2:$A$7,'Lookup Tables'!$B$2:$B$7,0),0)
  + IF(Z170="Yes", IF(IFERROR(_xlfn.XLOOKUP(AJ170,'Lookup Tables'!$A$2:$A$7,'Lookup Tables'!$B$2:$B$7,0),0)&lt;20, 5, 0), 0)
  + _xlfn.IFS(AB170="Yes", IF(ISNUMBER(AC170)*AND(AC170&lt;=2030),15,10), AB170="Long-term Only", 5, AB170="No", 0, TRUE, 0)
  + _xlfn.IFS(AF170="Full",10, AF170="Partial",5, AF170="Scope 2 Only",3, TRUE,0)
  + _xlfn.IFS(AG170="Yes", IF(ISNUMBER(AH170)*AND(AH170&gt;=5),10,6), AG170="Partial",4, TRUE,0)
  + _xlfn.IFS(AI170="Yes",5, AI170="Partial (material categories only)",3, TRUE,0)
  + _xlfn.IFS(AL170="Yes — Detailed",10, AL170="Yes — High Level",5, TRUE,0)
  + _xlfn.IFS(AM170="Yes — Quantified",15, AM170="Yes — Directional Only",7, TRUE,0)
  + _xlfn.IFS(AP170="Formal",5, AP170="Referenced",2, TRUE,0)
  + _xlfn.IFS(AQ170="No Issues Found",5, AQ170="Concern Identified",-5, AQ170="Severe Contradiction",-15, TRUE,0)
  + _xlfn.IFS(BC170="Reasonable Assurance",5, BC170="Limited Assurance",3, TRUE,0)
  - IF(AND(Z170="Yes", AI170="No"), 10, 0)
  - IF(AND(Z170="Yes", AM170="No"), 10, 0)
))</f>
        <v>0</v>
      </c>
      <c r="AS170" s="5"/>
      <c r="AT170" s="5"/>
      <c r="AU170" s="5"/>
      <c r="AV170" s="5"/>
      <c r="AW170" s="5"/>
      <c r="AX170" s="5"/>
      <c r="AY170" s="5"/>
      <c r="AZ170" s="5"/>
      <c r="BA170" s="5"/>
      <c r="BB170" s="5"/>
      <c r="BC170" s="5"/>
      <c r="BD170" s="5"/>
      <c r="BE170" s="39">
        <f t="array" ref="BE170">MIN(100, MAX(0,
  IFERROR(_xlfn.XLOOKUP(AT170,'Lookup Tables'!$D$2:$D$6,'Lookup Tables'!$E$2:$E$6,0),0)
  + IFERROR(_xlfn.XLOOKUP(AV170,'Lookup Tables'!$G$2:$G$5,'Lookup Tables'!$H$2:$H$5,0),0)
  + IFERROR(_xlfn.XLOOKUP(AW170,'Lookup Tables'!$J$2:$J$5,'Lookup Tables'!$K$2:$K$5,0),0)
  + _xlfn.IFS(AX170="No Issues",10, AX170="Complaint Filed",3, AX170="Confirmed Breach",-15, TRUE,0)
  + IFERROR(_xlfn.XLOOKUP(AY170,'Lookup Tables'!$M$2:$M$6,'Lookup Tables'!$N$2:$N$6,0),0)
  + IFERROR(_xlfn.XLOOKUP(AZ170,'Lookup Tables'!$P$2:$P$6,'Lookup Tables'!$Q$2:$Q$6,0),0)
  + _xlfn.IFS(BA170="Formal Board Committee",5, BA170="Board Oversight Mentioned",2, TRUE,0)
  + _xlfn.IFS(BB170="Yes — Quantified Targets",5, BB170="Yes — Discretionary Only",2, TRUE,0)
  + _xlfn.IFS(BC170="Reasonable Assurance",5, BC170="Limited Assurance",3, BC170="Management Review Only",1, TRUE,0)
))</f>
        <v>0</v>
      </c>
      <c r="BF170" s="5"/>
      <c r="BG170" s="5"/>
      <c r="BH170" s="5"/>
      <c r="BI170" s="5"/>
      <c r="BJ170" s="5"/>
      <c r="BK170" s="5"/>
      <c r="BL170" s="5"/>
      <c r="BM170" s="5"/>
      <c r="BN170" s="5"/>
      <c r="BO170" s="5"/>
      <c r="BP170" s="5"/>
      <c r="BQ170" s="5"/>
      <c r="BR170" s="5"/>
      <c r="BS170" s="41">
        <f t="array" ref="BS170">MIN(100, MAX(0,
  IFERROR(_xlfn.XLOOKUP(BG170,'Lookup Tables'!$A$11:$A$16,'Lookup Tables'!$B$11:$B$16,0),0)
  + IFERROR(_xlfn.XLOOKUP(BR170,'Lookup Tables'!$M$11:$M$14,'Lookup Tables'!$N$11:$N$14,0),0)
  + IFERROR(_xlfn.XLOOKUP(BQ170,'Lookup Tables'!$J$11:$J$15,'Lookup Tables'!$K$11:$K$15,0),0)
  + IFERROR(_xlfn.XLOOKUP(BH170,'Lookup Tables'!$D$11:$D$15,'Lookup Tables'!$E$11:$E$15,0),0)
  + IFERROR(_xlfn.XLOOKUP(BJ170,'Lookup Tables'!$G$11:$G$16,'Lookup Tables'!$H$11:$H$16,0),0)
  + IFERROR(_xlfn.XLOOKUP(BN170,'Lookup Tables'!$P$11:$P$15,'Lookup Tables'!$Q$11:$Q$15,0),0)
  + _xlfn.IFS(BM170="No Evidence",10, BM170="Unknown",3, BM170="Likely",0, BM170="Confirmed",-10, TRUE,3)
  + IFERROR(_xlfn.XLOOKUP(BP170,'Lookup Tables'!$J$21:$J$24,'Lookup Tables'!$K$21:$K$24,0),0)
))</f>
        <v>3</v>
      </c>
      <c r="BT170" s="5"/>
      <c r="BU170" s="5"/>
      <c r="BV170" s="5"/>
      <c r="BW170" s="5"/>
      <c r="BX170" s="5"/>
      <c r="BY170" s="5"/>
      <c r="BZ170" s="5"/>
      <c r="CA170" s="5"/>
      <c r="CB170" s="5"/>
      <c r="CC170" s="5"/>
      <c r="CD170" s="5"/>
      <c r="CE170" s="43">
        <f t="array" ref="CE170">MIN(100, MAX(0,
  IF(ISNUMBER(BV170)*AND(BV170&gt;0), 10, 0)
  + _xlfn.IFS(BY170="Independently Verified",25, BY170="Yes",15, TRUE,0)
  + IFERROR(_xlfn.XLOOKUP(BZ170,'Lookup Tables'!$A$21:$A$24,'Lookup Tables'!$B$21:$B$24,0),0)
  + IFERROR(_xlfn.XLOOKUP(CA170,'Lookup Tables'!$D$21:$D$24,'Lookup Tables'!$E$21:$E$24,0),0)
  + _xlfn.IFS(ISNUMBER(CB170)*AND(CB170&gt;=11),15, ISNUMBER(CB170)*AND(CB170&gt;=6),10, ISNUMBER(CB170)*AND(CB170&gt;=1),5, TRUE,0)
  + IFERROR(_xlfn.XLOOKUP(CC170,'Lookup Tables'!$G$21:$G$25,'Lookup Tables'!$H$21:$H$25,0),0)
  - IF(ISNUMBER(BW170)*AND(ISNUMBER(BV170))*AND(BW170&gt;BV170), 20, 0)
  - IF(AND(BY170="Yes", ISNUMBER(BW170), BW170&gt;60), 10, 0)
))</f>
        <v>0</v>
      </c>
      <c r="CF170" s="5"/>
      <c r="CG170" s="5"/>
      <c r="CH170" s="5"/>
      <c r="CI170" s="5"/>
      <c r="CJ170" s="5"/>
      <c r="CK170" s="5"/>
      <c r="CL170" s="5"/>
      <c r="CM170" s="5"/>
      <c r="CN170" s="5"/>
      <c r="CO170" s="5"/>
      <c r="CP170" s="5"/>
      <c r="CQ170" s="5"/>
      <c r="CR170" s="5">
        <f t="shared" si="90"/>
        <v>0</v>
      </c>
      <c r="CS170" s="5">
        <f t="shared" si="91"/>
        <v>0</v>
      </c>
      <c r="CT170" s="5">
        <f t="shared" si="92"/>
        <v>0</v>
      </c>
      <c r="CU170" s="5">
        <f>MIN(100,
  CR170*15
  + CS170*6
  + CT170*3
  + IFERROR(_xlfn.XLOOKUP(CW170,'Lookup Tables'!$M$21:$M$25,'Lookup Tables'!$N$21:$N$25,0),0)
)</f>
        <v>0</v>
      </c>
      <c r="CV170" s="5" t="str">
        <f t="shared" si="93"/>
        <v>No failures</v>
      </c>
      <c r="CW170" s="5"/>
      <c r="CX170" s="5"/>
      <c r="CY170" s="5"/>
      <c r="CZ170" s="5"/>
      <c r="DA170" s="5" t="str">
        <f t="shared" si="94"/>
        <v>Yes</v>
      </c>
      <c r="DB170" s="5" t="str">
        <f t="shared" si="95"/>
        <v>No</v>
      </c>
      <c r="DC170" s="5"/>
      <c r="DD170" s="5"/>
      <c r="DE170" s="5"/>
      <c r="DF170" s="5"/>
      <c r="DG170" s="5"/>
      <c r="DH170" s="5"/>
      <c r="DI170" s="5"/>
      <c r="DJ170" s="5"/>
      <c r="DK170" s="5"/>
      <c r="DL170" s="5" t="str">
        <f t="shared" si="96"/>
        <v>Clear</v>
      </c>
      <c r="DM170" s="5" t="str">
        <f t="shared" si="97"/>
        <v>Yes</v>
      </c>
      <c r="DN170" s="5">
        <f t="array" ref="DN170">MIN(100,
  IF(ISNUMBER(V170), _xlfn.IFS(V170&gt;=3,25, V170=2,15, V170=1,5, TRUE,0), 0)
  + IFERROR(_xlfn.IFS(VALUE(LEFT(DF170,1))=5,25, VALUE(LEFT(DF170,1))=4,20, VALUE(LEFT(DF170,1))=3,15, VALUE(LEFT(DF170,1))=2,8, TRUE,0), 15)
  + IFERROR(_xlfn.IFS(VALUE(LEFT(DG170,1))=5,25, VALUE(LEFT(DG170,1))=4,20, VALUE(LEFT(DG170,1))=3,15, VALUE(LEFT(DG170,1))=2,8, TRUE,0), 15)
  + _xlfn.IFS(DH170="Fully Verified",25, DH170="Partially Verified",12, TRUE,0)
)</f>
        <v>30</v>
      </c>
      <c r="DO170" s="5" t="str">
        <f t="array" ref="DO170">_xlfn.IFS(
  ISBLANK(AR170), "Insufficient Evidence",
  AND(AR170&gt;=65, AJ170="Approved"), "Strong",
  AR170&gt;=65, "Adequate",
  AR170&gt;=40, "Adequate",
  AR170&gt;=20, "Weak",
  TRUE, "Insufficient Evidence"
)</f>
        <v>Insufficient Evidence</v>
      </c>
      <c r="DP170" s="5" t="str">
        <f t="array" ref="DP170">_xlfn.IFS(
  ISBLANK(BS170), "Insufficient Evidence",
  BS170&gt;=65, "Strong",
  BS170&gt;=40, "Adequate",
  BS170&gt;=20, "Weak",
  TRUE, "Insufficient Evidence"
)</f>
        <v>Insufficient Evidence</v>
      </c>
      <c r="DQ170" s="5" t="str">
        <f t="array" ref="DQ170">_xlfn.IFS(
  ISBLANK(BE170), "Insufficient Evidence",
  OR(AW170="Confirmed Violation", AX170="Confirmed Breach"), "Severe — Hard Trigger",
  BE170&gt;=65, "Strong",
  BE170&gt;=40, "Adequate",
  BE170&gt;=20, "Weak",
  TRUE, "Insufficient Evidence"
)</f>
        <v>Insufficient Evidence</v>
      </c>
      <c r="DR170" s="5" t="str">
        <f t="array" ref="DR170">_xlfn.IFS(
  ISBLANK(CU170), "Insufficient Evidence",
  CU170&lt;=20, "Low Risk",
  CU170&lt;=50, "Moderate Risk",
  CU170&lt;=75, "High Risk",
  TRUE, "Very High Risk"
)</f>
        <v>Low Risk</v>
      </c>
      <c r="DS170" s="5" t="str">
        <f t="array" ref="DS170">_xlfn.IFS(
  ISBLANK(CE170), "Insufficient Evidence",
  AND(ISNUMBER(BW170),ISNUMBER(BV170),BW170&gt;BV170), "Overclaiming Risk",
  CE170&gt;=65, "Strong",
  CE170&gt;=40, "Adequate",
  TRUE, "Weak"
)</f>
        <v>Weak</v>
      </c>
      <c r="DT170" s="5">
        <f t="shared" si="98"/>
        <v>11.7</v>
      </c>
      <c r="DU170" s="5" t="str">
        <f t="array" ref="DU170">_xlfn.IFS(
  DV170="Upgraded to Clear", "Clear",
  DV170="Downgraded to Watchlist", "Watchlist",
  DV170="Downgraded to Exclusion", "Exclusion Risk",
  DB170="Yes — Automatic", "Exclusion Risk",
  OR(AW170="Confirmed Violation", AX170="Confirmed Breach"), "Exclusion Risk",
  OR(V170=0, ISBLANK(V170), DN170&lt;20), "Insufficient Evidence",
  AND(DT170&gt;=65, DA170="No", DB170="No"), "Clear",
  OR(DT170&gt;=40, DA170="Yes"), "Watchlist",
  TRUE, "Exclusion Risk"
)</f>
        <v>Insufficient Evidence</v>
      </c>
      <c r="DV170" s="5"/>
      <c r="DW170" s="5" t="str">
        <f t="array" ref="DW170">_xlfn.IFS(
  DU170="Exclusion Risk", "Exclude — Hard Trigger",
  DU170="Insufficient Evidence", "Watchlist — Further Evidence Needed",
  DU170="Watchlist", "Watchlist — Further Evidence Needed",
  AND(DU170="Clear", DT170&gt;=80), "Include — No Conditions",
  DU170="Clear", "Include — Monitor",
  TRUE, "Watchlist — Further Evidence Needed"
)</f>
        <v>Watchlist — Further Evidence Needed</v>
      </c>
      <c r="DX170" s="5"/>
      <c r="DY170" s="5"/>
      <c r="DZ170" s="5"/>
      <c r="EA170" s="5"/>
      <c r="EB170" s="5" t="str">
        <f t="shared" si="99"/>
        <v>MISSING — No sources reviewed</v>
      </c>
      <c r="EC170" s="5" t="str">
        <f t="shared" si="100"/>
        <v/>
      </c>
    </row>
    <row r="171" spans="1:133" ht="18" customHeight="1" x14ac:dyDescent="0.15">
      <c r="A171" s="5" t="s">
        <v>881</v>
      </c>
      <c r="B171" s="5" t="s">
        <v>882</v>
      </c>
      <c r="C171" s="5" t="str">
        <f>IF(ISBLANK('Universe Tracker'!D146),"",'Universe Tracker'!D146)</f>
        <v>IT0003261697</v>
      </c>
      <c r="D171" s="5"/>
      <c r="E171" s="5"/>
      <c r="F171" s="5" t="str">
        <f>IF(ISBLANK('Universe Tracker'!F146),"",'Universe Tracker'!F146)</f>
        <v>Financials</v>
      </c>
      <c r="G171" s="5" t="str">
        <f>IF(ISBLANK('Universe Tracker'!G146),"",'Universe Tracker'!G146)</f>
        <v>Financial Services</v>
      </c>
      <c r="H171" s="5"/>
      <c r="I171" s="5"/>
      <c r="J171" s="5" t="str">
        <f t="shared" ref="J171:J220" si="101">IF(ISBLANK(B171),"",B171&amp;"_"&amp;C171)</f>
        <v>HDB_IT0003261697</v>
      </c>
      <c r="K171" s="5"/>
      <c r="L171" s="5"/>
      <c r="M171" s="5"/>
      <c r="N171" s="5"/>
      <c r="O171" s="5"/>
      <c r="P171" s="5"/>
      <c r="Q171" s="5"/>
      <c r="R171" s="5"/>
      <c r="S171" s="5"/>
      <c r="T171" s="5"/>
      <c r="U171" s="5"/>
      <c r="V171" s="5"/>
      <c r="W171" s="5"/>
      <c r="X171" s="5"/>
      <c r="Y171" s="5" t="str">
        <f t="shared" ref="Y171:Y220" si="102">IF(AND(V171&gt;=2,K171="Yes",L171="Yes"),"Sufficient",IF(AND(V171&gt;=1,OR(K171="Yes",L171="Yes")),"Thin","Insufficient"))</f>
        <v>Insufficient</v>
      </c>
      <c r="Z171" s="5"/>
      <c r="AA171" s="5"/>
      <c r="AB171" s="5"/>
      <c r="AC171" s="5"/>
      <c r="AD171" s="5"/>
      <c r="AE171" s="5"/>
      <c r="AF171" s="5"/>
      <c r="AG171" s="5"/>
      <c r="AH171" s="5"/>
      <c r="AI171" s="5"/>
      <c r="AJ171" s="5"/>
      <c r="AK171" s="5"/>
      <c r="AL171" s="5"/>
      <c r="AM171" s="5"/>
      <c r="AN171" s="5"/>
      <c r="AO171" s="5"/>
      <c r="AP171" s="5"/>
      <c r="AQ171" s="5"/>
      <c r="AR171" s="40">
        <f t="array" ref="AR171">MIN(100, MAX(0,
  IFERROR(_xlfn.XLOOKUP(AJ171,'Lookup Tables'!$A$2:$A$7,'Lookup Tables'!$B$2:$B$7,0),0)
  + IF(Z171="Yes", IF(IFERROR(_xlfn.XLOOKUP(AJ171,'Lookup Tables'!$A$2:$A$7,'Lookup Tables'!$B$2:$B$7,0),0)&lt;20, 5, 0), 0)
  + _xlfn.IFS(AB171="Yes", IF(ISNUMBER(AC171)*AND(AC171&lt;=2030),15,10), AB171="Long-term Only", 5, AB171="No", 0, TRUE, 0)
  + _xlfn.IFS(AF171="Full",10, AF171="Partial",5, AF171="Scope 2 Only",3, TRUE,0)
  + _xlfn.IFS(AG171="Yes", IF(ISNUMBER(AH171)*AND(AH171&gt;=5),10,6), AG171="Partial",4, TRUE,0)
  + _xlfn.IFS(AI171="Yes",5, AI171="Partial (material categories only)",3, TRUE,0)
  + _xlfn.IFS(AL171="Yes — Detailed",10, AL171="Yes — High Level",5, TRUE,0)
  + _xlfn.IFS(AM171="Yes — Quantified",15, AM171="Yes — Directional Only",7, TRUE,0)
  + _xlfn.IFS(AP171="Formal",5, AP171="Referenced",2, TRUE,0)
  + _xlfn.IFS(AQ171="No Issues Found",5, AQ171="Concern Identified",-5, AQ171="Severe Contradiction",-15, TRUE,0)
  + _xlfn.IFS(BC171="Reasonable Assurance",5, BC171="Limited Assurance",3, TRUE,0)
  - IF(AND(Z171="Yes", AI171="No"), 10, 0)
  - IF(AND(Z171="Yes", AM171="No"), 10, 0)
))</f>
        <v>0</v>
      </c>
      <c r="AS171" s="5"/>
      <c r="AT171" s="5"/>
      <c r="AU171" s="5"/>
      <c r="AV171" s="5"/>
      <c r="AW171" s="5"/>
      <c r="AX171" s="5"/>
      <c r="AY171" s="5"/>
      <c r="AZ171" s="5"/>
      <c r="BA171" s="5"/>
      <c r="BB171" s="5"/>
      <c r="BC171" s="5"/>
      <c r="BD171" s="5"/>
      <c r="BE171" s="39">
        <f t="array" ref="BE171">MIN(100, MAX(0,
  IFERROR(_xlfn.XLOOKUP(AT171,'Lookup Tables'!$D$2:$D$6,'Lookup Tables'!$E$2:$E$6,0),0)
  + IFERROR(_xlfn.XLOOKUP(AV171,'Lookup Tables'!$G$2:$G$5,'Lookup Tables'!$H$2:$H$5,0),0)
  + IFERROR(_xlfn.XLOOKUP(AW171,'Lookup Tables'!$J$2:$J$5,'Lookup Tables'!$K$2:$K$5,0),0)
  + _xlfn.IFS(AX171="No Issues",10, AX171="Complaint Filed",3, AX171="Confirmed Breach",-15, TRUE,0)
  + IFERROR(_xlfn.XLOOKUP(AY171,'Lookup Tables'!$M$2:$M$6,'Lookup Tables'!$N$2:$N$6,0),0)
  + IFERROR(_xlfn.XLOOKUP(AZ171,'Lookup Tables'!$P$2:$P$6,'Lookup Tables'!$Q$2:$Q$6,0),0)
  + _xlfn.IFS(BA171="Formal Board Committee",5, BA171="Board Oversight Mentioned",2, TRUE,0)
  + _xlfn.IFS(BB171="Yes — Quantified Targets",5, BB171="Yes — Discretionary Only",2, TRUE,0)
  + _xlfn.IFS(BC171="Reasonable Assurance",5, BC171="Limited Assurance",3, BC171="Management Review Only",1, TRUE,0)
))</f>
        <v>0</v>
      </c>
      <c r="BF171" s="5"/>
      <c r="BG171" s="5"/>
      <c r="BH171" s="5"/>
      <c r="BI171" s="5"/>
      <c r="BJ171" s="5"/>
      <c r="BK171" s="5"/>
      <c r="BL171" s="5"/>
      <c r="BM171" s="5"/>
      <c r="BN171" s="5"/>
      <c r="BO171" s="5"/>
      <c r="BP171" s="5"/>
      <c r="BQ171" s="5"/>
      <c r="BR171" s="5"/>
      <c r="BS171" s="41">
        <f t="array" ref="BS171">MIN(100, MAX(0,
  IFERROR(_xlfn.XLOOKUP(BG171,'Lookup Tables'!$A$11:$A$16,'Lookup Tables'!$B$11:$B$16,0),0)
  + IFERROR(_xlfn.XLOOKUP(BR171,'Lookup Tables'!$M$11:$M$14,'Lookup Tables'!$N$11:$N$14,0),0)
  + IFERROR(_xlfn.XLOOKUP(BQ171,'Lookup Tables'!$J$11:$J$15,'Lookup Tables'!$K$11:$K$15,0),0)
  + IFERROR(_xlfn.XLOOKUP(BH171,'Lookup Tables'!$D$11:$D$15,'Lookup Tables'!$E$11:$E$15,0),0)
  + IFERROR(_xlfn.XLOOKUP(BJ171,'Lookup Tables'!$G$11:$G$16,'Lookup Tables'!$H$11:$H$16,0),0)
  + IFERROR(_xlfn.XLOOKUP(BN171,'Lookup Tables'!$P$11:$P$15,'Lookup Tables'!$Q$11:$Q$15,0),0)
  + _xlfn.IFS(BM171="No Evidence",10, BM171="Unknown",3, BM171="Likely",0, BM171="Confirmed",-10, TRUE,3)
  + IFERROR(_xlfn.XLOOKUP(BP171,'Lookup Tables'!$J$21:$J$24,'Lookup Tables'!$K$21:$K$24,0),0)
))</f>
        <v>3</v>
      </c>
      <c r="BT171" s="5"/>
      <c r="BU171" s="5"/>
      <c r="BV171" s="5"/>
      <c r="BW171" s="5"/>
      <c r="BX171" s="5"/>
      <c r="BY171" s="5"/>
      <c r="BZ171" s="5"/>
      <c r="CA171" s="5"/>
      <c r="CB171" s="5"/>
      <c r="CC171" s="5"/>
      <c r="CD171" s="5"/>
      <c r="CE171" s="43">
        <f t="array" ref="CE171">MIN(100, MAX(0,
  IF(ISNUMBER(BV171)*AND(BV171&gt;0), 10, 0)
  + _xlfn.IFS(BY171="Independently Verified",25, BY171="Yes",15, TRUE,0)
  + IFERROR(_xlfn.XLOOKUP(BZ171,'Lookup Tables'!$A$21:$A$24,'Lookup Tables'!$B$21:$B$24,0),0)
  + IFERROR(_xlfn.XLOOKUP(CA171,'Lookup Tables'!$D$21:$D$24,'Lookup Tables'!$E$21:$E$24,0),0)
  + _xlfn.IFS(ISNUMBER(CB171)*AND(CB171&gt;=11),15, ISNUMBER(CB171)*AND(CB171&gt;=6),10, ISNUMBER(CB171)*AND(CB171&gt;=1),5, TRUE,0)
  + IFERROR(_xlfn.XLOOKUP(CC171,'Lookup Tables'!$G$21:$G$25,'Lookup Tables'!$H$21:$H$25,0),0)
  - IF(ISNUMBER(BW171)*AND(ISNUMBER(BV171))*AND(BW171&gt;BV171), 20, 0)
  - IF(AND(BY171="Yes", ISNUMBER(BW171), BW171&gt;60), 10, 0)
))</f>
        <v>0</v>
      </c>
      <c r="CF171" s="5"/>
      <c r="CG171" s="5"/>
      <c r="CH171" s="5"/>
      <c r="CI171" s="5"/>
      <c r="CJ171" s="5"/>
      <c r="CK171" s="5"/>
      <c r="CL171" s="5"/>
      <c r="CM171" s="5"/>
      <c r="CN171" s="5"/>
      <c r="CO171" s="5"/>
      <c r="CP171" s="5"/>
      <c r="CQ171" s="5"/>
      <c r="CR171" s="5">
        <f t="shared" ref="CR171:CR220" si="103">COUNTIF(CJ171:CQ171,"FAIL")</f>
        <v>0</v>
      </c>
      <c r="CS171" s="5">
        <f t="shared" ref="CS171:CS220" si="104">COUNTIF(CJ171:CQ171,"PARTIAL")</f>
        <v>0</v>
      </c>
      <c r="CT171" s="5">
        <f t="shared" ref="CT171:CT220" si="105">COUNTIF(CJ171:CQ171,"MISSING")</f>
        <v>0</v>
      </c>
      <c r="CU171" s="5">
        <f>MIN(100,
  CR171*15
  + CS171*6
  + CT171*3
  + IFERROR(_xlfn.XLOOKUP(CW171,'Lookup Tables'!$M$21:$M$25,'Lookup Tables'!$N$21:$N$25,0),0)
)</f>
        <v>0</v>
      </c>
      <c r="CV171" s="5" t="str">
        <f t="shared" ref="CV171:CV220" si="106">IFERROR(
CHOOSE(
MATCH("FAIL",CJ171:CQ171,0),
"1-Specificity","2-Metric","3-Baseline","4-Target",
"5-Time Horizon","6-Scope","7-Verification","8-Consistency"
),
IFERROR(
CHOOSE(
MATCH("PARTIAL",CJ171:CQ171,0),
"1-Specificity","2-Metric","3-Baseline","4-Target",
"5-Time Horizon","6-Scope","7-Verification","8-Consistency"
),
"No failures"
)
)</f>
        <v>No failures</v>
      </c>
      <c r="CW171" s="5"/>
      <c r="CX171" s="5"/>
      <c r="CY171" s="5"/>
      <c r="CZ171" s="5"/>
      <c r="DA171" s="5" t="str">
        <f t="shared" ref="DA171:DA220" si="107">IF(OR(CU171&gt;=50,CW171="Material",CW171="Severe",AS171="Material",AS171="Severe",BF171="Material",BF171="Severe — Exclusion Trigger",AND(ISNUMBER(BS171),BS171&lt;30)),"Yes","No")</f>
        <v>Yes</v>
      </c>
      <c r="DB171" s="5" t="str">
        <f t="shared" ref="DB171:DB220" si="108">IF(OR(CR171&gt;=6,AW171="Confirmed Violation",AX171="Confirmed Breach"),"Yes — Automatic",IF(CW171="Severe","Yes — Requires Captain Confirmation","No"))</f>
        <v>No</v>
      </c>
      <c r="DC171" s="5"/>
      <c r="DD171" s="5"/>
      <c r="DE171" s="5"/>
      <c r="DF171" s="5"/>
      <c r="DG171" s="5"/>
      <c r="DH171" s="5"/>
      <c r="DI171" s="5"/>
      <c r="DJ171" s="5"/>
      <c r="DK171" s="5"/>
      <c r="DL171" s="5" t="str">
        <f t="shared" ref="DL171:DL220" si="109">IF(OR(IFERROR(VALUE(LEFT(DF171,1)),99)&lt;=2,IFERROR(VALUE(LEFT(DG171,1)),99)&lt;=2),"Flagged","Clear")</f>
        <v>Clear</v>
      </c>
      <c r="DM171" s="5" t="str">
        <f t="shared" ref="DM171:DM220" si="110">IF(OR(DA171="Yes",DB171&lt;&gt;"No",DH171="Unverified",DL171="Flagged"),"Yes","No")</f>
        <v>Yes</v>
      </c>
      <c r="DN171" s="5">
        <f t="array" ref="DN171">MIN(100,
  IF(ISNUMBER(V171), _xlfn.IFS(V171&gt;=3,25, V171=2,15, V171=1,5, TRUE,0), 0)
  + IFERROR(_xlfn.IFS(VALUE(LEFT(DF171,1))=5,25, VALUE(LEFT(DF171,1))=4,20, VALUE(LEFT(DF171,1))=3,15, VALUE(LEFT(DF171,1))=2,8, TRUE,0), 15)
  + IFERROR(_xlfn.IFS(VALUE(LEFT(DG171,1))=5,25, VALUE(LEFT(DG171,1))=4,20, VALUE(LEFT(DG171,1))=3,15, VALUE(LEFT(DG171,1))=2,8, TRUE,0), 15)
  + _xlfn.IFS(DH171="Fully Verified",25, DH171="Partially Verified",12, TRUE,0)
)</f>
        <v>30</v>
      </c>
      <c r="DO171" s="5" t="str">
        <f t="array" ref="DO171">_xlfn.IFS(
  ISBLANK(AR171), "Insufficient Evidence",
  AND(AR171&gt;=65, AJ171="Approved"), "Strong",
  AR171&gt;=65, "Adequate",
  AR171&gt;=40, "Adequate",
  AR171&gt;=20, "Weak",
  TRUE, "Insufficient Evidence"
)</f>
        <v>Insufficient Evidence</v>
      </c>
      <c r="DP171" s="5" t="str">
        <f t="array" ref="DP171">_xlfn.IFS(
  ISBLANK(BS171), "Insufficient Evidence",
  BS171&gt;=65, "Strong",
  BS171&gt;=40, "Adequate",
  BS171&gt;=20, "Weak",
  TRUE, "Insufficient Evidence"
)</f>
        <v>Insufficient Evidence</v>
      </c>
      <c r="DQ171" s="5" t="str">
        <f t="array" ref="DQ171">_xlfn.IFS(
  ISBLANK(BE171), "Insufficient Evidence",
  OR(AW171="Confirmed Violation", AX171="Confirmed Breach"), "Severe — Hard Trigger",
  BE171&gt;=65, "Strong",
  BE171&gt;=40, "Adequate",
  BE171&gt;=20, "Weak",
  TRUE, "Insufficient Evidence"
)</f>
        <v>Insufficient Evidence</v>
      </c>
      <c r="DR171" s="5" t="str">
        <f t="array" ref="DR171">_xlfn.IFS(
  ISBLANK(CU171), "Insufficient Evidence",
  CU171&lt;=20, "Low Risk",
  CU171&lt;=50, "Moderate Risk",
  CU171&lt;=75, "High Risk",
  TRUE, "Very High Risk"
)</f>
        <v>Low Risk</v>
      </c>
      <c r="DS171" s="5" t="str">
        <f t="array" ref="DS171">_xlfn.IFS(
  ISBLANK(CE171), "Insufficient Evidence",
  AND(ISNUMBER(BW171),ISNUMBER(BV171),BW171&gt;BV171), "Overclaiming Risk",
  CE171&gt;=65, "Strong",
  CE171&gt;=40, "Adequate",
  TRUE, "Weak"
)</f>
        <v>Weak</v>
      </c>
      <c r="DT171" s="5">
        <f t="shared" ref="DT171:DT220" si="111">IF(DB171="Yes — Automatic",0,ROUND((IF(ISNUMBER(AR171),AR171,0)*0.3+IF(ISNUMBER(BS171),BS171,0)*0.2+IF(ISNUMBER(BE171),BE171,0)*0.2+IF(ISNUMBER(CE171),CE171,0)*0.15+(100-IF(ISNUMBER(CU171),CU171,50))*0.15)*IF(DN171&gt;=75,1,IF(DN171&gt;=50,0.9,IF(DN171&gt;=25,0.75,0.6))),1))</f>
        <v>11.7</v>
      </c>
      <c r="DU171" s="5" t="str">
        <f t="array" ref="DU171">_xlfn.IFS(
  DV171="Upgraded to Clear", "Clear",
  DV171="Downgraded to Watchlist", "Watchlist",
  DV171="Downgraded to Exclusion", "Exclusion Risk",
  DB171="Yes — Automatic", "Exclusion Risk",
  OR(AW171="Confirmed Violation", AX171="Confirmed Breach"), "Exclusion Risk",
  OR(V171=0, ISBLANK(V171), DN171&lt;20), "Insufficient Evidence",
  AND(DT171&gt;=65, DA171="No", DB171="No"), "Clear",
  OR(DT171&gt;=40, DA171="Yes"), "Watchlist",
  TRUE, "Exclusion Risk"
)</f>
        <v>Insufficient Evidence</v>
      </c>
      <c r="DV171" s="5"/>
      <c r="DW171" s="5" t="str">
        <f t="array" ref="DW171">_xlfn.IFS(
  DU171="Exclusion Risk", "Exclude — Hard Trigger",
  DU171="Insufficient Evidence", "Watchlist — Further Evidence Needed",
  DU171="Watchlist", "Watchlist — Further Evidence Needed",
  AND(DU171="Clear", DT171&gt;=80), "Include — No Conditions",
  DU171="Clear", "Include — Monitor",
  TRUE, "Watchlist — Further Evidence Needed"
)</f>
        <v>Watchlist — Further Evidence Needed</v>
      </c>
      <c r="DX171" s="5"/>
      <c r="DY171" s="5"/>
      <c r="DZ171" s="5"/>
      <c r="EA171" s="5"/>
      <c r="EB171" s="5" t="str">
        <f t="shared" ref="EB171:EB220" si="112">IF(OR(V171=0, ISBLANK(V171)), "MISSING — No sources reviewed", "")</f>
        <v>MISSING — No sources reviewed</v>
      </c>
      <c r="EC171" s="5" t="str">
        <f t="shared" ref="EC171:EC220" si="113">IF(AND(NOT(ISBLANK(DC171)), ISBLANK(DE171)), "PAGE REF MISSING", "")</f>
        <v/>
      </c>
    </row>
    <row r="172" spans="1:133" ht="18" customHeight="1" x14ac:dyDescent="0.15">
      <c r="A172" s="5" t="s">
        <v>885</v>
      </c>
      <c r="B172" s="5" t="s">
        <v>886</v>
      </c>
      <c r="C172" s="5" t="str">
        <f>IF(ISBLANK('Universe Tracker'!D147),"",'Universe Tracker'!D147)</f>
        <v>DE000CBK1001</v>
      </c>
      <c r="D172" s="5"/>
      <c r="E172" s="5"/>
      <c r="F172" s="5" t="str">
        <f>IF(ISBLANK('Universe Tracker'!F147),"",'Universe Tracker'!F147)</f>
        <v>Financials</v>
      </c>
      <c r="G172" s="5" t="str">
        <f>IF(ISBLANK('Universe Tracker'!G147),"",'Universe Tracker'!G147)</f>
        <v>Banking</v>
      </c>
      <c r="H172" s="5"/>
      <c r="I172" s="5"/>
      <c r="J172" s="5" t="str">
        <f t="shared" si="101"/>
        <v>CBK_DE000CBK1001</v>
      </c>
      <c r="K172" s="5"/>
      <c r="L172" s="5"/>
      <c r="M172" s="5"/>
      <c r="N172" s="5"/>
      <c r="O172" s="5"/>
      <c r="P172" s="5"/>
      <c r="Q172" s="5"/>
      <c r="R172" s="5"/>
      <c r="S172" s="5"/>
      <c r="T172" s="5"/>
      <c r="U172" s="5"/>
      <c r="V172" s="5"/>
      <c r="W172" s="5"/>
      <c r="X172" s="5"/>
      <c r="Y172" s="5" t="str">
        <f t="shared" si="102"/>
        <v>Insufficient</v>
      </c>
      <c r="Z172" s="5"/>
      <c r="AA172" s="5"/>
      <c r="AB172" s="5"/>
      <c r="AC172" s="5"/>
      <c r="AD172" s="5"/>
      <c r="AE172" s="5"/>
      <c r="AF172" s="5"/>
      <c r="AG172" s="5"/>
      <c r="AH172" s="5"/>
      <c r="AI172" s="5"/>
      <c r="AJ172" s="5"/>
      <c r="AK172" s="5"/>
      <c r="AL172" s="5"/>
      <c r="AM172" s="5"/>
      <c r="AN172" s="5"/>
      <c r="AO172" s="5"/>
      <c r="AP172" s="5"/>
      <c r="AQ172" s="5"/>
      <c r="AR172" s="40">
        <f t="array" ref="AR172">MIN(100, MAX(0,
  IFERROR(_xlfn.XLOOKUP(AJ172,'Lookup Tables'!$A$2:$A$7,'Lookup Tables'!$B$2:$B$7,0),0)
  + IF(Z172="Yes", IF(IFERROR(_xlfn.XLOOKUP(AJ172,'Lookup Tables'!$A$2:$A$7,'Lookup Tables'!$B$2:$B$7,0),0)&lt;20, 5, 0), 0)
  + _xlfn.IFS(AB172="Yes", IF(ISNUMBER(AC172)*AND(AC172&lt;=2030),15,10), AB172="Long-term Only", 5, AB172="No", 0, TRUE, 0)
  + _xlfn.IFS(AF172="Full",10, AF172="Partial",5, AF172="Scope 2 Only",3, TRUE,0)
  + _xlfn.IFS(AG172="Yes", IF(ISNUMBER(AH172)*AND(AH172&gt;=5),10,6), AG172="Partial",4, TRUE,0)
  + _xlfn.IFS(AI172="Yes",5, AI172="Partial (material categories only)",3, TRUE,0)
  + _xlfn.IFS(AL172="Yes — Detailed",10, AL172="Yes — High Level",5, TRUE,0)
  + _xlfn.IFS(AM172="Yes — Quantified",15, AM172="Yes — Directional Only",7, TRUE,0)
  + _xlfn.IFS(AP172="Formal",5, AP172="Referenced",2, TRUE,0)
  + _xlfn.IFS(AQ172="No Issues Found",5, AQ172="Concern Identified",-5, AQ172="Severe Contradiction",-15, TRUE,0)
  + _xlfn.IFS(BC172="Reasonable Assurance",5, BC172="Limited Assurance",3, TRUE,0)
  - IF(AND(Z172="Yes", AI172="No"), 10, 0)
  - IF(AND(Z172="Yes", AM172="No"), 10, 0)
))</f>
        <v>0</v>
      </c>
      <c r="AS172" s="5"/>
      <c r="AT172" s="5"/>
      <c r="AU172" s="5"/>
      <c r="AV172" s="5"/>
      <c r="AW172" s="5"/>
      <c r="AX172" s="5"/>
      <c r="AY172" s="5"/>
      <c r="AZ172" s="5"/>
      <c r="BA172" s="5"/>
      <c r="BB172" s="5"/>
      <c r="BC172" s="5"/>
      <c r="BD172" s="5"/>
      <c r="BE172" s="39">
        <f t="array" ref="BE172">MIN(100, MAX(0,
  IFERROR(_xlfn.XLOOKUP(AT172,'Lookup Tables'!$D$2:$D$6,'Lookup Tables'!$E$2:$E$6,0),0)
  + IFERROR(_xlfn.XLOOKUP(AV172,'Lookup Tables'!$G$2:$G$5,'Lookup Tables'!$H$2:$H$5,0),0)
  + IFERROR(_xlfn.XLOOKUP(AW172,'Lookup Tables'!$J$2:$J$5,'Lookup Tables'!$K$2:$K$5,0),0)
  + _xlfn.IFS(AX172="No Issues",10, AX172="Complaint Filed",3, AX172="Confirmed Breach",-15, TRUE,0)
  + IFERROR(_xlfn.XLOOKUP(AY172,'Lookup Tables'!$M$2:$M$6,'Lookup Tables'!$N$2:$N$6,0),0)
  + IFERROR(_xlfn.XLOOKUP(AZ172,'Lookup Tables'!$P$2:$P$6,'Lookup Tables'!$Q$2:$Q$6,0),0)
  + _xlfn.IFS(BA172="Formal Board Committee",5, BA172="Board Oversight Mentioned",2, TRUE,0)
  + _xlfn.IFS(BB172="Yes — Quantified Targets",5, BB172="Yes — Discretionary Only",2, TRUE,0)
  + _xlfn.IFS(BC172="Reasonable Assurance",5, BC172="Limited Assurance",3, BC172="Management Review Only",1, TRUE,0)
))</f>
        <v>0</v>
      </c>
      <c r="BF172" s="5"/>
      <c r="BG172" s="5"/>
      <c r="BH172" s="5"/>
      <c r="BI172" s="5"/>
      <c r="BJ172" s="5"/>
      <c r="BK172" s="5"/>
      <c r="BL172" s="5"/>
      <c r="BM172" s="5"/>
      <c r="BN172" s="5"/>
      <c r="BO172" s="5"/>
      <c r="BP172" s="5"/>
      <c r="BQ172" s="5"/>
      <c r="BR172" s="5"/>
      <c r="BS172" s="41">
        <f t="array" ref="BS172">MIN(100, MAX(0,
  IFERROR(_xlfn.XLOOKUP(BG172,'Lookup Tables'!$A$11:$A$16,'Lookup Tables'!$B$11:$B$16,0),0)
  + IFERROR(_xlfn.XLOOKUP(BR172,'Lookup Tables'!$M$11:$M$14,'Lookup Tables'!$N$11:$N$14,0),0)
  + IFERROR(_xlfn.XLOOKUP(BQ172,'Lookup Tables'!$J$11:$J$15,'Lookup Tables'!$K$11:$K$15,0),0)
  + IFERROR(_xlfn.XLOOKUP(BH172,'Lookup Tables'!$D$11:$D$15,'Lookup Tables'!$E$11:$E$15,0),0)
  + IFERROR(_xlfn.XLOOKUP(BJ172,'Lookup Tables'!$G$11:$G$16,'Lookup Tables'!$H$11:$H$16,0),0)
  + IFERROR(_xlfn.XLOOKUP(BN172,'Lookup Tables'!$P$11:$P$15,'Lookup Tables'!$Q$11:$Q$15,0),0)
  + _xlfn.IFS(BM172="No Evidence",10, BM172="Unknown",3, BM172="Likely",0, BM172="Confirmed",-10, TRUE,3)
  + IFERROR(_xlfn.XLOOKUP(BP172,'Lookup Tables'!$J$21:$J$24,'Lookup Tables'!$K$21:$K$24,0),0)
))</f>
        <v>3</v>
      </c>
      <c r="BT172" s="5"/>
      <c r="BU172" s="5"/>
      <c r="BV172" s="5"/>
      <c r="BW172" s="5"/>
      <c r="BX172" s="5"/>
      <c r="BY172" s="5"/>
      <c r="BZ172" s="5"/>
      <c r="CA172" s="5"/>
      <c r="CB172" s="5"/>
      <c r="CC172" s="5"/>
      <c r="CD172" s="5"/>
      <c r="CE172" s="43">
        <f t="array" ref="CE172">MIN(100, MAX(0,
  IF(ISNUMBER(BV172)*AND(BV172&gt;0), 10, 0)
  + _xlfn.IFS(BY172="Independently Verified",25, BY172="Yes",15, TRUE,0)
  + IFERROR(_xlfn.XLOOKUP(BZ172,'Lookup Tables'!$A$21:$A$24,'Lookup Tables'!$B$21:$B$24,0),0)
  + IFERROR(_xlfn.XLOOKUP(CA172,'Lookup Tables'!$D$21:$D$24,'Lookup Tables'!$E$21:$E$24,0),0)
  + _xlfn.IFS(ISNUMBER(CB172)*AND(CB172&gt;=11),15, ISNUMBER(CB172)*AND(CB172&gt;=6),10, ISNUMBER(CB172)*AND(CB172&gt;=1),5, TRUE,0)
  + IFERROR(_xlfn.XLOOKUP(CC172,'Lookup Tables'!$G$21:$G$25,'Lookup Tables'!$H$21:$H$25,0),0)
  - IF(ISNUMBER(BW172)*AND(ISNUMBER(BV172))*AND(BW172&gt;BV172), 20, 0)
  - IF(AND(BY172="Yes", ISNUMBER(BW172), BW172&gt;60), 10, 0)
))</f>
        <v>0</v>
      </c>
      <c r="CF172" s="5"/>
      <c r="CG172" s="5"/>
      <c r="CH172" s="5"/>
      <c r="CI172" s="5"/>
      <c r="CJ172" s="5"/>
      <c r="CK172" s="5"/>
      <c r="CL172" s="5"/>
      <c r="CM172" s="5"/>
      <c r="CN172" s="5"/>
      <c r="CO172" s="5"/>
      <c r="CP172" s="5"/>
      <c r="CQ172" s="5"/>
      <c r="CR172" s="5">
        <f t="shared" si="103"/>
        <v>0</v>
      </c>
      <c r="CS172" s="5">
        <f t="shared" si="104"/>
        <v>0</v>
      </c>
      <c r="CT172" s="5">
        <f t="shared" si="105"/>
        <v>0</v>
      </c>
      <c r="CU172" s="5">
        <f>MIN(100,
  CR172*15
  + CS172*6
  + CT172*3
  + IFERROR(_xlfn.XLOOKUP(CW172,'Lookup Tables'!$M$21:$M$25,'Lookup Tables'!$N$21:$N$25,0),0)
)</f>
        <v>0</v>
      </c>
      <c r="CV172" s="5" t="str">
        <f t="shared" si="106"/>
        <v>No failures</v>
      </c>
      <c r="CW172" s="5"/>
      <c r="CX172" s="5"/>
      <c r="CY172" s="5"/>
      <c r="CZ172" s="5"/>
      <c r="DA172" s="5" t="str">
        <f t="shared" si="107"/>
        <v>Yes</v>
      </c>
      <c r="DB172" s="5" t="str">
        <f t="shared" si="108"/>
        <v>No</v>
      </c>
      <c r="DC172" s="5"/>
      <c r="DD172" s="5"/>
      <c r="DE172" s="5"/>
      <c r="DF172" s="5"/>
      <c r="DG172" s="5"/>
      <c r="DH172" s="5"/>
      <c r="DI172" s="5"/>
      <c r="DJ172" s="5"/>
      <c r="DK172" s="5"/>
      <c r="DL172" s="5" t="str">
        <f t="shared" si="109"/>
        <v>Clear</v>
      </c>
      <c r="DM172" s="5" t="str">
        <f t="shared" si="110"/>
        <v>Yes</v>
      </c>
      <c r="DN172" s="5">
        <f t="array" ref="DN172">MIN(100,
  IF(ISNUMBER(V172), _xlfn.IFS(V172&gt;=3,25, V172=2,15, V172=1,5, TRUE,0), 0)
  + IFERROR(_xlfn.IFS(VALUE(LEFT(DF172,1))=5,25, VALUE(LEFT(DF172,1))=4,20, VALUE(LEFT(DF172,1))=3,15, VALUE(LEFT(DF172,1))=2,8, TRUE,0), 15)
  + IFERROR(_xlfn.IFS(VALUE(LEFT(DG172,1))=5,25, VALUE(LEFT(DG172,1))=4,20, VALUE(LEFT(DG172,1))=3,15, VALUE(LEFT(DG172,1))=2,8, TRUE,0), 15)
  + _xlfn.IFS(DH172="Fully Verified",25, DH172="Partially Verified",12, TRUE,0)
)</f>
        <v>30</v>
      </c>
      <c r="DO172" s="5" t="str">
        <f t="array" ref="DO172">_xlfn.IFS(
  ISBLANK(AR172), "Insufficient Evidence",
  AND(AR172&gt;=65, AJ172="Approved"), "Strong",
  AR172&gt;=65, "Adequate",
  AR172&gt;=40, "Adequate",
  AR172&gt;=20, "Weak",
  TRUE, "Insufficient Evidence"
)</f>
        <v>Insufficient Evidence</v>
      </c>
      <c r="DP172" s="5" t="str">
        <f t="array" ref="DP172">_xlfn.IFS(
  ISBLANK(BS172), "Insufficient Evidence",
  BS172&gt;=65, "Strong",
  BS172&gt;=40, "Adequate",
  BS172&gt;=20, "Weak",
  TRUE, "Insufficient Evidence"
)</f>
        <v>Insufficient Evidence</v>
      </c>
      <c r="DQ172" s="5" t="str">
        <f t="array" ref="DQ172">_xlfn.IFS(
  ISBLANK(BE172), "Insufficient Evidence",
  OR(AW172="Confirmed Violation", AX172="Confirmed Breach"), "Severe — Hard Trigger",
  BE172&gt;=65, "Strong",
  BE172&gt;=40, "Adequate",
  BE172&gt;=20, "Weak",
  TRUE, "Insufficient Evidence"
)</f>
        <v>Insufficient Evidence</v>
      </c>
      <c r="DR172" s="5" t="str">
        <f t="array" ref="DR172">_xlfn.IFS(
  ISBLANK(CU172), "Insufficient Evidence",
  CU172&lt;=20, "Low Risk",
  CU172&lt;=50, "Moderate Risk",
  CU172&lt;=75, "High Risk",
  TRUE, "Very High Risk"
)</f>
        <v>Low Risk</v>
      </c>
      <c r="DS172" s="5" t="str">
        <f t="array" ref="DS172">_xlfn.IFS(
  ISBLANK(CE172), "Insufficient Evidence",
  AND(ISNUMBER(BW172),ISNUMBER(BV172),BW172&gt;BV172), "Overclaiming Risk",
  CE172&gt;=65, "Strong",
  CE172&gt;=40, "Adequate",
  TRUE, "Weak"
)</f>
        <v>Weak</v>
      </c>
      <c r="DT172" s="5">
        <f t="shared" si="111"/>
        <v>11.7</v>
      </c>
      <c r="DU172" s="5" t="str">
        <f t="array" ref="DU172">_xlfn.IFS(
  DV172="Upgraded to Clear", "Clear",
  DV172="Downgraded to Watchlist", "Watchlist",
  DV172="Downgraded to Exclusion", "Exclusion Risk",
  DB172="Yes — Automatic", "Exclusion Risk",
  OR(AW172="Confirmed Violation", AX172="Confirmed Breach"), "Exclusion Risk",
  OR(V172=0, ISBLANK(V172), DN172&lt;20), "Insufficient Evidence",
  AND(DT172&gt;=65, DA172="No", DB172="No"), "Clear",
  OR(DT172&gt;=40, DA172="Yes"), "Watchlist",
  TRUE, "Exclusion Risk"
)</f>
        <v>Insufficient Evidence</v>
      </c>
      <c r="DV172" s="5"/>
      <c r="DW172" s="5" t="str">
        <f t="array" ref="DW172">_xlfn.IFS(
  DU172="Exclusion Risk", "Exclude — Hard Trigger",
  DU172="Insufficient Evidence", "Watchlist — Further Evidence Needed",
  DU172="Watchlist", "Watchlist — Further Evidence Needed",
  AND(DU172="Clear", DT172&gt;=80), "Include — No Conditions",
  DU172="Clear", "Include — Monitor",
  TRUE, "Watchlist — Further Evidence Needed"
)</f>
        <v>Watchlist — Further Evidence Needed</v>
      </c>
      <c r="DX172" s="5"/>
      <c r="DY172" s="5"/>
      <c r="DZ172" s="5"/>
      <c r="EA172" s="5"/>
      <c r="EB172" s="5" t="str">
        <f t="shared" si="112"/>
        <v>MISSING — No sources reviewed</v>
      </c>
      <c r="EC172" s="5" t="str">
        <f t="shared" si="113"/>
        <v/>
      </c>
    </row>
    <row r="173" spans="1:133" ht="18" customHeight="1" x14ac:dyDescent="0.15">
      <c r="A173" s="5" t="s">
        <v>890</v>
      </c>
      <c r="B173" s="5" t="s">
        <v>891</v>
      </c>
      <c r="C173" s="5" t="str">
        <f>IF(ISBLANK('Universe Tracker'!D148),"",'Universe Tracker'!D148)</f>
        <v>DE000A0WMPJ6</v>
      </c>
      <c r="D173" s="5"/>
      <c r="E173" s="5"/>
      <c r="F173" s="5" t="str">
        <f>IF(ISBLANK('Universe Tracker'!F148),"",'Universe Tracker'!F148)</f>
        <v>Technology</v>
      </c>
      <c r="G173" s="5" t="str">
        <f>IF(ISBLANK('Universe Tracker'!G148),"",'Universe Tracker'!G148)</f>
        <v>Tech Hardware &amp; Semiconductors</v>
      </c>
      <c r="H173" s="5"/>
      <c r="I173" s="5"/>
      <c r="J173" s="5" t="str">
        <f t="shared" si="101"/>
        <v>AIXA_DE000A0WMPJ6</v>
      </c>
      <c r="K173" s="5"/>
      <c r="L173" s="5"/>
      <c r="M173" s="5"/>
      <c r="N173" s="5"/>
      <c r="O173" s="5"/>
      <c r="P173" s="5"/>
      <c r="Q173" s="5"/>
      <c r="R173" s="5"/>
      <c r="S173" s="5"/>
      <c r="T173" s="5"/>
      <c r="U173" s="5"/>
      <c r="V173" s="5"/>
      <c r="W173" s="5"/>
      <c r="X173" s="5"/>
      <c r="Y173" s="5" t="str">
        <f t="shared" si="102"/>
        <v>Insufficient</v>
      </c>
      <c r="Z173" s="5"/>
      <c r="AA173" s="5"/>
      <c r="AB173" s="5"/>
      <c r="AC173" s="5"/>
      <c r="AD173" s="5"/>
      <c r="AE173" s="5"/>
      <c r="AF173" s="5"/>
      <c r="AG173" s="5"/>
      <c r="AH173" s="5"/>
      <c r="AI173" s="5"/>
      <c r="AJ173" s="5"/>
      <c r="AK173" s="5"/>
      <c r="AL173" s="5"/>
      <c r="AM173" s="5"/>
      <c r="AN173" s="5"/>
      <c r="AO173" s="5"/>
      <c r="AP173" s="5"/>
      <c r="AQ173" s="5"/>
      <c r="AR173" s="40">
        <f t="array" ref="AR173">MIN(100, MAX(0,
  IFERROR(_xlfn.XLOOKUP(AJ173,'Lookup Tables'!$A$2:$A$7,'Lookup Tables'!$B$2:$B$7,0),0)
  + IF(Z173="Yes", IF(IFERROR(_xlfn.XLOOKUP(AJ173,'Lookup Tables'!$A$2:$A$7,'Lookup Tables'!$B$2:$B$7,0),0)&lt;20, 5, 0), 0)
  + _xlfn.IFS(AB173="Yes", IF(ISNUMBER(AC173)*AND(AC173&lt;=2030),15,10), AB173="Long-term Only", 5, AB173="No", 0, TRUE, 0)
  + _xlfn.IFS(AF173="Full",10, AF173="Partial",5, AF173="Scope 2 Only",3, TRUE,0)
  + _xlfn.IFS(AG173="Yes", IF(ISNUMBER(AH173)*AND(AH173&gt;=5),10,6), AG173="Partial",4, TRUE,0)
  + _xlfn.IFS(AI173="Yes",5, AI173="Partial (material categories only)",3, TRUE,0)
  + _xlfn.IFS(AL173="Yes — Detailed",10, AL173="Yes — High Level",5, TRUE,0)
  + _xlfn.IFS(AM173="Yes — Quantified",15, AM173="Yes — Directional Only",7, TRUE,0)
  + _xlfn.IFS(AP173="Formal",5, AP173="Referenced",2, TRUE,0)
  + _xlfn.IFS(AQ173="No Issues Found",5, AQ173="Concern Identified",-5, AQ173="Severe Contradiction",-15, TRUE,0)
  + _xlfn.IFS(BC173="Reasonable Assurance",5, BC173="Limited Assurance",3, TRUE,0)
  - IF(AND(Z173="Yes", AI173="No"), 10, 0)
  - IF(AND(Z173="Yes", AM173="No"), 10, 0)
))</f>
        <v>0</v>
      </c>
      <c r="AS173" s="5"/>
      <c r="AT173" s="5"/>
      <c r="AU173" s="5"/>
      <c r="AV173" s="5"/>
      <c r="AW173" s="5"/>
      <c r="AX173" s="5"/>
      <c r="AY173" s="5"/>
      <c r="AZ173" s="5"/>
      <c r="BA173" s="5"/>
      <c r="BB173" s="5"/>
      <c r="BC173" s="5"/>
      <c r="BD173" s="5"/>
      <c r="BE173" s="39">
        <f t="array" ref="BE173">MIN(100, MAX(0,
  IFERROR(_xlfn.XLOOKUP(AT173,'Lookup Tables'!$D$2:$D$6,'Lookup Tables'!$E$2:$E$6,0),0)
  + IFERROR(_xlfn.XLOOKUP(AV173,'Lookup Tables'!$G$2:$G$5,'Lookup Tables'!$H$2:$H$5,0),0)
  + IFERROR(_xlfn.XLOOKUP(AW173,'Lookup Tables'!$J$2:$J$5,'Lookup Tables'!$K$2:$K$5,0),0)
  + _xlfn.IFS(AX173="No Issues",10, AX173="Complaint Filed",3, AX173="Confirmed Breach",-15, TRUE,0)
  + IFERROR(_xlfn.XLOOKUP(AY173,'Lookup Tables'!$M$2:$M$6,'Lookup Tables'!$N$2:$N$6,0),0)
  + IFERROR(_xlfn.XLOOKUP(AZ173,'Lookup Tables'!$P$2:$P$6,'Lookup Tables'!$Q$2:$Q$6,0),0)
  + _xlfn.IFS(BA173="Formal Board Committee",5, BA173="Board Oversight Mentioned",2, TRUE,0)
  + _xlfn.IFS(BB173="Yes — Quantified Targets",5, BB173="Yes — Discretionary Only",2, TRUE,0)
  + _xlfn.IFS(BC173="Reasonable Assurance",5, BC173="Limited Assurance",3, BC173="Management Review Only",1, TRUE,0)
))</f>
        <v>0</v>
      </c>
      <c r="BF173" s="5"/>
      <c r="BG173" s="5"/>
      <c r="BH173" s="5"/>
      <c r="BI173" s="5"/>
      <c r="BJ173" s="5"/>
      <c r="BK173" s="5"/>
      <c r="BL173" s="5"/>
      <c r="BM173" s="5"/>
      <c r="BN173" s="5"/>
      <c r="BO173" s="5"/>
      <c r="BP173" s="5"/>
      <c r="BQ173" s="5"/>
      <c r="BR173" s="5"/>
      <c r="BS173" s="41">
        <f t="array" ref="BS173">MIN(100, MAX(0,
  IFERROR(_xlfn.XLOOKUP(BG173,'Lookup Tables'!$A$11:$A$16,'Lookup Tables'!$B$11:$B$16,0),0)
  + IFERROR(_xlfn.XLOOKUP(BR173,'Lookup Tables'!$M$11:$M$14,'Lookup Tables'!$N$11:$N$14,0),0)
  + IFERROR(_xlfn.XLOOKUP(BQ173,'Lookup Tables'!$J$11:$J$15,'Lookup Tables'!$K$11:$K$15,0),0)
  + IFERROR(_xlfn.XLOOKUP(BH173,'Lookup Tables'!$D$11:$D$15,'Lookup Tables'!$E$11:$E$15,0),0)
  + IFERROR(_xlfn.XLOOKUP(BJ173,'Lookup Tables'!$G$11:$G$16,'Lookup Tables'!$H$11:$H$16,0),0)
  + IFERROR(_xlfn.XLOOKUP(BN173,'Lookup Tables'!$P$11:$P$15,'Lookup Tables'!$Q$11:$Q$15,0),0)
  + _xlfn.IFS(BM173="No Evidence",10, BM173="Unknown",3, BM173="Likely",0, BM173="Confirmed",-10, TRUE,3)
  + IFERROR(_xlfn.XLOOKUP(BP173,'Lookup Tables'!$J$21:$J$24,'Lookup Tables'!$K$21:$K$24,0),0)
))</f>
        <v>3</v>
      </c>
      <c r="BT173" s="5"/>
      <c r="BU173" s="5"/>
      <c r="BV173" s="5"/>
      <c r="BW173" s="5"/>
      <c r="BX173" s="5"/>
      <c r="BY173" s="5"/>
      <c r="BZ173" s="5"/>
      <c r="CA173" s="5"/>
      <c r="CB173" s="5"/>
      <c r="CC173" s="5"/>
      <c r="CD173" s="5"/>
      <c r="CE173" s="43">
        <f t="array" ref="CE173">MIN(100, MAX(0,
  IF(ISNUMBER(BV173)*AND(BV173&gt;0), 10, 0)
  + _xlfn.IFS(BY173="Independently Verified",25, BY173="Yes",15, TRUE,0)
  + IFERROR(_xlfn.XLOOKUP(BZ173,'Lookup Tables'!$A$21:$A$24,'Lookup Tables'!$B$21:$B$24,0),0)
  + IFERROR(_xlfn.XLOOKUP(CA173,'Lookup Tables'!$D$21:$D$24,'Lookup Tables'!$E$21:$E$24,0),0)
  + _xlfn.IFS(ISNUMBER(CB173)*AND(CB173&gt;=11),15, ISNUMBER(CB173)*AND(CB173&gt;=6),10, ISNUMBER(CB173)*AND(CB173&gt;=1),5, TRUE,0)
  + IFERROR(_xlfn.XLOOKUP(CC173,'Lookup Tables'!$G$21:$G$25,'Lookup Tables'!$H$21:$H$25,0),0)
  - IF(ISNUMBER(BW173)*AND(ISNUMBER(BV173))*AND(BW173&gt;BV173), 20, 0)
  - IF(AND(BY173="Yes", ISNUMBER(BW173), BW173&gt;60), 10, 0)
))</f>
        <v>0</v>
      </c>
      <c r="CF173" s="5"/>
      <c r="CG173" s="5"/>
      <c r="CH173" s="5"/>
      <c r="CI173" s="5"/>
      <c r="CJ173" s="5"/>
      <c r="CK173" s="5"/>
      <c r="CL173" s="5"/>
      <c r="CM173" s="5"/>
      <c r="CN173" s="5"/>
      <c r="CO173" s="5"/>
      <c r="CP173" s="5"/>
      <c r="CQ173" s="5"/>
      <c r="CR173" s="5">
        <f t="shared" si="103"/>
        <v>0</v>
      </c>
      <c r="CS173" s="5">
        <f t="shared" si="104"/>
        <v>0</v>
      </c>
      <c r="CT173" s="5">
        <f t="shared" si="105"/>
        <v>0</v>
      </c>
      <c r="CU173" s="5">
        <f>MIN(100,
  CR173*15
  + CS173*6
  + CT173*3
  + IFERROR(_xlfn.XLOOKUP(CW173,'Lookup Tables'!$M$21:$M$25,'Lookup Tables'!$N$21:$N$25,0),0)
)</f>
        <v>0</v>
      </c>
      <c r="CV173" s="5" t="str">
        <f t="shared" si="106"/>
        <v>No failures</v>
      </c>
      <c r="CW173" s="5"/>
      <c r="CX173" s="5"/>
      <c r="CY173" s="5"/>
      <c r="CZ173" s="5"/>
      <c r="DA173" s="5" t="str">
        <f t="shared" si="107"/>
        <v>Yes</v>
      </c>
      <c r="DB173" s="5" t="str">
        <f t="shared" si="108"/>
        <v>No</v>
      </c>
      <c r="DC173" s="5"/>
      <c r="DD173" s="5"/>
      <c r="DE173" s="5"/>
      <c r="DF173" s="5"/>
      <c r="DG173" s="5"/>
      <c r="DH173" s="5"/>
      <c r="DI173" s="5"/>
      <c r="DJ173" s="5"/>
      <c r="DK173" s="5"/>
      <c r="DL173" s="5" t="str">
        <f t="shared" si="109"/>
        <v>Clear</v>
      </c>
      <c r="DM173" s="5" t="str">
        <f t="shared" si="110"/>
        <v>Yes</v>
      </c>
      <c r="DN173" s="5">
        <f t="array" ref="DN173">MIN(100,
  IF(ISNUMBER(V173), _xlfn.IFS(V173&gt;=3,25, V173=2,15, V173=1,5, TRUE,0), 0)
  + IFERROR(_xlfn.IFS(VALUE(LEFT(DF173,1))=5,25, VALUE(LEFT(DF173,1))=4,20, VALUE(LEFT(DF173,1))=3,15, VALUE(LEFT(DF173,1))=2,8, TRUE,0), 15)
  + IFERROR(_xlfn.IFS(VALUE(LEFT(DG173,1))=5,25, VALUE(LEFT(DG173,1))=4,20, VALUE(LEFT(DG173,1))=3,15, VALUE(LEFT(DG173,1))=2,8, TRUE,0), 15)
  + _xlfn.IFS(DH173="Fully Verified",25, DH173="Partially Verified",12, TRUE,0)
)</f>
        <v>30</v>
      </c>
      <c r="DO173" s="5" t="str">
        <f t="array" ref="DO173">_xlfn.IFS(
  ISBLANK(AR173), "Insufficient Evidence",
  AND(AR173&gt;=65, AJ173="Approved"), "Strong",
  AR173&gt;=65, "Adequate",
  AR173&gt;=40, "Adequate",
  AR173&gt;=20, "Weak",
  TRUE, "Insufficient Evidence"
)</f>
        <v>Insufficient Evidence</v>
      </c>
      <c r="DP173" s="5" t="str">
        <f t="array" ref="DP173">_xlfn.IFS(
  ISBLANK(BS173), "Insufficient Evidence",
  BS173&gt;=65, "Strong",
  BS173&gt;=40, "Adequate",
  BS173&gt;=20, "Weak",
  TRUE, "Insufficient Evidence"
)</f>
        <v>Insufficient Evidence</v>
      </c>
      <c r="DQ173" s="5" t="str">
        <f t="array" ref="DQ173">_xlfn.IFS(
  ISBLANK(BE173), "Insufficient Evidence",
  OR(AW173="Confirmed Violation", AX173="Confirmed Breach"), "Severe — Hard Trigger",
  BE173&gt;=65, "Strong",
  BE173&gt;=40, "Adequate",
  BE173&gt;=20, "Weak",
  TRUE, "Insufficient Evidence"
)</f>
        <v>Insufficient Evidence</v>
      </c>
      <c r="DR173" s="5" t="str">
        <f t="array" ref="DR173">_xlfn.IFS(
  ISBLANK(CU173), "Insufficient Evidence",
  CU173&lt;=20, "Low Risk",
  CU173&lt;=50, "Moderate Risk",
  CU173&lt;=75, "High Risk",
  TRUE, "Very High Risk"
)</f>
        <v>Low Risk</v>
      </c>
      <c r="DS173" s="5" t="str">
        <f t="array" ref="DS173">_xlfn.IFS(
  ISBLANK(CE173), "Insufficient Evidence",
  AND(ISNUMBER(BW173),ISNUMBER(BV173),BW173&gt;BV173), "Overclaiming Risk",
  CE173&gt;=65, "Strong",
  CE173&gt;=40, "Adequate",
  TRUE, "Weak"
)</f>
        <v>Weak</v>
      </c>
      <c r="DT173" s="5">
        <f t="shared" si="111"/>
        <v>11.7</v>
      </c>
      <c r="DU173" s="5" t="str">
        <f t="array" ref="DU173">_xlfn.IFS(
  DV173="Upgraded to Clear", "Clear",
  DV173="Downgraded to Watchlist", "Watchlist",
  DV173="Downgraded to Exclusion", "Exclusion Risk",
  DB173="Yes — Automatic", "Exclusion Risk",
  OR(AW173="Confirmed Violation", AX173="Confirmed Breach"), "Exclusion Risk",
  OR(V173=0, ISBLANK(V173), DN173&lt;20), "Insufficient Evidence",
  AND(DT173&gt;=65, DA173="No", DB173="No"), "Clear",
  OR(DT173&gt;=40, DA173="Yes"), "Watchlist",
  TRUE, "Exclusion Risk"
)</f>
        <v>Insufficient Evidence</v>
      </c>
      <c r="DV173" s="5"/>
      <c r="DW173" s="5" t="str">
        <f t="array" ref="DW173">_xlfn.IFS(
  DU173="Exclusion Risk", "Exclude — Hard Trigger",
  DU173="Insufficient Evidence", "Watchlist — Further Evidence Needed",
  DU173="Watchlist", "Watchlist — Further Evidence Needed",
  AND(DU173="Clear", DT173&gt;=80), "Include — No Conditions",
  DU173="Clear", "Include — Monitor",
  TRUE, "Watchlist — Further Evidence Needed"
)</f>
        <v>Watchlist — Further Evidence Needed</v>
      </c>
      <c r="DX173" s="5"/>
      <c r="DY173" s="5"/>
      <c r="DZ173" s="5"/>
      <c r="EA173" s="5"/>
      <c r="EB173" s="5" t="str">
        <f t="shared" si="112"/>
        <v>MISSING — No sources reviewed</v>
      </c>
      <c r="EC173" s="5" t="str">
        <f t="shared" si="113"/>
        <v/>
      </c>
    </row>
    <row r="174" spans="1:133" ht="18" customHeight="1" x14ac:dyDescent="0.15">
      <c r="A174" s="5" t="s">
        <v>894</v>
      </c>
      <c r="B174" s="5" t="s">
        <v>895</v>
      </c>
      <c r="C174" s="5" t="str">
        <f>IF(ISBLANK('Universe Tracker'!D149),"",'Universe Tracker'!D149)</f>
        <v>NL0012866412</v>
      </c>
      <c r="D174" s="5"/>
      <c r="E174" s="5"/>
      <c r="F174" s="5" t="str">
        <f>IF(ISBLANK('Universe Tracker'!F149),"",'Universe Tracker'!F149)</f>
        <v>Technology</v>
      </c>
      <c r="G174" s="5" t="str">
        <f>IF(ISBLANK('Universe Tracker'!G149),"",'Universe Tracker'!G149)</f>
        <v>Tech Hardware &amp; Semiconductors</v>
      </c>
      <c r="H174" s="5"/>
      <c r="I174" s="5"/>
      <c r="J174" s="5" t="str">
        <f t="shared" si="101"/>
        <v>BSI_NL0012866412</v>
      </c>
      <c r="K174" s="5"/>
      <c r="L174" s="5"/>
      <c r="M174" s="5"/>
      <c r="N174" s="5"/>
      <c r="O174" s="5"/>
      <c r="P174" s="5"/>
      <c r="Q174" s="5"/>
      <c r="R174" s="5"/>
      <c r="S174" s="5"/>
      <c r="T174" s="5"/>
      <c r="U174" s="5"/>
      <c r="V174" s="5"/>
      <c r="W174" s="5"/>
      <c r="X174" s="5"/>
      <c r="Y174" s="5" t="str">
        <f t="shared" si="102"/>
        <v>Insufficient</v>
      </c>
      <c r="Z174" s="5"/>
      <c r="AA174" s="5"/>
      <c r="AB174" s="5"/>
      <c r="AC174" s="5"/>
      <c r="AD174" s="5"/>
      <c r="AE174" s="5"/>
      <c r="AF174" s="5"/>
      <c r="AG174" s="5"/>
      <c r="AH174" s="5"/>
      <c r="AI174" s="5"/>
      <c r="AJ174" s="5"/>
      <c r="AK174" s="5"/>
      <c r="AL174" s="5"/>
      <c r="AM174" s="5"/>
      <c r="AN174" s="5"/>
      <c r="AO174" s="5"/>
      <c r="AP174" s="5"/>
      <c r="AQ174" s="5"/>
      <c r="AR174" s="40">
        <f t="array" ref="AR174">MIN(100, MAX(0,
  IFERROR(_xlfn.XLOOKUP(AJ174,'Lookup Tables'!$A$2:$A$7,'Lookup Tables'!$B$2:$B$7,0),0)
  + IF(Z174="Yes", IF(IFERROR(_xlfn.XLOOKUP(AJ174,'Lookup Tables'!$A$2:$A$7,'Lookup Tables'!$B$2:$B$7,0),0)&lt;20, 5, 0), 0)
  + _xlfn.IFS(AB174="Yes", IF(ISNUMBER(AC174)*AND(AC174&lt;=2030),15,10), AB174="Long-term Only", 5, AB174="No", 0, TRUE, 0)
  + _xlfn.IFS(AF174="Full",10, AF174="Partial",5, AF174="Scope 2 Only",3, TRUE,0)
  + _xlfn.IFS(AG174="Yes", IF(ISNUMBER(AH174)*AND(AH174&gt;=5),10,6), AG174="Partial",4, TRUE,0)
  + _xlfn.IFS(AI174="Yes",5, AI174="Partial (material categories only)",3, TRUE,0)
  + _xlfn.IFS(AL174="Yes — Detailed",10, AL174="Yes — High Level",5, TRUE,0)
  + _xlfn.IFS(AM174="Yes — Quantified",15, AM174="Yes — Directional Only",7, TRUE,0)
  + _xlfn.IFS(AP174="Formal",5, AP174="Referenced",2, TRUE,0)
  + _xlfn.IFS(AQ174="No Issues Found",5, AQ174="Concern Identified",-5, AQ174="Severe Contradiction",-15, TRUE,0)
  + _xlfn.IFS(BC174="Reasonable Assurance",5, BC174="Limited Assurance",3, TRUE,0)
  - IF(AND(Z174="Yes", AI174="No"), 10, 0)
  - IF(AND(Z174="Yes", AM174="No"), 10, 0)
))</f>
        <v>0</v>
      </c>
      <c r="AS174" s="5"/>
      <c r="AT174" s="5"/>
      <c r="AU174" s="5"/>
      <c r="AV174" s="5"/>
      <c r="AW174" s="5"/>
      <c r="AX174" s="5"/>
      <c r="AY174" s="5"/>
      <c r="AZ174" s="5"/>
      <c r="BA174" s="5"/>
      <c r="BB174" s="5"/>
      <c r="BC174" s="5"/>
      <c r="BD174" s="5"/>
      <c r="BE174" s="39">
        <f t="array" ref="BE174">MIN(100, MAX(0,
  IFERROR(_xlfn.XLOOKUP(AT174,'Lookup Tables'!$D$2:$D$6,'Lookup Tables'!$E$2:$E$6,0),0)
  + IFERROR(_xlfn.XLOOKUP(AV174,'Lookup Tables'!$G$2:$G$5,'Lookup Tables'!$H$2:$H$5,0),0)
  + IFERROR(_xlfn.XLOOKUP(AW174,'Lookup Tables'!$J$2:$J$5,'Lookup Tables'!$K$2:$K$5,0),0)
  + _xlfn.IFS(AX174="No Issues",10, AX174="Complaint Filed",3, AX174="Confirmed Breach",-15, TRUE,0)
  + IFERROR(_xlfn.XLOOKUP(AY174,'Lookup Tables'!$M$2:$M$6,'Lookup Tables'!$N$2:$N$6,0),0)
  + IFERROR(_xlfn.XLOOKUP(AZ174,'Lookup Tables'!$P$2:$P$6,'Lookup Tables'!$Q$2:$Q$6,0),0)
  + _xlfn.IFS(BA174="Formal Board Committee",5, BA174="Board Oversight Mentioned",2, TRUE,0)
  + _xlfn.IFS(BB174="Yes — Quantified Targets",5, BB174="Yes — Discretionary Only",2, TRUE,0)
  + _xlfn.IFS(BC174="Reasonable Assurance",5, BC174="Limited Assurance",3, BC174="Management Review Only",1, TRUE,0)
))</f>
        <v>0</v>
      </c>
      <c r="BF174" s="5"/>
      <c r="BG174" s="5"/>
      <c r="BH174" s="5"/>
      <c r="BI174" s="5"/>
      <c r="BJ174" s="5"/>
      <c r="BK174" s="5"/>
      <c r="BL174" s="5"/>
      <c r="BM174" s="5"/>
      <c r="BN174" s="5"/>
      <c r="BO174" s="5"/>
      <c r="BP174" s="5"/>
      <c r="BQ174" s="5"/>
      <c r="BR174" s="5"/>
      <c r="BS174" s="41">
        <f t="array" ref="BS174">MIN(100, MAX(0,
  IFERROR(_xlfn.XLOOKUP(BG174,'Lookup Tables'!$A$11:$A$16,'Lookup Tables'!$B$11:$B$16,0),0)
  + IFERROR(_xlfn.XLOOKUP(BR174,'Lookup Tables'!$M$11:$M$14,'Lookup Tables'!$N$11:$N$14,0),0)
  + IFERROR(_xlfn.XLOOKUP(BQ174,'Lookup Tables'!$J$11:$J$15,'Lookup Tables'!$K$11:$K$15,0),0)
  + IFERROR(_xlfn.XLOOKUP(BH174,'Lookup Tables'!$D$11:$D$15,'Lookup Tables'!$E$11:$E$15,0),0)
  + IFERROR(_xlfn.XLOOKUP(BJ174,'Lookup Tables'!$G$11:$G$16,'Lookup Tables'!$H$11:$H$16,0),0)
  + IFERROR(_xlfn.XLOOKUP(BN174,'Lookup Tables'!$P$11:$P$15,'Lookup Tables'!$Q$11:$Q$15,0),0)
  + _xlfn.IFS(BM174="No Evidence",10, BM174="Unknown",3, BM174="Likely",0, BM174="Confirmed",-10, TRUE,3)
  + IFERROR(_xlfn.XLOOKUP(BP174,'Lookup Tables'!$J$21:$J$24,'Lookup Tables'!$K$21:$K$24,0),0)
))</f>
        <v>3</v>
      </c>
      <c r="BT174" s="5"/>
      <c r="BU174" s="5"/>
      <c r="BV174" s="5"/>
      <c r="BW174" s="5"/>
      <c r="BX174" s="5"/>
      <c r="BY174" s="5"/>
      <c r="BZ174" s="5"/>
      <c r="CA174" s="5"/>
      <c r="CB174" s="5"/>
      <c r="CC174" s="5"/>
      <c r="CD174" s="5"/>
      <c r="CE174" s="43">
        <f t="array" ref="CE174">MIN(100, MAX(0,
  IF(ISNUMBER(BV174)*AND(BV174&gt;0), 10, 0)
  + _xlfn.IFS(BY174="Independently Verified",25, BY174="Yes",15, TRUE,0)
  + IFERROR(_xlfn.XLOOKUP(BZ174,'Lookup Tables'!$A$21:$A$24,'Lookup Tables'!$B$21:$B$24,0),0)
  + IFERROR(_xlfn.XLOOKUP(CA174,'Lookup Tables'!$D$21:$D$24,'Lookup Tables'!$E$21:$E$24,0),0)
  + _xlfn.IFS(ISNUMBER(CB174)*AND(CB174&gt;=11),15, ISNUMBER(CB174)*AND(CB174&gt;=6),10, ISNUMBER(CB174)*AND(CB174&gt;=1),5, TRUE,0)
  + IFERROR(_xlfn.XLOOKUP(CC174,'Lookup Tables'!$G$21:$G$25,'Lookup Tables'!$H$21:$H$25,0),0)
  - IF(ISNUMBER(BW174)*AND(ISNUMBER(BV174))*AND(BW174&gt;BV174), 20, 0)
  - IF(AND(BY174="Yes", ISNUMBER(BW174), BW174&gt;60), 10, 0)
))</f>
        <v>0</v>
      </c>
      <c r="CF174" s="5"/>
      <c r="CG174" s="5"/>
      <c r="CH174" s="5"/>
      <c r="CI174" s="5"/>
      <c r="CJ174" s="5"/>
      <c r="CK174" s="5"/>
      <c r="CL174" s="5"/>
      <c r="CM174" s="5"/>
      <c r="CN174" s="5"/>
      <c r="CO174" s="5"/>
      <c r="CP174" s="5"/>
      <c r="CQ174" s="5"/>
      <c r="CR174" s="5">
        <f t="shared" si="103"/>
        <v>0</v>
      </c>
      <c r="CS174" s="5">
        <f t="shared" si="104"/>
        <v>0</v>
      </c>
      <c r="CT174" s="5">
        <f t="shared" si="105"/>
        <v>0</v>
      </c>
      <c r="CU174" s="5">
        <f>MIN(100,
  CR174*15
  + CS174*6
  + CT174*3
  + IFERROR(_xlfn.XLOOKUP(CW174,'Lookup Tables'!$M$21:$M$25,'Lookup Tables'!$N$21:$N$25,0),0)
)</f>
        <v>0</v>
      </c>
      <c r="CV174" s="5" t="str">
        <f t="shared" si="106"/>
        <v>No failures</v>
      </c>
      <c r="CW174" s="5"/>
      <c r="CX174" s="5"/>
      <c r="CY174" s="5"/>
      <c r="CZ174" s="5"/>
      <c r="DA174" s="5" t="str">
        <f t="shared" si="107"/>
        <v>Yes</v>
      </c>
      <c r="DB174" s="5" t="str">
        <f t="shared" si="108"/>
        <v>No</v>
      </c>
      <c r="DC174" s="5"/>
      <c r="DD174" s="5"/>
      <c r="DE174" s="5"/>
      <c r="DF174" s="5"/>
      <c r="DG174" s="5"/>
      <c r="DH174" s="5"/>
      <c r="DI174" s="5"/>
      <c r="DJ174" s="5"/>
      <c r="DK174" s="5"/>
      <c r="DL174" s="5" t="str">
        <f t="shared" si="109"/>
        <v>Clear</v>
      </c>
      <c r="DM174" s="5" t="str">
        <f t="shared" si="110"/>
        <v>Yes</v>
      </c>
      <c r="DN174" s="5">
        <f t="array" ref="DN174">MIN(100,
  IF(ISNUMBER(V174), _xlfn.IFS(V174&gt;=3,25, V174=2,15, V174=1,5, TRUE,0), 0)
  + IFERROR(_xlfn.IFS(VALUE(LEFT(DF174,1))=5,25, VALUE(LEFT(DF174,1))=4,20, VALUE(LEFT(DF174,1))=3,15, VALUE(LEFT(DF174,1))=2,8, TRUE,0), 15)
  + IFERROR(_xlfn.IFS(VALUE(LEFT(DG174,1))=5,25, VALUE(LEFT(DG174,1))=4,20, VALUE(LEFT(DG174,1))=3,15, VALUE(LEFT(DG174,1))=2,8, TRUE,0), 15)
  + _xlfn.IFS(DH174="Fully Verified",25, DH174="Partially Verified",12, TRUE,0)
)</f>
        <v>30</v>
      </c>
      <c r="DO174" s="5" t="str">
        <f t="array" ref="DO174">_xlfn.IFS(
  ISBLANK(AR174), "Insufficient Evidence",
  AND(AR174&gt;=65, AJ174="Approved"), "Strong",
  AR174&gt;=65, "Adequate",
  AR174&gt;=40, "Adequate",
  AR174&gt;=20, "Weak",
  TRUE, "Insufficient Evidence"
)</f>
        <v>Insufficient Evidence</v>
      </c>
      <c r="DP174" s="5" t="str">
        <f t="array" ref="DP174">_xlfn.IFS(
  ISBLANK(BS174), "Insufficient Evidence",
  BS174&gt;=65, "Strong",
  BS174&gt;=40, "Adequate",
  BS174&gt;=20, "Weak",
  TRUE, "Insufficient Evidence"
)</f>
        <v>Insufficient Evidence</v>
      </c>
      <c r="DQ174" s="5" t="str">
        <f t="array" ref="DQ174">_xlfn.IFS(
  ISBLANK(BE174), "Insufficient Evidence",
  OR(AW174="Confirmed Violation", AX174="Confirmed Breach"), "Severe — Hard Trigger",
  BE174&gt;=65, "Strong",
  BE174&gt;=40, "Adequate",
  BE174&gt;=20, "Weak",
  TRUE, "Insufficient Evidence"
)</f>
        <v>Insufficient Evidence</v>
      </c>
      <c r="DR174" s="5" t="str">
        <f t="array" ref="DR174">_xlfn.IFS(
  ISBLANK(CU174), "Insufficient Evidence",
  CU174&lt;=20, "Low Risk",
  CU174&lt;=50, "Moderate Risk",
  CU174&lt;=75, "High Risk",
  TRUE, "Very High Risk"
)</f>
        <v>Low Risk</v>
      </c>
      <c r="DS174" s="5" t="str">
        <f t="array" ref="DS174">_xlfn.IFS(
  ISBLANK(CE174), "Insufficient Evidence",
  AND(ISNUMBER(BW174),ISNUMBER(BV174),BW174&gt;BV174), "Overclaiming Risk",
  CE174&gt;=65, "Strong",
  CE174&gt;=40, "Adequate",
  TRUE, "Weak"
)</f>
        <v>Weak</v>
      </c>
      <c r="DT174" s="5">
        <f t="shared" si="111"/>
        <v>11.7</v>
      </c>
      <c r="DU174" s="5" t="str">
        <f t="array" ref="DU174">_xlfn.IFS(
  DV174="Upgraded to Clear", "Clear",
  DV174="Downgraded to Watchlist", "Watchlist",
  DV174="Downgraded to Exclusion", "Exclusion Risk",
  DB174="Yes — Automatic", "Exclusion Risk",
  OR(AW174="Confirmed Violation", AX174="Confirmed Breach"), "Exclusion Risk",
  OR(V174=0, ISBLANK(V174), DN174&lt;20), "Insufficient Evidence",
  AND(DT174&gt;=65, DA174="No", DB174="No"), "Clear",
  OR(DT174&gt;=40, DA174="Yes"), "Watchlist",
  TRUE, "Exclusion Risk"
)</f>
        <v>Insufficient Evidence</v>
      </c>
      <c r="DV174" s="5"/>
      <c r="DW174" s="5" t="str">
        <f t="array" ref="DW174">_xlfn.IFS(
  DU174="Exclusion Risk", "Exclude — Hard Trigger",
  DU174="Insufficient Evidence", "Watchlist — Further Evidence Needed",
  DU174="Watchlist", "Watchlist — Further Evidence Needed",
  AND(DU174="Clear", DT174&gt;=80), "Include — No Conditions",
  DU174="Clear", "Include — Monitor",
  TRUE, "Watchlist — Further Evidence Needed"
)</f>
        <v>Watchlist — Further Evidence Needed</v>
      </c>
      <c r="DX174" s="5"/>
      <c r="DY174" s="5"/>
      <c r="DZ174" s="5"/>
      <c r="EA174" s="5"/>
      <c r="EB174" s="5" t="str">
        <f t="shared" si="112"/>
        <v>MISSING — No sources reviewed</v>
      </c>
      <c r="EC174" s="5" t="str">
        <f t="shared" si="113"/>
        <v/>
      </c>
    </row>
    <row r="175" spans="1:133" ht="18" customHeight="1" x14ac:dyDescent="0.15">
      <c r="A175" s="5" t="s">
        <v>898</v>
      </c>
      <c r="B175" s="5" t="s">
        <v>899</v>
      </c>
      <c r="C175" s="5" t="str">
        <f>IF(ISBLANK('Universe Tracker'!D150),"",'Universe Tracker'!D150)</f>
        <v>NL0000226223</v>
      </c>
      <c r="D175" s="5"/>
      <c r="E175" s="5"/>
      <c r="F175" s="5" t="str">
        <f>IF(ISBLANK('Universe Tracker'!F150),"",'Universe Tracker'!F150)</f>
        <v>Technology</v>
      </c>
      <c r="G175" s="5" t="str">
        <f>IF(ISBLANK('Universe Tracker'!G150),"",'Universe Tracker'!G150)</f>
        <v>Tech Hardware &amp; Semiconductors</v>
      </c>
      <c r="H175" s="5"/>
      <c r="I175" s="5"/>
      <c r="J175" s="5" t="str">
        <f t="shared" si="101"/>
        <v>SGM_NL0000226223</v>
      </c>
      <c r="K175" s="5"/>
      <c r="L175" s="5"/>
      <c r="M175" s="5"/>
      <c r="N175" s="5"/>
      <c r="O175" s="5"/>
      <c r="P175" s="5"/>
      <c r="Q175" s="5"/>
      <c r="R175" s="5"/>
      <c r="S175" s="5"/>
      <c r="T175" s="5"/>
      <c r="U175" s="5"/>
      <c r="V175" s="5"/>
      <c r="W175" s="5"/>
      <c r="X175" s="5"/>
      <c r="Y175" s="5" t="str">
        <f t="shared" si="102"/>
        <v>Insufficient</v>
      </c>
      <c r="Z175" s="5"/>
      <c r="AA175" s="5"/>
      <c r="AB175" s="5"/>
      <c r="AC175" s="5"/>
      <c r="AD175" s="5"/>
      <c r="AE175" s="5"/>
      <c r="AF175" s="5"/>
      <c r="AG175" s="5"/>
      <c r="AH175" s="5"/>
      <c r="AI175" s="5"/>
      <c r="AJ175" s="5"/>
      <c r="AK175" s="5"/>
      <c r="AL175" s="5"/>
      <c r="AM175" s="5"/>
      <c r="AN175" s="5"/>
      <c r="AO175" s="5"/>
      <c r="AP175" s="5"/>
      <c r="AQ175" s="5"/>
      <c r="AR175" s="40">
        <f t="array" ref="AR175">MIN(100, MAX(0,
  IFERROR(_xlfn.XLOOKUP(AJ175,'Lookup Tables'!$A$2:$A$7,'Lookup Tables'!$B$2:$B$7,0),0)
  + IF(Z175="Yes", IF(IFERROR(_xlfn.XLOOKUP(AJ175,'Lookup Tables'!$A$2:$A$7,'Lookup Tables'!$B$2:$B$7,0),0)&lt;20, 5, 0), 0)
  + _xlfn.IFS(AB175="Yes", IF(ISNUMBER(AC175)*AND(AC175&lt;=2030),15,10), AB175="Long-term Only", 5, AB175="No", 0, TRUE, 0)
  + _xlfn.IFS(AF175="Full",10, AF175="Partial",5, AF175="Scope 2 Only",3, TRUE,0)
  + _xlfn.IFS(AG175="Yes", IF(ISNUMBER(AH175)*AND(AH175&gt;=5),10,6), AG175="Partial",4, TRUE,0)
  + _xlfn.IFS(AI175="Yes",5, AI175="Partial (material categories only)",3, TRUE,0)
  + _xlfn.IFS(AL175="Yes — Detailed",10, AL175="Yes — High Level",5, TRUE,0)
  + _xlfn.IFS(AM175="Yes — Quantified",15, AM175="Yes — Directional Only",7, TRUE,0)
  + _xlfn.IFS(AP175="Formal",5, AP175="Referenced",2, TRUE,0)
  + _xlfn.IFS(AQ175="No Issues Found",5, AQ175="Concern Identified",-5, AQ175="Severe Contradiction",-15, TRUE,0)
  + _xlfn.IFS(BC175="Reasonable Assurance",5, BC175="Limited Assurance",3, TRUE,0)
  - IF(AND(Z175="Yes", AI175="No"), 10, 0)
  - IF(AND(Z175="Yes", AM175="No"), 10, 0)
))</f>
        <v>0</v>
      </c>
      <c r="AS175" s="5"/>
      <c r="AT175" s="5"/>
      <c r="AU175" s="5"/>
      <c r="AV175" s="5"/>
      <c r="AW175" s="5"/>
      <c r="AX175" s="5"/>
      <c r="AY175" s="5"/>
      <c r="AZ175" s="5"/>
      <c r="BA175" s="5"/>
      <c r="BB175" s="5"/>
      <c r="BC175" s="5"/>
      <c r="BD175" s="5"/>
      <c r="BE175" s="39">
        <f t="array" ref="BE175">MIN(100, MAX(0,
  IFERROR(_xlfn.XLOOKUP(AT175,'Lookup Tables'!$D$2:$D$6,'Lookup Tables'!$E$2:$E$6,0),0)
  + IFERROR(_xlfn.XLOOKUP(AV175,'Lookup Tables'!$G$2:$G$5,'Lookup Tables'!$H$2:$H$5,0),0)
  + IFERROR(_xlfn.XLOOKUP(AW175,'Lookup Tables'!$J$2:$J$5,'Lookup Tables'!$K$2:$K$5,0),0)
  + _xlfn.IFS(AX175="No Issues",10, AX175="Complaint Filed",3, AX175="Confirmed Breach",-15, TRUE,0)
  + IFERROR(_xlfn.XLOOKUP(AY175,'Lookup Tables'!$M$2:$M$6,'Lookup Tables'!$N$2:$N$6,0),0)
  + IFERROR(_xlfn.XLOOKUP(AZ175,'Lookup Tables'!$P$2:$P$6,'Lookup Tables'!$Q$2:$Q$6,0),0)
  + _xlfn.IFS(BA175="Formal Board Committee",5, BA175="Board Oversight Mentioned",2, TRUE,0)
  + _xlfn.IFS(BB175="Yes — Quantified Targets",5, BB175="Yes — Discretionary Only",2, TRUE,0)
  + _xlfn.IFS(BC175="Reasonable Assurance",5, BC175="Limited Assurance",3, BC175="Management Review Only",1, TRUE,0)
))</f>
        <v>0</v>
      </c>
      <c r="BF175" s="5"/>
      <c r="BG175" s="5"/>
      <c r="BH175" s="5"/>
      <c r="BI175" s="5"/>
      <c r="BJ175" s="5"/>
      <c r="BK175" s="5"/>
      <c r="BL175" s="5"/>
      <c r="BM175" s="5"/>
      <c r="BN175" s="5"/>
      <c r="BO175" s="5"/>
      <c r="BP175" s="5"/>
      <c r="BQ175" s="5"/>
      <c r="BR175" s="5"/>
      <c r="BS175" s="41">
        <f t="array" ref="BS175">MIN(100, MAX(0,
  IFERROR(_xlfn.XLOOKUP(BG175,'Lookup Tables'!$A$11:$A$16,'Lookup Tables'!$B$11:$B$16,0),0)
  + IFERROR(_xlfn.XLOOKUP(BR175,'Lookup Tables'!$M$11:$M$14,'Lookup Tables'!$N$11:$N$14,0),0)
  + IFERROR(_xlfn.XLOOKUP(BQ175,'Lookup Tables'!$J$11:$J$15,'Lookup Tables'!$K$11:$K$15,0),0)
  + IFERROR(_xlfn.XLOOKUP(BH175,'Lookup Tables'!$D$11:$D$15,'Lookup Tables'!$E$11:$E$15,0),0)
  + IFERROR(_xlfn.XLOOKUP(BJ175,'Lookup Tables'!$G$11:$G$16,'Lookup Tables'!$H$11:$H$16,0),0)
  + IFERROR(_xlfn.XLOOKUP(BN175,'Lookup Tables'!$P$11:$P$15,'Lookup Tables'!$Q$11:$Q$15,0),0)
  + _xlfn.IFS(BM175="No Evidence",10, BM175="Unknown",3, BM175="Likely",0, BM175="Confirmed",-10, TRUE,3)
  + IFERROR(_xlfn.XLOOKUP(BP175,'Lookup Tables'!$J$21:$J$24,'Lookup Tables'!$K$21:$K$24,0),0)
))</f>
        <v>3</v>
      </c>
      <c r="BT175" s="5"/>
      <c r="BU175" s="5"/>
      <c r="BV175" s="5"/>
      <c r="BW175" s="5"/>
      <c r="BX175" s="5"/>
      <c r="BY175" s="5"/>
      <c r="BZ175" s="5"/>
      <c r="CA175" s="5"/>
      <c r="CB175" s="5"/>
      <c r="CC175" s="5"/>
      <c r="CD175" s="5"/>
      <c r="CE175" s="43">
        <f t="array" ref="CE175">MIN(100, MAX(0,
  IF(ISNUMBER(BV175)*AND(BV175&gt;0), 10, 0)
  + _xlfn.IFS(BY175="Independently Verified",25, BY175="Yes",15, TRUE,0)
  + IFERROR(_xlfn.XLOOKUP(BZ175,'Lookup Tables'!$A$21:$A$24,'Lookup Tables'!$B$21:$B$24,0),0)
  + IFERROR(_xlfn.XLOOKUP(CA175,'Lookup Tables'!$D$21:$D$24,'Lookup Tables'!$E$21:$E$24,0),0)
  + _xlfn.IFS(ISNUMBER(CB175)*AND(CB175&gt;=11),15, ISNUMBER(CB175)*AND(CB175&gt;=6),10, ISNUMBER(CB175)*AND(CB175&gt;=1),5, TRUE,0)
  + IFERROR(_xlfn.XLOOKUP(CC175,'Lookup Tables'!$G$21:$G$25,'Lookup Tables'!$H$21:$H$25,0),0)
  - IF(ISNUMBER(BW175)*AND(ISNUMBER(BV175))*AND(BW175&gt;BV175), 20, 0)
  - IF(AND(BY175="Yes", ISNUMBER(BW175), BW175&gt;60), 10, 0)
))</f>
        <v>0</v>
      </c>
      <c r="CF175" s="5"/>
      <c r="CG175" s="5"/>
      <c r="CH175" s="5"/>
      <c r="CI175" s="5"/>
      <c r="CJ175" s="5"/>
      <c r="CK175" s="5"/>
      <c r="CL175" s="5"/>
      <c r="CM175" s="5"/>
      <c r="CN175" s="5"/>
      <c r="CO175" s="5"/>
      <c r="CP175" s="5"/>
      <c r="CQ175" s="5"/>
      <c r="CR175" s="5">
        <f t="shared" si="103"/>
        <v>0</v>
      </c>
      <c r="CS175" s="5">
        <f t="shared" si="104"/>
        <v>0</v>
      </c>
      <c r="CT175" s="5">
        <f t="shared" si="105"/>
        <v>0</v>
      </c>
      <c r="CU175" s="5">
        <f>MIN(100,
  CR175*15
  + CS175*6
  + CT175*3
  + IFERROR(_xlfn.XLOOKUP(CW175,'Lookup Tables'!$M$21:$M$25,'Lookup Tables'!$N$21:$N$25,0),0)
)</f>
        <v>0</v>
      </c>
      <c r="CV175" s="5" t="str">
        <f t="shared" si="106"/>
        <v>No failures</v>
      </c>
      <c r="CW175" s="5"/>
      <c r="CX175" s="5"/>
      <c r="CY175" s="5"/>
      <c r="CZ175" s="5"/>
      <c r="DA175" s="5" t="str">
        <f t="shared" si="107"/>
        <v>Yes</v>
      </c>
      <c r="DB175" s="5" t="str">
        <f t="shared" si="108"/>
        <v>No</v>
      </c>
      <c r="DC175" s="5"/>
      <c r="DD175" s="5"/>
      <c r="DE175" s="5"/>
      <c r="DF175" s="5"/>
      <c r="DG175" s="5"/>
      <c r="DH175" s="5"/>
      <c r="DI175" s="5"/>
      <c r="DJ175" s="5"/>
      <c r="DK175" s="5"/>
      <c r="DL175" s="5" t="str">
        <f t="shared" si="109"/>
        <v>Clear</v>
      </c>
      <c r="DM175" s="5" t="str">
        <f t="shared" si="110"/>
        <v>Yes</v>
      </c>
      <c r="DN175" s="5">
        <f t="array" ref="DN175">MIN(100,
  IF(ISNUMBER(V175), _xlfn.IFS(V175&gt;=3,25, V175=2,15, V175=1,5, TRUE,0), 0)
  + IFERROR(_xlfn.IFS(VALUE(LEFT(DF175,1))=5,25, VALUE(LEFT(DF175,1))=4,20, VALUE(LEFT(DF175,1))=3,15, VALUE(LEFT(DF175,1))=2,8, TRUE,0), 15)
  + IFERROR(_xlfn.IFS(VALUE(LEFT(DG175,1))=5,25, VALUE(LEFT(DG175,1))=4,20, VALUE(LEFT(DG175,1))=3,15, VALUE(LEFT(DG175,1))=2,8, TRUE,0), 15)
  + _xlfn.IFS(DH175="Fully Verified",25, DH175="Partially Verified",12, TRUE,0)
)</f>
        <v>30</v>
      </c>
      <c r="DO175" s="5" t="str">
        <f t="array" ref="DO175">_xlfn.IFS(
  ISBLANK(AR175), "Insufficient Evidence",
  AND(AR175&gt;=65, AJ175="Approved"), "Strong",
  AR175&gt;=65, "Adequate",
  AR175&gt;=40, "Adequate",
  AR175&gt;=20, "Weak",
  TRUE, "Insufficient Evidence"
)</f>
        <v>Insufficient Evidence</v>
      </c>
      <c r="DP175" s="5" t="str">
        <f t="array" ref="DP175">_xlfn.IFS(
  ISBLANK(BS175), "Insufficient Evidence",
  BS175&gt;=65, "Strong",
  BS175&gt;=40, "Adequate",
  BS175&gt;=20, "Weak",
  TRUE, "Insufficient Evidence"
)</f>
        <v>Insufficient Evidence</v>
      </c>
      <c r="DQ175" s="5" t="str">
        <f t="array" ref="DQ175">_xlfn.IFS(
  ISBLANK(BE175), "Insufficient Evidence",
  OR(AW175="Confirmed Violation", AX175="Confirmed Breach"), "Severe — Hard Trigger",
  BE175&gt;=65, "Strong",
  BE175&gt;=40, "Adequate",
  BE175&gt;=20, "Weak",
  TRUE, "Insufficient Evidence"
)</f>
        <v>Insufficient Evidence</v>
      </c>
      <c r="DR175" s="5" t="str">
        <f t="array" ref="DR175">_xlfn.IFS(
  ISBLANK(CU175), "Insufficient Evidence",
  CU175&lt;=20, "Low Risk",
  CU175&lt;=50, "Moderate Risk",
  CU175&lt;=75, "High Risk",
  TRUE, "Very High Risk"
)</f>
        <v>Low Risk</v>
      </c>
      <c r="DS175" s="5" t="str">
        <f t="array" ref="DS175">_xlfn.IFS(
  ISBLANK(CE175), "Insufficient Evidence",
  AND(ISNUMBER(BW175),ISNUMBER(BV175),BW175&gt;BV175), "Overclaiming Risk",
  CE175&gt;=65, "Strong",
  CE175&gt;=40, "Adequate",
  TRUE, "Weak"
)</f>
        <v>Weak</v>
      </c>
      <c r="DT175" s="5">
        <f t="shared" si="111"/>
        <v>11.7</v>
      </c>
      <c r="DU175" s="5" t="str">
        <f t="array" ref="DU175">_xlfn.IFS(
  DV175="Upgraded to Clear", "Clear",
  DV175="Downgraded to Watchlist", "Watchlist",
  DV175="Downgraded to Exclusion", "Exclusion Risk",
  DB175="Yes — Automatic", "Exclusion Risk",
  OR(AW175="Confirmed Violation", AX175="Confirmed Breach"), "Exclusion Risk",
  OR(V175=0, ISBLANK(V175), DN175&lt;20), "Insufficient Evidence",
  AND(DT175&gt;=65, DA175="No", DB175="No"), "Clear",
  OR(DT175&gt;=40, DA175="Yes"), "Watchlist",
  TRUE, "Exclusion Risk"
)</f>
        <v>Insufficient Evidence</v>
      </c>
      <c r="DV175" s="5"/>
      <c r="DW175" s="5" t="str">
        <f t="array" ref="DW175">_xlfn.IFS(
  DU175="Exclusion Risk", "Exclude — Hard Trigger",
  DU175="Insufficient Evidence", "Watchlist — Further Evidence Needed",
  DU175="Watchlist", "Watchlist — Further Evidence Needed",
  AND(DU175="Clear", DT175&gt;=80), "Include — No Conditions",
  DU175="Clear", "Include — Monitor",
  TRUE, "Watchlist — Further Evidence Needed"
)</f>
        <v>Watchlist — Further Evidence Needed</v>
      </c>
      <c r="DX175" s="5"/>
      <c r="DY175" s="5"/>
      <c r="DZ175" s="5"/>
      <c r="EA175" s="5"/>
      <c r="EB175" s="5" t="str">
        <f t="shared" si="112"/>
        <v>MISSING — No sources reviewed</v>
      </c>
      <c r="EC175" s="5" t="str">
        <f t="shared" si="113"/>
        <v/>
      </c>
    </row>
    <row r="176" spans="1:133" ht="18" customHeight="1" x14ac:dyDescent="0.15">
      <c r="A176" s="5" t="s">
        <v>902</v>
      </c>
      <c r="B176" s="5" t="s">
        <v>903</v>
      </c>
      <c r="C176" s="5" t="str">
        <f>IF(ISBLANK('Universe Tracker'!D151),"",'Universe Tracker'!D151)</f>
        <v>NL0000334118</v>
      </c>
      <c r="D176" s="5"/>
      <c r="E176" s="5"/>
      <c r="F176" s="5" t="str">
        <f>IF(ISBLANK('Universe Tracker'!F151),"",'Universe Tracker'!F151)</f>
        <v>Technology</v>
      </c>
      <c r="G176" s="5" t="str">
        <f>IF(ISBLANK('Universe Tracker'!G151),"",'Universe Tracker'!G151)</f>
        <v>Tech Hardware &amp; Semiconductors</v>
      </c>
      <c r="H176" s="5"/>
      <c r="I176" s="5"/>
      <c r="J176" s="5" t="str">
        <f t="shared" si="101"/>
        <v>AVS_NL0000334118</v>
      </c>
      <c r="K176" s="5"/>
      <c r="L176" s="5"/>
      <c r="M176" s="5"/>
      <c r="N176" s="5"/>
      <c r="O176" s="5"/>
      <c r="P176" s="5"/>
      <c r="Q176" s="5"/>
      <c r="R176" s="5"/>
      <c r="S176" s="5"/>
      <c r="T176" s="5"/>
      <c r="U176" s="5"/>
      <c r="V176" s="5"/>
      <c r="W176" s="5"/>
      <c r="X176" s="5"/>
      <c r="Y176" s="5" t="str">
        <f t="shared" si="102"/>
        <v>Insufficient</v>
      </c>
      <c r="Z176" s="5"/>
      <c r="AA176" s="5"/>
      <c r="AB176" s="5"/>
      <c r="AC176" s="5"/>
      <c r="AD176" s="5"/>
      <c r="AE176" s="5"/>
      <c r="AF176" s="5"/>
      <c r="AG176" s="5"/>
      <c r="AH176" s="5"/>
      <c r="AI176" s="5"/>
      <c r="AJ176" s="5"/>
      <c r="AK176" s="5"/>
      <c r="AL176" s="5"/>
      <c r="AM176" s="5"/>
      <c r="AN176" s="5"/>
      <c r="AO176" s="5"/>
      <c r="AP176" s="5"/>
      <c r="AQ176" s="5"/>
      <c r="AR176" s="40">
        <f t="array" ref="AR176">MIN(100, MAX(0,
  IFERROR(_xlfn.XLOOKUP(AJ176,'Lookup Tables'!$A$2:$A$7,'Lookup Tables'!$B$2:$B$7,0),0)
  + IF(Z176="Yes", IF(IFERROR(_xlfn.XLOOKUP(AJ176,'Lookup Tables'!$A$2:$A$7,'Lookup Tables'!$B$2:$B$7,0),0)&lt;20, 5, 0), 0)
  + _xlfn.IFS(AB176="Yes", IF(ISNUMBER(AC176)*AND(AC176&lt;=2030),15,10), AB176="Long-term Only", 5, AB176="No", 0, TRUE, 0)
  + _xlfn.IFS(AF176="Full",10, AF176="Partial",5, AF176="Scope 2 Only",3, TRUE,0)
  + _xlfn.IFS(AG176="Yes", IF(ISNUMBER(AH176)*AND(AH176&gt;=5),10,6), AG176="Partial",4, TRUE,0)
  + _xlfn.IFS(AI176="Yes",5, AI176="Partial (material categories only)",3, TRUE,0)
  + _xlfn.IFS(AL176="Yes — Detailed",10, AL176="Yes — High Level",5, TRUE,0)
  + _xlfn.IFS(AM176="Yes — Quantified",15, AM176="Yes — Directional Only",7, TRUE,0)
  + _xlfn.IFS(AP176="Formal",5, AP176="Referenced",2, TRUE,0)
  + _xlfn.IFS(AQ176="No Issues Found",5, AQ176="Concern Identified",-5, AQ176="Severe Contradiction",-15, TRUE,0)
  + _xlfn.IFS(BC176="Reasonable Assurance",5, BC176="Limited Assurance",3, TRUE,0)
  - IF(AND(Z176="Yes", AI176="No"), 10, 0)
  - IF(AND(Z176="Yes", AM176="No"), 10, 0)
))</f>
        <v>0</v>
      </c>
      <c r="AS176" s="5"/>
      <c r="AT176" s="5"/>
      <c r="AU176" s="5"/>
      <c r="AV176" s="5"/>
      <c r="AW176" s="5"/>
      <c r="AX176" s="5"/>
      <c r="AY176" s="5"/>
      <c r="AZ176" s="5"/>
      <c r="BA176" s="5"/>
      <c r="BB176" s="5"/>
      <c r="BC176" s="5"/>
      <c r="BD176" s="5"/>
      <c r="BE176" s="39">
        <f t="array" ref="BE176">MIN(100, MAX(0,
  IFERROR(_xlfn.XLOOKUP(AT176,'Lookup Tables'!$D$2:$D$6,'Lookup Tables'!$E$2:$E$6,0),0)
  + IFERROR(_xlfn.XLOOKUP(AV176,'Lookup Tables'!$G$2:$G$5,'Lookup Tables'!$H$2:$H$5,0),0)
  + IFERROR(_xlfn.XLOOKUP(AW176,'Lookup Tables'!$J$2:$J$5,'Lookup Tables'!$K$2:$K$5,0),0)
  + _xlfn.IFS(AX176="No Issues",10, AX176="Complaint Filed",3, AX176="Confirmed Breach",-15, TRUE,0)
  + IFERROR(_xlfn.XLOOKUP(AY176,'Lookup Tables'!$M$2:$M$6,'Lookup Tables'!$N$2:$N$6,0),0)
  + IFERROR(_xlfn.XLOOKUP(AZ176,'Lookup Tables'!$P$2:$P$6,'Lookup Tables'!$Q$2:$Q$6,0),0)
  + _xlfn.IFS(BA176="Formal Board Committee",5, BA176="Board Oversight Mentioned",2, TRUE,0)
  + _xlfn.IFS(BB176="Yes — Quantified Targets",5, BB176="Yes — Discretionary Only",2, TRUE,0)
  + _xlfn.IFS(BC176="Reasonable Assurance",5, BC176="Limited Assurance",3, BC176="Management Review Only",1, TRUE,0)
))</f>
        <v>0</v>
      </c>
      <c r="BF176" s="5"/>
      <c r="BG176" s="5"/>
      <c r="BH176" s="5"/>
      <c r="BI176" s="5"/>
      <c r="BJ176" s="5"/>
      <c r="BK176" s="5"/>
      <c r="BL176" s="5"/>
      <c r="BM176" s="5"/>
      <c r="BN176" s="5"/>
      <c r="BO176" s="5"/>
      <c r="BP176" s="5"/>
      <c r="BQ176" s="5"/>
      <c r="BR176" s="5"/>
      <c r="BS176" s="41">
        <f t="array" ref="BS176">MIN(100, MAX(0,
  IFERROR(_xlfn.XLOOKUP(BG176,'Lookup Tables'!$A$11:$A$16,'Lookup Tables'!$B$11:$B$16,0),0)
  + IFERROR(_xlfn.XLOOKUP(BR176,'Lookup Tables'!$M$11:$M$14,'Lookup Tables'!$N$11:$N$14,0),0)
  + IFERROR(_xlfn.XLOOKUP(BQ176,'Lookup Tables'!$J$11:$J$15,'Lookup Tables'!$K$11:$K$15,0),0)
  + IFERROR(_xlfn.XLOOKUP(BH176,'Lookup Tables'!$D$11:$D$15,'Lookup Tables'!$E$11:$E$15,0),0)
  + IFERROR(_xlfn.XLOOKUP(BJ176,'Lookup Tables'!$G$11:$G$16,'Lookup Tables'!$H$11:$H$16,0),0)
  + IFERROR(_xlfn.XLOOKUP(BN176,'Lookup Tables'!$P$11:$P$15,'Lookup Tables'!$Q$11:$Q$15,0),0)
  + _xlfn.IFS(BM176="No Evidence",10, BM176="Unknown",3, BM176="Likely",0, BM176="Confirmed",-10, TRUE,3)
  + IFERROR(_xlfn.XLOOKUP(BP176,'Lookup Tables'!$J$21:$J$24,'Lookup Tables'!$K$21:$K$24,0),0)
))</f>
        <v>3</v>
      </c>
      <c r="BT176" s="5"/>
      <c r="BU176" s="5"/>
      <c r="BV176" s="5"/>
      <c r="BW176" s="5"/>
      <c r="BX176" s="5"/>
      <c r="BY176" s="5"/>
      <c r="BZ176" s="5"/>
      <c r="CA176" s="5"/>
      <c r="CB176" s="5"/>
      <c r="CC176" s="5"/>
      <c r="CD176" s="5"/>
      <c r="CE176" s="43">
        <f t="array" ref="CE176">MIN(100, MAX(0,
  IF(ISNUMBER(BV176)*AND(BV176&gt;0), 10, 0)
  + _xlfn.IFS(BY176="Independently Verified",25, BY176="Yes",15, TRUE,0)
  + IFERROR(_xlfn.XLOOKUP(BZ176,'Lookup Tables'!$A$21:$A$24,'Lookup Tables'!$B$21:$B$24,0),0)
  + IFERROR(_xlfn.XLOOKUP(CA176,'Lookup Tables'!$D$21:$D$24,'Lookup Tables'!$E$21:$E$24,0),0)
  + _xlfn.IFS(ISNUMBER(CB176)*AND(CB176&gt;=11),15, ISNUMBER(CB176)*AND(CB176&gt;=6),10, ISNUMBER(CB176)*AND(CB176&gt;=1),5, TRUE,0)
  + IFERROR(_xlfn.XLOOKUP(CC176,'Lookup Tables'!$G$21:$G$25,'Lookup Tables'!$H$21:$H$25,0),0)
  - IF(ISNUMBER(BW176)*AND(ISNUMBER(BV176))*AND(BW176&gt;BV176), 20, 0)
  - IF(AND(BY176="Yes", ISNUMBER(BW176), BW176&gt;60), 10, 0)
))</f>
        <v>0</v>
      </c>
      <c r="CF176" s="5"/>
      <c r="CG176" s="5"/>
      <c r="CH176" s="5"/>
      <c r="CI176" s="5"/>
      <c r="CJ176" s="5"/>
      <c r="CK176" s="5"/>
      <c r="CL176" s="5"/>
      <c r="CM176" s="5"/>
      <c r="CN176" s="5"/>
      <c r="CO176" s="5"/>
      <c r="CP176" s="5"/>
      <c r="CQ176" s="5"/>
      <c r="CR176" s="5">
        <f t="shared" si="103"/>
        <v>0</v>
      </c>
      <c r="CS176" s="5">
        <f t="shared" si="104"/>
        <v>0</v>
      </c>
      <c r="CT176" s="5">
        <f t="shared" si="105"/>
        <v>0</v>
      </c>
      <c r="CU176" s="5">
        <f>MIN(100,
  CR176*15
  + CS176*6
  + CT176*3
  + IFERROR(_xlfn.XLOOKUP(CW176,'Lookup Tables'!$M$21:$M$25,'Lookup Tables'!$N$21:$N$25,0),0)
)</f>
        <v>0</v>
      </c>
      <c r="CV176" s="5" t="str">
        <f t="shared" si="106"/>
        <v>No failures</v>
      </c>
      <c r="CW176" s="5"/>
      <c r="CX176" s="5"/>
      <c r="CY176" s="5"/>
      <c r="CZ176" s="5"/>
      <c r="DA176" s="5" t="str">
        <f t="shared" si="107"/>
        <v>Yes</v>
      </c>
      <c r="DB176" s="5" t="str">
        <f t="shared" si="108"/>
        <v>No</v>
      </c>
      <c r="DC176" s="5"/>
      <c r="DD176" s="5"/>
      <c r="DE176" s="5"/>
      <c r="DF176" s="5"/>
      <c r="DG176" s="5"/>
      <c r="DH176" s="5"/>
      <c r="DI176" s="5"/>
      <c r="DJ176" s="5"/>
      <c r="DK176" s="5"/>
      <c r="DL176" s="5" t="str">
        <f t="shared" si="109"/>
        <v>Clear</v>
      </c>
      <c r="DM176" s="5" t="str">
        <f t="shared" si="110"/>
        <v>Yes</v>
      </c>
      <c r="DN176" s="5">
        <f t="array" ref="DN176">MIN(100,
  IF(ISNUMBER(V176), _xlfn.IFS(V176&gt;=3,25, V176=2,15, V176=1,5, TRUE,0), 0)
  + IFERROR(_xlfn.IFS(VALUE(LEFT(DF176,1))=5,25, VALUE(LEFT(DF176,1))=4,20, VALUE(LEFT(DF176,1))=3,15, VALUE(LEFT(DF176,1))=2,8, TRUE,0), 15)
  + IFERROR(_xlfn.IFS(VALUE(LEFT(DG176,1))=5,25, VALUE(LEFT(DG176,1))=4,20, VALUE(LEFT(DG176,1))=3,15, VALUE(LEFT(DG176,1))=2,8, TRUE,0), 15)
  + _xlfn.IFS(DH176="Fully Verified",25, DH176="Partially Verified",12, TRUE,0)
)</f>
        <v>30</v>
      </c>
      <c r="DO176" s="5" t="str">
        <f t="array" ref="DO176">_xlfn.IFS(
  ISBLANK(AR176), "Insufficient Evidence",
  AND(AR176&gt;=65, AJ176="Approved"), "Strong",
  AR176&gt;=65, "Adequate",
  AR176&gt;=40, "Adequate",
  AR176&gt;=20, "Weak",
  TRUE, "Insufficient Evidence"
)</f>
        <v>Insufficient Evidence</v>
      </c>
      <c r="DP176" s="5" t="str">
        <f t="array" ref="DP176">_xlfn.IFS(
  ISBLANK(BS176), "Insufficient Evidence",
  BS176&gt;=65, "Strong",
  BS176&gt;=40, "Adequate",
  BS176&gt;=20, "Weak",
  TRUE, "Insufficient Evidence"
)</f>
        <v>Insufficient Evidence</v>
      </c>
      <c r="DQ176" s="5" t="str">
        <f t="array" ref="DQ176">_xlfn.IFS(
  ISBLANK(BE176), "Insufficient Evidence",
  OR(AW176="Confirmed Violation", AX176="Confirmed Breach"), "Severe — Hard Trigger",
  BE176&gt;=65, "Strong",
  BE176&gt;=40, "Adequate",
  BE176&gt;=20, "Weak",
  TRUE, "Insufficient Evidence"
)</f>
        <v>Insufficient Evidence</v>
      </c>
      <c r="DR176" s="5" t="str">
        <f t="array" ref="DR176">_xlfn.IFS(
  ISBLANK(CU176), "Insufficient Evidence",
  CU176&lt;=20, "Low Risk",
  CU176&lt;=50, "Moderate Risk",
  CU176&lt;=75, "High Risk",
  TRUE, "Very High Risk"
)</f>
        <v>Low Risk</v>
      </c>
      <c r="DS176" s="5" t="str">
        <f t="array" ref="DS176">_xlfn.IFS(
  ISBLANK(CE176), "Insufficient Evidence",
  AND(ISNUMBER(BW176),ISNUMBER(BV176),BW176&gt;BV176), "Overclaiming Risk",
  CE176&gt;=65, "Strong",
  CE176&gt;=40, "Adequate",
  TRUE, "Weak"
)</f>
        <v>Weak</v>
      </c>
      <c r="DT176" s="5">
        <f t="shared" si="111"/>
        <v>11.7</v>
      </c>
      <c r="DU176" s="5" t="str">
        <f t="array" ref="DU176">_xlfn.IFS(
  DV176="Upgraded to Clear", "Clear",
  DV176="Downgraded to Watchlist", "Watchlist",
  DV176="Downgraded to Exclusion", "Exclusion Risk",
  DB176="Yes — Automatic", "Exclusion Risk",
  OR(AW176="Confirmed Violation", AX176="Confirmed Breach"), "Exclusion Risk",
  OR(V176=0, ISBLANK(V176), DN176&lt;20), "Insufficient Evidence",
  AND(DT176&gt;=65, DA176="No", DB176="No"), "Clear",
  OR(DT176&gt;=40, DA176="Yes"), "Watchlist",
  TRUE, "Exclusion Risk"
)</f>
        <v>Insufficient Evidence</v>
      </c>
      <c r="DV176" s="5"/>
      <c r="DW176" s="5" t="str">
        <f t="array" ref="DW176">_xlfn.IFS(
  DU176="Exclusion Risk", "Exclude — Hard Trigger",
  DU176="Insufficient Evidence", "Watchlist — Further Evidence Needed",
  DU176="Watchlist", "Watchlist — Further Evidence Needed",
  AND(DU176="Clear", DT176&gt;=80), "Include — No Conditions",
  DU176="Clear", "Include — Monitor",
  TRUE, "Watchlist — Further Evidence Needed"
)</f>
        <v>Watchlist — Further Evidence Needed</v>
      </c>
      <c r="DX176" s="5"/>
      <c r="DY176" s="5"/>
      <c r="DZ176" s="5"/>
      <c r="EA176" s="5"/>
      <c r="EB176" s="5" t="str">
        <f t="shared" si="112"/>
        <v>MISSING — No sources reviewed</v>
      </c>
      <c r="EC176" s="5" t="str">
        <f t="shared" si="113"/>
        <v/>
      </c>
    </row>
    <row r="177" spans="1:133" ht="18" customHeight="1" x14ac:dyDescent="0.15">
      <c r="A177" s="5" t="s">
        <v>906</v>
      </c>
      <c r="B177" s="5" t="s">
        <v>907</v>
      </c>
      <c r="C177" s="5" t="str">
        <f>IF(ISBLANK('Universe Tracker'!D152),"",'Universe Tracker'!D152)</f>
        <v>CY0200352116</v>
      </c>
      <c r="D177" s="5"/>
      <c r="E177" s="5"/>
      <c r="F177" s="5" t="str">
        <f>IF(ISBLANK('Universe Tracker'!F152),"",'Universe Tracker'!F152)</f>
        <v>Industrials</v>
      </c>
      <c r="G177" s="5" t="str">
        <f>IF(ISBLANK('Universe Tracker'!G152),"",'Universe Tracker'!G152)</f>
        <v>Industrial Services</v>
      </c>
      <c r="H177" s="5"/>
      <c r="I177" s="5"/>
      <c r="J177" s="5" t="str">
        <f t="shared" si="101"/>
        <v>HF6_CY0200352116</v>
      </c>
      <c r="K177" s="5"/>
      <c r="L177" s="5"/>
      <c r="M177" s="5"/>
      <c r="N177" s="5"/>
      <c r="O177" s="5"/>
      <c r="P177" s="5"/>
      <c r="Q177" s="5"/>
      <c r="R177" s="5"/>
      <c r="S177" s="5"/>
      <c r="T177" s="5"/>
      <c r="U177" s="5"/>
      <c r="V177" s="5"/>
      <c r="W177" s="5"/>
      <c r="X177" s="5"/>
      <c r="Y177" s="5" t="str">
        <f t="shared" si="102"/>
        <v>Insufficient</v>
      </c>
      <c r="Z177" s="5"/>
      <c r="AA177" s="5"/>
      <c r="AB177" s="5"/>
      <c r="AC177" s="5"/>
      <c r="AD177" s="5"/>
      <c r="AE177" s="5"/>
      <c r="AF177" s="5"/>
      <c r="AG177" s="5"/>
      <c r="AH177" s="5"/>
      <c r="AI177" s="5"/>
      <c r="AJ177" s="5"/>
      <c r="AK177" s="5"/>
      <c r="AL177" s="5"/>
      <c r="AM177" s="5"/>
      <c r="AN177" s="5"/>
      <c r="AO177" s="5"/>
      <c r="AP177" s="5"/>
      <c r="AQ177" s="5"/>
      <c r="AR177" s="40">
        <f t="array" ref="AR177">MIN(100, MAX(0,
  IFERROR(_xlfn.XLOOKUP(AJ177,'Lookup Tables'!$A$2:$A$7,'Lookup Tables'!$B$2:$B$7,0),0)
  + IF(Z177="Yes", IF(IFERROR(_xlfn.XLOOKUP(AJ177,'Lookup Tables'!$A$2:$A$7,'Lookup Tables'!$B$2:$B$7,0),0)&lt;20, 5, 0), 0)
  + _xlfn.IFS(AB177="Yes", IF(ISNUMBER(AC177)*AND(AC177&lt;=2030),15,10), AB177="Long-term Only", 5, AB177="No", 0, TRUE, 0)
  + _xlfn.IFS(AF177="Full",10, AF177="Partial",5, AF177="Scope 2 Only",3, TRUE,0)
  + _xlfn.IFS(AG177="Yes", IF(ISNUMBER(AH177)*AND(AH177&gt;=5),10,6), AG177="Partial",4, TRUE,0)
  + _xlfn.IFS(AI177="Yes",5, AI177="Partial (material categories only)",3, TRUE,0)
  + _xlfn.IFS(AL177="Yes — Detailed",10, AL177="Yes — High Level",5, TRUE,0)
  + _xlfn.IFS(AM177="Yes — Quantified",15, AM177="Yes — Directional Only",7, TRUE,0)
  + _xlfn.IFS(AP177="Formal",5, AP177="Referenced",2, TRUE,0)
  + _xlfn.IFS(AQ177="No Issues Found",5, AQ177="Concern Identified",-5, AQ177="Severe Contradiction",-15, TRUE,0)
  + _xlfn.IFS(BC177="Reasonable Assurance",5, BC177="Limited Assurance",3, TRUE,0)
  - IF(AND(Z177="Yes", AI177="No"), 10, 0)
  - IF(AND(Z177="Yes", AM177="No"), 10, 0)
))</f>
        <v>0</v>
      </c>
      <c r="AS177" s="5"/>
      <c r="AT177" s="5"/>
      <c r="AU177" s="5"/>
      <c r="AV177" s="5"/>
      <c r="AW177" s="5"/>
      <c r="AX177" s="5"/>
      <c r="AY177" s="5"/>
      <c r="AZ177" s="5"/>
      <c r="BA177" s="5"/>
      <c r="BB177" s="5"/>
      <c r="BC177" s="5"/>
      <c r="BD177" s="5"/>
      <c r="BE177" s="39">
        <f t="array" ref="BE177">MIN(100, MAX(0,
  IFERROR(_xlfn.XLOOKUP(AT177,'Lookup Tables'!$D$2:$D$6,'Lookup Tables'!$E$2:$E$6,0),0)
  + IFERROR(_xlfn.XLOOKUP(AV177,'Lookup Tables'!$G$2:$G$5,'Lookup Tables'!$H$2:$H$5,0),0)
  + IFERROR(_xlfn.XLOOKUP(AW177,'Lookup Tables'!$J$2:$J$5,'Lookup Tables'!$K$2:$K$5,0),0)
  + _xlfn.IFS(AX177="No Issues",10, AX177="Complaint Filed",3, AX177="Confirmed Breach",-15, TRUE,0)
  + IFERROR(_xlfn.XLOOKUP(AY177,'Lookup Tables'!$M$2:$M$6,'Lookup Tables'!$N$2:$N$6,0),0)
  + IFERROR(_xlfn.XLOOKUP(AZ177,'Lookup Tables'!$P$2:$P$6,'Lookup Tables'!$Q$2:$Q$6,0),0)
  + _xlfn.IFS(BA177="Formal Board Committee",5, BA177="Board Oversight Mentioned",2, TRUE,0)
  + _xlfn.IFS(BB177="Yes — Quantified Targets",5, BB177="Yes — Discretionary Only",2, TRUE,0)
  + _xlfn.IFS(BC177="Reasonable Assurance",5, BC177="Limited Assurance",3, BC177="Management Review Only",1, TRUE,0)
))</f>
        <v>0</v>
      </c>
      <c r="BF177" s="5"/>
      <c r="BG177" s="5"/>
      <c r="BH177" s="5"/>
      <c r="BI177" s="5"/>
      <c r="BJ177" s="5"/>
      <c r="BK177" s="5"/>
      <c r="BL177" s="5"/>
      <c r="BM177" s="5"/>
      <c r="BN177" s="5"/>
      <c r="BO177" s="5"/>
      <c r="BP177" s="5"/>
      <c r="BQ177" s="5"/>
      <c r="BR177" s="5"/>
      <c r="BS177" s="41">
        <f t="array" ref="BS177">MIN(100, MAX(0,
  IFERROR(_xlfn.XLOOKUP(BG177,'Lookup Tables'!$A$11:$A$16,'Lookup Tables'!$B$11:$B$16,0),0)
  + IFERROR(_xlfn.XLOOKUP(BR177,'Lookup Tables'!$M$11:$M$14,'Lookup Tables'!$N$11:$N$14,0),0)
  + IFERROR(_xlfn.XLOOKUP(BQ177,'Lookup Tables'!$J$11:$J$15,'Lookup Tables'!$K$11:$K$15,0),0)
  + IFERROR(_xlfn.XLOOKUP(BH177,'Lookup Tables'!$D$11:$D$15,'Lookup Tables'!$E$11:$E$15,0),0)
  + IFERROR(_xlfn.XLOOKUP(BJ177,'Lookup Tables'!$G$11:$G$16,'Lookup Tables'!$H$11:$H$16,0),0)
  + IFERROR(_xlfn.XLOOKUP(BN177,'Lookup Tables'!$P$11:$P$15,'Lookup Tables'!$Q$11:$Q$15,0),0)
  + _xlfn.IFS(BM177="No Evidence",10, BM177="Unknown",3, BM177="Likely",0, BM177="Confirmed",-10, TRUE,3)
  + IFERROR(_xlfn.XLOOKUP(BP177,'Lookup Tables'!$J$21:$J$24,'Lookup Tables'!$K$21:$K$24,0),0)
))</f>
        <v>3</v>
      </c>
      <c r="BT177" s="5"/>
      <c r="BU177" s="5"/>
      <c r="BV177" s="5"/>
      <c r="BW177" s="5"/>
      <c r="BX177" s="5"/>
      <c r="BY177" s="5"/>
      <c r="BZ177" s="5"/>
      <c r="CA177" s="5"/>
      <c r="CB177" s="5"/>
      <c r="CC177" s="5"/>
      <c r="CD177" s="5"/>
      <c r="CE177" s="43">
        <f t="array" ref="CE177">MIN(100, MAX(0,
  IF(ISNUMBER(BV177)*AND(BV177&gt;0), 10, 0)
  + _xlfn.IFS(BY177="Independently Verified",25, BY177="Yes",15, TRUE,0)
  + IFERROR(_xlfn.XLOOKUP(BZ177,'Lookup Tables'!$A$21:$A$24,'Lookup Tables'!$B$21:$B$24,0),0)
  + IFERROR(_xlfn.XLOOKUP(CA177,'Lookup Tables'!$D$21:$D$24,'Lookup Tables'!$E$21:$E$24,0),0)
  + _xlfn.IFS(ISNUMBER(CB177)*AND(CB177&gt;=11),15, ISNUMBER(CB177)*AND(CB177&gt;=6),10, ISNUMBER(CB177)*AND(CB177&gt;=1),5, TRUE,0)
  + IFERROR(_xlfn.XLOOKUP(CC177,'Lookup Tables'!$G$21:$G$25,'Lookup Tables'!$H$21:$H$25,0),0)
  - IF(ISNUMBER(BW177)*AND(ISNUMBER(BV177))*AND(BW177&gt;BV177), 20, 0)
  - IF(AND(BY177="Yes", ISNUMBER(BW177), BW177&gt;60), 10, 0)
))</f>
        <v>0</v>
      </c>
      <c r="CF177" s="5"/>
      <c r="CG177" s="5"/>
      <c r="CH177" s="5"/>
      <c r="CI177" s="5"/>
      <c r="CJ177" s="5"/>
      <c r="CK177" s="5"/>
      <c r="CL177" s="5"/>
      <c r="CM177" s="5"/>
      <c r="CN177" s="5"/>
      <c r="CO177" s="5"/>
      <c r="CP177" s="5"/>
      <c r="CQ177" s="5"/>
      <c r="CR177" s="5">
        <f t="shared" si="103"/>
        <v>0</v>
      </c>
      <c r="CS177" s="5">
        <f t="shared" si="104"/>
        <v>0</v>
      </c>
      <c r="CT177" s="5">
        <f t="shared" si="105"/>
        <v>0</v>
      </c>
      <c r="CU177" s="5">
        <f>MIN(100,
  CR177*15
  + CS177*6
  + CT177*3
  + IFERROR(_xlfn.XLOOKUP(CW177,'Lookup Tables'!$M$21:$M$25,'Lookup Tables'!$N$21:$N$25,0),0)
)</f>
        <v>0</v>
      </c>
      <c r="CV177" s="5" t="str">
        <f t="shared" si="106"/>
        <v>No failures</v>
      </c>
      <c r="CW177" s="5"/>
      <c r="CX177" s="5"/>
      <c r="CY177" s="5"/>
      <c r="CZ177" s="5"/>
      <c r="DA177" s="5" t="str">
        <f t="shared" si="107"/>
        <v>Yes</v>
      </c>
      <c r="DB177" s="5" t="str">
        <f t="shared" si="108"/>
        <v>No</v>
      </c>
      <c r="DC177" s="5"/>
      <c r="DD177" s="5"/>
      <c r="DE177" s="5"/>
      <c r="DF177" s="5"/>
      <c r="DG177" s="5"/>
      <c r="DH177" s="5"/>
      <c r="DI177" s="5"/>
      <c r="DJ177" s="5"/>
      <c r="DK177" s="5"/>
      <c r="DL177" s="5" t="str">
        <f t="shared" si="109"/>
        <v>Clear</v>
      </c>
      <c r="DM177" s="5" t="str">
        <f t="shared" si="110"/>
        <v>Yes</v>
      </c>
      <c r="DN177" s="5">
        <f t="array" ref="DN177">MIN(100,
  IF(ISNUMBER(V177), _xlfn.IFS(V177&gt;=3,25, V177=2,15, V177=1,5, TRUE,0), 0)
  + IFERROR(_xlfn.IFS(VALUE(LEFT(DF177,1))=5,25, VALUE(LEFT(DF177,1))=4,20, VALUE(LEFT(DF177,1))=3,15, VALUE(LEFT(DF177,1))=2,8, TRUE,0), 15)
  + IFERROR(_xlfn.IFS(VALUE(LEFT(DG177,1))=5,25, VALUE(LEFT(DG177,1))=4,20, VALUE(LEFT(DG177,1))=3,15, VALUE(LEFT(DG177,1))=2,8, TRUE,0), 15)
  + _xlfn.IFS(DH177="Fully Verified",25, DH177="Partially Verified",12, TRUE,0)
)</f>
        <v>30</v>
      </c>
      <c r="DO177" s="5" t="str">
        <f t="array" ref="DO177">_xlfn.IFS(
  ISBLANK(AR177), "Insufficient Evidence",
  AND(AR177&gt;=65, AJ177="Approved"), "Strong",
  AR177&gt;=65, "Adequate",
  AR177&gt;=40, "Adequate",
  AR177&gt;=20, "Weak",
  TRUE, "Insufficient Evidence"
)</f>
        <v>Insufficient Evidence</v>
      </c>
      <c r="DP177" s="5" t="str">
        <f t="array" ref="DP177">_xlfn.IFS(
  ISBLANK(BS177), "Insufficient Evidence",
  BS177&gt;=65, "Strong",
  BS177&gt;=40, "Adequate",
  BS177&gt;=20, "Weak",
  TRUE, "Insufficient Evidence"
)</f>
        <v>Insufficient Evidence</v>
      </c>
      <c r="DQ177" s="5" t="str">
        <f t="array" ref="DQ177">_xlfn.IFS(
  ISBLANK(BE177), "Insufficient Evidence",
  OR(AW177="Confirmed Violation", AX177="Confirmed Breach"), "Severe — Hard Trigger",
  BE177&gt;=65, "Strong",
  BE177&gt;=40, "Adequate",
  BE177&gt;=20, "Weak",
  TRUE, "Insufficient Evidence"
)</f>
        <v>Insufficient Evidence</v>
      </c>
      <c r="DR177" s="5" t="str">
        <f t="array" ref="DR177">_xlfn.IFS(
  ISBLANK(CU177), "Insufficient Evidence",
  CU177&lt;=20, "Low Risk",
  CU177&lt;=50, "Moderate Risk",
  CU177&lt;=75, "High Risk",
  TRUE, "Very High Risk"
)</f>
        <v>Low Risk</v>
      </c>
      <c r="DS177" s="5" t="str">
        <f t="array" ref="DS177">_xlfn.IFS(
  ISBLANK(CE177), "Insufficient Evidence",
  AND(ISNUMBER(BW177),ISNUMBER(BV177),BW177&gt;BV177), "Overclaiming Risk",
  CE177&gt;=65, "Strong",
  CE177&gt;=40, "Adequate",
  TRUE, "Weak"
)</f>
        <v>Weak</v>
      </c>
      <c r="DT177" s="5">
        <f t="shared" si="111"/>
        <v>11.7</v>
      </c>
      <c r="DU177" s="5" t="str">
        <f t="array" ref="DU177">_xlfn.IFS(
  DV177="Upgraded to Clear", "Clear",
  DV177="Downgraded to Watchlist", "Watchlist",
  DV177="Downgraded to Exclusion", "Exclusion Risk",
  DB177="Yes — Automatic", "Exclusion Risk",
  OR(AW177="Confirmed Violation", AX177="Confirmed Breach"), "Exclusion Risk",
  OR(V177=0, ISBLANK(V177), DN177&lt;20), "Insufficient Evidence",
  AND(DT177&gt;=65, DA177="No", DB177="No"), "Clear",
  OR(DT177&gt;=40, DA177="Yes"), "Watchlist",
  TRUE, "Exclusion Risk"
)</f>
        <v>Insufficient Evidence</v>
      </c>
      <c r="DV177" s="5"/>
      <c r="DW177" s="5" t="str">
        <f t="array" ref="DW177">_xlfn.IFS(
  DU177="Exclusion Risk", "Exclude — Hard Trigger",
  DU177="Insufficient Evidence", "Watchlist — Further Evidence Needed",
  DU177="Watchlist", "Watchlist — Further Evidence Needed",
  AND(DU177="Clear", DT177&gt;=80), "Include — No Conditions",
  DU177="Clear", "Include — Monitor",
  TRUE, "Watchlist — Further Evidence Needed"
)</f>
        <v>Watchlist — Further Evidence Needed</v>
      </c>
      <c r="DX177" s="5"/>
      <c r="DY177" s="5"/>
      <c r="DZ177" s="5"/>
      <c r="EA177" s="5"/>
      <c r="EB177" s="5" t="str">
        <f t="shared" si="112"/>
        <v>MISSING — No sources reviewed</v>
      </c>
      <c r="EC177" s="5" t="str">
        <f t="shared" si="113"/>
        <v/>
      </c>
    </row>
    <row r="178" spans="1:133" ht="18" customHeight="1" x14ac:dyDescent="0.15">
      <c r="A178" s="5" t="s">
        <v>910</v>
      </c>
      <c r="B178" s="5" t="s">
        <v>911</v>
      </c>
      <c r="C178" s="5" t="str">
        <f>IF(ISBLANK('Universe Tracker'!D153),"",'Universe Tracker'!D153)</f>
        <v>GB0004300496</v>
      </c>
      <c r="D178" s="5"/>
      <c r="E178" s="5"/>
      <c r="F178" s="5" t="str">
        <f>IF(ISBLANK('Universe Tracker'!F153),"",'Universe Tracker'!F153)</f>
        <v>Materials</v>
      </c>
      <c r="G178" s="5" t="str">
        <f>IF(ISBLANK('Universe Tracker'!G153),"",'Universe Tracker'!G153)</f>
        <v>Materials</v>
      </c>
      <c r="H178" s="5"/>
      <c r="I178" s="5"/>
      <c r="J178" s="5" t="str">
        <f t="shared" si="101"/>
        <v>RTZ_GB0004300496</v>
      </c>
      <c r="K178" s="5"/>
      <c r="L178" s="5"/>
      <c r="M178" s="5"/>
      <c r="N178" s="5"/>
      <c r="O178" s="5"/>
      <c r="P178" s="5"/>
      <c r="Q178" s="5"/>
      <c r="R178" s="5"/>
      <c r="S178" s="5"/>
      <c r="T178" s="5"/>
      <c r="U178" s="5"/>
      <c r="V178" s="5"/>
      <c r="W178" s="5"/>
      <c r="X178" s="5"/>
      <c r="Y178" s="5" t="str">
        <f t="shared" si="102"/>
        <v>Insufficient</v>
      </c>
      <c r="Z178" s="5"/>
      <c r="AA178" s="5"/>
      <c r="AB178" s="5"/>
      <c r="AC178" s="5"/>
      <c r="AD178" s="5"/>
      <c r="AE178" s="5"/>
      <c r="AF178" s="5"/>
      <c r="AG178" s="5"/>
      <c r="AH178" s="5"/>
      <c r="AI178" s="5"/>
      <c r="AJ178" s="5"/>
      <c r="AK178" s="5"/>
      <c r="AL178" s="5"/>
      <c r="AM178" s="5"/>
      <c r="AN178" s="5"/>
      <c r="AO178" s="5"/>
      <c r="AP178" s="5"/>
      <c r="AQ178" s="5"/>
      <c r="AR178" s="40">
        <f t="array" ref="AR178">MIN(100, MAX(0,
  IFERROR(_xlfn.XLOOKUP(AJ178,'Lookup Tables'!$A$2:$A$7,'Lookup Tables'!$B$2:$B$7,0),0)
  + IF(Z178="Yes", IF(IFERROR(_xlfn.XLOOKUP(AJ178,'Lookup Tables'!$A$2:$A$7,'Lookup Tables'!$B$2:$B$7,0),0)&lt;20, 5, 0), 0)
  + _xlfn.IFS(AB178="Yes", IF(ISNUMBER(AC178)*AND(AC178&lt;=2030),15,10), AB178="Long-term Only", 5, AB178="No", 0, TRUE, 0)
  + _xlfn.IFS(AF178="Full",10, AF178="Partial",5, AF178="Scope 2 Only",3, TRUE,0)
  + _xlfn.IFS(AG178="Yes", IF(ISNUMBER(AH178)*AND(AH178&gt;=5),10,6), AG178="Partial",4, TRUE,0)
  + _xlfn.IFS(AI178="Yes",5, AI178="Partial (material categories only)",3, TRUE,0)
  + _xlfn.IFS(AL178="Yes — Detailed",10, AL178="Yes — High Level",5, TRUE,0)
  + _xlfn.IFS(AM178="Yes — Quantified",15, AM178="Yes — Directional Only",7, TRUE,0)
  + _xlfn.IFS(AP178="Formal",5, AP178="Referenced",2, TRUE,0)
  + _xlfn.IFS(AQ178="No Issues Found",5, AQ178="Concern Identified",-5, AQ178="Severe Contradiction",-15, TRUE,0)
  + _xlfn.IFS(BC178="Reasonable Assurance",5, BC178="Limited Assurance",3, TRUE,0)
  - IF(AND(Z178="Yes", AI178="No"), 10, 0)
  - IF(AND(Z178="Yes", AM178="No"), 10, 0)
))</f>
        <v>0</v>
      </c>
      <c r="AS178" s="5"/>
      <c r="AT178" s="5"/>
      <c r="AU178" s="5"/>
      <c r="AV178" s="5"/>
      <c r="AW178" s="5"/>
      <c r="AX178" s="5"/>
      <c r="AY178" s="5"/>
      <c r="AZ178" s="5"/>
      <c r="BA178" s="5"/>
      <c r="BB178" s="5"/>
      <c r="BC178" s="5"/>
      <c r="BD178" s="5"/>
      <c r="BE178" s="39">
        <f t="array" ref="BE178">MIN(100, MAX(0,
  IFERROR(_xlfn.XLOOKUP(AT178,'Lookup Tables'!$D$2:$D$6,'Lookup Tables'!$E$2:$E$6,0),0)
  + IFERROR(_xlfn.XLOOKUP(AV178,'Lookup Tables'!$G$2:$G$5,'Lookup Tables'!$H$2:$H$5,0),0)
  + IFERROR(_xlfn.XLOOKUP(AW178,'Lookup Tables'!$J$2:$J$5,'Lookup Tables'!$K$2:$K$5,0),0)
  + _xlfn.IFS(AX178="No Issues",10, AX178="Complaint Filed",3, AX178="Confirmed Breach",-15, TRUE,0)
  + IFERROR(_xlfn.XLOOKUP(AY178,'Lookup Tables'!$M$2:$M$6,'Lookup Tables'!$N$2:$N$6,0),0)
  + IFERROR(_xlfn.XLOOKUP(AZ178,'Lookup Tables'!$P$2:$P$6,'Lookup Tables'!$Q$2:$Q$6,0),0)
  + _xlfn.IFS(BA178="Formal Board Committee",5, BA178="Board Oversight Mentioned",2, TRUE,0)
  + _xlfn.IFS(BB178="Yes — Quantified Targets",5, BB178="Yes — Discretionary Only",2, TRUE,0)
  + _xlfn.IFS(BC178="Reasonable Assurance",5, BC178="Limited Assurance",3, BC178="Management Review Only",1, TRUE,0)
))</f>
        <v>0</v>
      </c>
      <c r="BF178" s="5"/>
      <c r="BG178" s="5"/>
      <c r="BH178" s="5"/>
      <c r="BI178" s="5"/>
      <c r="BJ178" s="5"/>
      <c r="BK178" s="5"/>
      <c r="BL178" s="5"/>
      <c r="BM178" s="5"/>
      <c r="BN178" s="5"/>
      <c r="BO178" s="5"/>
      <c r="BP178" s="5"/>
      <c r="BQ178" s="5"/>
      <c r="BR178" s="5"/>
      <c r="BS178" s="41">
        <f t="array" ref="BS178">MIN(100, MAX(0,
  IFERROR(_xlfn.XLOOKUP(BG178,'Lookup Tables'!$A$11:$A$16,'Lookup Tables'!$B$11:$B$16,0),0)
  + IFERROR(_xlfn.XLOOKUP(BR178,'Lookup Tables'!$M$11:$M$14,'Lookup Tables'!$N$11:$N$14,0),0)
  + IFERROR(_xlfn.XLOOKUP(BQ178,'Lookup Tables'!$J$11:$J$15,'Lookup Tables'!$K$11:$K$15,0),0)
  + IFERROR(_xlfn.XLOOKUP(BH178,'Lookup Tables'!$D$11:$D$15,'Lookup Tables'!$E$11:$E$15,0),0)
  + IFERROR(_xlfn.XLOOKUP(BJ178,'Lookup Tables'!$G$11:$G$16,'Lookup Tables'!$H$11:$H$16,0),0)
  + IFERROR(_xlfn.XLOOKUP(BN178,'Lookup Tables'!$P$11:$P$15,'Lookup Tables'!$Q$11:$Q$15,0),0)
  + _xlfn.IFS(BM178="No Evidence",10, BM178="Unknown",3, BM178="Likely",0, BM178="Confirmed",-10, TRUE,3)
  + IFERROR(_xlfn.XLOOKUP(BP178,'Lookup Tables'!$J$21:$J$24,'Lookup Tables'!$K$21:$K$24,0),0)
))</f>
        <v>3</v>
      </c>
      <c r="BT178" s="5"/>
      <c r="BU178" s="5"/>
      <c r="BV178" s="5"/>
      <c r="BW178" s="5"/>
      <c r="BX178" s="5"/>
      <c r="BY178" s="5"/>
      <c r="BZ178" s="5"/>
      <c r="CA178" s="5"/>
      <c r="CB178" s="5"/>
      <c r="CC178" s="5"/>
      <c r="CD178" s="5"/>
      <c r="CE178" s="43">
        <f t="array" ref="CE178">MIN(100, MAX(0,
  IF(ISNUMBER(BV178)*AND(BV178&gt;0), 10, 0)
  + _xlfn.IFS(BY178="Independently Verified",25, BY178="Yes",15, TRUE,0)
  + IFERROR(_xlfn.XLOOKUP(BZ178,'Lookup Tables'!$A$21:$A$24,'Lookup Tables'!$B$21:$B$24,0),0)
  + IFERROR(_xlfn.XLOOKUP(CA178,'Lookup Tables'!$D$21:$D$24,'Lookup Tables'!$E$21:$E$24,0),0)
  + _xlfn.IFS(ISNUMBER(CB178)*AND(CB178&gt;=11),15, ISNUMBER(CB178)*AND(CB178&gt;=6),10, ISNUMBER(CB178)*AND(CB178&gt;=1),5, TRUE,0)
  + IFERROR(_xlfn.XLOOKUP(CC178,'Lookup Tables'!$G$21:$G$25,'Lookup Tables'!$H$21:$H$25,0),0)
  - IF(ISNUMBER(BW178)*AND(ISNUMBER(BV178))*AND(BW178&gt;BV178), 20, 0)
  - IF(AND(BY178="Yes", ISNUMBER(BW178), BW178&gt;60), 10, 0)
))</f>
        <v>0</v>
      </c>
      <c r="CF178" s="5"/>
      <c r="CG178" s="5"/>
      <c r="CH178" s="5"/>
      <c r="CI178" s="5"/>
      <c r="CJ178" s="5"/>
      <c r="CK178" s="5"/>
      <c r="CL178" s="5"/>
      <c r="CM178" s="5"/>
      <c r="CN178" s="5"/>
      <c r="CO178" s="5"/>
      <c r="CP178" s="5"/>
      <c r="CQ178" s="5"/>
      <c r="CR178" s="5">
        <f t="shared" si="103"/>
        <v>0</v>
      </c>
      <c r="CS178" s="5">
        <f t="shared" si="104"/>
        <v>0</v>
      </c>
      <c r="CT178" s="5">
        <f t="shared" si="105"/>
        <v>0</v>
      </c>
      <c r="CU178" s="5">
        <f>MIN(100,
  CR178*15
  + CS178*6
  + CT178*3
  + IFERROR(_xlfn.XLOOKUP(CW178,'Lookup Tables'!$M$21:$M$25,'Lookup Tables'!$N$21:$N$25,0),0)
)</f>
        <v>0</v>
      </c>
      <c r="CV178" s="5" t="str">
        <f t="shared" si="106"/>
        <v>No failures</v>
      </c>
      <c r="CW178" s="5"/>
      <c r="CX178" s="5"/>
      <c r="CY178" s="5"/>
      <c r="CZ178" s="5"/>
      <c r="DA178" s="5" t="str">
        <f t="shared" si="107"/>
        <v>Yes</v>
      </c>
      <c r="DB178" s="5" t="str">
        <f t="shared" si="108"/>
        <v>No</v>
      </c>
      <c r="DC178" s="5"/>
      <c r="DD178" s="5"/>
      <c r="DE178" s="5"/>
      <c r="DF178" s="5"/>
      <c r="DG178" s="5"/>
      <c r="DH178" s="5"/>
      <c r="DI178" s="5"/>
      <c r="DJ178" s="5"/>
      <c r="DK178" s="5"/>
      <c r="DL178" s="5" t="str">
        <f t="shared" si="109"/>
        <v>Clear</v>
      </c>
      <c r="DM178" s="5" t="str">
        <f t="shared" si="110"/>
        <v>Yes</v>
      </c>
      <c r="DN178" s="5">
        <f t="array" ref="DN178">MIN(100,
  IF(ISNUMBER(V178), _xlfn.IFS(V178&gt;=3,25, V178=2,15, V178=1,5, TRUE,0), 0)
  + IFERROR(_xlfn.IFS(VALUE(LEFT(DF178,1))=5,25, VALUE(LEFT(DF178,1))=4,20, VALUE(LEFT(DF178,1))=3,15, VALUE(LEFT(DF178,1))=2,8, TRUE,0), 15)
  + IFERROR(_xlfn.IFS(VALUE(LEFT(DG178,1))=5,25, VALUE(LEFT(DG178,1))=4,20, VALUE(LEFT(DG178,1))=3,15, VALUE(LEFT(DG178,1))=2,8, TRUE,0), 15)
  + _xlfn.IFS(DH178="Fully Verified",25, DH178="Partially Verified",12, TRUE,0)
)</f>
        <v>30</v>
      </c>
      <c r="DO178" s="5" t="str">
        <f t="array" ref="DO178">_xlfn.IFS(
  ISBLANK(AR178), "Insufficient Evidence",
  AND(AR178&gt;=65, AJ178="Approved"), "Strong",
  AR178&gt;=65, "Adequate",
  AR178&gt;=40, "Adequate",
  AR178&gt;=20, "Weak",
  TRUE, "Insufficient Evidence"
)</f>
        <v>Insufficient Evidence</v>
      </c>
      <c r="DP178" s="5" t="str">
        <f t="array" ref="DP178">_xlfn.IFS(
  ISBLANK(BS178), "Insufficient Evidence",
  BS178&gt;=65, "Strong",
  BS178&gt;=40, "Adequate",
  BS178&gt;=20, "Weak",
  TRUE, "Insufficient Evidence"
)</f>
        <v>Insufficient Evidence</v>
      </c>
      <c r="DQ178" s="5" t="str">
        <f t="array" ref="DQ178">_xlfn.IFS(
  ISBLANK(BE178), "Insufficient Evidence",
  OR(AW178="Confirmed Violation", AX178="Confirmed Breach"), "Severe — Hard Trigger",
  BE178&gt;=65, "Strong",
  BE178&gt;=40, "Adequate",
  BE178&gt;=20, "Weak",
  TRUE, "Insufficient Evidence"
)</f>
        <v>Insufficient Evidence</v>
      </c>
      <c r="DR178" s="5" t="str">
        <f t="array" ref="DR178">_xlfn.IFS(
  ISBLANK(CU178), "Insufficient Evidence",
  CU178&lt;=20, "Low Risk",
  CU178&lt;=50, "Moderate Risk",
  CU178&lt;=75, "High Risk",
  TRUE, "Very High Risk"
)</f>
        <v>Low Risk</v>
      </c>
      <c r="DS178" s="5" t="str">
        <f t="array" ref="DS178">_xlfn.IFS(
  ISBLANK(CE178), "Insufficient Evidence",
  AND(ISNUMBER(BW178),ISNUMBER(BV178),BW178&gt;BV178), "Overclaiming Risk",
  CE178&gt;=65, "Strong",
  CE178&gt;=40, "Adequate",
  TRUE, "Weak"
)</f>
        <v>Weak</v>
      </c>
      <c r="DT178" s="5">
        <f t="shared" si="111"/>
        <v>11.7</v>
      </c>
      <c r="DU178" s="5" t="str">
        <f t="array" ref="DU178">_xlfn.IFS(
  DV178="Upgraded to Clear", "Clear",
  DV178="Downgraded to Watchlist", "Watchlist",
  DV178="Downgraded to Exclusion", "Exclusion Risk",
  DB178="Yes — Automatic", "Exclusion Risk",
  OR(AW178="Confirmed Violation", AX178="Confirmed Breach"), "Exclusion Risk",
  OR(V178=0, ISBLANK(V178), DN178&lt;20), "Insufficient Evidence",
  AND(DT178&gt;=65, DA178="No", DB178="No"), "Clear",
  OR(DT178&gt;=40, DA178="Yes"), "Watchlist",
  TRUE, "Exclusion Risk"
)</f>
        <v>Insufficient Evidence</v>
      </c>
      <c r="DV178" s="5"/>
      <c r="DW178" s="5" t="str">
        <f t="array" ref="DW178">_xlfn.IFS(
  DU178="Exclusion Risk", "Exclude — Hard Trigger",
  DU178="Insufficient Evidence", "Watchlist — Further Evidence Needed",
  DU178="Watchlist", "Watchlist — Further Evidence Needed",
  AND(DU178="Clear", DT178&gt;=80), "Include — No Conditions",
  DU178="Clear", "Include — Monitor",
  TRUE, "Watchlist — Further Evidence Needed"
)</f>
        <v>Watchlist — Further Evidence Needed</v>
      </c>
      <c r="DX178" s="5"/>
      <c r="DY178" s="5"/>
      <c r="DZ178" s="5"/>
      <c r="EA178" s="5"/>
      <c r="EB178" s="5" t="str">
        <f t="shared" si="112"/>
        <v>MISSING — No sources reviewed</v>
      </c>
      <c r="EC178" s="5" t="str">
        <f t="shared" si="113"/>
        <v/>
      </c>
    </row>
    <row r="179" spans="1:133" ht="18" customHeight="1" x14ac:dyDescent="0.15">
      <c r="A179" s="5" t="s">
        <v>914</v>
      </c>
      <c r="B179" s="5" t="s">
        <v>915</v>
      </c>
      <c r="C179" s="5" t="str">
        <f>IF(ISBLANK('Universe Tracker'!D154),"",'Universe Tracker'!D154)</f>
        <v>GB00B1FW5029</v>
      </c>
      <c r="D179" s="5"/>
      <c r="E179" s="5"/>
      <c r="F179" s="5" t="str">
        <f>IF(ISBLANK('Universe Tracker'!F154),"",'Universe Tracker'!F154)</f>
        <v>Materials</v>
      </c>
      <c r="G179" s="5" t="str">
        <f>IF(ISBLANK('Universe Tracker'!G154),"",'Universe Tracker'!G154)</f>
        <v>Materials</v>
      </c>
      <c r="H179" s="5"/>
      <c r="I179" s="5"/>
      <c r="J179" s="5" t="str">
        <f t="shared" si="101"/>
        <v>H3M_GB00B1FW5029</v>
      </c>
      <c r="K179" s="5"/>
      <c r="L179" s="5"/>
      <c r="M179" s="5"/>
      <c r="N179" s="5"/>
      <c r="O179" s="5"/>
      <c r="P179" s="5"/>
      <c r="Q179" s="5"/>
      <c r="R179" s="5"/>
      <c r="S179" s="5"/>
      <c r="T179" s="5"/>
      <c r="U179" s="5"/>
      <c r="V179" s="5"/>
      <c r="W179" s="5"/>
      <c r="X179" s="5"/>
      <c r="Y179" s="5" t="str">
        <f t="shared" si="102"/>
        <v>Insufficient</v>
      </c>
      <c r="Z179" s="5"/>
      <c r="AA179" s="5"/>
      <c r="AB179" s="5"/>
      <c r="AC179" s="5"/>
      <c r="AD179" s="5"/>
      <c r="AE179" s="5"/>
      <c r="AF179" s="5"/>
      <c r="AG179" s="5"/>
      <c r="AH179" s="5"/>
      <c r="AI179" s="5"/>
      <c r="AJ179" s="5"/>
      <c r="AK179" s="5"/>
      <c r="AL179" s="5"/>
      <c r="AM179" s="5"/>
      <c r="AN179" s="5"/>
      <c r="AO179" s="5"/>
      <c r="AP179" s="5"/>
      <c r="AQ179" s="5"/>
      <c r="AR179" s="40">
        <f t="array" ref="AR179">MIN(100, MAX(0,
  IFERROR(_xlfn.XLOOKUP(AJ179,'Lookup Tables'!$A$2:$A$7,'Lookup Tables'!$B$2:$B$7,0),0)
  + IF(Z179="Yes", IF(IFERROR(_xlfn.XLOOKUP(AJ179,'Lookup Tables'!$A$2:$A$7,'Lookup Tables'!$B$2:$B$7,0),0)&lt;20, 5, 0), 0)
  + _xlfn.IFS(AB179="Yes", IF(ISNUMBER(AC179)*AND(AC179&lt;=2030),15,10), AB179="Long-term Only", 5, AB179="No", 0, TRUE, 0)
  + _xlfn.IFS(AF179="Full",10, AF179="Partial",5, AF179="Scope 2 Only",3, TRUE,0)
  + _xlfn.IFS(AG179="Yes", IF(ISNUMBER(AH179)*AND(AH179&gt;=5),10,6), AG179="Partial",4, TRUE,0)
  + _xlfn.IFS(AI179="Yes",5, AI179="Partial (material categories only)",3, TRUE,0)
  + _xlfn.IFS(AL179="Yes — Detailed",10, AL179="Yes — High Level",5, TRUE,0)
  + _xlfn.IFS(AM179="Yes — Quantified",15, AM179="Yes — Directional Only",7, TRUE,0)
  + _xlfn.IFS(AP179="Formal",5, AP179="Referenced",2, TRUE,0)
  + _xlfn.IFS(AQ179="No Issues Found",5, AQ179="Concern Identified",-5, AQ179="Severe Contradiction",-15, TRUE,0)
  + _xlfn.IFS(BC179="Reasonable Assurance",5, BC179="Limited Assurance",3, TRUE,0)
  - IF(AND(Z179="Yes", AI179="No"), 10, 0)
  - IF(AND(Z179="Yes", AM179="No"), 10, 0)
))</f>
        <v>0</v>
      </c>
      <c r="AS179" s="5"/>
      <c r="AT179" s="5"/>
      <c r="AU179" s="5"/>
      <c r="AV179" s="5"/>
      <c r="AW179" s="5"/>
      <c r="AX179" s="5"/>
      <c r="AY179" s="5"/>
      <c r="AZ179" s="5"/>
      <c r="BA179" s="5"/>
      <c r="BB179" s="5"/>
      <c r="BC179" s="5"/>
      <c r="BD179" s="5"/>
      <c r="BE179" s="39">
        <f t="array" ref="BE179">MIN(100, MAX(0,
  IFERROR(_xlfn.XLOOKUP(AT179,'Lookup Tables'!$D$2:$D$6,'Lookup Tables'!$E$2:$E$6,0),0)
  + IFERROR(_xlfn.XLOOKUP(AV179,'Lookup Tables'!$G$2:$G$5,'Lookup Tables'!$H$2:$H$5,0),0)
  + IFERROR(_xlfn.XLOOKUP(AW179,'Lookup Tables'!$J$2:$J$5,'Lookup Tables'!$K$2:$K$5,0),0)
  + _xlfn.IFS(AX179="No Issues",10, AX179="Complaint Filed",3, AX179="Confirmed Breach",-15, TRUE,0)
  + IFERROR(_xlfn.XLOOKUP(AY179,'Lookup Tables'!$M$2:$M$6,'Lookup Tables'!$N$2:$N$6,0),0)
  + IFERROR(_xlfn.XLOOKUP(AZ179,'Lookup Tables'!$P$2:$P$6,'Lookup Tables'!$Q$2:$Q$6,0),0)
  + _xlfn.IFS(BA179="Formal Board Committee",5, BA179="Board Oversight Mentioned",2, TRUE,0)
  + _xlfn.IFS(BB179="Yes — Quantified Targets",5, BB179="Yes — Discretionary Only",2, TRUE,0)
  + _xlfn.IFS(BC179="Reasonable Assurance",5, BC179="Limited Assurance",3, BC179="Management Review Only",1, TRUE,0)
))</f>
        <v>0</v>
      </c>
      <c r="BF179" s="5"/>
      <c r="BG179" s="5"/>
      <c r="BH179" s="5"/>
      <c r="BI179" s="5"/>
      <c r="BJ179" s="5"/>
      <c r="BK179" s="5"/>
      <c r="BL179" s="5"/>
      <c r="BM179" s="5"/>
      <c r="BN179" s="5"/>
      <c r="BO179" s="5"/>
      <c r="BP179" s="5"/>
      <c r="BQ179" s="5"/>
      <c r="BR179" s="5"/>
      <c r="BS179" s="41">
        <f t="array" ref="BS179">MIN(100, MAX(0,
  IFERROR(_xlfn.XLOOKUP(BG179,'Lookup Tables'!$A$11:$A$16,'Lookup Tables'!$B$11:$B$16,0),0)
  + IFERROR(_xlfn.XLOOKUP(BR179,'Lookup Tables'!$M$11:$M$14,'Lookup Tables'!$N$11:$N$14,0),0)
  + IFERROR(_xlfn.XLOOKUP(BQ179,'Lookup Tables'!$J$11:$J$15,'Lookup Tables'!$K$11:$K$15,0),0)
  + IFERROR(_xlfn.XLOOKUP(BH179,'Lookup Tables'!$D$11:$D$15,'Lookup Tables'!$E$11:$E$15,0),0)
  + IFERROR(_xlfn.XLOOKUP(BJ179,'Lookup Tables'!$G$11:$G$16,'Lookup Tables'!$H$11:$H$16,0),0)
  + IFERROR(_xlfn.XLOOKUP(BN179,'Lookup Tables'!$P$11:$P$15,'Lookup Tables'!$Q$11:$Q$15,0),0)
  + _xlfn.IFS(BM179="No Evidence",10, BM179="Unknown",3, BM179="Likely",0, BM179="Confirmed",-10, TRUE,3)
  + IFERROR(_xlfn.XLOOKUP(BP179,'Lookup Tables'!$J$21:$J$24,'Lookup Tables'!$K$21:$K$24,0),0)
))</f>
        <v>3</v>
      </c>
      <c r="BT179" s="5"/>
      <c r="BU179" s="5"/>
      <c r="BV179" s="5"/>
      <c r="BW179" s="5"/>
      <c r="BX179" s="5"/>
      <c r="BY179" s="5"/>
      <c r="BZ179" s="5"/>
      <c r="CA179" s="5"/>
      <c r="CB179" s="5"/>
      <c r="CC179" s="5"/>
      <c r="CD179" s="5"/>
      <c r="CE179" s="43">
        <f t="array" ref="CE179">MIN(100, MAX(0,
  IF(ISNUMBER(BV179)*AND(BV179&gt;0), 10, 0)
  + _xlfn.IFS(BY179="Independently Verified",25, BY179="Yes",15, TRUE,0)
  + IFERROR(_xlfn.XLOOKUP(BZ179,'Lookup Tables'!$A$21:$A$24,'Lookup Tables'!$B$21:$B$24,0),0)
  + IFERROR(_xlfn.XLOOKUP(CA179,'Lookup Tables'!$D$21:$D$24,'Lookup Tables'!$E$21:$E$24,0),0)
  + _xlfn.IFS(ISNUMBER(CB179)*AND(CB179&gt;=11),15, ISNUMBER(CB179)*AND(CB179&gt;=6),10, ISNUMBER(CB179)*AND(CB179&gt;=1),5, TRUE,0)
  + IFERROR(_xlfn.XLOOKUP(CC179,'Lookup Tables'!$G$21:$G$25,'Lookup Tables'!$H$21:$H$25,0),0)
  - IF(ISNUMBER(BW179)*AND(ISNUMBER(BV179))*AND(BW179&gt;BV179), 20, 0)
  - IF(AND(BY179="Yes", ISNUMBER(BW179), BW179&gt;60), 10, 0)
))</f>
        <v>0</v>
      </c>
      <c r="CF179" s="5"/>
      <c r="CG179" s="5"/>
      <c r="CH179" s="5"/>
      <c r="CI179" s="5"/>
      <c r="CJ179" s="5"/>
      <c r="CK179" s="5"/>
      <c r="CL179" s="5"/>
      <c r="CM179" s="5"/>
      <c r="CN179" s="5"/>
      <c r="CO179" s="5"/>
      <c r="CP179" s="5"/>
      <c r="CQ179" s="5"/>
      <c r="CR179" s="5">
        <f t="shared" si="103"/>
        <v>0</v>
      </c>
      <c r="CS179" s="5">
        <f t="shared" si="104"/>
        <v>0</v>
      </c>
      <c r="CT179" s="5">
        <f t="shared" si="105"/>
        <v>0</v>
      </c>
      <c r="CU179" s="5">
        <f>MIN(100,
  CR179*15
  + CS179*6
  + CT179*3
  + IFERROR(_xlfn.XLOOKUP(CW179,'Lookup Tables'!$M$21:$M$25,'Lookup Tables'!$N$21:$N$25,0),0)
)</f>
        <v>0</v>
      </c>
      <c r="CV179" s="5" t="str">
        <f t="shared" si="106"/>
        <v>No failures</v>
      </c>
      <c r="CW179" s="5"/>
      <c r="CX179" s="5"/>
      <c r="CY179" s="5"/>
      <c r="CZ179" s="5"/>
      <c r="DA179" s="5" t="str">
        <f t="shared" si="107"/>
        <v>Yes</v>
      </c>
      <c r="DB179" s="5" t="str">
        <f t="shared" si="108"/>
        <v>No</v>
      </c>
      <c r="DC179" s="5"/>
      <c r="DD179" s="5"/>
      <c r="DE179" s="5"/>
      <c r="DF179" s="5"/>
      <c r="DG179" s="5"/>
      <c r="DH179" s="5"/>
      <c r="DI179" s="5"/>
      <c r="DJ179" s="5"/>
      <c r="DK179" s="5"/>
      <c r="DL179" s="5" t="str">
        <f t="shared" si="109"/>
        <v>Clear</v>
      </c>
      <c r="DM179" s="5" t="str">
        <f t="shared" si="110"/>
        <v>Yes</v>
      </c>
      <c r="DN179" s="5">
        <f t="array" ref="DN179">MIN(100,
  IF(ISNUMBER(V179), _xlfn.IFS(V179&gt;=3,25, V179=2,15, V179=1,5, TRUE,0), 0)
  + IFERROR(_xlfn.IFS(VALUE(LEFT(DF179,1))=5,25, VALUE(LEFT(DF179,1))=4,20, VALUE(LEFT(DF179,1))=3,15, VALUE(LEFT(DF179,1))=2,8, TRUE,0), 15)
  + IFERROR(_xlfn.IFS(VALUE(LEFT(DG179,1))=5,25, VALUE(LEFT(DG179,1))=4,20, VALUE(LEFT(DG179,1))=3,15, VALUE(LEFT(DG179,1))=2,8, TRUE,0), 15)
  + _xlfn.IFS(DH179="Fully Verified",25, DH179="Partially Verified",12, TRUE,0)
)</f>
        <v>30</v>
      </c>
      <c r="DO179" s="5" t="str">
        <f t="array" ref="DO179">_xlfn.IFS(
  ISBLANK(AR179), "Insufficient Evidence",
  AND(AR179&gt;=65, AJ179="Approved"), "Strong",
  AR179&gt;=65, "Adequate",
  AR179&gt;=40, "Adequate",
  AR179&gt;=20, "Weak",
  TRUE, "Insufficient Evidence"
)</f>
        <v>Insufficient Evidence</v>
      </c>
      <c r="DP179" s="5" t="str">
        <f t="array" ref="DP179">_xlfn.IFS(
  ISBLANK(BS179), "Insufficient Evidence",
  BS179&gt;=65, "Strong",
  BS179&gt;=40, "Adequate",
  BS179&gt;=20, "Weak",
  TRUE, "Insufficient Evidence"
)</f>
        <v>Insufficient Evidence</v>
      </c>
      <c r="DQ179" s="5" t="str">
        <f t="array" ref="DQ179">_xlfn.IFS(
  ISBLANK(BE179), "Insufficient Evidence",
  OR(AW179="Confirmed Violation", AX179="Confirmed Breach"), "Severe — Hard Trigger",
  BE179&gt;=65, "Strong",
  BE179&gt;=40, "Adequate",
  BE179&gt;=20, "Weak",
  TRUE, "Insufficient Evidence"
)</f>
        <v>Insufficient Evidence</v>
      </c>
      <c r="DR179" s="5" t="str">
        <f t="array" ref="DR179">_xlfn.IFS(
  ISBLANK(CU179), "Insufficient Evidence",
  CU179&lt;=20, "Low Risk",
  CU179&lt;=50, "Moderate Risk",
  CU179&lt;=75, "High Risk",
  TRUE, "Very High Risk"
)</f>
        <v>Low Risk</v>
      </c>
      <c r="DS179" s="5" t="str">
        <f t="array" ref="DS179">_xlfn.IFS(
  ISBLANK(CE179), "Insufficient Evidence",
  AND(ISNUMBER(BW179),ISNUMBER(BV179),BW179&gt;BV179), "Overclaiming Risk",
  CE179&gt;=65, "Strong",
  CE179&gt;=40, "Adequate",
  TRUE, "Weak"
)</f>
        <v>Weak</v>
      </c>
      <c r="DT179" s="5">
        <f t="shared" si="111"/>
        <v>11.7</v>
      </c>
      <c r="DU179" s="5" t="str">
        <f t="array" ref="DU179">_xlfn.IFS(
  DV179="Upgraded to Clear", "Clear",
  DV179="Downgraded to Watchlist", "Watchlist",
  DV179="Downgraded to Exclusion", "Exclusion Risk",
  DB179="Yes — Automatic", "Exclusion Risk",
  OR(AW179="Confirmed Violation", AX179="Confirmed Breach"), "Exclusion Risk",
  OR(V179=0, ISBLANK(V179), DN179&lt;20), "Insufficient Evidence",
  AND(DT179&gt;=65, DA179="No", DB179="No"), "Clear",
  OR(DT179&gt;=40, DA179="Yes"), "Watchlist",
  TRUE, "Exclusion Risk"
)</f>
        <v>Insufficient Evidence</v>
      </c>
      <c r="DV179" s="5"/>
      <c r="DW179" s="5" t="str">
        <f t="array" ref="DW179">_xlfn.IFS(
  DU179="Exclusion Risk", "Exclude — Hard Trigger",
  DU179="Insufficient Evidence", "Watchlist — Further Evidence Needed",
  DU179="Watchlist", "Watchlist — Further Evidence Needed",
  AND(DU179="Clear", DT179&gt;=80), "Include — No Conditions",
  DU179="Clear", "Include — Monitor",
  TRUE, "Watchlist — Further Evidence Needed"
)</f>
        <v>Watchlist — Further Evidence Needed</v>
      </c>
      <c r="DX179" s="5"/>
      <c r="DY179" s="5"/>
      <c r="DZ179" s="5"/>
      <c r="EA179" s="5"/>
      <c r="EB179" s="5" t="str">
        <f t="shared" si="112"/>
        <v>MISSING — No sources reviewed</v>
      </c>
      <c r="EC179" s="5" t="str">
        <f t="shared" si="113"/>
        <v/>
      </c>
    </row>
    <row r="180" spans="1:133" ht="18" customHeight="1" x14ac:dyDescent="0.15">
      <c r="A180" s="5" t="s">
        <v>918</v>
      </c>
      <c r="B180" s="5" t="s">
        <v>919</v>
      </c>
      <c r="C180" s="5" t="str">
        <f>IF(ISBLANK('Universe Tracker'!D155),"",'Universe Tracker'!D155)</f>
        <v>LU1598757687</v>
      </c>
      <c r="D180" s="5"/>
      <c r="E180" s="5"/>
      <c r="F180" s="5" t="str">
        <f>IF(ISBLANK('Universe Tracker'!F155),"",'Universe Tracker'!F155)</f>
        <v>Materials</v>
      </c>
      <c r="G180" s="5" t="str">
        <f>IF(ISBLANK('Universe Tracker'!G155),"",'Universe Tracker'!G155)</f>
        <v>Materials</v>
      </c>
      <c r="H180" s="5"/>
      <c r="I180" s="5"/>
      <c r="J180" s="5" t="str">
        <f t="shared" si="101"/>
        <v>ARRD_LU1598757687</v>
      </c>
      <c r="K180" s="5"/>
      <c r="L180" s="5"/>
      <c r="M180" s="5"/>
      <c r="N180" s="5"/>
      <c r="O180" s="5"/>
      <c r="P180" s="5"/>
      <c r="Q180" s="5"/>
      <c r="R180" s="5"/>
      <c r="S180" s="5"/>
      <c r="T180" s="5"/>
      <c r="U180" s="5"/>
      <c r="V180" s="5"/>
      <c r="W180" s="5"/>
      <c r="X180" s="5"/>
      <c r="Y180" s="5" t="str">
        <f t="shared" si="102"/>
        <v>Insufficient</v>
      </c>
      <c r="Z180" s="5"/>
      <c r="AA180" s="5"/>
      <c r="AB180" s="5"/>
      <c r="AC180" s="5"/>
      <c r="AD180" s="5"/>
      <c r="AE180" s="5"/>
      <c r="AF180" s="5"/>
      <c r="AG180" s="5"/>
      <c r="AH180" s="5"/>
      <c r="AI180" s="5"/>
      <c r="AJ180" s="5"/>
      <c r="AK180" s="5"/>
      <c r="AL180" s="5"/>
      <c r="AM180" s="5"/>
      <c r="AN180" s="5"/>
      <c r="AO180" s="5"/>
      <c r="AP180" s="5"/>
      <c r="AQ180" s="5"/>
      <c r="AR180" s="40">
        <f t="array" ref="AR180">MIN(100, MAX(0,
  IFERROR(_xlfn.XLOOKUP(AJ180,'Lookup Tables'!$A$2:$A$7,'Lookup Tables'!$B$2:$B$7,0),0)
  + IF(Z180="Yes", IF(IFERROR(_xlfn.XLOOKUP(AJ180,'Lookup Tables'!$A$2:$A$7,'Lookup Tables'!$B$2:$B$7,0),0)&lt;20, 5, 0), 0)
  + _xlfn.IFS(AB180="Yes", IF(ISNUMBER(AC180)*AND(AC180&lt;=2030),15,10), AB180="Long-term Only", 5, AB180="No", 0, TRUE, 0)
  + _xlfn.IFS(AF180="Full",10, AF180="Partial",5, AF180="Scope 2 Only",3, TRUE,0)
  + _xlfn.IFS(AG180="Yes", IF(ISNUMBER(AH180)*AND(AH180&gt;=5),10,6), AG180="Partial",4, TRUE,0)
  + _xlfn.IFS(AI180="Yes",5, AI180="Partial (material categories only)",3, TRUE,0)
  + _xlfn.IFS(AL180="Yes — Detailed",10, AL180="Yes — High Level",5, TRUE,0)
  + _xlfn.IFS(AM180="Yes — Quantified",15, AM180="Yes — Directional Only",7, TRUE,0)
  + _xlfn.IFS(AP180="Formal",5, AP180="Referenced",2, TRUE,0)
  + _xlfn.IFS(AQ180="No Issues Found",5, AQ180="Concern Identified",-5, AQ180="Severe Contradiction",-15, TRUE,0)
  + _xlfn.IFS(BC180="Reasonable Assurance",5, BC180="Limited Assurance",3, TRUE,0)
  - IF(AND(Z180="Yes", AI180="No"), 10, 0)
  - IF(AND(Z180="Yes", AM180="No"), 10, 0)
))</f>
        <v>0</v>
      </c>
      <c r="AS180" s="5"/>
      <c r="AT180" s="5"/>
      <c r="AU180" s="5"/>
      <c r="AV180" s="5"/>
      <c r="AW180" s="5"/>
      <c r="AX180" s="5"/>
      <c r="AY180" s="5"/>
      <c r="AZ180" s="5"/>
      <c r="BA180" s="5"/>
      <c r="BB180" s="5"/>
      <c r="BC180" s="5"/>
      <c r="BD180" s="5"/>
      <c r="BE180" s="39">
        <f t="array" ref="BE180">MIN(100, MAX(0,
  IFERROR(_xlfn.XLOOKUP(AT180,'Lookup Tables'!$D$2:$D$6,'Lookup Tables'!$E$2:$E$6,0),0)
  + IFERROR(_xlfn.XLOOKUP(AV180,'Lookup Tables'!$G$2:$G$5,'Lookup Tables'!$H$2:$H$5,0),0)
  + IFERROR(_xlfn.XLOOKUP(AW180,'Lookup Tables'!$J$2:$J$5,'Lookup Tables'!$K$2:$K$5,0),0)
  + _xlfn.IFS(AX180="No Issues",10, AX180="Complaint Filed",3, AX180="Confirmed Breach",-15, TRUE,0)
  + IFERROR(_xlfn.XLOOKUP(AY180,'Lookup Tables'!$M$2:$M$6,'Lookup Tables'!$N$2:$N$6,0),0)
  + IFERROR(_xlfn.XLOOKUP(AZ180,'Lookup Tables'!$P$2:$P$6,'Lookup Tables'!$Q$2:$Q$6,0),0)
  + _xlfn.IFS(BA180="Formal Board Committee",5, BA180="Board Oversight Mentioned",2, TRUE,0)
  + _xlfn.IFS(BB180="Yes — Quantified Targets",5, BB180="Yes — Discretionary Only",2, TRUE,0)
  + _xlfn.IFS(BC180="Reasonable Assurance",5, BC180="Limited Assurance",3, BC180="Management Review Only",1, TRUE,0)
))</f>
        <v>0</v>
      </c>
      <c r="BF180" s="5"/>
      <c r="BG180" s="5"/>
      <c r="BH180" s="5"/>
      <c r="BI180" s="5"/>
      <c r="BJ180" s="5"/>
      <c r="BK180" s="5"/>
      <c r="BL180" s="5"/>
      <c r="BM180" s="5"/>
      <c r="BN180" s="5"/>
      <c r="BO180" s="5"/>
      <c r="BP180" s="5"/>
      <c r="BQ180" s="5"/>
      <c r="BR180" s="5"/>
      <c r="BS180" s="41">
        <f t="array" ref="BS180">MIN(100, MAX(0,
  IFERROR(_xlfn.XLOOKUP(BG180,'Lookup Tables'!$A$11:$A$16,'Lookup Tables'!$B$11:$B$16,0),0)
  + IFERROR(_xlfn.XLOOKUP(BR180,'Lookup Tables'!$M$11:$M$14,'Lookup Tables'!$N$11:$N$14,0),0)
  + IFERROR(_xlfn.XLOOKUP(BQ180,'Lookup Tables'!$J$11:$J$15,'Lookup Tables'!$K$11:$K$15,0),0)
  + IFERROR(_xlfn.XLOOKUP(BH180,'Lookup Tables'!$D$11:$D$15,'Lookup Tables'!$E$11:$E$15,0),0)
  + IFERROR(_xlfn.XLOOKUP(BJ180,'Lookup Tables'!$G$11:$G$16,'Lookup Tables'!$H$11:$H$16,0),0)
  + IFERROR(_xlfn.XLOOKUP(BN180,'Lookup Tables'!$P$11:$P$15,'Lookup Tables'!$Q$11:$Q$15,0),0)
  + _xlfn.IFS(BM180="No Evidence",10, BM180="Unknown",3, BM180="Likely",0, BM180="Confirmed",-10, TRUE,3)
  + IFERROR(_xlfn.XLOOKUP(BP180,'Lookup Tables'!$J$21:$J$24,'Lookup Tables'!$K$21:$K$24,0),0)
))</f>
        <v>3</v>
      </c>
      <c r="BT180" s="5"/>
      <c r="BU180" s="5"/>
      <c r="BV180" s="5"/>
      <c r="BW180" s="5"/>
      <c r="BX180" s="5"/>
      <c r="BY180" s="5"/>
      <c r="BZ180" s="5"/>
      <c r="CA180" s="5"/>
      <c r="CB180" s="5"/>
      <c r="CC180" s="5"/>
      <c r="CD180" s="5"/>
      <c r="CE180" s="43">
        <f t="array" ref="CE180">MIN(100, MAX(0,
  IF(ISNUMBER(BV180)*AND(BV180&gt;0), 10, 0)
  + _xlfn.IFS(BY180="Independently Verified",25, BY180="Yes",15, TRUE,0)
  + IFERROR(_xlfn.XLOOKUP(BZ180,'Lookup Tables'!$A$21:$A$24,'Lookup Tables'!$B$21:$B$24,0),0)
  + IFERROR(_xlfn.XLOOKUP(CA180,'Lookup Tables'!$D$21:$D$24,'Lookup Tables'!$E$21:$E$24,0),0)
  + _xlfn.IFS(ISNUMBER(CB180)*AND(CB180&gt;=11),15, ISNUMBER(CB180)*AND(CB180&gt;=6),10, ISNUMBER(CB180)*AND(CB180&gt;=1),5, TRUE,0)
  + IFERROR(_xlfn.XLOOKUP(CC180,'Lookup Tables'!$G$21:$G$25,'Lookup Tables'!$H$21:$H$25,0),0)
  - IF(ISNUMBER(BW180)*AND(ISNUMBER(BV180))*AND(BW180&gt;BV180), 20, 0)
  - IF(AND(BY180="Yes", ISNUMBER(BW180), BW180&gt;60), 10, 0)
))</f>
        <v>0</v>
      </c>
      <c r="CF180" s="5"/>
      <c r="CG180" s="5"/>
      <c r="CH180" s="5"/>
      <c r="CI180" s="5"/>
      <c r="CJ180" s="5"/>
      <c r="CK180" s="5"/>
      <c r="CL180" s="5"/>
      <c r="CM180" s="5"/>
      <c r="CN180" s="5"/>
      <c r="CO180" s="5"/>
      <c r="CP180" s="5"/>
      <c r="CQ180" s="5"/>
      <c r="CR180" s="5">
        <f t="shared" si="103"/>
        <v>0</v>
      </c>
      <c r="CS180" s="5">
        <f t="shared" si="104"/>
        <v>0</v>
      </c>
      <c r="CT180" s="5">
        <f t="shared" si="105"/>
        <v>0</v>
      </c>
      <c r="CU180" s="5">
        <f>MIN(100,
  CR180*15
  + CS180*6
  + CT180*3
  + IFERROR(_xlfn.XLOOKUP(CW180,'Lookup Tables'!$M$21:$M$25,'Lookup Tables'!$N$21:$N$25,0),0)
)</f>
        <v>0</v>
      </c>
      <c r="CV180" s="5" t="str">
        <f t="shared" si="106"/>
        <v>No failures</v>
      </c>
      <c r="CW180" s="5"/>
      <c r="CX180" s="5"/>
      <c r="CY180" s="5"/>
      <c r="CZ180" s="5"/>
      <c r="DA180" s="5" t="str">
        <f t="shared" si="107"/>
        <v>Yes</v>
      </c>
      <c r="DB180" s="5" t="str">
        <f t="shared" si="108"/>
        <v>No</v>
      </c>
      <c r="DC180" s="5"/>
      <c r="DD180" s="5"/>
      <c r="DE180" s="5"/>
      <c r="DF180" s="5"/>
      <c r="DG180" s="5"/>
      <c r="DH180" s="5"/>
      <c r="DI180" s="5"/>
      <c r="DJ180" s="5"/>
      <c r="DK180" s="5"/>
      <c r="DL180" s="5" t="str">
        <f t="shared" si="109"/>
        <v>Clear</v>
      </c>
      <c r="DM180" s="5" t="str">
        <f t="shared" si="110"/>
        <v>Yes</v>
      </c>
      <c r="DN180" s="5">
        <f t="array" ref="DN180">MIN(100,
  IF(ISNUMBER(V180), _xlfn.IFS(V180&gt;=3,25, V180=2,15, V180=1,5, TRUE,0), 0)
  + IFERROR(_xlfn.IFS(VALUE(LEFT(DF180,1))=5,25, VALUE(LEFT(DF180,1))=4,20, VALUE(LEFT(DF180,1))=3,15, VALUE(LEFT(DF180,1))=2,8, TRUE,0), 15)
  + IFERROR(_xlfn.IFS(VALUE(LEFT(DG180,1))=5,25, VALUE(LEFT(DG180,1))=4,20, VALUE(LEFT(DG180,1))=3,15, VALUE(LEFT(DG180,1))=2,8, TRUE,0), 15)
  + _xlfn.IFS(DH180="Fully Verified",25, DH180="Partially Verified",12, TRUE,0)
)</f>
        <v>30</v>
      </c>
      <c r="DO180" s="5" t="str">
        <f t="array" ref="DO180">_xlfn.IFS(
  ISBLANK(AR180), "Insufficient Evidence",
  AND(AR180&gt;=65, AJ180="Approved"), "Strong",
  AR180&gt;=65, "Adequate",
  AR180&gt;=40, "Adequate",
  AR180&gt;=20, "Weak",
  TRUE, "Insufficient Evidence"
)</f>
        <v>Insufficient Evidence</v>
      </c>
      <c r="DP180" s="5" t="str">
        <f t="array" ref="DP180">_xlfn.IFS(
  ISBLANK(BS180), "Insufficient Evidence",
  BS180&gt;=65, "Strong",
  BS180&gt;=40, "Adequate",
  BS180&gt;=20, "Weak",
  TRUE, "Insufficient Evidence"
)</f>
        <v>Insufficient Evidence</v>
      </c>
      <c r="DQ180" s="5" t="str">
        <f t="array" ref="DQ180">_xlfn.IFS(
  ISBLANK(BE180), "Insufficient Evidence",
  OR(AW180="Confirmed Violation", AX180="Confirmed Breach"), "Severe — Hard Trigger",
  BE180&gt;=65, "Strong",
  BE180&gt;=40, "Adequate",
  BE180&gt;=20, "Weak",
  TRUE, "Insufficient Evidence"
)</f>
        <v>Insufficient Evidence</v>
      </c>
      <c r="DR180" s="5" t="str">
        <f t="array" ref="DR180">_xlfn.IFS(
  ISBLANK(CU180), "Insufficient Evidence",
  CU180&lt;=20, "Low Risk",
  CU180&lt;=50, "Moderate Risk",
  CU180&lt;=75, "High Risk",
  TRUE, "Very High Risk"
)</f>
        <v>Low Risk</v>
      </c>
      <c r="DS180" s="5" t="str">
        <f t="array" ref="DS180">_xlfn.IFS(
  ISBLANK(CE180), "Insufficient Evidence",
  AND(ISNUMBER(BW180),ISNUMBER(BV180),BW180&gt;BV180), "Overclaiming Risk",
  CE180&gt;=65, "Strong",
  CE180&gt;=40, "Adequate",
  TRUE, "Weak"
)</f>
        <v>Weak</v>
      </c>
      <c r="DT180" s="5">
        <f t="shared" si="111"/>
        <v>11.7</v>
      </c>
      <c r="DU180" s="5" t="str">
        <f t="array" ref="DU180">_xlfn.IFS(
  DV180="Upgraded to Clear", "Clear",
  DV180="Downgraded to Watchlist", "Watchlist",
  DV180="Downgraded to Exclusion", "Exclusion Risk",
  DB180="Yes — Automatic", "Exclusion Risk",
  OR(AW180="Confirmed Violation", AX180="Confirmed Breach"), "Exclusion Risk",
  OR(V180=0, ISBLANK(V180), DN180&lt;20), "Insufficient Evidence",
  AND(DT180&gt;=65, DA180="No", DB180="No"), "Clear",
  OR(DT180&gt;=40, DA180="Yes"), "Watchlist",
  TRUE, "Exclusion Risk"
)</f>
        <v>Insufficient Evidence</v>
      </c>
      <c r="DV180" s="5"/>
      <c r="DW180" s="5" t="str">
        <f t="array" ref="DW180">_xlfn.IFS(
  DU180="Exclusion Risk", "Exclude — Hard Trigger",
  DU180="Insufficient Evidence", "Watchlist — Further Evidence Needed",
  DU180="Watchlist", "Watchlist — Further Evidence Needed",
  AND(DU180="Clear", DT180&gt;=80), "Include — No Conditions",
  DU180="Clear", "Include — Monitor",
  TRUE, "Watchlist — Further Evidence Needed"
)</f>
        <v>Watchlist — Further Evidence Needed</v>
      </c>
      <c r="DX180" s="5"/>
      <c r="DY180" s="5"/>
      <c r="DZ180" s="5"/>
      <c r="EA180" s="5"/>
      <c r="EB180" s="5" t="str">
        <f t="shared" si="112"/>
        <v>MISSING — No sources reviewed</v>
      </c>
      <c r="EC180" s="5" t="str">
        <f t="shared" si="113"/>
        <v/>
      </c>
    </row>
    <row r="181" spans="1:133" ht="18" customHeight="1" x14ac:dyDescent="0.15">
      <c r="A181" s="5" t="s">
        <v>922</v>
      </c>
      <c r="B181" s="5" t="s">
        <v>923</v>
      </c>
      <c r="C181" s="5" t="str">
        <f>IF(ISBLANK('Universe Tracker'!D156),"",'Universe Tracker'!D156)</f>
        <v>FI0009014575</v>
      </c>
      <c r="D181" s="5"/>
      <c r="E181" s="5"/>
      <c r="F181" s="5" t="str">
        <f>IF(ISBLANK('Universe Tracker'!F156),"",'Universe Tracker'!F156)</f>
        <v>Industrials</v>
      </c>
      <c r="G181" s="5" t="str">
        <f>IF(ISBLANK('Universe Tracker'!G156),"",'Universe Tracker'!G156)</f>
        <v>Industrial Products</v>
      </c>
      <c r="H181" s="5"/>
      <c r="I181" s="5"/>
      <c r="J181" s="5" t="str">
        <f t="shared" si="101"/>
        <v>M6Q_FI0009014575</v>
      </c>
      <c r="K181" s="5"/>
      <c r="L181" s="5"/>
      <c r="M181" s="5"/>
      <c r="N181" s="5"/>
      <c r="O181" s="5"/>
      <c r="P181" s="5"/>
      <c r="Q181" s="5"/>
      <c r="R181" s="5"/>
      <c r="S181" s="5"/>
      <c r="T181" s="5"/>
      <c r="U181" s="5"/>
      <c r="V181" s="5"/>
      <c r="W181" s="5"/>
      <c r="X181" s="5"/>
      <c r="Y181" s="5" t="str">
        <f t="shared" si="102"/>
        <v>Insufficient</v>
      </c>
      <c r="Z181" s="5"/>
      <c r="AA181" s="5"/>
      <c r="AB181" s="5"/>
      <c r="AC181" s="5"/>
      <c r="AD181" s="5"/>
      <c r="AE181" s="5"/>
      <c r="AF181" s="5"/>
      <c r="AG181" s="5"/>
      <c r="AH181" s="5"/>
      <c r="AI181" s="5"/>
      <c r="AJ181" s="5"/>
      <c r="AK181" s="5"/>
      <c r="AL181" s="5"/>
      <c r="AM181" s="5"/>
      <c r="AN181" s="5"/>
      <c r="AO181" s="5"/>
      <c r="AP181" s="5"/>
      <c r="AQ181" s="5"/>
      <c r="AR181" s="40">
        <f t="array" ref="AR181">MIN(100, MAX(0,
  IFERROR(_xlfn.XLOOKUP(AJ181,'Lookup Tables'!$A$2:$A$7,'Lookup Tables'!$B$2:$B$7,0),0)
  + IF(Z181="Yes", IF(IFERROR(_xlfn.XLOOKUP(AJ181,'Lookup Tables'!$A$2:$A$7,'Lookup Tables'!$B$2:$B$7,0),0)&lt;20, 5, 0), 0)
  + _xlfn.IFS(AB181="Yes", IF(ISNUMBER(AC181)*AND(AC181&lt;=2030),15,10), AB181="Long-term Only", 5, AB181="No", 0, TRUE, 0)
  + _xlfn.IFS(AF181="Full",10, AF181="Partial",5, AF181="Scope 2 Only",3, TRUE,0)
  + _xlfn.IFS(AG181="Yes", IF(ISNUMBER(AH181)*AND(AH181&gt;=5),10,6), AG181="Partial",4, TRUE,0)
  + _xlfn.IFS(AI181="Yes",5, AI181="Partial (material categories only)",3, TRUE,0)
  + _xlfn.IFS(AL181="Yes — Detailed",10, AL181="Yes — High Level",5, TRUE,0)
  + _xlfn.IFS(AM181="Yes — Quantified",15, AM181="Yes — Directional Only",7, TRUE,0)
  + _xlfn.IFS(AP181="Formal",5, AP181="Referenced",2, TRUE,0)
  + _xlfn.IFS(AQ181="No Issues Found",5, AQ181="Concern Identified",-5, AQ181="Severe Contradiction",-15, TRUE,0)
  + _xlfn.IFS(BC181="Reasonable Assurance",5, BC181="Limited Assurance",3, TRUE,0)
  - IF(AND(Z181="Yes", AI181="No"), 10, 0)
  - IF(AND(Z181="Yes", AM181="No"), 10, 0)
))</f>
        <v>0</v>
      </c>
      <c r="AS181" s="5"/>
      <c r="AT181" s="5"/>
      <c r="AU181" s="5"/>
      <c r="AV181" s="5"/>
      <c r="AW181" s="5"/>
      <c r="AX181" s="5"/>
      <c r="AY181" s="5"/>
      <c r="AZ181" s="5"/>
      <c r="BA181" s="5"/>
      <c r="BB181" s="5"/>
      <c r="BC181" s="5"/>
      <c r="BD181" s="5"/>
      <c r="BE181" s="39">
        <f t="array" ref="BE181">MIN(100, MAX(0,
  IFERROR(_xlfn.XLOOKUP(AT181,'Lookup Tables'!$D$2:$D$6,'Lookup Tables'!$E$2:$E$6,0),0)
  + IFERROR(_xlfn.XLOOKUP(AV181,'Lookup Tables'!$G$2:$G$5,'Lookup Tables'!$H$2:$H$5,0),0)
  + IFERROR(_xlfn.XLOOKUP(AW181,'Lookup Tables'!$J$2:$J$5,'Lookup Tables'!$K$2:$K$5,0),0)
  + _xlfn.IFS(AX181="No Issues",10, AX181="Complaint Filed",3, AX181="Confirmed Breach",-15, TRUE,0)
  + IFERROR(_xlfn.XLOOKUP(AY181,'Lookup Tables'!$M$2:$M$6,'Lookup Tables'!$N$2:$N$6,0),0)
  + IFERROR(_xlfn.XLOOKUP(AZ181,'Lookup Tables'!$P$2:$P$6,'Lookup Tables'!$Q$2:$Q$6,0),0)
  + _xlfn.IFS(BA181="Formal Board Committee",5, BA181="Board Oversight Mentioned",2, TRUE,0)
  + _xlfn.IFS(BB181="Yes — Quantified Targets",5, BB181="Yes — Discretionary Only",2, TRUE,0)
  + _xlfn.IFS(BC181="Reasonable Assurance",5, BC181="Limited Assurance",3, BC181="Management Review Only",1, TRUE,0)
))</f>
        <v>0</v>
      </c>
      <c r="BF181" s="5"/>
      <c r="BG181" s="5"/>
      <c r="BH181" s="5"/>
      <c r="BI181" s="5"/>
      <c r="BJ181" s="5"/>
      <c r="BK181" s="5"/>
      <c r="BL181" s="5"/>
      <c r="BM181" s="5"/>
      <c r="BN181" s="5"/>
      <c r="BO181" s="5"/>
      <c r="BP181" s="5"/>
      <c r="BQ181" s="5"/>
      <c r="BR181" s="5"/>
      <c r="BS181" s="41">
        <f t="array" ref="BS181">MIN(100, MAX(0,
  IFERROR(_xlfn.XLOOKUP(BG181,'Lookup Tables'!$A$11:$A$16,'Lookup Tables'!$B$11:$B$16,0),0)
  + IFERROR(_xlfn.XLOOKUP(BR181,'Lookup Tables'!$M$11:$M$14,'Lookup Tables'!$N$11:$N$14,0),0)
  + IFERROR(_xlfn.XLOOKUP(BQ181,'Lookup Tables'!$J$11:$J$15,'Lookup Tables'!$K$11:$K$15,0),0)
  + IFERROR(_xlfn.XLOOKUP(BH181,'Lookup Tables'!$D$11:$D$15,'Lookup Tables'!$E$11:$E$15,0),0)
  + IFERROR(_xlfn.XLOOKUP(BJ181,'Lookup Tables'!$G$11:$G$16,'Lookup Tables'!$H$11:$H$16,0),0)
  + IFERROR(_xlfn.XLOOKUP(BN181,'Lookup Tables'!$P$11:$P$15,'Lookup Tables'!$Q$11:$Q$15,0),0)
  + _xlfn.IFS(BM181="No Evidence",10, BM181="Unknown",3, BM181="Likely",0, BM181="Confirmed",-10, TRUE,3)
  + IFERROR(_xlfn.XLOOKUP(BP181,'Lookup Tables'!$J$21:$J$24,'Lookup Tables'!$K$21:$K$24,0),0)
))</f>
        <v>3</v>
      </c>
      <c r="BT181" s="5"/>
      <c r="BU181" s="5"/>
      <c r="BV181" s="5"/>
      <c r="BW181" s="5"/>
      <c r="BX181" s="5"/>
      <c r="BY181" s="5"/>
      <c r="BZ181" s="5"/>
      <c r="CA181" s="5"/>
      <c r="CB181" s="5"/>
      <c r="CC181" s="5"/>
      <c r="CD181" s="5"/>
      <c r="CE181" s="43">
        <f t="array" ref="CE181">MIN(100, MAX(0,
  IF(ISNUMBER(BV181)*AND(BV181&gt;0), 10, 0)
  + _xlfn.IFS(BY181="Independently Verified",25, BY181="Yes",15, TRUE,0)
  + IFERROR(_xlfn.XLOOKUP(BZ181,'Lookup Tables'!$A$21:$A$24,'Lookup Tables'!$B$21:$B$24,0),0)
  + IFERROR(_xlfn.XLOOKUP(CA181,'Lookup Tables'!$D$21:$D$24,'Lookup Tables'!$E$21:$E$24,0),0)
  + _xlfn.IFS(ISNUMBER(CB181)*AND(CB181&gt;=11),15, ISNUMBER(CB181)*AND(CB181&gt;=6),10, ISNUMBER(CB181)*AND(CB181&gt;=1),5, TRUE,0)
  + IFERROR(_xlfn.XLOOKUP(CC181,'Lookup Tables'!$G$21:$G$25,'Lookup Tables'!$H$21:$H$25,0),0)
  - IF(ISNUMBER(BW181)*AND(ISNUMBER(BV181))*AND(BW181&gt;BV181), 20, 0)
  - IF(AND(BY181="Yes", ISNUMBER(BW181), BW181&gt;60), 10, 0)
))</f>
        <v>0</v>
      </c>
      <c r="CF181" s="5"/>
      <c r="CG181" s="5"/>
      <c r="CH181" s="5"/>
      <c r="CI181" s="5"/>
      <c r="CJ181" s="5"/>
      <c r="CK181" s="5"/>
      <c r="CL181" s="5"/>
      <c r="CM181" s="5"/>
      <c r="CN181" s="5"/>
      <c r="CO181" s="5"/>
      <c r="CP181" s="5"/>
      <c r="CQ181" s="5"/>
      <c r="CR181" s="5">
        <f t="shared" si="103"/>
        <v>0</v>
      </c>
      <c r="CS181" s="5">
        <f t="shared" si="104"/>
        <v>0</v>
      </c>
      <c r="CT181" s="5">
        <f t="shared" si="105"/>
        <v>0</v>
      </c>
      <c r="CU181" s="5">
        <f>MIN(100,
  CR181*15
  + CS181*6
  + CT181*3
  + IFERROR(_xlfn.XLOOKUP(CW181,'Lookup Tables'!$M$21:$M$25,'Lookup Tables'!$N$21:$N$25,0),0)
)</f>
        <v>0</v>
      </c>
      <c r="CV181" s="5" t="str">
        <f t="shared" si="106"/>
        <v>No failures</v>
      </c>
      <c r="CW181" s="5"/>
      <c r="CX181" s="5"/>
      <c r="CY181" s="5"/>
      <c r="CZ181" s="5"/>
      <c r="DA181" s="5" t="str">
        <f t="shared" si="107"/>
        <v>Yes</v>
      </c>
      <c r="DB181" s="5" t="str">
        <f t="shared" si="108"/>
        <v>No</v>
      </c>
      <c r="DC181" s="5"/>
      <c r="DD181" s="5"/>
      <c r="DE181" s="5"/>
      <c r="DF181" s="5"/>
      <c r="DG181" s="5"/>
      <c r="DH181" s="5"/>
      <c r="DI181" s="5"/>
      <c r="DJ181" s="5"/>
      <c r="DK181" s="5"/>
      <c r="DL181" s="5" t="str">
        <f t="shared" si="109"/>
        <v>Clear</v>
      </c>
      <c r="DM181" s="5" t="str">
        <f t="shared" si="110"/>
        <v>Yes</v>
      </c>
      <c r="DN181" s="5">
        <f t="array" ref="DN181">MIN(100,
  IF(ISNUMBER(V181), _xlfn.IFS(V181&gt;=3,25, V181=2,15, V181=1,5, TRUE,0), 0)
  + IFERROR(_xlfn.IFS(VALUE(LEFT(DF181,1))=5,25, VALUE(LEFT(DF181,1))=4,20, VALUE(LEFT(DF181,1))=3,15, VALUE(LEFT(DF181,1))=2,8, TRUE,0), 15)
  + IFERROR(_xlfn.IFS(VALUE(LEFT(DG181,1))=5,25, VALUE(LEFT(DG181,1))=4,20, VALUE(LEFT(DG181,1))=3,15, VALUE(LEFT(DG181,1))=2,8, TRUE,0), 15)
  + _xlfn.IFS(DH181="Fully Verified",25, DH181="Partially Verified",12, TRUE,0)
)</f>
        <v>30</v>
      </c>
      <c r="DO181" s="5" t="str">
        <f t="array" ref="DO181">_xlfn.IFS(
  ISBLANK(AR181), "Insufficient Evidence",
  AND(AR181&gt;=65, AJ181="Approved"), "Strong",
  AR181&gt;=65, "Adequate",
  AR181&gt;=40, "Adequate",
  AR181&gt;=20, "Weak",
  TRUE, "Insufficient Evidence"
)</f>
        <v>Insufficient Evidence</v>
      </c>
      <c r="DP181" s="5" t="str">
        <f t="array" ref="DP181">_xlfn.IFS(
  ISBLANK(BS181), "Insufficient Evidence",
  BS181&gt;=65, "Strong",
  BS181&gt;=40, "Adequate",
  BS181&gt;=20, "Weak",
  TRUE, "Insufficient Evidence"
)</f>
        <v>Insufficient Evidence</v>
      </c>
      <c r="DQ181" s="5" t="str">
        <f t="array" ref="DQ181">_xlfn.IFS(
  ISBLANK(BE181), "Insufficient Evidence",
  OR(AW181="Confirmed Violation", AX181="Confirmed Breach"), "Severe — Hard Trigger",
  BE181&gt;=65, "Strong",
  BE181&gt;=40, "Adequate",
  BE181&gt;=20, "Weak",
  TRUE, "Insufficient Evidence"
)</f>
        <v>Insufficient Evidence</v>
      </c>
      <c r="DR181" s="5" t="str">
        <f t="array" ref="DR181">_xlfn.IFS(
  ISBLANK(CU181), "Insufficient Evidence",
  CU181&lt;=20, "Low Risk",
  CU181&lt;=50, "Moderate Risk",
  CU181&lt;=75, "High Risk",
  TRUE, "Very High Risk"
)</f>
        <v>Low Risk</v>
      </c>
      <c r="DS181" s="5" t="str">
        <f t="array" ref="DS181">_xlfn.IFS(
  ISBLANK(CE181), "Insufficient Evidence",
  AND(ISNUMBER(BW181),ISNUMBER(BV181),BW181&gt;BV181), "Overclaiming Risk",
  CE181&gt;=65, "Strong",
  CE181&gt;=40, "Adequate",
  TRUE, "Weak"
)</f>
        <v>Weak</v>
      </c>
      <c r="DT181" s="5">
        <f t="shared" si="111"/>
        <v>11.7</v>
      </c>
      <c r="DU181" s="5" t="str">
        <f t="array" ref="DU181">_xlfn.IFS(
  DV181="Upgraded to Clear", "Clear",
  DV181="Downgraded to Watchlist", "Watchlist",
  DV181="Downgraded to Exclusion", "Exclusion Risk",
  DB181="Yes — Automatic", "Exclusion Risk",
  OR(AW181="Confirmed Violation", AX181="Confirmed Breach"), "Exclusion Risk",
  OR(V181=0, ISBLANK(V181), DN181&lt;20), "Insufficient Evidence",
  AND(DT181&gt;=65, DA181="No", DB181="No"), "Clear",
  OR(DT181&gt;=40, DA181="Yes"), "Watchlist",
  TRUE, "Exclusion Risk"
)</f>
        <v>Insufficient Evidence</v>
      </c>
      <c r="DV181" s="5"/>
      <c r="DW181" s="5" t="str">
        <f t="array" ref="DW181">_xlfn.IFS(
  DU181="Exclusion Risk", "Exclude — Hard Trigger",
  DU181="Insufficient Evidence", "Watchlist — Further Evidence Needed",
  DU181="Watchlist", "Watchlist — Further Evidence Needed",
  AND(DU181="Clear", DT181&gt;=80), "Include — No Conditions",
  DU181="Clear", "Include — Monitor",
  TRUE, "Watchlist — Further Evidence Needed"
)</f>
        <v>Watchlist — Further Evidence Needed</v>
      </c>
      <c r="DX181" s="5"/>
      <c r="DY181" s="5"/>
      <c r="DZ181" s="5"/>
      <c r="EA181" s="5"/>
      <c r="EB181" s="5" t="str">
        <f t="shared" si="112"/>
        <v>MISSING — No sources reviewed</v>
      </c>
      <c r="EC181" s="5" t="str">
        <f t="shared" si="113"/>
        <v/>
      </c>
    </row>
    <row r="182" spans="1:133" ht="18" customHeight="1" x14ac:dyDescent="0.15">
      <c r="A182" s="5" t="s">
        <v>926</v>
      </c>
      <c r="B182" s="5" t="s">
        <v>927</v>
      </c>
      <c r="C182" s="5" t="str">
        <f>IF(ISBLANK('Universe Tracker'!D157),"",'Universe Tracker'!D157)</f>
        <v>GB00B2QPKJ12</v>
      </c>
      <c r="D182" s="5"/>
      <c r="E182" s="5"/>
      <c r="F182" s="5" t="str">
        <f>IF(ISBLANK('Universe Tracker'!F157),"",'Universe Tracker'!F157)</f>
        <v>Materials</v>
      </c>
      <c r="G182" s="5" t="str">
        <f>IF(ISBLANK('Universe Tracker'!G157),"",'Universe Tracker'!G157)</f>
        <v>Materials</v>
      </c>
      <c r="H182" s="5"/>
      <c r="I182" s="5"/>
      <c r="J182" s="5" t="str">
        <f t="shared" si="101"/>
        <v>FNL_GB00B2QPKJ12</v>
      </c>
      <c r="K182" s="5"/>
      <c r="L182" s="5"/>
      <c r="M182" s="5"/>
      <c r="N182" s="5"/>
      <c r="O182" s="5"/>
      <c r="P182" s="5"/>
      <c r="Q182" s="5"/>
      <c r="R182" s="5"/>
      <c r="S182" s="5"/>
      <c r="T182" s="5"/>
      <c r="U182" s="5"/>
      <c r="V182" s="5"/>
      <c r="W182" s="5"/>
      <c r="X182" s="5"/>
      <c r="Y182" s="5" t="str">
        <f t="shared" si="102"/>
        <v>Insufficient</v>
      </c>
      <c r="Z182" s="5"/>
      <c r="AA182" s="5"/>
      <c r="AB182" s="5"/>
      <c r="AC182" s="5"/>
      <c r="AD182" s="5"/>
      <c r="AE182" s="5"/>
      <c r="AF182" s="5"/>
      <c r="AG182" s="5"/>
      <c r="AH182" s="5"/>
      <c r="AI182" s="5"/>
      <c r="AJ182" s="5"/>
      <c r="AK182" s="5"/>
      <c r="AL182" s="5"/>
      <c r="AM182" s="5"/>
      <c r="AN182" s="5"/>
      <c r="AO182" s="5"/>
      <c r="AP182" s="5"/>
      <c r="AQ182" s="5"/>
      <c r="AR182" s="40">
        <f t="array" ref="AR182">MIN(100, MAX(0,
  IFERROR(_xlfn.XLOOKUP(AJ182,'Lookup Tables'!$A$2:$A$7,'Lookup Tables'!$B$2:$B$7,0),0)
  + IF(Z182="Yes", IF(IFERROR(_xlfn.XLOOKUP(AJ182,'Lookup Tables'!$A$2:$A$7,'Lookup Tables'!$B$2:$B$7,0),0)&lt;20, 5, 0), 0)
  + _xlfn.IFS(AB182="Yes", IF(ISNUMBER(AC182)*AND(AC182&lt;=2030),15,10), AB182="Long-term Only", 5, AB182="No", 0, TRUE, 0)
  + _xlfn.IFS(AF182="Full",10, AF182="Partial",5, AF182="Scope 2 Only",3, TRUE,0)
  + _xlfn.IFS(AG182="Yes", IF(ISNUMBER(AH182)*AND(AH182&gt;=5),10,6), AG182="Partial",4, TRUE,0)
  + _xlfn.IFS(AI182="Yes",5, AI182="Partial (material categories only)",3, TRUE,0)
  + _xlfn.IFS(AL182="Yes — Detailed",10, AL182="Yes — High Level",5, TRUE,0)
  + _xlfn.IFS(AM182="Yes — Quantified",15, AM182="Yes — Directional Only",7, TRUE,0)
  + _xlfn.IFS(AP182="Formal",5, AP182="Referenced",2, TRUE,0)
  + _xlfn.IFS(AQ182="No Issues Found",5, AQ182="Concern Identified",-5, AQ182="Severe Contradiction",-15, TRUE,0)
  + _xlfn.IFS(BC182="Reasonable Assurance",5, BC182="Limited Assurance",3, TRUE,0)
  - IF(AND(Z182="Yes", AI182="No"), 10, 0)
  - IF(AND(Z182="Yes", AM182="No"), 10, 0)
))</f>
        <v>0</v>
      </c>
      <c r="AS182" s="5"/>
      <c r="AT182" s="5"/>
      <c r="AU182" s="5"/>
      <c r="AV182" s="5"/>
      <c r="AW182" s="5"/>
      <c r="AX182" s="5"/>
      <c r="AY182" s="5"/>
      <c r="AZ182" s="5"/>
      <c r="BA182" s="5"/>
      <c r="BB182" s="5"/>
      <c r="BC182" s="5"/>
      <c r="BD182" s="5"/>
      <c r="BE182" s="39">
        <f t="array" ref="BE182">MIN(100, MAX(0,
  IFERROR(_xlfn.XLOOKUP(AT182,'Lookup Tables'!$D$2:$D$6,'Lookup Tables'!$E$2:$E$6,0),0)
  + IFERROR(_xlfn.XLOOKUP(AV182,'Lookup Tables'!$G$2:$G$5,'Lookup Tables'!$H$2:$H$5,0),0)
  + IFERROR(_xlfn.XLOOKUP(AW182,'Lookup Tables'!$J$2:$J$5,'Lookup Tables'!$K$2:$K$5,0),0)
  + _xlfn.IFS(AX182="No Issues",10, AX182="Complaint Filed",3, AX182="Confirmed Breach",-15, TRUE,0)
  + IFERROR(_xlfn.XLOOKUP(AY182,'Lookup Tables'!$M$2:$M$6,'Lookup Tables'!$N$2:$N$6,0),0)
  + IFERROR(_xlfn.XLOOKUP(AZ182,'Lookup Tables'!$P$2:$P$6,'Lookup Tables'!$Q$2:$Q$6,0),0)
  + _xlfn.IFS(BA182="Formal Board Committee",5, BA182="Board Oversight Mentioned",2, TRUE,0)
  + _xlfn.IFS(BB182="Yes — Quantified Targets",5, BB182="Yes — Discretionary Only",2, TRUE,0)
  + _xlfn.IFS(BC182="Reasonable Assurance",5, BC182="Limited Assurance",3, BC182="Management Review Only",1, TRUE,0)
))</f>
        <v>0</v>
      </c>
      <c r="BF182" s="5"/>
      <c r="BG182" s="5"/>
      <c r="BH182" s="5"/>
      <c r="BI182" s="5"/>
      <c r="BJ182" s="5"/>
      <c r="BK182" s="5"/>
      <c r="BL182" s="5"/>
      <c r="BM182" s="5"/>
      <c r="BN182" s="5"/>
      <c r="BO182" s="5"/>
      <c r="BP182" s="5"/>
      <c r="BQ182" s="5"/>
      <c r="BR182" s="5"/>
      <c r="BS182" s="41">
        <f t="array" ref="BS182">MIN(100, MAX(0,
  IFERROR(_xlfn.XLOOKUP(BG182,'Lookup Tables'!$A$11:$A$16,'Lookup Tables'!$B$11:$B$16,0),0)
  + IFERROR(_xlfn.XLOOKUP(BR182,'Lookup Tables'!$M$11:$M$14,'Lookup Tables'!$N$11:$N$14,0),0)
  + IFERROR(_xlfn.XLOOKUP(BQ182,'Lookup Tables'!$J$11:$J$15,'Lookup Tables'!$K$11:$K$15,0),0)
  + IFERROR(_xlfn.XLOOKUP(BH182,'Lookup Tables'!$D$11:$D$15,'Lookup Tables'!$E$11:$E$15,0),0)
  + IFERROR(_xlfn.XLOOKUP(BJ182,'Lookup Tables'!$G$11:$G$16,'Lookup Tables'!$H$11:$H$16,0),0)
  + IFERROR(_xlfn.XLOOKUP(BN182,'Lookup Tables'!$P$11:$P$15,'Lookup Tables'!$Q$11:$Q$15,0),0)
  + _xlfn.IFS(BM182="No Evidence",10, BM182="Unknown",3, BM182="Likely",0, BM182="Confirmed",-10, TRUE,3)
  + IFERROR(_xlfn.XLOOKUP(BP182,'Lookup Tables'!$J$21:$J$24,'Lookup Tables'!$K$21:$K$24,0),0)
))</f>
        <v>3</v>
      </c>
      <c r="BT182" s="5"/>
      <c r="BU182" s="5"/>
      <c r="BV182" s="5"/>
      <c r="BW182" s="5"/>
      <c r="BX182" s="5"/>
      <c r="BY182" s="5"/>
      <c r="BZ182" s="5"/>
      <c r="CA182" s="5"/>
      <c r="CB182" s="5"/>
      <c r="CC182" s="5"/>
      <c r="CD182" s="5"/>
      <c r="CE182" s="43">
        <f t="array" ref="CE182">MIN(100, MAX(0,
  IF(ISNUMBER(BV182)*AND(BV182&gt;0), 10, 0)
  + _xlfn.IFS(BY182="Independently Verified",25, BY182="Yes",15, TRUE,0)
  + IFERROR(_xlfn.XLOOKUP(BZ182,'Lookup Tables'!$A$21:$A$24,'Lookup Tables'!$B$21:$B$24,0),0)
  + IFERROR(_xlfn.XLOOKUP(CA182,'Lookup Tables'!$D$21:$D$24,'Lookup Tables'!$E$21:$E$24,0),0)
  + _xlfn.IFS(ISNUMBER(CB182)*AND(CB182&gt;=11),15, ISNUMBER(CB182)*AND(CB182&gt;=6),10, ISNUMBER(CB182)*AND(CB182&gt;=1),5, TRUE,0)
  + IFERROR(_xlfn.XLOOKUP(CC182,'Lookup Tables'!$G$21:$G$25,'Lookup Tables'!$H$21:$H$25,0),0)
  - IF(ISNUMBER(BW182)*AND(ISNUMBER(BV182))*AND(BW182&gt;BV182), 20, 0)
  - IF(AND(BY182="Yes", ISNUMBER(BW182), BW182&gt;60), 10, 0)
))</f>
        <v>0</v>
      </c>
      <c r="CF182" s="5"/>
      <c r="CG182" s="5"/>
      <c r="CH182" s="5"/>
      <c r="CI182" s="5"/>
      <c r="CJ182" s="5"/>
      <c r="CK182" s="5"/>
      <c r="CL182" s="5"/>
      <c r="CM182" s="5"/>
      <c r="CN182" s="5"/>
      <c r="CO182" s="5"/>
      <c r="CP182" s="5"/>
      <c r="CQ182" s="5"/>
      <c r="CR182" s="5">
        <f t="shared" si="103"/>
        <v>0</v>
      </c>
      <c r="CS182" s="5">
        <f t="shared" si="104"/>
        <v>0</v>
      </c>
      <c r="CT182" s="5">
        <f t="shared" si="105"/>
        <v>0</v>
      </c>
      <c r="CU182" s="5">
        <f>MIN(100,
  CR182*15
  + CS182*6
  + CT182*3
  + IFERROR(_xlfn.XLOOKUP(CW182,'Lookup Tables'!$M$21:$M$25,'Lookup Tables'!$N$21:$N$25,0),0)
)</f>
        <v>0</v>
      </c>
      <c r="CV182" s="5" t="str">
        <f t="shared" si="106"/>
        <v>No failures</v>
      </c>
      <c r="CW182" s="5"/>
      <c r="CX182" s="5"/>
      <c r="CY182" s="5"/>
      <c r="CZ182" s="5"/>
      <c r="DA182" s="5" t="str">
        <f t="shared" si="107"/>
        <v>Yes</v>
      </c>
      <c r="DB182" s="5" t="str">
        <f t="shared" si="108"/>
        <v>No</v>
      </c>
      <c r="DC182" s="5"/>
      <c r="DD182" s="5"/>
      <c r="DE182" s="5"/>
      <c r="DF182" s="5"/>
      <c r="DG182" s="5"/>
      <c r="DH182" s="5"/>
      <c r="DI182" s="5"/>
      <c r="DJ182" s="5"/>
      <c r="DK182" s="5"/>
      <c r="DL182" s="5" t="str">
        <f t="shared" si="109"/>
        <v>Clear</v>
      </c>
      <c r="DM182" s="5" t="str">
        <f t="shared" si="110"/>
        <v>Yes</v>
      </c>
      <c r="DN182" s="5">
        <f t="array" ref="DN182">MIN(100,
  IF(ISNUMBER(V182), _xlfn.IFS(V182&gt;=3,25, V182=2,15, V182=1,5, TRUE,0), 0)
  + IFERROR(_xlfn.IFS(VALUE(LEFT(DF182,1))=5,25, VALUE(LEFT(DF182,1))=4,20, VALUE(LEFT(DF182,1))=3,15, VALUE(LEFT(DF182,1))=2,8, TRUE,0), 15)
  + IFERROR(_xlfn.IFS(VALUE(LEFT(DG182,1))=5,25, VALUE(LEFT(DG182,1))=4,20, VALUE(LEFT(DG182,1))=3,15, VALUE(LEFT(DG182,1))=2,8, TRUE,0), 15)
  + _xlfn.IFS(DH182="Fully Verified",25, DH182="Partially Verified",12, TRUE,0)
)</f>
        <v>30</v>
      </c>
      <c r="DO182" s="5" t="str">
        <f t="array" ref="DO182">_xlfn.IFS(
  ISBLANK(AR182), "Insufficient Evidence",
  AND(AR182&gt;=65, AJ182="Approved"), "Strong",
  AR182&gt;=65, "Adequate",
  AR182&gt;=40, "Adequate",
  AR182&gt;=20, "Weak",
  TRUE, "Insufficient Evidence"
)</f>
        <v>Insufficient Evidence</v>
      </c>
      <c r="DP182" s="5" t="str">
        <f t="array" ref="DP182">_xlfn.IFS(
  ISBLANK(BS182), "Insufficient Evidence",
  BS182&gt;=65, "Strong",
  BS182&gt;=40, "Adequate",
  BS182&gt;=20, "Weak",
  TRUE, "Insufficient Evidence"
)</f>
        <v>Insufficient Evidence</v>
      </c>
      <c r="DQ182" s="5" t="str">
        <f t="array" ref="DQ182">_xlfn.IFS(
  ISBLANK(BE182), "Insufficient Evidence",
  OR(AW182="Confirmed Violation", AX182="Confirmed Breach"), "Severe — Hard Trigger",
  BE182&gt;=65, "Strong",
  BE182&gt;=40, "Adequate",
  BE182&gt;=20, "Weak",
  TRUE, "Insufficient Evidence"
)</f>
        <v>Insufficient Evidence</v>
      </c>
      <c r="DR182" s="5" t="str">
        <f t="array" ref="DR182">_xlfn.IFS(
  ISBLANK(CU182), "Insufficient Evidence",
  CU182&lt;=20, "Low Risk",
  CU182&lt;=50, "Moderate Risk",
  CU182&lt;=75, "High Risk",
  TRUE, "Very High Risk"
)</f>
        <v>Low Risk</v>
      </c>
      <c r="DS182" s="5" t="str">
        <f t="array" ref="DS182">_xlfn.IFS(
  ISBLANK(CE182), "Insufficient Evidence",
  AND(ISNUMBER(BW182),ISNUMBER(BV182),BW182&gt;BV182), "Overclaiming Risk",
  CE182&gt;=65, "Strong",
  CE182&gt;=40, "Adequate",
  TRUE, "Weak"
)</f>
        <v>Weak</v>
      </c>
      <c r="DT182" s="5">
        <f t="shared" si="111"/>
        <v>11.7</v>
      </c>
      <c r="DU182" s="5" t="str">
        <f t="array" ref="DU182">_xlfn.IFS(
  DV182="Upgraded to Clear", "Clear",
  DV182="Downgraded to Watchlist", "Watchlist",
  DV182="Downgraded to Exclusion", "Exclusion Risk",
  DB182="Yes — Automatic", "Exclusion Risk",
  OR(AW182="Confirmed Violation", AX182="Confirmed Breach"), "Exclusion Risk",
  OR(V182=0, ISBLANK(V182), DN182&lt;20), "Insufficient Evidence",
  AND(DT182&gt;=65, DA182="No", DB182="No"), "Clear",
  OR(DT182&gt;=40, DA182="Yes"), "Watchlist",
  TRUE, "Exclusion Risk"
)</f>
        <v>Insufficient Evidence</v>
      </c>
      <c r="DV182" s="5"/>
      <c r="DW182" s="5" t="str">
        <f t="array" ref="DW182">_xlfn.IFS(
  DU182="Exclusion Risk", "Exclude — Hard Trigger",
  DU182="Insufficient Evidence", "Watchlist — Further Evidence Needed",
  DU182="Watchlist", "Watchlist — Further Evidence Needed",
  AND(DU182="Clear", DT182&gt;=80), "Include — No Conditions",
  DU182="Clear", "Include — Monitor",
  TRUE, "Watchlist — Further Evidence Needed"
)</f>
        <v>Watchlist — Further Evidence Needed</v>
      </c>
      <c r="DX182" s="5"/>
      <c r="DY182" s="5"/>
      <c r="DZ182" s="5"/>
      <c r="EA182" s="5"/>
      <c r="EB182" s="5" t="str">
        <f t="shared" si="112"/>
        <v>MISSING — No sources reviewed</v>
      </c>
      <c r="EC182" s="5" t="str">
        <f t="shared" si="113"/>
        <v/>
      </c>
    </row>
    <row r="183" spans="1:133" ht="18" customHeight="1" x14ac:dyDescent="0.15">
      <c r="A183" s="5" t="s">
        <v>930</v>
      </c>
      <c r="B183" s="5" t="s">
        <v>931</v>
      </c>
      <c r="C183" s="5" t="str">
        <f>IF(ISBLANK('Universe Tracker'!D158),"",'Universe Tracker'!D158)</f>
        <v>IT0000066123</v>
      </c>
      <c r="D183" s="5"/>
      <c r="E183" s="5"/>
      <c r="F183" s="5" t="str">
        <f>IF(ISBLANK('Universe Tracker'!F158),"",'Universe Tracker'!F158)</f>
        <v>Financials</v>
      </c>
      <c r="G183" s="5" t="str">
        <f>IF(ISBLANK('Universe Tracker'!G158),"",'Universe Tracker'!G158)</f>
        <v>Banking</v>
      </c>
      <c r="H183" s="5"/>
      <c r="I183" s="5"/>
      <c r="J183" s="5" t="str">
        <f t="shared" si="101"/>
        <v>4BE_IT0000066123</v>
      </c>
      <c r="K183" s="5"/>
      <c r="L183" s="5"/>
      <c r="M183" s="5"/>
      <c r="N183" s="5"/>
      <c r="O183" s="5"/>
      <c r="P183" s="5"/>
      <c r="Q183" s="5"/>
      <c r="R183" s="5"/>
      <c r="S183" s="5"/>
      <c r="T183" s="5"/>
      <c r="U183" s="5"/>
      <c r="V183" s="5"/>
      <c r="W183" s="5"/>
      <c r="X183" s="5"/>
      <c r="Y183" s="5" t="str">
        <f t="shared" si="102"/>
        <v>Insufficient</v>
      </c>
      <c r="Z183" s="5"/>
      <c r="AA183" s="5"/>
      <c r="AB183" s="5"/>
      <c r="AC183" s="5"/>
      <c r="AD183" s="5"/>
      <c r="AE183" s="5"/>
      <c r="AF183" s="5"/>
      <c r="AG183" s="5"/>
      <c r="AH183" s="5"/>
      <c r="AI183" s="5"/>
      <c r="AJ183" s="5"/>
      <c r="AK183" s="5"/>
      <c r="AL183" s="5"/>
      <c r="AM183" s="5"/>
      <c r="AN183" s="5"/>
      <c r="AO183" s="5"/>
      <c r="AP183" s="5"/>
      <c r="AQ183" s="5"/>
      <c r="AR183" s="40">
        <f t="array" ref="AR183">MIN(100, MAX(0,
  IFERROR(_xlfn.XLOOKUP(AJ183,'Lookup Tables'!$A$2:$A$7,'Lookup Tables'!$B$2:$B$7,0),0)
  + IF(Z183="Yes", IF(IFERROR(_xlfn.XLOOKUP(AJ183,'Lookup Tables'!$A$2:$A$7,'Lookup Tables'!$B$2:$B$7,0),0)&lt;20, 5, 0), 0)
  + _xlfn.IFS(AB183="Yes", IF(ISNUMBER(AC183)*AND(AC183&lt;=2030),15,10), AB183="Long-term Only", 5, AB183="No", 0, TRUE, 0)
  + _xlfn.IFS(AF183="Full",10, AF183="Partial",5, AF183="Scope 2 Only",3, TRUE,0)
  + _xlfn.IFS(AG183="Yes", IF(ISNUMBER(AH183)*AND(AH183&gt;=5),10,6), AG183="Partial",4, TRUE,0)
  + _xlfn.IFS(AI183="Yes",5, AI183="Partial (material categories only)",3, TRUE,0)
  + _xlfn.IFS(AL183="Yes — Detailed",10, AL183="Yes — High Level",5, TRUE,0)
  + _xlfn.IFS(AM183="Yes — Quantified",15, AM183="Yes — Directional Only",7, TRUE,0)
  + _xlfn.IFS(AP183="Formal",5, AP183="Referenced",2, TRUE,0)
  + _xlfn.IFS(AQ183="No Issues Found",5, AQ183="Concern Identified",-5, AQ183="Severe Contradiction",-15, TRUE,0)
  + _xlfn.IFS(BC183="Reasonable Assurance",5, BC183="Limited Assurance",3, TRUE,0)
  - IF(AND(Z183="Yes", AI183="No"), 10, 0)
  - IF(AND(Z183="Yes", AM183="No"), 10, 0)
))</f>
        <v>0</v>
      </c>
      <c r="AS183" s="5"/>
      <c r="AT183" s="5"/>
      <c r="AU183" s="5"/>
      <c r="AV183" s="5"/>
      <c r="AW183" s="5"/>
      <c r="AX183" s="5"/>
      <c r="AY183" s="5"/>
      <c r="AZ183" s="5"/>
      <c r="BA183" s="5"/>
      <c r="BB183" s="5"/>
      <c r="BC183" s="5"/>
      <c r="BD183" s="5"/>
      <c r="BE183" s="39">
        <f t="array" ref="BE183">MIN(100, MAX(0,
  IFERROR(_xlfn.XLOOKUP(AT183,'Lookup Tables'!$D$2:$D$6,'Lookup Tables'!$E$2:$E$6,0),0)
  + IFERROR(_xlfn.XLOOKUP(AV183,'Lookup Tables'!$G$2:$G$5,'Lookup Tables'!$H$2:$H$5,0),0)
  + IFERROR(_xlfn.XLOOKUP(AW183,'Lookup Tables'!$J$2:$J$5,'Lookup Tables'!$K$2:$K$5,0),0)
  + _xlfn.IFS(AX183="No Issues",10, AX183="Complaint Filed",3, AX183="Confirmed Breach",-15, TRUE,0)
  + IFERROR(_xlfn.XLOOKUP(AY183,'Lookup Tables'!$M$2:$M$6,'Lookup Tables'!$N$2:$N$6,0),0)
  + IFERROR(_xlfn.XLOOKUP(AZ183,'Lookup Tables'!$P$2:$P$6,'Lookup Tables'!$Q$2:$Q$6,0),0)
  + _xlfn.IFS(BA183="Formal Board Committee",5, BA183="Board Oversight Mentioned",2, TRUE,0)
  + _xlfn.IFS(BB183="Yes — Quantified Targets",5, BB183="Yes — Discretionary Only",2, TRUE,0)
  + _xlfn.IFS(BC183="Reasonable Assurance",5, BC183="Limited Assurance",3, BC183="Management Review Only",1, TRUE,0)
))</f>
        <v>0</v>
      </c>
      <c r="BF183" s="5"/>
      <c r="BG183" s="5"/>
      <c r="BH183" s="5"/>
      <c r="BI183" s="5"/>
      <c r="BJ183" s="5"/>
      <c r="BK183" s="5"/>
      <c r="BL183" s="5"/>
      <c r="BM183" s="5"/>
      <c r="BN183" s="5"/>
      <c r="BO183" s="5"/>
      <c r="BP183" s="5"/>
      <c r="BQ183" s="5"/>
      <c r="BR183" s="5"/>
      <c r="BS183" s="41">
        <f t="array" ref="BS183">MIN(100, MAX(0,
  IFERROR(_xlfn.XLOOKUP(BG183,'Lookup Tables'!$A$11:$A$16,'Lookup Tables'!$B$11:$B$16,0),0)
  + IFERROR(_xlfn.XLOOKUP(BR183,'Lookup Tables'!$M$11:$M$14,'Lookup Tables'!$N$11:$N$14,0),0)
  + IFERROR(_xlfn.XLOOKUP(BQ183,'Lookup Tables'!$J$11:$J$15,'Lookup Tables'!$K$11:$K$15,0),0)
  + IFERROR(_xlfn.XLOOKUP(BH183,'Lookup Tables'!$D$11:$D$15,'Lookup Tables'!$E$11:$E$15,0),0)
  + IFERROR(_xlfn.XLOOKUP(BJ183,'Lookup Tables'!$G$11:$G$16,'Lookup Tables'!$H$11:$H$16,0),0)
  + IFERROR(_xlfn.XLOOKUP(BN183,'Lookup Tables'!$P$11:$P$15,'Lookup Tables'!$Q$11:$Q$15,0),0)
  + _xlfn.IFS(BM183="No Evidence",10, BM183="Unknown",3, BM183="Likely",0, BM183="Confirmed",-10, TRUE,3)
  + IFERROR(_xlfn.XLOOKUP(BP183,'Lookup Tables'!$J$21:$J$24,'Lookup Tables'!$K$21:$K$24,0),0)
))</f>
        <v>3</v>
      </c>
      <c r="BT183" s="5"/>
      <c r="BU183" s="5"/>
      <c r="BV183" s="5"/>
      <c r="BW183" s="5"/>
      <c r="BX183" s="5"/>
      <c r="BY183" s="5"/>
      <c r="BZ183" s="5"/>
      <c r="CA183" s="5"/>
      <c r="CB183" s="5"/>
      <c r="CC183" s="5"/>
      <c r="CD183" s="5"/>
      <c r="CE183" s="43">
        <f t="array" ref="CE183">MIN(100, MAX(0,
  IF(ISNUMBER(BV183)*AND(BV183&gt;0), 10, 0)
  + _xlfn.IFS(BY183="Independently Verified",25, BY183="Yes",15, TRUE,0)
  + IFERROR(_xlfn.XLOOKUP(BZ183,'Lookup Tables'!$A$21:$A$24,'Lookup Tables'!$B$21:$B$24,0),0)
  + IFERROR(_xlfn.XLOOKUP(CA183,'Lookup Tables'!$D$21:$D$24,'Lookup Tables'!$E$21:$E$24,0),0)
  + _xlfn.IFS(ISNUMBER(CB183)*AND(CB183&gt;=11),15, ISNUMBER(CB183)*AND(CB183&gt;=6),10, ISNUMBER(CB183)*AND(CB183&gt;=1),5, TRUE,0)
  + IFERROR(_xlfn.XLOOKUP(CC183,'Lookup Tables'!$G$21:$G$25,'Lookup Tables'!$H$21:$H$25,0),0)
  - IF(ISNUMBER(BW183)*AND(ISNUMBER(BV183))*AND(BW183&gt;BV183), 20, 0)
  - IF(AND(BY183="Yes", ISNUMBER(BW183), BW183&gt;60), 10, 0)
))</f>
        <v>0</v>
      </c>
      <c r="CF183" s="5"/>
      <c r="CG183" s="5"/>
      <c r="CH183" s="5"/>
      <c r="CI183" s="5"/>
      <c r="CJ183" s="5"/>
      <c r="CK183" s="5"/>
      <c r="CL183" s="5"/>
      <c r="CM183" s="5"/>
      <c r="CN183" s="5"/>
      <c r="CO183" s="5"/>
      <c r="CP183" s="5"/>
      <c r="CQ183" s="5"/>
      <c r="CR183" s="5">
        <f t="shared" si="103"/>
        <v>0</v>
      </c>
      <c r="CS183" s="5">
        <f t="shared" si="104"/>
        <v>0</v>
      </c>
      <c r="CT183" s="5">
        <f t="shared" si="105"/>
        <v>0</v>
      </c>
      <c r="CU183" s="5">
        <f>MIN(100,
  CR183*15
  + CS183*6
  + CT183*3
  + IFERROR(_xlfn.XLOOKUP(CW183,'Lookup Tables'!$M$21:$M$25,'Lookup Tables'!$N$21:$N$25,0),0)
)</f>
        <v>0</v>
      </c>
      <c r="CV183" s="5" t="str">
        <f t="shared" si="106"/>
        <v>No failures</v>
      </c>
      <c r="CW183" s="5"/>
      <c r="CX183" s="5"/>
      <c r="CY183" s="5"/>
      <c r="CZ183" s="5"/>
      <c r="DA183" s="5" t="str">
        <f t="shared" si="107"/>
        <v>Yes</v>
      </c>
      <c r="DB183" s="5" t="str">
        <f t="shared" si="108"/>
        <v>No</v>
      </c>
      <c r="DC183" s="5"/>
      <c r="DD183" s="5"/>
      <c r="DE183" s="5"/>
      <c r="DF183" s="5"/>
      <c r="DG183" s="5"/>
      <c r="DH183" s="5"/>
      <c r="DI183" s="5"/>
      <c r="DJ183" s="5"/>
      <c r="DK183" s="5"/>
      <c r="DL183" s="5" t="str">
        <f t="shared" si="109"/>
        <v>Clear</v>
      </c>
      <c r="DM183" s="5" t="str">
        <f t="shared" si="110"/>
        <v>Yes</v>
      </c>
      <c r="DN183" s="5">
        <f t="array" ref="DN183">MIN(100,
  IF(ISNUMBER(V183), _xlfn.IFS(V183&gt;=3,25, V183=2,15, V183=1,5, TRUE,0), 0)
  + IFERROR(_xlfn.IFS(VALUE(LEFT(DF183,1))=5,25, VALUE(LEFT(DF183,1))=4,20, VALUE(LEFT(DF183,1))=3,15, VALUE(LEFT(DF183,1))=2,8, TRUE,0), 15)
  + IFERROR(_xlfn.IFS(VALUE(LEFT(DG183,1))=5,25, VALUE(LEFT(DG183,1))=4,20, VALUE(LEFT(DG183,1))=3,15, VALUE(LEFT(DG183,1))=2,8, TRUE,0), 15)
  + _xlfn.IFS(DH183="Fully Verified",25, DH183="Partially Verified",12, TRUE,0)
)</f>
        <v>30</v>
      </c>
      <c r="DO183" s="5" t="str">
        <f t="array" ref="DO183">_xlfn.IFS(
  ISBLANK(AR183), "Insufficient Evidence",
  AND(AR183&gt;=65, AJ183="Approved"), "Strong",
  AR183&gt;=65, "Adequate",
  AR183&gt;=40, "Adequate",
  AR183&gt;=20, "Weak",
  TRUE, "Insufficient Evidence"
)</f>
        <v>Insufficient Evidence</v>
      </c>
      <c r="DP183" s="5" t="str">
        <f t="array" ref="DP183">_xlfn.IFS(
  ISBLANK(BS183), "Insufficient Evidence",
  BS183&gt;=65, "Strong",
  BS183&gt;=40, "Adequate",
  BS183&gt;=20, "Weak",
  TRUE, "Insufficient Evidence"
)</f>
        <v>Insufficient Evidence</v>
      </c>
      <c r="DQ183" s="5" t="str">
        <f t="array" ref="DQ183">_xlfn.IFS(
  ISBLANK(BE183), "Insufficient Evidence",
  OR(AW183="Confirmed Violation", AX183="Confirmed Breach"), "Severe — Hard Trigger",
  BE183&gt;=65, "Strong",
  BE183&gt;=40, "Adequate",
  BE183&gt;=20, "Weak",
  TRUE, "Insufficient Evidence"
)</f>
        <v>Insufficient Evidence</v>
      </c>
      <c r="DR183" s="5" t="str">
        <f t="array" ref="DR183">_xlfn.IFS(
  ISBLANK(CU183), "Insufficient Evidence",
  CU183&lt;=20, "Low Risk",
  CU183&lt;=50, "Moderate Risk",
  CU183&lt;=75, "High Risk",
  TRUE, "Very High Risk"
)</f>
        <v>Low Risk</v>
      </c>
      <c r="DS183" s="5" t="str">
        <f t="array" ref="DS183">_xlfn.IFS(
  ISBLANK(CE183), "Insufficient Evidence",
  AND(ISNUMBER(BW183),ISNUMBER(BV183),BW183&gt;BV183), "Overclaiming Risk",
  CE183&gt;=65, "Strong",
  CE183&gt;=40, "Adequate",
  TRUE, "Weak"
)</f>
        <v>Weak</v>
      </c>
      <c r="DT183" s="5">
        <f t="shared" si="111"/>
        <v>11.7</v>
      </c>
      <c r="DU183" s="5" t="str">
        <f t="array" ref="DU183">_xlfn.IFS(
  DV183="Upgraded to Clear", "Clear",
  DV183="Downgraded to Watchlist", "Watchlist",
  DV183="Downgraded to Exclusion", "Exclusion Risk",
  DB183="Yes — Automatic", "Exclusion Risk",
  OR(AW183="Confirmed Violation", AX183="Confirmed Breach"), "Exclusion Risk",
  OR(V183=0, ISBLANK(V183), DN183&lt;20), "Insufficient Evidence",
  AND(DT183&gt;=65, DA183="No", DB183="No"), "Clear",
  OR(DT183&gt;=40, DA183="Yes"), "Watchlist",
  TRUE, "Exclusion Risk"
)</f>
        <v>Insufficient Evidence</v>
      </c>
      <c r="DV183" s="5"/>
      <c r="DW183" s="5" t="str">
        <f t="array" ref="DW183">_xlfn.IFS(
  DU183="Exclusion Risk", "Exclude — Hard Trigger",
  DU183="Insufficient Evidence", "Watchlist — Further Evidence Needed",
  DU183="Watchlist", "Watchlist — Further Evidence Needed",
  AND(DU183="Clear", DT183&gt;=80), "Include — No Conditions",
  DU183="Clear", "Include — Monitor",
  TRUE, "Watchlist — Further Evidence Needed"
)</f>
        <v>Watchlist — Further Evidence Needed</v>
      </c>
      <c r="DX183" s="5"/>
      <c r="DY183" s="5"/>
      <c r="DZ183" s="5"/>
      <c r="EA183" s="5"/>
      <c r="EB183" s="5" t="str">
        <f t="shared" si="112"/>
        <v>MISSING — No sources reviewed</v>
      </c>
      <c r="EC183" s="5" t="str">
        <f t="shared" si="113"/>
        <v/>
      </c>
    </row>
    <row r="184" spans="1:133" ht="18" customHeight="1" x14ac:dyDescent="0.15">
      <c r="A184" s="5" t="s">
        <v>934</v>
      </c>
      <c r="B184" s="5" t="s">
        <v>935</v>
      </c>
      <c r="C184" s="5" t="str">
        <f>IF(ISBLANK('Universe Tracker'!D159),"",'Universe Tracker'!D159)</f>
        <v>DK0060257814</v>
      </c>
      <c r="D184" s="5"/>
      <c r="E184" s="5"/>
      <c r="F184" s="5" t="str">
        <f>IF(ISBLANK('Universe Tracker'!F159),"",'Universe Tracker'!F159)</f>
        <v>Health Care</v>
      </c>
      <c r="G184" s="5" t="str">
        <f>IF(ISBLANK('Universe Tracker'!G159),"",'Universe Tracker'!G159)</f>
        <v>Health Care</v>
      </c>
      <c r="H184" s="5"/>
      <c r="I184" s="5"/>
      <c r="J184" s="5" t="str">
        <f t="shared" si="101"/>
        <v>22Z_DK0060257814</v>
      </c>
      <c r="K184" s="5"/>
      <c r="L184" s="5"/>
      <c r="M184" s="5"/>
      <c r="N184" s="5"/>
      <c r="O184" s="5"/>
      <c r="P184" s="5"/>
      <c r="Q184" s="5"/>
      <c r="R184" s="5"/>
      <c r="S184" s="5"/>
      <c r="T184" s="5"/>
      <c r="U184" s="5"/>
      <c r="V184" s="5"/>
      <c r="W184" s="5"/>
      <c r="X184" s="5"/>
      <c r="Y184" s="5" t="str">
        <f t="shared" si="102"/>
        <v>Insufficient</v>
      </c>
      <c r="Z184" s="5"/>
      <c r="AA184" s="5"/>
      <c r="AB184" s="5"/>
      <c r="AC184" s="5"/>
      <c r="AD184" s="5"/>
      <c r="AE184" s="5"/>
      <c r="AF184" s="5"/>
      <c r="AG184" s="5"/>
      <c r="AH184" s="5"/>
      <c r="AI184" s="5"/>
      <c r="AJ184" s="5"/>
      <c r="AK184" s="5"/>
      <c r="AL184" s="5"/>
      <c r="AM184" s="5"/>
      <c r="AN184" s="5"/>
      <c r="AO184" s="5"/>
      <c r="AP184" s="5"/>
      <c r="AQ184" s="5"/>
      <c r="AR184" s="40">
        <f t="array" ref="AR184">MIN(100, MAX(0,
  IFERROR(_xlfn.XLOOKUP(AJ184,'Lookup Tables'!$A$2:$A$7,'Lookup Tables'!$B$2:$B$7,0),0)
  + IF(Z184="Yes", IF(IFERROR(_xlfn.XLOOKUP(AJ184,'Lookup Tables'!$A$2:$A$7,'Lookup Tables'!$B$2:$B$7,0),0)&lt;20, 5, 0), 0)
  + _xlfn.IFS(AB184="Yes", IF(ISNUMBER(AC184)*AND(AC184&lt;=2030),15,10), AB184="Long-term Only", 5, AB184="No", 0, TRUE, 0)
  + _xlfn.IFS(AF184="Full",10, AF184="Partial",5, AF184="Scope 2 Only",3, TRUE,0)
  + _xlfn.IFS(AG184="Yes", IF(ISNUMBER(AH184)*AND(AH184&gt;=5),10,6), AG184="Partial",4, TRUE,0)
  + _xlfn.IFS(AI184="Yes",5, AI184="Partial (material categories only)",3, TRUE,0)
  + _xlfn.IFS(AL184="Yes — Detailed",10, AL184="Yes — High Level",5, TRUE,0)
  + _xlfn.IFS(AM184="Yes — Quantified",15, AM184="Yes — Directional Only",7, TRUE,0)
  + _xlfn.IFS(AP184="Formal",5, AP184="Referenced",2, TRUE,0)
  + _xlfn.IFS(AQ184="No Issues Found",5, AQ184="Concern Identified",-5, AQ184="Severe Contradiction",-15, TRUE,0)
  + _xlfn.IFS(BC184="Reasonable Assurance",5, BC184="Limited Assurance",3, TRUE,0)
  - IF(AND(Z184="Yes", AI184="No"), 10, 0)
  - IF(AND(Z184="Yes", AM184="No"), 10, 0)
))</f>
        <v>0</v>
      </c>
      <c r="AS184" s="5"/>
      <c r="AT184" s="5"/>
      <c r="AU184" s="5"/>
      <c r="AV184" s="5"/>
      <c r="AW184" s="5"/>
      <c r="AX184" s="5"/>
      <c r="AY184" s="5"/>
      <c r="AZ184" s="5"/>
      <c r="BA184" s="5"/>
      <c r="BB184" s="5"/>
      <c r="BC184" s="5"/>
      <c r="BD184" s="5"/>
      <c r="BE184" s="39">
        <f t="array" ref="BE184">MIN(100, MAX(0,
  IFERROR(_xlfn.XLOOKUP(AT184,'Lookup Tables'!$D$2:$D$6,'Lookup Tables'!$E$2:$E$6,0),0)
  + IFERROR(_xlfn.XLOOKUP(AV184,'Lookup Tables'!$G$2:$G$5,'Lookup Tables'!$H$2:$H$5,0),0)
  + IFERROR(_xlfn.XLOOKUP(AW184,'Lookup Tables'!$J$2:$J$5,'Lookup Tables'!$K$2:$K$5,0),0)
  + _xlfn.IFS(AX184="No Issues",10, AX184="Complaint Filed",3, AX184="Confirmed Breach",-15, TRUE,0)
  + IFERROR(_xlfn.XLOOKUP(AY184,'Lookup Tables'!$M$2:$M$6,'Lookup Tables'!$N$2:$N$6,0),0)
  + IFERROR(_xlfn.XLOOKUP(AZ184,'Lookup Tables'!$P$2:$P$6,'Lookup Tables'!$Q$2:$Q$6,0),0)
  + _xlfn.IFS(BA184="Formal Board Committee",5, BA184="Board Oversight Mentioned",2, TRUE,0)
  + _xlfn.IFS(BB184="Yes — Quantified Targets",5, BB184="Yes — Discretionary Only",2, TRUE,0)
  + _xlfn.IFS(BC184="Reasonable Assurance",5, BC184="Limited Assurance",3, BC184="Management Review Only",1, TRUE,0)
))</f>
        <v>0</v>
      </c>
      <c r="BF184" s="5"/>
      <c r="BG184" s="5"/>
      <c r="BH184" s="5"/>
      <c r="BI184" s="5"/>
      <c r="BJ184" s="5"/>
      <c r="BK184" s="5"/>
      <c r="BL184" s="5"/>
      <c r="BM184" s="5"/>
      <c r="BN184" s="5"/>
      <c r="BO184" s="5"/>
      <c r="BP184" s="5"/>
      <c r="BQ184" s="5"/>
      <c r="BR184" s="5"/>
      <c r="BS184" s="41">
        <f t="array" ref="BS184">MIN(100, MAX(0,
  IFERROR(_xlfn.XLOOKUP(BG184,'Lookup Tables'!$A$11:$A$16,'Lookup Tables'!$B$11:$B$16,0),0)
  + IFERROR(_xlfn.XLOOKUP(BR184,'Lookup Tables'!$M$11:$M$14,'Lookup Tables'!$N$11:$N$14,0),0)
  + IFERROR(_xlfn.XLOOKUP(BQ184,'Lookup Tables'!$J$11:$J$15,'Lookup Tables'!$K$11:$K$15,0),0)
  + IFERROR(_xlfn.XLOOKUP(BH184,'Lookup Tables'!$D$11:$D$15,'Lookup Tables'!$E$11:$E$15,0),0)
  + IFERROR(_xlfn.XLOOKUP(BJ184,'Lookup Tables'!$G$11:$G$16,'Lookup Tables'!$H$11:$H$16,0),0)
  + IFERROR(_xlfn.XLOOKUP(BN184,'Lookup Tables'!$P$11:$P$15,'Lookup Tables'!$Q$11:$Q$15,0),0)
  + _xlfn.IFS(BM184="No Evidence",10, BM184="Unknown",3, BM184="Likely",0, BM184="Confirmed",-10, TRUE,3)
  + IFERROR(_xlfn.XLOOKUP(BP184,'Lookup Tables'!$J$21:$J$24,'Lookup Tables'!$K$21:$K$24,0),0)
))</f>
        <v>3</v>
      </c>
      <c r="BT184" s="5"/>
      <c r="BU184" s="5"/>
      <c r="BV184" s="5"/>
      <c r="BW184" s="5"/>
      <c r="BX184" s="5"/>
      <c r="BY184" s="5"/>
      <c r="BZ184" s="5"/>
      <c r="CA184" s="5"/>
      <c r="CB184" s="5"/>
      <c r="CC184" s="5"/>
      <c r="CD184" s="5"/>
      <c r="CE184" s="43">
        <f t="array" ref="CE184">MIN(100, MAX(0,
  IF(ISNUMBER(BV184)*AND(BV184&gt;0), 10, 0)
  + _xlfn.IFS(BY184="Independently Verified",25, BY184="Yes",15, TRUE,0)
  + IFERROR(_xlfn.XLOOKUP(BZ184,'Lookup Tables'!$A$21:$A$24,'Lookup Tables'!$B$21:$B$24,0),0)
  + IFERROR(_xlfn.XLOOKUP(CA184,'Lookup Tables'!$D$21:$D$24,'Lookup Tables'!$E$21:$E$24,0),0)
  + _xlfn.IFS(ISNUMBER(CB184)*AND(CB184&gt;=11),15, ISNUMBER(CB184)*AND(CB184&gt;=6),10, ISNUMBER(CB184)*AND(CB184&gt;=1),5, TRUE,0)
  + IFERROR(_xlfn.XLOOKUP(CC184,'Lookup Tables'!$G$21:$G$25,'Lookup Tables'!$H$21:$H$25,0),0)
  - IF(ISNUMBER(BW184)*AND(ISNUMBER(BV184))*AND(BW184&gt;BV184), 20, 0)
  - IF(AND(BY184="Yes", ISNUMBER(BW184), BW184&gt;60), 10, 0)
))</f>
        <v>0</v>
      </c>
      <c r="CF184" s="5"/>
      <c r="CG184" s="5"/>
      <c r="CH184" s="5"/>
      <c r="CI184" s="5"/>
      <c r="CJ184" s="5"/>
      <c r="CK184" s="5"/>
      <c r="CL184" s="5"/>
      <c r="CM184" s="5"/>
      <c r="CN184" s="5"/>
      <c r="CO184" s="5"/>
      <c r="CP184" s="5"/>
      <c r="CQ184" s="5"/>
      <c r="CR184" s="5">
        <f t="shared" si="103"/>
        <v>0</v>
      </c>
      <c r="CS184" s="5">
        <f t="shared" si="104"/>
        <v>0</v>
      </c>
      <c r="CT184" s="5">
        <f t="shared" si="105"/>
        <v>0</v>
      </c>
      <c r="CU184" s="5">
        <f>MIN(100,
  CR184*15
  + CS184*6
  + CT184*3
  + IFERROR(_xlfn.XLOOKUP(CW184,'Lookup Tables'!$M$21:$M$25,'Lookup Tables'!$N$21:$N$25,0),0)
)</f>
        <v>0</v>
      </c>
      <c r="CV184" s="5" t="str">
        <f t="shared" si="106"/>
        <v>No failures</v>
      </c>
      <c r="CW184" s="5"/>
      <c r="CX184" s="5"/>
      <c r="CY184" s="5"/>
      <c r="CZ184" s="5"/>
      <c r="DA184" s="5" t="str">
        <f t="shared" si="107"/>
        <v>Yes</v>
      </c>
      <c r="DB184" s="5" t="str">
        <f t="shared" si="108"/>
        <v>No</v>
      </c>
      <c r="DC184" s="5"/>
      <c r="DD184" s="5"/>
      <c r="DE184" s="5"/>
      <c r="DF184" s="5"/>
      <c r="DG184" s="5"/>
      <c r="DH184" s="5"/>
      <c r="DI184" s="5"/>
      <c r="DJ184" s="5"/>
      <c r="DK184" s="5"/>
      <c r="DL184" s="5" t="str">
        <f t="shared" si="109"/>
        <v>Clear</v>
      </c>
      <c r="DM184" s="5" t="str">
        <f t="shared" si="110"/>
        <v>Yes</v>
      </c>
      <c r="DN184" s="5">
        <f t="array" ref="DN184">MIN(100,
  IF(ISNUMBER(V184), _xlfn.IFS(V184&gt;=3,25, V184=2,15, V184=1,5, TRUE,0), 0)
  + IFERROR(_xlfn.IFS(VALUE(LEFT(DF184,1))=5,25, VALUE(LEFT(DF184,1))=4,20, VALUE(LEFT(DF184,1))=3,15, VALUE(LEFT(DF184,1))=2,8, TRUE,0), 15)
  + IFERROR(_xlfn.IFS(VALUE(LEFT(DG184,1))=5,25, VALUE(LEFT(DG184,1))=4,20, VALUE(LEFT(DG184,1))=3,15, VALUE(LEFT(DG184,1))=2,8, TRUE,0), 15)
  + _xlfn.IFS(DH184="Fully Verified",25, DH184="Partially Verified",12, TRUE,0)
)</f>
        <v>30</v>
      </c>
      <c r="DO184" s="5" t="str">
        <f t="array" ref="DO184">_xlfn.IFS(
  ISBLANK(AR184), "Insufficient Evidence",
  AND(AR184&gt;=65, AJ184="Approved"), "Strong",
  AR184&gt;=65, "Adequate",
  AR184&gt;=40, "Adequate",
  AR184&gt;=20, "Weak",
  TRUE, "Insufficient Evidence"
)</f>
        <v>Insufficient Evidence</v>
      </c>
      <c r="DP184" s="5" t="str">
        <f t="array" ref="DP184">_xlfn.IFS(
  ISBLANK(BS184), "Insufficient Evidence",
  BS184&gt;=65, "Strong",
  BS184&gt;=40, "Adequate",
  BS184&gt;=20, "Weak",
  TRUE, "Insufficient Evidence"
)</f>
        <v>Insufficient Evidence</v>
      </c>
      <c r="DQ184" s="5" t="str">
        <f t="array" ref="DQ184">_xlfn.IFS(
  ISBLANK(BE184), "Insufficient Evidence",
  OR(AW184="Confirmed Violation", AX184="Confirmed Breach"), "Severe — Hard Trigger",
  BE184&gt;=65, "Strong",
  BE184&gt;=40, "Adequate",
  BE184&gt;=20, "Weak",
  TRUE, "Insufficient Evidence"
)</f>
        <v>Insufficient Evidence</v>
      </c>
      <c r="DR184" s="5" t="str">
        <f t="array" ref="DR184">_xlfn.IFS(
  ISBLANK(CU184), "Insufficient Evidence",
  CU184&lt;=20, "Low Risk",
  CU184&lt;=50, "Moderate Risk",
  CU184&lt;=75, "High Risk",
  TRUE, "Very High Risk"
)</f>
        <v>Low Risk</v>
      </c>
      <c r="DS184" s="5" t="str">
        <f t="array" ref="DS184">_xlfn.IFS(
  ISBLANK(CE184), "Insufficient Evidence",
  AND(ISNUMBER(BW184),ISNUMBER(BV184),BW184&gt;BV184), "Overclaiming Risk",
  CE184&gt;=65, "Strong",
  CE184&gt;=40, "Adequate",
  TRUE, "Weak"
)</f>
        <v>Weak</v>
      </c>
      <c r="DT184" s="5">
        <f t="shared" si="111"/>
        <v>11.7</v>
      </c>
      <c r="DU184" s="5" t="str">
        <f t="array" ref="DU184">_xlfn.IFS(
  DV184="Upgraded to Clear", "Clear",
  DV184="Downgraded to Watchlist", "Watchlist",
  DV184="Downgraded to Exclusion", "Exclusion Risk",
  DB184="Yes — Automatic", "Exclusion Risk",
  OR(AW184="Confirmed Violation", AX184="Confirmed Breach"), "Exclusion Risk",
  OR(V184=0, ISBLANK(V184), DN184&lt;20), "Insufficient Evidence",
  AND(DT184&gt;=65, DA184="No", DB184="No"), "Clear",
  OR(DT184&gt;=40, DA184="Yes"), "Watchlist",
  TRUE, "Exclusion Risk"
)</f>
        <v>Insufficient Evidence</v>
      </c>
      <c r="DV184" s="5"/>
      <c r="DW184" s="5" t="str">
        <f t="array" ref="DW184">_xlfn.IFS(
  DU184="Exclusion Risk", "Exclude — Hard Trigger",
  DU184="Insufficient Evidence", "Watchlist — Further Evidence Needed",
  DU184="Watchlist", "Watchlist — Further Evidence Needed",
  AND(DU184="Clear", DT184&gt;=80), "Include — No Conditions",
  DU184="Clear", "Include — Monitor",
  TRUE, "Watchlist — Further Evidence Needed"
)</f>
        <v>Watchlist — Further Evidence Needed</v>
      </c>
      <c r="DX184" s="5"/>
      <c r="DY184" s="5"/>
      <c r="DZ184" s="5"/>
      <c r="EA184" s="5"/>
      <c r="EB184" s="5" t="str">
        <f t="shared" si="112"/>
        <v>MISSING — No sources reviewed</v>
      </c>
      <c r="EC184" s="5" t="str">
        <f t="shared" si="113"/>
        <v/>
      </c>
    </row>
    <row r="185" spans="1:133" ht="18" customHeight="1" x14ac:dyDescent="0.15">
      <c r="A185" s="5" t="s">
        <v>938</v>
      </c>
      <c r="B185" s="5" t="s">
        <v>939</v>
      </c>
      <c r="C185" s="5" t="str">
        <f>IF(ISBLANK('Universe Tracker'!D160),"",'Universe Tracker'!D160)</f>
        <v>PLTAURN00011</v>
      </c>
      <c r="D185" s="5"/>
      <c r="E185" s="5"/>
      <c r="F185" s="5" t="str">
        <f>IF(ISBLANK('Universe Tracker'!F160),"",'Universe Tracker'!F160)</f>
        <v>Utilities</v>
      </c>
      <c r="G185" s="5" t="str">
        <f>IF(ISBLANK('Universe Tracker'!G160),"",'Universe Tracker'!G160)</f>
        <v>Utilities</v>
      </c>
      <c r="H185" s="5"/>
      <c r="I185" s="5"/>
      <c r="J185" s="5" t="str">
        <f t="shared" si="101"/>
        <v>1T5_PLTAURN00011</v>
      </c>
      <c r="K185" s="5"/>
      <c r="L185" s="5"/>
      <c r="M185" s="5"/>
      <c r="N185" s="5"/>
      <c r="O185" s="5"/>
      <c r="P185" s="5"/>
      <c r="Q185" s="5"/>
      <c r="R185" s="5"/>
      <c r="S185" s="5"/>
      <c r="T185" s="5"/>
      <c r="U185" s="5"/>
      <c r="V185" s="5"/>
      <c r="W185" s="5"/>
      <c r="X185" s="5"/>
      <c r="Y185" s="5" t="str">
        <f t="shared" si="102"/>
        <v>Insufficient</v>
      </c>
      <c r="Z185" s="5"/>
      <c r="AA185" s="5"/>
      <c r="AB185" s="5"/>
      <c r="AC185" s="5"/>
      <c r="AD185" s="5"/>
      <c r="AE185" s="5"/>
      <c r="AF185" s="5"/>
      <c r="AG185" s="5"/>
      <c r="AH185" s="5"/>
      <c r="AI185" s="5"/>
      <c r="AJ185" s="5"/>
      <c r="AK185" s="5"/>
      <c r="AL185" s="5"/>
      <c r="AM185" s="5"/>
      <c r="AN185" s="5"/>
      <c r="AO185" s="5"/>
      <c r="AP185" s="5"/>
      <c r="AQ185" s="5"/>
      <c r="AR185" s="40">
        <f t="array" ref="AR185">MIN(100, MAX(0,
  IFERROR(_xlfn.XLOOKUP(AJ185,'Lookup Tables'!$A$2:$A$7,'Lookup Tables'!$B$2:$B$7,0),0)
  + IF(Z185="Yes", IF(IFERROR(_xlfn.XLOOKUP(AJ185,'Lookup Tables'!$A$2:$A$7,'Lookup Tables'!$B$2:$B$7,0),0)&lt;20, 5, 0), 0)
  + _xlfn.IFS(AB185="Yes", IF(ISNUMBER(AC185)*AND(AC185&lt;=2030),15,10), AB185="Long-term Only", 5, AB185="No", 0, TRUE, 0)
  + _xlfn.IFS(AF185="Full",10, AF185="Partial",5, AF185="Scope 2 Only",3, TRUE,0)
  + _xlfn.IFS(AG185="Yes", IF(ISNUMBER(AH185)*AND(AH185&gt;=5),10,6), AG185="Partial",4, TRUE,0)
  + _xlfn.IFS(AI185="Yes",5, AI185="Partial (material categories only)",3, TRUE,0)
  + _xlfn.IFS(AL185="Yes — Detailed",10, AL185="Yes — High Level",5, TRUE,0)
  + _xlfn.IFS(AM185="Yes — Quantified",15, AM185="Yes — Directional Only",7, TRUE,0)
  + _xlfn.IFS(AP185="Formal",5, AP185="Referenced",2, TRUE,0)
  + _xlfn.IFS(AQ185="No Issues Found",5, AQ185="Concern Identified",-5, AQ185="Severe Contradiction",-15, TRUE,0)
  + _xlfn.IFS(BC185="Reasonable Assurance",5, BC185="Limited Assurance",3, TRUE,0)
  - IF(AND(Z185="Yes", AI185="No"), 10, 0)
  - IF(AND(Z185="Yes", AM185="No"), 10, 0)
))</f>
        <v>0</v>
      </c>
      <c r="AS185" s="5"/>
      <c r="AT185" s="5"/>
      <c r="AU185" s="5"/>
      <c r="AV185" s="5"/>
      <c r="AW185" s="5"/>
      <c r="AX185" s="5"/>
      <c r="AY185" s="5"/>
      <c r="AZ185" s="5"/>
      <c r="BA185" s="5"/>
      <c r="BB185" s="5"/>
      <c r="BC185" s="5"/>
      <c r="BD185" s="5"/>
      <c r="BE185" s="39">
        <f t="array" ref="BE185">MIN(100, MAX(0,
  IFERROR(_xlfn.XLOOKUP(AT185,'Lookup Tables'!$D$2:$D$6,'Lookup Tables'!$E$2:$E$6,0),0)
  + IFERROR(_xlfn.XLOOKUP(AV185,'Lookup Tables'!$G$2:$G$5,'Lookup Tables'!$H$2:$H$5,0),0)
  + IFERROR(_xlfn.XLOOKUP(AW185,'Lookup Tables'!$J$2:$J$5,'Lookup Tables'!$K$2:$K$5,0),0)
  + _xlfn.IFS(AX185="No Issues",10, AX185="Complaint Filed",3, AX185="Confirmed Breach",-15, TRUE,0)
  + IFERROR(_xlfn.XLOOKUP(AY185,'Lookup Tables'!$M$2:$M$6,'Lookup Tables'!$N$2:$N$6,0),0)
  + IFERROR(_xlfn.XLOOKUP(AZ185,'Lookup Tables'!$P$2:$P$6,'Lookup Tables'!$Q$2:$Q$6,0),0)
  + _xlfn.IFS(BA185="Formal Board Committee",5, BA185="Board Oversight Mentioned",2, TRUE,0)
  + _xlfn.IFS(BB185="Yes — Quantified Targets",5, BB185="Yes — Discretionary Only",2, TRUE,0)
  + _xlfn.IFS(BC185="Reasonable Assurance",5, BC185="Limited Assurance",3, BC185="Management Review Only",1, TRUE,0)
))</f>
        <v>0</v>
      </c>
      <c r="BF185" s="5"/>
      <c r="BG185" s="5"/>
      <c r="BH185" s="5"/>
      <c r="BI185" s="5"/>
      <c r="BJ185" s="5"/>
      <c r="BK185" s="5"/>
      <c r="BL185" s="5"/>
      <c r="BM185" s="5"/>
      <c r="BN185" s="5"/>
      <c r="BO185" s="5"/>
      <c r="BP185" s="5"/>
      <c r="BQ185" s="5"/>
      <c r="BR185" s="5"/>
      <c r="BS185" s="41">
        <f t="array" ref="BS185">MIN(100, MAX(0,
  IFERROR(_xlfn.XLOOKUP(BG185,'Lookup Tables'!$A$11:$A$16,'Lookup Tables'!$B$11:$B$16,0),0)
  + IFERROR(_xlfn.XLOOKUP(BR185,'Lookup Tables'!$M$11:$M$14,'Lookup Tables'!$N$11:$N$14,0),0)
  + IFERROR(_xlfn.XLOOKUP(BQ185,'Lookup Tables'!$J$11:$J$15,'Lookup Tables'!$K$11:$K$15,0),0)
  + IFERROR(_xlfn.XLOOKUP(BH185,'Lookup Tables'!$D$11:$D$15,'Lookup Tables'!$E$11:$E$15,0),0)
  + IFERROR(_xlfn.XLOOKUP(BJ185,'Lookup Tables'!$G$11:$G$16,'Lookup Tables'!$H$11:$H$16,0),0)
  + IFERROR(_xlfn.XLOOKUP(BN185,'Lookup Tables'!$P$11:$P$15,'Lookup Tables'!$Q$11:$Q$15,0),0)
  + _xlfn.IFS(BM185="No Evidence",10, BM185="Unknown",3, BM185="Likely",0, BM185="Confirmed",-10, TRUE,3)
  + IFERROR(_xlfn.XLOOKUP(BP185,'Lookup Tables'!$J$21:$J$24,'Lookup Tables'!$K$21:$K$24,0),0)
))</f>
        <v>3</v>
      </c>
      <c r="BT185" s="5"/>
      <c r="BU185" s="5"/>
      <c r="BV185" s="5"/>
      <c r="BW185" s="5"/>
      <c r="BX185" s="5"/>
      <c r="BY185" s="5"/>
      <c r="BZ185" s="5"/>
      <c r="CA185" s="5"/>
      <c r="CB185" s="5"/>
      <c r="CC185" s="5"/>
      <c r="CD185" s="5"/>
      <c r="CE185" s="43">
        <f t="array" ref="CE185">MIN(100, MAX(0,
  IF(ISNUMBER(BV185)*AND(BV185&gt;0), 10, 0)
  + _xlfn.IFS(BY185="Independently Verified",25, BY185="Yes",15, TRUE,0)
  + IFERROR(_xlfn.XLOOKUP(BZ185,'Lookup Tables'!$A$21:$A$24,'Lookup Tables'!$B$21:$B$24,0),0)
  + IFERROR(_xlfn.XLOOKUP(CA185,'Lookup Tables'!$D$21:$D$24,'Lookup Tables'!$E$21:$E$24,0),0)
  + _xlfn.IFS(ISNUMBER(CB185)*AND(CB185&gt;=11),15, ISNUMBER(CB185)*AND(CB185&gt;=6),10, ISNUMBER(CB185)*AND(CB185&gt;=1),5, TRUE,0)
  + IFERROR(_xlfn.XLOOKUP(CC185,'Lookup Tables'!$G$21:$G$25,'Lookup Tables'!$H$21:$H$25,0),0)
  - IF(ISNUMBER(BW185)*AND(ISNUMBER(BV185))*AND(BW185&gt;BV185), 20, 0)
  - IF(AND(BY185="Yes", ISNUMBER(BW185), BW185&gt;60), 10, 0)
))</f>
        <v>0</v>
      </c>
      <c r="CF185" s="5"/>
      <c r="CG185" s="5"/>
      <c r="CH185" s="5"/>
      <c r="CI185" s="5"/>
      <c r="CJ185" s="5"/>
      <c r="CK185" s="5"/>
      <c r="CL185" s="5"/>
      <c r="CM185" s="5"/>
      <c r="CN185" s="5"/>
      <c r="CO185" s="5"/>
      <c r="CP185" s="5"/>
      <c r="CQ185" s="5"/>
      <c r="CR185" s="5">
        <f t="shared" si="103"/>
        <v>0</v>
      </c>
      <c r="CS185" s="5">
        <f t="shared" si="104"/>
        <v>0</v>
      </c>
      <c r="CT185" s="5">
        <f t="shared" si="105"/>
        <v>0</v>
      </c>
      <c r="CU185" s="5">
        <f>MIN(100,
  CR185*15
  + CS185*6
  + CT185*3
  + IFERROR(_xlfn.XLOOKUP(CW185,'Lookup Tables'!$M$21:$M$25,'Lookup Tables'!$N$21:$N$25,0),0)
)</f>
        <v>0</v>
      </c>
      <c r="CV185" s="5" t="str">
        <f t="shared" si="106"/>
        <v>No failures</v>
      </c>
      <c r="CW185" s="5"/>
      <c r="CX185" s="5"/>
      <c r="CY185" s="5"/>
      <c r="CZ185" s="5"/>
      <c r="DA185" s="5" t="str">
        <f t="shared" si="107"/>
        <v>Yes</v>
      </c>
      <c r="DB185" s="5" t="str">
        <f t="shared" si="108"/>
        <v>No</v>
      </c>
      <c r="DC185" s="5"/>
      <c r="DD185" s="5"/>
      <c r="DE185" s="5"/>
      <c r="DF185" s="5"/>
      <c r="DG185" s="5"/>
      <c r="DH185" s="5"/>
      <c r="DI185" s="5"/>
      <c r="DJ185" s="5"/>
      <c r="DK185" s="5"/>
      <c r="DL185" s="5" t="str">
        <f t="shared" si="109"/>
        <v>Clear</v>
      </c>
      <c r="DM185" s="5" t="str">
        <f t="shared" si="110"/>
        <v>Yes</v>
      </c>
      <c r="DN185" s="5">
        <f t="array" ref="DN185">MIN(100,
  IF(ISNUMBER(V185), _xlfn.IFS(V185&gt;=3,25, V185=2,15, V185=1,5, TRUE,0), 0)
  + IFERROR(_xlfn.IFS(VALUE(LEFT(DF185,1))=5,25, VALUE(LEFT(DF185,1))=4,20, VALUE(LEFT(DF185,1))=3,15, VALUE(LEFT(DF185,1))=2,8, TRUE,0), 15)
  + IFERROR(_xlfn.IFS(VALUE(LEFT(DG185,1))=5,25, VALUE(LEFT(DG185,1))=4,20, VALUE(LEFT(DG185,1))=3,15, VALUE(LEFT(DG185,1))=2,8, TRUE,0), 15)
  + _xlfn.IFS(DH185="Fully Verified",25, DH185="Partially Verified",12, TRUE,0)
)</f>
        <v>30</v>
      </c>
      <c r="DO185" s="5" t="str">
        <f t="array" ref="DO185">_xlfn.IFS(
  ISBLANK(AR185), "Insufficient Evidence",
  AND(AR185&gt;=65, AJ185="Approved"), "Strong",
  AR185&gt;=65, "Adequate",
  AR185&gt;=40, "Adequate",
  AR185&gt;=20, "Weak",
  TRUE, "Insufficient Evidence"
)</f>
        <v>Insufficient Evidence</v>
      </c>
      <c r="DP185" s="5" t="str">
        <f t="array" ref="DP185">_xlfn.IFS(
  ISBLANK(BS185), "Insufficient Evidence",
  BS185&gt;=65, "Strong",
  BS185&gt;=40, "Adequate",
  BS185&gt;=20, "Weak",
  TRUE, "Insufficient Evidence"
)</f>
        <v>Insufficient Evidence</v>
      </c>
      <c r="DQ185" s="5" t="str">
        <f t="array" ref="DQ185">_xlfn.IFS(
  ISBLANK(BE185), "Insufficient Evidence",
  OR(AW185="Confirmed Violation", AX185="Confirmed Breach"), "Severe — Hard Trigger",
  BE185&gt;=65, "Strong",
  BE185&gt;=40, "Adequate",
  BE185&gt;=20, "Weak",
  TRUE, "Insufficient Evidence"
)</f>
        <v>Insufficient Evidence</v>
      </c>
      <c r="DR185" s="5" t="str">
        <f t="array" ref="DR185">_xlfn.IFS(
  ISBLANK(CU185), "Insufficient Evidence",
  CU185&lt;=20, "Low Risk",
  CU185&lt;=50, "Moderate Risk",
  CU185&lt;=75, "High Risk",
  TRUE, "Very High Risk"
)</f>
        <v>Low Risk</v>
      </c>
      <c r="DS185" s="5" t="str">
        <f t="array" ref="DS185">_xlfn.IFS(
  ISBLANK(CE185), "Insufficient Evidence",
  AND(ISNUMBER(BW185),ISNUMBER(BV185),BW185&gt;BV185), "Overclaiming Risk",
  CE185&gt;=65, "Strong",
  CE185&gt;=40, "Adequate",
  TRUE, "Weak"
)</f>
        <v>Weak</v>
      </c>
      <c r="DT185" s="5">
        <f t="shared" si="111"/>
        <v>11.7</v>
      </c>
      <c r="DU185" s="5" t="str">
        <f t="array" ref="DU185">_xlfn.IFS(
  DV185="Upgraded to Clear", "Clear",
  DV185="Downgraded to Watchlist", "Watchlist",
  DV185="Downgraded to Exclusion", "Exclusion Risk",
  DB185="Yes — Automatic", "Exclusion Risk",
  OR(AW185="Confirmed Violation", AX185="Confirmed Breach"), "Exclusion Risk",
  OR(V185=0, ISBLANK(V185), DN185&lt;20), "Insufficient Evidence",
  AND(DT185&gt;=65, DA185="No", DB185="No"), "Clear",
  OR(DT185&gt;=40, DA185="Yes"), "Watchlist",
  TRUE, "Exclusion Risk"
)</f>
        <v>Insufficient Evidence</v>
      </c>
      <c r="DV185" s="5"/>
      <c r="DW185" s="5" t="str">
        <f t="array" ref="DW185">_xlfn.IFS(
  DU185="Exclusion Risk", "Exclude — Hard Trigger",
  DU185="Insufficient Evidence", "Watchlist — Further Evidence Needed",
  DU185="Watchlist", "Watchlist — Further Evidence Needed",
  AND(DU185="Clear", DT185&gt;=80), "Include — No Conditions",
  DU185="Clear", "Include — Monitor",
  TRUE, "Watchlist — Further Evidence Needed"
)</f>
        <v>Watchlist — Further Evidence Needed</v>
      </c>
      <c r="DX185" s="5"/>
      <c r="DY185" s="5"/>
      <c r="DZ185" s="5"/>
      <c r="EA185" s="5"/>
      <c r="EB185" s="5" t="str">
        <f t="shared" si="112"/>
        <v>MISSING — No sources reviewed</v>
      </c>
      <c r="EC185" s="5" t="str">
        <f t="shared" si="113"/>
        <v/>
      </c>
    </row>
    <row r="186" spans="1:133" ht="18" customHeight="1" x14ac:dyDescent="0.15">
      <c r="A186" s="5" t="s">
        <v>942</v>
      </c>
      <c r="B186" s="5" t="s">
        <v>943</v>
      </c>
      <c r="C186" s="5" t="str">
        <f>IF(ISBLANK('Universe Tracker'!D161),"",'Universe Tracker'!D161)</f>
        <v>PLBRE0000012</v>
      </c>
      <c r="D186" s="5"/>
      <c r="E186" s="5"/>
      <c r="F186" s="5" t="str">
        <f>IF(ISBLANK('Universe Tracker'!F161),"",'Universe Tracker'!F161)</f>
        <v>Financials</v>
      </c>
      <c r="G186" s="5" t="str">
        <f>IF(ISBLANK('Universe Tracker'!G161),"",'Universe Tracker'!G161)</f>
        <v>Banking</v>
      </c>
      <c r="H186" s="5"/>
      <c r="I186" s="5"/>
      <c r="J186" s="5" t="str">
        <f t="shared" si="101"/>
        <v>BRU_PLBRE0000012</v>
      </c>
      <c r="K186" s="5"/>
      <c r="L186" s="5"/>
      <c r="M186" s="5"/>
      <c r="N186" s="5"/>
      <c r="O186" s="5"/>
      <c r="P186" s="5"/>
      <c r="Q186" s="5"/>
      <c r="R186" s="5"/>
      <c r="S186" s="5"/>
      <c r="T186" s="5"/>
      <c r="U186" s="5"/>
      <c r="V186" s="5"/>
      <c r="W186" s="5"/>
      <c r="X186" s="5"/>
      <c r="Y186" s="5" t="str">
        <f t="shared" si="102"/>
        <v>Insufficient</v>
      </c>
      <c r="Z186" s="5"/>
      <c r="AA186" s="5"/>
      <c r="AB186" s="5"/>
      <c r="AC186" s="5"/>
      <c r="AD186" s="5"/>
      <c r="AE186" s="5"/>
      <c r="AF186" s="5"/>
      <c r="AG186" s="5"/>
      <c r="AH186" s="5"/>
      <c r="AI186" s="5"/>
      <c r="AJ186" s="5"/>
      <c r="AK186" s="5"/>
      <c r="AL186" s="5"/>
      <c r="AM186" s="5"/>
      <c r="AN186" s="5"/>
      <c r="AO186" s="5"/>
      <c r="AP186" s="5"/>
      <c r="AQ186" s="5"/>
      <c r="AR186" s="40">
        <f t="array" ref="AR186">MIN(100, MAX(0,
  IFERROR(_xlfn.XLOOKUP(AJ186,'Lookup Tables'!$A$2:$A$7,'Lookup Tables'!$B$2:$B$7,0),0)
  + IF(Z186="Yes", IF(IFERROR(_xlfn.XLOOKUP(AJ186,'Lookup Tables'!$A$2:$A$7,'Lookup Tables'!$B$2:$B$7,0),0)&lt;20, 5, 0), 0)
  + _xlfn.IFS(AB186="Yes", IF(ISNUMBER(AC186)*AND(AC186&lt;=2030),15,10), AB186="Long-term Only", 5, AB186="No", 0, TRUE, 0)
  + _xlfn.IFS(AF186="Full",10, AF186="Partial",5, AF186="Scope 2 Only",3, TRUE,0)
  + _xlfn.IFS(AG186="Yes", IF(ISNUMBER(AH186)*AND(AH186&gt;=5),10,6), AG186="Partial",4, TRUE,0)
  + _xlfn.IFS(AI186="Yes",5, AI186="Partial (material categories only)",3, TRUE,0)
  + _xlfn.IFS(AL186="Yes — Detailed",10, AL186="Yes — High Level",5, TRUE,0)
  + _xlfn.IFS(AM186="Yes — Quantified",15, AM186="Yes — Directional Only",7, TRUE,0)
  + _xlfn.IFS(AP186="Formal",5, AP186="Referenced",2, TRUE,0)
  + _xlfn.IFS(AQ186="No Issues Found",5, AQ186="Concern Identified",-5, AQ186="Severe Contradiction",-15, TRUE,0)
  + _xlfn.IFS(BC186="Reasonable Assurance",5, BC186="Limited Assurance",3, TRUE,0)
  - IF(AND(Z186="Yes", AI186="No"), 10, 0)
  - IF(AND(Z186="Yes", AM186="No"), 10, 0)
))</f>
        <v>0</v>
      </c>
      <c r="AS186" s="5"/>
      <c r="AT186" s="5"/>
      <c r="AU186" s="5"/>
      <c r="AV186" s="5"/>
      <c r="AW186" s="5"/>
      <c r="AX186" s="5"/>
      <c r="AY186" s="5"/>
      <c r="AZ186" s="5"/>
      <c r="BA186" s="5"/>
      <c r="BB186" s="5"/>
      <c r="BC186" s="5"/>
      <c r="BD186" s="5"/>
      <c r="BE186" s="39">
        <f t="array" ref="BE186">MIN(100, MAX(0,
  IFERROR(_xlfn.XLOOKUP(AT186,'Lookup Tables'!$D$2:$D$6,'Lookup Tables'!$E$2:$E$6,0),0)
  + IFERROR(_xlfn.XLOOKUP(AV186,'Lookup Tables'!$G$2:$G$5,'Lookup Tables'!$H$2:$H$5,0),0)
  + IFERROR(_xlfn.XLOOKUP(AW186,'Lookup Tables'!$J$2:$J$5,'Lookup Tables'!$K$2:$K$5,0),0)
  + _xlfn.IFS(AX186="No Issues",10, AX186="Complaint Filed",3, AX186="Confirmed Breach",-15, TRUE,0)
  + IFERROR(_xlfn.XLOOKUP(AY186,'Lookup Tables'!$M$2:$M$6,'Lookup Tables'!$N$2:$N$6,0),0)
  + IFERROR(_xlfn.XLOOKUP(AZ186,'Lookup Tables'!$P$2:$P$6,'Lookup Tables'!$Q$2:$Q$6,0),0)
  + _xlfn.IFS(BA186="Formal Board Committee",5, BA186="Board Oversight Mentioned",2, TRUE,0)
  + _xlfn.IFS(BB186="Yes — Quantified Targets",5, BB186="Yes — Discretionary Only",2, TRUE,0)
  + _xlfn.IFS(BC186="Reasonable Assurance",5, BC186="Limited Assurance",3, BC186="Management Review Only",1, TRUE,0)
))</f>
        <v>0</v>
      </c>
      <c r="BF186" s="5"/>
      <c r="BG186" s="5"/>
      <c r="BH186" s="5"/>
      <c r="BI186" s="5"/>
      <c r="BJ186" s="5"/>
      <c r="BK186" s="5"/>
      <c r="BL186" s="5"/>
      <c r="BM186" s="5"/>
      <c r="BN186" s="5"/>
      <c r="BO186" s="5"/>
      <c r="BP186" s="5"/>
      <c r="BQ186" s="5"/>
      <c r="BR186" s="5"/>
      <c r="BS186" s="41">
        <f t="array" ref="BS186">MIN(100, MAX(0,
  IFERROR(_xlfn.XLOOKUP(BG186,'Lookup Tables'!$A$11:$A$16,'Lookup Tables'!$B$11:$B$16,0),0)
  + IFERROR(_xlfn.XLOOKUP(BR186,'Lookup Tables'!$M$11:$M$14,'Lookup Tables'!$N$11:$N$14,0),0)
  + IFERROR(_xlfn.XLOOKUP(BQ186,'Lookup Tables'!$J$11:$J$15,'Lookup Tables'!$K$11:$K$15,0),0)
  + IFERROR(_xlfn.XLOOKUP(BH186,'Lookup Tables'!$D$11:$D$15,'Lookup Tables'!$E$11:$E$15,0),0)
  + IFERROR(_xlfn.XLOOKUP(BJ186,'Lookup Tables'!$G$11:$G$16,'Lookup Tables'!$H$11:$H$16,0),0)
  + IFERROR(_xlfn.XLOOKUP(BN186,'Lookup Tables'!$P$11:$P$15,'Lookup Tables'!$Q$11:$Q$15,0),0)
  + _xlfn.IFS(BM186="No Evidence",10, BM186="Unknown",3, BM186="Likely",0, BM186="Confirmed",-10, TRUE,3)
  + IFERROR(_xlfn.XLOOKUP(BP186,'Lookup Tables'!$J$21:$J$24,'Lookup Tables'!$K$21:$K$24,0),0)
))</f>
        <v>3</v>
      </c>
      <c r="BT186" s="5"/>
      <c r="BU186" s="5"/>
      <c r="BV186" s="5"/>
      <c r="BW186" s="5"/>
      <c r="BX186" s="5"/>
      <c r="BY186" s="5"/>
      <c r="BZ186" s="5"/>
      <c r="CA186" s="5"/>
      <c r="CB186" s="5"/>
      <c r="CC186" s="5"/>
      <c r="CD186" s="5"/>
      <c r="CE186" s="43">
        <f t="array" ref="CE186">MIN(100, MAX(0,
  IF(ISNUMBER(BV186)*AND(BV186&gt;0), 10, 0)
  + _xlfn.IFS(BY186="Independently Verified",25, BY186="Yes",15, TRUE,0)
  + IFERROR(_xlfn.XLOOKUP(BZ186,'Lookup Tables'!$A$21:$A$24,'Lookup Tables'!$B$21:$B$24,0),0)
  + IFERROR(_xlfn.XLOOKUP(CA186,'Lookup Tables'!$D$21:$D$24,'Lookup Tables'!$E$21:$E$24,0),0)
  + _xlfn.IFS(ISNUMBER(CB186)*AND(CB186&gt;=11),15, ISNUMBER(CB186)*AND(CB186&gt;=6),10, ISNUMBER(CB186)*AND(CB186&gt;=1),5, TRUE,0)
  + IFERROR(_xlfn.XLOOKUP(CC186,'Lookup Tables'!$G$21:$G$25,'Lookup Tables'!$H$21:$H$25,0),0)
  - IF(ISNUMBER(BW186)*AND(ISNUMBER(BV186))*AND(BW186&gt;BV186), 20, 0)
  - IF(AND(BY186="Yes", ISNUMBER(BW186), BW186&gt;60), 10, 0)
))</f>
        <v>0</v>
      </c>
      <c r="CF186" s="5"/>
      <c r="CG186" s="5"/>
      <c r="CH186" s="5"/>
      <c r="CI186" s="5"/>
      <c r="CJ186" s="5"/>
      <c r="CK186" s="5"/>
      <c r="CL186" s="5"/>
      <c r="CM186" s="5"/>
      <c r="CN186" s="5"/>
      <c r="CO186" s="5"/>
      <c r="CP186" s="5"/>
      <c r="CQ186" s="5"/>
      <c r="CR186" s="5">
        <f t="shared" si="103"/>
        <v>0</v>
      </c>
      <c r="CS186" s="5">
        <f t="shared" si="104"/>
        <v>0</v>
      </c>
      <c r="CT186" s="5">
        <f t="shared" si="105"/>
        <v>0</v>
      </c>
      <c r="CU186" s="5">
        <f>MIN(100,
  CR186*15
  + CS186*6
  + CT186*3
  + IFERROR(_xlfn.XLOOKUP(CW186,'Lookup Tables'!$M$21:$M$25,'Lookup Tables'!$N$21:$N$25,0),0)
)</f>
        <v>0</v>
      </c>
      <c r="CV186" s="5" t="str">
        <f t="shared" si="106"/>
        <v>No failures</v>
      </c>
      <c r="CW186" s="5"/>
      <c r="CX186" s="5"/>
      <c r="CY186" s="5"/>
      <c r="CZ186" s="5"/>
      <c r="DA186" s="5" t="str">
        <f t="shared" si="107"/>
        <v>Yes</v>
      </c>
      <c r="DB186" s="5" t="str">
        <f t="shared" si="108"/>
        <v>No</v>
      </c>
      <c r="DC186" s="5"/>
      <c r="DD186" s="5"/>
      <c r="DE186" s="5"/>
      <c r="DF186" s="5"/>
      <c r="DG186" s="5"/>
      <c r="DH186" s="5"/>
      <c r="DI186" s="5"/>
      <c r="DJ186" s="5"/>
      <c r="DK186" s="5"/>
      <c r="DL186" s="5" t="str">
        <f t="shared" si="109"/>
        <v>Clear</v>
      </c>
      <c r="DM186" s="5" t="str">
        <f t="shared" si="110"/>
        <v>Yes</v>
      </c>
      <c r="DN186" s="5">
        <f t="array" ref="DN186">MIN(100,
  IF(ISNUMBER(V186), _xlfn.IFS(V186&gt;=3,25, V186=2,15, V186=1,5, TRUE,0), 0)
  + IFERROR(_xlfn.IFS(VALUE(LEFT(DF186,1))=5,25, VALUE(LEFT(DF186,1))=4,20, VALUE(LEFT(DF186,1))=3,15, VALUE(LEFT(DF186,1))=2,8, TRUE,0), 15)
  + IFERROR(_xlfn.IFS(VALUE(LEFT(DG186,1))=5,25, VALUE(LEFT(DG186,1))=4,20, VALUE(LEFT(DG186,1))=3,15, VALUE(LEFT(DG186,1))=2,8, TRUE,0), 15)
  + _xlfn.IFS(DH186="Fully Verified",25, DH186="Partially Verified",12, TRUE,0)
)</f>
        <v>30</v>
      </c>
      <c r="DO186" s="5" t="str">
        <f t="array" ref="DO186">_xlfn.IFS(
  ISBLANK(AR186), "Insufficient Evidence",
  AND(AR186&gt;=65, AJ186="Approved"), "Strong",
  AR186&gt;=65, "Adequate",
  AR186&gt;=40, "Adequate",
  AR186&gt;=20, "Weak",
  TRUE, "Insufficient Evidence"
)</f>
        <v>Insufficient Evidence</v>
      </c>
      <c r="DP186" s="5" t="str">
        <f t="array" ref="DP186">_xlfn.IFS(
  ISBLANK(BS186), "Insufficient Evidence",
  BS186&gt;=65, "Strong",
  BS186&gt;=40, "Adequate",
  BS186&gt;=20, "Weak",
  TRUE, "Insufficient Evidence"
)</f>
        <v>Insufficient Evidence</v>
      </c>
      <c r="DQ186" s="5" t="str">
        <f t="array" ref="DQ186">_xlfn.IFS(
  ISBLANK(BE186), "Insufficient Evidence",
  OR(AW186="Confirmed Violation", AX186="Confirmed Breach"), "Severe — Hard Trigger",
  BE186&gt;=65, "Strong",
  BE186&gt;=40, "Adequate",
  BE186&gt;=20, "Weak",
  TRUE, "Insufficient Evidence"
)</f>
        <v>Insufficient Evidence</v>
      </c>
      <c r="DR186" s="5" t="str">
        <f t="array" ref="DR186">_xlfn.IFS(
  ISBLANK(CU186), "Insufficient Evidence",
  CU186&lt;=20, "Low Risk",
  CU186&lt;=50, "Moderate Risk",
  CU186&lt;=75, "High Risk",
  TRUE, "Very High Risk"
)</f>
        <v>Low Risk</v>
      </c>
      <c r="DS186" s="5" t="str">
        <f t="array" ref="DS186">_xlfn.IFS(
  ISBLANK(CE186), "Insufficient Evidence",
  AND(ISNUMBER(BW186),ISNUMBER(BV186),BW186&gt;BV186), "Overclaiming Risk",
  CE186&gt;=65, "Strong",
  CE186&gt;=40, "Adequate",
  TRUE, "Weak"
)</f>
        <v>Weak</v>
      </c>
      <c r="DT186" s="5">
        <f t="shared" si="111"/>
        <v>11.7</v>
      </c>
      <c r="DU186" s="5" t="str">
        <f t="array" ref="DU186">_xlfn.IFS(
  DV186="Upgraded to Clear", "Clear",
  DV186="Downgraded to Watchlist", "Watchlist",
  DV186="Downgraded to Exclusion", "Exclusion Risk",
  DB186="Yes — Automatic", "Exclusion Risk",
  OR(AW186="Confirmed Violation", AX186="Confirmed Breach"), "Exclusion Risk",
  OR(V186=0, ISBLANK(V186), DN186&lt;20), "Insufficient Evidence",
  AND(DT186&gt;=65, DA186="No", DB186="No"), "Clear",
  OR(DT186&gt;=40, DA186="Yes"), "Watchlist",
  TRUE, "Exclusion Risk"
)</f>
        <v>Insufficient Evidence</v>
      </c>
      <c r="DV186" s="5"/>
      <c r="DW186" s="5" t="str">
        <f t="array" ref="DW186">_xlfn.IFS(
  DU186="Exclusion Risk", "Exclude — Hard Trigger",
  DU186="Insufficient Evidence", "Watchlist — Further Evidence Needed",
  DU186="Watchlist", "Watchlist — Further Evidence Needed",
  AND(DU186="Clear", DT186&gt;=80), "Include — No Conditions",
  DU186="Clear", "Include — Monitor",
  TRUE, "Watchlist — Further Evidence Needed"
)</f>
        <v>Watchlist — Further Evidence Needed</v>
      </c>
      <c r="DX186" s="5"/>
      <c r="DY186" s="5"/>
      <c r="DZ186" s="5"/>
      <c r="EA186" s="5"/>
      <c r="EB186" s="5" t="str">
        <f t="shared" si="112"/>
        <v>MISSING — No sources reviewed</v>
      </c>
      <c r="EC186" s="5" t="str">
        <f t="shared" si="113"/>
        <v/>
      </c>
    </row>
    <row r="187" spans="1:133" ht="18" customHeight="1" x14ac:dyDescent="0.15">
      <c r="A187" s="5" t="s">
        <v>946</v>
      </c>
      <c r="B187" s="5" t="s">
        <v>947</v>
      </c>
      <c r="C187" s="5" t="str">
        <f>IF(ISBLANK('Universe Tracker'!D162),"",'Universe Tracker'!D162)</f>
        <v>PLOPTTC00011</v>
      </c>
      <c r="D187" s="5"/>
      <c r="E187" s="5"/>
      <c r="F187" s="5" t="str">
        <f>IF(ISBLANK('Universe Tracker'!F162),"",'Universe Tracker'!F162)</f>
        <v>Communications</v>
      </c>
      <c r="G187" s="5" t="str">
        <f>IF(ISBLANK('Universe Tracker'!G162),"",'Universe Tracker'!G162)</f>
        <v>Media</v>
      </c>
      <c r="H187" s="5"/>
      <c r="I187" s="5"/>
      <c r="J187" s="5" t="str">
        <f t="shared" si="101"/>
        <v>7CD_PLOPTTC00011</v>
      </c>
      <c r="K187" s="5"/>
      <c r="L187" s="5"/>
      <c r="M187" s="5"/>
      <c r="N187" s="5"/>
      <c r="O187" s="5"/>
      <c r="P187" s="5"/>
      <c r="Q187" s="5"/>
      <c r="R187" s="5"/>
      <c r="S187" s="5"/>
      <c r="T187" s="5"/>
      <c r="U187" s="5"/>
      <c r="V187" s="5"/>
      <c r="W187" s="5"/>
      <c r="X187" s="5"/>
      <c r="Y187" s="5" t="str">
        <f t="shared" si="102"/>
        <v>Insufficient</v>
      </c>
      <c r="Z187" s="5"/>
      <c r="AA187" s="5"/>
      <c r="AB187" s="5"/>
      <c r="AC187" s="5"/>
      <c r="AD187" s="5"/>
      <c r="AE187" s="5"/>
      <c r="AF187" s="5"/>
      <c r="AG187" s="5"/>
      <c r="AH187" s="5"/>
      <c r="AI187" s="5"/>
      <c r="AJ187" s="5"/>
      <c r="AK187" s="5"/>
      <c r="AL187" s="5"/>
      <c r="AM187" s="5"/>
      <c r="AN187" s="5"/>
      <c r="AO187" s="5"/>
      <c r="AP187" s="5"/>
      <c r="AQ187" s="5"/>
      <c r="AR187" s="40">
        <f t="array" ref="AR187">MIN(100, MAX(0,
  IFERROR(_xlfn.XLOOKUP(AJ187,'Lookup Tables'!$A$2:$A$7,'Lookup Tables'!$B$2:$B$7,0),0)
  + IF(Z187="Yes", IF(IFERROR(_xlfn.XLOOKUP(AJ187,'Lookup Tables'!$A$2:$A$7,'Lookup Tables'!$B$2:$B$7,0),0)&lt;20, 5, 0), 0)
  + _xlfn.IFS(AB187="Yes", IF(ISNUMBER(AC187)*AND(AC187&lt;=2030),15,10), AB187="Long-term Only", 5, AB187="No", 0, TRUE, 0)
  + _xlfn.IFS(AF187="Full",10, AF187="Partial",5, AF187="Scope 2 Only",3, TRUE,0)
  + _xlfn.IFS(AG187="Yes", IF(ISNUMBER(AH187)*AND(AH187&gt;=5),10,6), AG187="Partial",4, TRUE,0)
  + _xlfn.IFS(AI187="Yes",5, AI187="Partial (material categories only)",3, TRUE,0)
  + _xlfn.IFS(AL187="Yes — Detailed",10, AL187="Yes — High Level",5, TRUE,0)
  + _xlfn.IFS(AM187="Yes — Quantified",15, AM187="Yes — Directional Only",7, TRUE,0)
  + _xlfn.IFS(AP187="Formal",5, AP187="Referenced",2, TRUE,0)
  + _xlfn.IFS(AQ187="No Issues Found",5, AQ187="Concern Identified",-5, AQ187="Severe Contradiction",-15, TRUE,0)
  + _xlfn.IFS(BC187="Reasonable Assurance",5, BC187="Limited Assurance",3, TRUE,0)
  - IF(AND(Z187="Yes", AI187="No"), 10, 0)
  - IF(AND(Z187="Yes", AM187="No"), 10, 0)
))</f>
        <v>0</v>
      </c>
      <c r="AS187" s="5"/>
      <c r="AT187" s="5"/>
      <c r="AU187" s="5"/>
      <c r="AV187" s="5"/>
      <c r="AW187" s="5"/>
      <c r="AX187" s="5"/>
      <c r="AY187" s="5"/>
      <c r="AZ187" s="5"/>
      <c r="BA187" s="5"/>
      <c r="BB187" s="5"/>
      <c r="BC187" s="5"/>
      <c r="BD187" s="5"/>
      <c r="BE187" s="39">
        <f t="array" ref="BE187">MIN(100, MAX(0,
  IFERROR(_xlfn.XLOOKUP(AT187,'Lookup Tables'!$D$2:$D$6,'Lookup Tables'!$E$2:$E$6,0),0)
  + IFERROR(_xlfn.XLOOKUP(AV187,'Lookup Tables'!$G$2:$G$5,'Lookup Tables'!$H$2:$H$5,0),0)
  + IFERROR(_xlfn.XLOOKUP(AW187,'Lookup Tables'!$J$2:$J$5,'Lookup Tables'!$K$2:$K$5,0),0)
  + _xlfn.IFS(AX187="No Issues",10, AX187="Complaint Filed",3, AX187="Confirmed Breach",-15, TRUE,0)
  + IFERROR(_xlfn.XLOOKUP(AY187,'Lookup Tables'!$M$2:$M$6,'Lookup Tables'!$N$2:$N$6,0),0)
  + IFERROR(_xlfn.XLOOKUP(AZ187,'Lookup Tables'!$P$2:$P$6,'Lookup Tables'!$Q$2:$Q$6,0),0)
  + _xlfn.IFS(BA187="Formal Board Committee",5, BA187="Board Oversight Mentioned",2, TRUE,0)
  + _xlfn.IFS(BB187="Yes — Quantified Targets",5, BB187="Yes — Discretionary Only",2, TRUE,0)
  + _xlfn.IFS(BC187="Reasonable Assurance",5, BC187="Limited Assurance",3, BC187="Management Review Only",1, TRUE,0)
))</f>
        <v>0</v>
      </c>
      <c r="BF187" s="5"/>
      <c r="BG187" s="5"/>
      <c r="BH187" s="5"/>
      <c r="BI187" s="5"/>
      <c r="BJ187" s="5"/>
      <c r="BK187" s="5"/>
      <c r="BL187" s="5"/>
      <c r="BM187" s="5"/>
      <c r="BN187" s="5"/>
      <c r="BO187" s="5"/>
      <c r="BP187" s="5"/>
      <c r="BQ187" s="5"/>
      <c r="BR187" s="5"/>
      <c r="BS187" s="41">
        <f t="array" ref="BS187">MIN(100, MAX(0,
  IFERROR(_xlfn.XLOOKUP(BG187,'Lookup Tables'!$A$11:$A$16,'Lookup Tables'!$B$11:$B$16,0),0)
  + IFERROR(_xlfn.XLOOKUP(BR187,'Lookup Tables'!$M$11:$M$14,'Lookup Tables'!$N$11:$N$14,0),0)
  + IFERROR(_xlfn.XLOOKUP(BQ187,'Lookup Tables'!$J$11:$J$15,'Lookup Tables'!$K$11:$K$15,0),0)
  + IFERROR(_xlfn.XLOOKUP(BH187,'Lookup Tables'!$D$11:$D$15,'Lookup Tables'!$E$11:$E$15,0),0)
  + IFERROR(_xlfn.XLOOKUP(BJ187,'Lookup Tables'!$G$11:$G$16,'Lookup Tables'!$H$11:$H$16,0),0)
  + IFERROR(_xlfn.XLOOKUP(BN187,'Lookup Tables'!$P$11:$P$15,'Lookup Tables'!$Q$11:$Q$15,0),0)
  + _xlfn.IFS(BM187="No Evidence",10, BM187="Unknown",3, BM187="Likely",0, BM187="Confirmed",-10, TRUE,3)
  + IFERROR(_xlfn.XLOOKUP(BP187,'Lookup Tables'!$J$21:$J$24,'Lookup Tables'!$K$21:$K$24,0),0)
))</f>
        <v>3</v>
      </c>
      <c r="BT187" s="5"/>
      <c r="BU187" s="5"/>
      <c r="BV187" s="5"/>
      <c r="BW187" s="5"/>
      <c r="BX187" s="5"/>
      <c r="BY187" s="5"/>
      <c r="BZ187" s="5"/>
      <c r="CA187" s="5"/>
      <c r="CB187" s="5"/>
      <c r="CC187" s="5"/>
      <c r="CD187" s="5"/>
      <c r="CE187" s="43">
        <f t="array" ref="CE187">MIN(100, MAX(0,
  IF(ISNUMBER(BV187)*AND(BV187&gt;0), 10, 0)
  + _xlfn.IFS(BY187="Independently Verified",25, BY187="Yes",15, TRUE,0)
  + IFERROR(_xlfn.XLOOKUP(BZ187,'Lookup Tables'!$A$21:$A$24,'Lookup Tables'!$B$21:$B$24,0),0)
  + IFERROR(_xlfn.XLOOKUP(CA187,'Lookup Tables'!$D$21:$D$24,'Lookup Tables'!$E$21:$E$24,0),0)
  + _xlfn.IFS(ISNUMBER(CB187)*AND(CB187&gt;=11),15, ISNUMBER(CB187)*AND(CB187&gt;=6),10, ISNUMBER(CB187)*AND(CB187&gt;=1),5, TRUE,0)
  + IFERROR(_xlfn.XLOOKUP(CC187,'Lookup Tables'!$G$21:$G$25,'Lookup Tables'!$H$21:$H$25,0),0)
  - IF(ISNUMBER(BW187)*AND(ISNUMBER(BV187))*AND(BW187&gt;BV187), 20, 0)
  - IF(AND(BY187="Yes", ISNUMBER(BW187), BW187&gt;60), 10, 0)
))</f>
        <v>0</v>
      </c>
      <c r="CF187" s="5"/>
      <c r="CG187" s="5"/>
      <c r="CH187" s="5"/>
      <c r="CI187" s="5"/>
      <c r="CJ187" s="5"/>
      <c r="CK187" s="5"/>
      <c r="CL187" s="5"/>
      <c r="CM187" s="5"/>
      <c r="CN187" s="5"/>
      <c r="CO187" s="5"/>
      <c r="CP187" s="5"/>
      <c r="CQ187" s="5"/>
      <c r="CR187" s="5">
        <f t="shared" si="103"/>
        <v>0</v>
      </c>
      <c r="CS187" s="5">
        <f t="shared" si="104"/>
        <v>0</v>
      </c>
      <c r="CT187" s="5">
        <f t="shared" si="105"/>
        <v>0</v>
      </c>
      <c r="CU187" s="5">
        <f>MIN(100,
  CR187*15
  + CS187*6
  + CT187*3
  + IFERROR(_xlfn.XLOOKUP(CW187,'Lookup Tables'!$M$21:$M$25,'Lookup Tables'!$N$21:$N$25,0),0)
)</f>
        <v>0</v>
      </c>
      <c r="CV187" s="5" t="str">
        <f t="shared" si="106"/>
        <v>No failures</v>
      </c>
      <c r="CW187" s="5"/>
      <c r="CX187" s="5"/>
      <c r="CY187" s="5"/>
      <c r="CZ187" s="5"/>
      <c r="DA187" s="5" t="str">
        <f t="shared" si="107"/>
        <v>Yes</v>
      </c>
      <c r="DB187" s="5" t="str">
        <f t="shared" si="108"/>
        <v>No</v>
      </c>
      <c r="DC187" s="5"/>
      <c r="DD187" s="5"/>
      <c r="DE187" s="5"/>
      <c r="DF187" s="5"/>
      <c r="DG187" s="5"/>
      <c r="DH187" s="5"/>
      <c r="DI187" s="5"/>
      <c r="DJ187" s="5"/>
      <c r="DK187" s="5"/>
      <c r="DL187" s="5" t="str">
        <f t="shared" si="109"/>
        <v>Clear</v>
      </c>
      <c r="DM187" s="5" t="str">
        <f t="shared" si="110"/>
        <v>Yes</v>
      </c>
      <c r="DN187" s="5">
        <f t="array" ref="DN187">MIN(100,
  IF(ISNUMBER(V187), _xlfn.IFS(V187&gt;=3,25, V187=2,15, V187=1,5, TRUE,0), 0)
  + IFERROR(_xlfn.IFS(VALUE(LEFT(DF187,1))=5,25, VALUE(LEFT(DF187,1))=4,20, VALUE(LEFT(DF187,1))=3,15, VALUE(LEFT(DF187,1))=2,8, TRUE,0), 15)
  + IFERROR(_xlfn.IFS(VALUE(LEFT(DG187,1))=5,25, VALUE(LEFT(DG187,1))=4,20, VALUE(LEFT(DG187,1))=3,15, VALUE(LEFT(DG187,1))=2,8, TRUE,0), 15)
  + _xlfn.IFS(DH187="Fully Verified",25, DH187="Partially Verified",12, TRUE,0)
)</f>
        <v>30</v>
      </c>
      <c r="DO187" s="5" t="str">
        <f t="array" ref="DO187">_xlfn.IFS(
  ISBLANK(AR187), "Insufficient Evidence",
  AND(AR187&gt;=65, AJ187="Approved"), "Strong",
  AR187&gt;=65, "Adequate",
  AR187&gt;=40, "Adequate",
  AR187&gt;=20, "Weak",
  TRUE, "Insufficient Evidence"
)</f>
        <v>Insufficient Evidence</v>
      </c>
      <c r="DP187" s="5" t="str">
        <f t="array" ref="DP187">_xlfn.IFS(
  ISBLANK(BS187), "Insufficient Evidence",
  BS187&gt;=65, "Strong",
  BS187&gt;=40, "Adequate",
  BS187&gt;=20, "Weak",
  TRUE, "Insufficient Evidence"
)</f>
        <v>Insufficient Evidence</v>
      </c>
      <c r="DQ187" s="5" t="str">
        <f t="array" ref="DQ187">_xlfn.IFS(
  ISBLANK(BE187), "Insufficient Evidence",
  OR(AW187="Confirmed Violation", AX187="Confirmed Breach"), "Severe — Hard Trigger",
  BE187&gt;=65, "Strong",
  BE187&gt;=40, "Adequate",
  BE187&gt;=20, "Weak",
  TRUE, "Insufficient Evidence"
)</f>
        <v>Insufficient Evidence</v>
      </c>
      <c r="DR187" s="5" t="str">
        <f t="array" ref="DR187">_xlfn.IFS(
  ISBLANK(CU187), "Insufficient Evidence",
  CU187&lt;=20, "Low Risk",
  CU187&lt;=50, "Moderate Risk",
  CU187&lt;=75, "High Risk",
  TRUE, "Very High Risk"
)</f>
        <v>Low Risk</v>
      </c>
      <c r="DS187" s="5" t="str">
        <f t="array" ref="DS187">_xlfn.IFS(
  ISBLANK(CE187), "Insufficient Evidence",
  AND(ISNUMBER(BW187),ISNUMBER(BV187),BW187&gt;BV187), "Overclaiming Risk",
  CE187&gt;=65, "Strong",
  CE187&gt;=40, "Adequate",
  TRUE, "Weak"
)</f>
        <v>Weak</v>
      </c>
      <c r="DT187" s="5">
        <f t="shared" si="111"/>
        <v>11.7</v>
      </c>
      <c r="DU187" s="5" t="str">
        <f t="array" ref="DU187">_xlfn.IFS(
  DV187="Upgraded to Clear", "Clear",
  DV187="Downgraded to Watchlist", "Watchlist",
  DV187="Downgraded to Exclusion", "Exclusion Risk",
  DB187="Yes — Automatic", "Exclusion Risk",
  OR(AW187="Confirmed Violation", AX187="Confirmed Breach"), "Exclusion Risk",
  OR(V187=0, ISBLANK(V187), DN187&lt;20), "Insufficient Evidence",
  AND(DT187&gt;=65, DA187="No", DB187="No"), "Clear",
  OR(DT187&gt;=40, DA187="Yes"), "Watchlist",
  TRUE, "Exclusion Risk"
)</f>
        <v>Insufficient Evidence</v>
      </c>
      <c r="DV187" s="5"/>
      <c r="DW187" s="5" t="str">
        <f t="array" ref="DW187">_xlfn.IFS(
  DU187="Exclusion Risk", "Exclude — Hard Trigger",
  DU187="Insufficient Evidence", "Watchlist — Further Evidence Needed",
  DU187="Watchlist", "Watchlist — Further Evidence Needed",
  AND(DU187="Clear", DT187&gt;=80), "Include — No Conditions",
  DU187="Clear", "Include — Monitor",
  TRUE, "Watchlist — Further Evidence Needed"
)</f>
        <v>Watchlist — Further Evidence Needed</v>
      </c>
      <c r="DX187" s="5"/>
      <c r="DY187" s="5"/>
      <c r="DZ187" s="5"/>
      <c r="EA187" s="5"/>
      <c r="EB187" s="5" t="str">
        <f t="shared" si="112"/>
        <v>MISSING — No sources reviewed</v>
      </c>
      <c r="EC187" s="5" t="str">
        <f t="shared" si="113"/>
        <v/>
      </c>
    </row>
    <row r="188" spans="1:133" ht="18" customHeight="1" x14ac:dyDescent="0.15">
      <c r="A188" s="5" t="s">
        <v>951</v>
      </c>
      <c r="B188" s="5" t="s">
        <v>952</v>
      </c>
      <c r="C188" s="5" t="str">
        <f>IF(ISBLANK('Universe Tracker'!D163),"",'Universe Tracker'!D163)</f>
        <v>NL0010832176</v>
      </c>
      <c r="D188" s="5"/>
      <c r="E188" s="5"/>
      <c r="F188" s="5" t="str">
        <f>IF(ISBLANK('Universe Tracker'!F163),"",'Universe Tracker'!F163)</f>
        <v>Health Care</v>
      </c>
      <c r="G188" s="5" t="str">
        <f>IF(ISBLANK('Universe Tracker'!G163),"",'Universe Tracker'!G163)</f>
        <v>Health Care</v>
      </c>
      <c r="H188" s="5"/>
      <c r="I188" s="5"/>
      <c r="J188" s="5" t="str">
        <f t="shared" si="101"/>
        <v>1AE_NL0010832176</v>
      </c>
      <c r="K188" s="5"/>
      <c r="L188" s="5"/>
      <c r="M188" s="5"/>
      <c r="N188" s="5"/>
      <c r="O188" s="5"/>
      <c r="P188" s="5"/>
      <c r="Q188" s="5"/>
      <c r="R188" s="5"/>
      <c r="S188" s="5"/>
      <c r="T188" s="5"/>
      <c r="U188" s="5"/>
      <c r="V188" s="5"/>
      <c r="W188" s="5"/>
      <c r="X188" s="5"/>
      <c r="Y188" s="5" t="str">
        <f t="shared" si="102"/>
        <v>Insufficient</v>
      </c>
      <c r="Z188" s="5"/>
      <c r="AA188" s="5"/>
      <c r="AB188" s="5"/>
      <c r="AC188" s="5"/>
      <c r="AD188" s="5"/>
      <c r="AE188" s="5"/>
      <c r="AF188" s="5"/>
      <c r="AG188" s="5"/>
      <c r="AH188" s="5"/>
      <c r="AI188" s="5"/>
      <c r="AJ188" s="5"/>
      <c r="AK188" s="5"/>
      <c r="AL188" s="5"/>
      <c r="AM188" s="5"/>
      <c r="AN188" s="5"/>
      <c r="AO188" s="5"/>
      <c r="AP188" s="5"/>
      <c r="AQ188" s="5"/>
      <c r="AR188" s="40">
        <f t="array" ref="AR188">MIN(100, MAX(0,
  IFERROR(_xlfn.XLOOKUP(AJ188,'Lookup Tables'!$A$2:$A$7,'Lookup Tables'!$B$2:$B$7,0),0)
  + IF(Z188="Yes", IF(IFERROR(_xlfn.XLOOKUP(AJ188,'Lookup Tables'!$A$2:$A$7,'Lookup Tables'!$B$2:$B$7,0),0)&lt;20, 5, 0), 0)
  + _xlfn.IFS(AB188="Yes", IF(ISNUMBER(AC188)*AND(AC188&lt;=2030),15,10), AB188="Long-term Only", 5, AB188="No", 0, TRUE, 0)
  + _xlfn.IFS(AF188="Full",10, AF188="Partial",5, AF188="Scope 2 Only",3, TRUE,0)
  + _xlfn.IFS(AG188="Yes", IF(ISNUMBER(AH188)*AND(AH188&gt;=5),10,6), AG188="Partial",4, TRUE,0)
  + _xlfn.IFS(AI188="Yes",5, AI188="Partial (material categories only)",3, TRUE,0)
  + _xlfn.IFS(AL188="Yes — Detailed",10, AL188="Yes — High Level",5, TRUE,0)
  + _xlfn.IFS(AM188="Yes — Quantified",15, AM188="Yes — Directional Only",7, TRUE,0)
  + _xlfn.IFS(AP188="Formal",5, AP188="Referenced",2, TRUE,0)
  + _xlfn.IFS(AQ188="No Issues Found",5, AQ188="Concern Identified",-5, AQ188="Severe Contradiction",-15, TRUE,0)
  + _xlfn.IFS(BC188="Reasonable Assurance",5, BC188="Limited Assurance",3, TRUE,0)
  - IF(AND(Z188="Yes", AI188="No"), 10, 0)
  - IF(AND(Z188="Yes", AM188="No"), 10, 0)
))</f>
        <v>0</v>
      </c>
      <c r="AS188" s="5"/>
      <c r="AT188" s="5"/>
      <c r="AU188" s="5"/>
      <c r="AV188" s="5"/>
      <c r="AW188" s="5"/>
      <c r="AX188" s="5"/>
      <c r="AY188" s="5"/>
      <c r="AZ188" s="5"/>
      <c r="BA188" s="5"/>
      <c r="BB188" s="5"/>
      <c r="BC188" s="5"/>
      <c r="BD188" s="5"/>
      <c r="BE188" s="39">
        <f t="array" ref="BE188">MIN(100, MAX(0,
  IFERROR(_xlfn.XLOOKUP(AT188,'Lookup Tables'!$D$2:$D$6,'Lookup Tables'!$E$2:$E$6,0),0)
  + IFERROR(_xlfn.XLOOKUP(AV188,'Lookup Tables'!$G$2:$G$5,'Lookup Tables'!$H$2:$H$5,0),0)
  + IFERROR(_xlfn.XLOOKUP(AW188,'Lookup Tables'!$J$2:$J$5,'Lookup Tables'!$K$2:$K$5,0),0)
  + _xlfn.IFS(AX188="No Issues",10, AX188="Complaint Filed",3, AX188="Confirmed Breach",-15, TRUE,0)
  + IFERROR(_xlfn.XLOOKUP(AY188,'Lookup Tables'!$M$2:$M$6,'Lookup Tables'!$N$2:$N$6,0),0)
  + IFERROR(_xlfn.XLOOKUP(AZ188,'Lookup Tables'!$P$2:$P$6,'Lookup Tables'!$Q$2:$Q$6,0),0)
  + _xlfn.IFS(BA188="Formal Board Committee",5, BA188="Board Oversight Mentioned",2, TRUE,0)
  + _xlfn.IFS(BB188="Yes — Quantified Targets",5, BB188="Yes — Discretionary Only",2, TRUE,0)
  + _xlfn.IFS(BC188="Reasonable Assurance",5, BC188="Limited Assurance",3, BC188="Management Review Only",1, TRUE,0)
))</f>
        <v>0</v>
      </c>
      <c r="BF188" s="5"/>
      <c r="BG188" s="5"/>
      <c r="BH188" s="5"/>
      <c r="BI188" s="5"/>
      <c r="BJ188" s="5"/>
      <c r="BK188" s="5"/>
      <c r="BL188" s="5"/>
      <c r="BM188" s="5"/>
      <c r="BN188" s="5"/>
      <c r="BO188" s="5"/>
      <c r="BP188" s="5"/>
      <c r="BQ188" s="5"/>
      <c r="BR188" s="5"/>
      <c r="BS188" s="41">
        <f t="array" ref="BS188">MIN(100, MAX(0,
  IFERROR(_xlfn.XLOOKUP(BG188,'Lookup Tables'!$A$11:$A$16,'Lookup Tables'!$B$11:$B$16,0),0)
  + IFERROR(_xlfn.XLOOKUP(BR188,'Lookup Tables'!$M$11:$M$14,'Lookup Tables'!$N$11:$N$14,0),0)
  + IFERROR(_xlfn.XLOOKUP(BQ188,'Lookup Tables'!$J$11:$J$15,'Lookup Tables'!$K$11:$K$15,0),0)
  + IFERROR(_xlfn.XLOOKUP(BH188,'Lookup Tables'!$D$11:$D$15,'Lookup Tables'!$E$11:$E$15,0),0)
  + IFERROR(_xlfn.XLOOKUP(BJ188,'Lookup Tables'!$G$11:$G$16,'Lookup Tables'!$H$11:$H$16,0),0)
  + IFERROR(_xlfn.XLOOKUP(BN188,'Lookup Tables'!$P$11:$P$15,'Lookup Tables'!$Q$11:$Q$15,0),0)
  + _xlfn.IFS(BM188="No Evidence",10, BM188="Unknown",3, BM188="Likely",0, BM188="Confirmed",-10, TRUE,3)
  + IFERROR(_xlfn.XLOOKUP(BP188,'Lookup Tables'!$J$21:$J$24,'Lookup Tables'!$K$21:$K$24,0),0)
))</f>
        <v>3</v>
      </c>
      <c r="BT188" s="5"/>
      <c r="BU188" s="5"/>
      <c r="BV188" s="5"/>
      <c r="BW188" s="5"/>
      <c r="BX188" s="5"/>
      <c r="BY188" s="5"/>
      <c r="BZ188" s="5"/>
      <c r="CA188" s="5"/>
      <c r="CB188" s="5"/>
      <c r="CC188" s="5"/>
      <c r="CD188" s="5"/>
      <c r="CE188" s="43">
        <f t="array" ref="CE188">MIN(100, MAX(0,
  IF(ISNUMBER(BV188)*AND(BV188&gt;0), 10, 0)
  + _xlfn.IFS(BY188="Independently Verified",25, BY188="Yes",15, TRUE,0)
  + IFERROR(_xlfn.XLOOKUP(BZ188,'Lookup Tables'!$A$21:$A$24,'Lookup Tables'!$B$21:$B$24,0),0)
  + IFERROR(_xlfn.XLOOKUP(CA188,'Lookup Tables'!$D$21:$D$24,'Lookup Tables'!$E$21:$E$24,0),0)
  + _xlfn.IFS(ISNUMBER(CB188)*AND(CB188&gt;=11),15, ISNUMBER(CB188)*AND(CB188&gt;=6),10, ISNUMBER(CB188)*AND(CB188&gt;=1),5, TRUE,0)
  + IFERROR(_xlfn.XLOOKUP(CC188,'Lookup Tables'!$G$21:$G$25,'Lookup Tables'!$H$21:$H$25,0),0)
  - IF(ISNUMBER(BW188)*AND(ISNUMBER(BV188))*AND(BW188&gt;BV188), 20, 0)
  - IF(AND(BY188="Yes", ISNUMBER(BW188), BW188&gt;60), 10, 0)
))</f>
        <v>0</v>
      </c>
      <c r="CF188" s="5"/>
      <c r="CG188" s="5"/>
      <c r="CH188" s="5"/>
      <c r="CI188" s="5"/>
      <c r="CJ188" s="5"/>
      <c r="CK188" s="5"/>
      <c r="CL188" s="5"/>
      <c r="CM188" s="5"/>
      <c r="CN188" s="5"/>
      <c r="CO188" s="5"/>
      <c r="CP188" s="5"/>
      <c r="CQ188" s="5"/>
      <c r="CR188" s="5">
        <f t="shared" si="103"/>
        <v>0</v>
      </c>
      <c r="CS188" s="5">
        <f t="shared" si="104"/>
        <v>0</v>
      </c>
      <c r="CT188" s="5">
        <f t="shared" si="105"/>
        <v>0</v>
      </c>
      <c r="CU188" s="5">
        <f>MIN(100,
  CR188*15
  + CS188*6
  + CT188*3
  + IFERROR(_xlfn.XLOOKUP(CW188,'Lookup Tables'!$M$21:$M$25,'Lookup Tables'!$N$21:$N$25,0),0)
)</f>
        <v>0</v>
      </c>
      <c r="CV188" s="5" t="str">
        <f t="shared" si="106"/>
        <v>No failures</v>
      </c>
      <c r="CW188" s="5"/>
      <c r="CX188" s="5"/>
      <c r="CY188" s="5"/>
      <c r="CZ188" s="5"/>
      <c r="DA188" s="5" t="str">
        <f t="shared" si="107"/>
        <v>Yes</v>
      </c>
      <c r="DB188" s="5" t="str">
        <f t="shared" si="108"/>
        <v>No</v>
      </c>
      <c r="DC188" s="5"/>
      <c r="DD188" s="5"/>
      <c r="DE188" s="5"/>
      <c r="DF188" s="5"/>
      <c r="DG188" s="5"/>
      <c r="DH188" s="5"/>
      <c r="DI188" s="5"/>
      <c r="DJ188" s="5"/>
      <c r="DK188" s="5"/>
      <c r="DL188" s="5" t="str">
        <f t="shared" si="109"/>
        <v>Clear</v>
      </c>
      <c r="DM188" s="5" t="str">
        <f t="shared" si="110"/>
        <v>Yes</v>
      </c>
      <c r="DN188" s="5">
        <f t="array" ref="DN188">MIN(100,
  IF(ISNUMBER(V188), _xlfn.IFS(V188&gt;=3,25, V188=2,15, V188=1,5, TRUE,0), 0)
  + IFERROR(_xlfn.IFS(VALUE(LEFT(DF188,1))=5,25, VALUE(LEFT(DF188,1))=4,20, VALUE(LEFT(DF188,1))=3,15, VALUE(LEFT(DF188,1))=2,8, TRUE,0), 15)
  + IFERROR(_xlfn.IFS(VALUE(LEFT(DG188,1))=5,25, VALUE(LEFT(DG188,1))=4,20, VALUE(LEFT(DG188,1))=3,15, VALUE(LEFT(DG188,1))=2,8, TRUE,0), 15)
  + _xlfn.IFS(DH188="Fully Verified",25, DH188="Partially Verified",12, TRUE,0)
)</f>
        <v>30</v>
      </c>
      <c r="DO188" s="5" t="str">
        <f t="array" ref="DO188">_xlfn.IFS(
  ISBLANK(AR188), "Insufficient Evidence",
  AND(AR188&gt;=65, AJ188="Approved"), "Strong",
  AR188&gt;=65, "Adequate",
  AR188&gt;=40, "Adequate",
  AR188&gt;=20, "Weak",
  TRUE, "Insufficient Evidence"
)</f>
        <v>Insufficient Evidence</v>
      </c>
      <c r="DP188" s="5" t="str">
        <f t="array" ref="DP188">_xlfn.IFS(
  ISBLANK(BS188), "Insufficient Evidence",
  BS188&gt;=65, "Strong",
  BS188&gt;=40, "Adequate",
  BS188&gt;=20, "Weak",
  TRUE, "Insufficient Evidence"
)</f>
        <v>Insufficient Evidence</v>
      </c>
      <c r="DQ188" s="5" t="str">
        <f t="array" ref="DQ188">_xlfn.IFS(
  ISBLANK(BE188), "Insufficient Evidence",
  OR(AW188="Confirmed Violation", AX188="Confirmed Breach"), "Severe — Hard Trigger",
  BE188&gt;=65, "Strong",
  BE188&gt;=40, "Adequate",
  BE188&gt;=20, "Weak",
  TRUE, "Insufficient Evidence"
)</f>
        <v>Insufficient Evidence</v>
      </c>
      <c r="DR188" s="5" t="str">
        <f t="array" ref="DR188">_xlfn.IFS(
  ISBLANK(CU188), "Insufficient Evidence",
  CU188&lt;=20, "Low Risk",
  CU188&lt;=50, "Moderate Risk",
  CU188&lt;=75, "High Risk",
  TRUE, "Very High Risk"
)</f>
        <v>Low Risk</v>
      </c>
      <c r="DS188" s="5" t="str">
        <f t="array" ref="DS188">_xlfn.IFS(
  ISBLANK(CE188), "Insufficient Evidence",
  AND(ISNUMBER(BW188),ISNUMBER(BV188),BW188&gt;BV188), "Overclaiming Risk",
  CE188&gt;=65, "Strong",
  CE188&gt;=40, "Adequate",
  TRUE, "Weak"
)</f>
        <v>Weak</v>
      </c>
      <c r="DT188" s="5">
        <f t="shared" si="111"/>
        <v>11.7</v>
      </c>
      <c r="DU188" s="5" t="str">
        <f t="array" ref="DU188">_xlfn.IFS(
  DV188="Upgraded to Clear", "Clear",
  DV188="Downgraded to Watchlist", "Watchlist",
  DV188="Downgraded to Exclusion", "Exclusion Risk",
  DB188="Yes — Automatic", "Exclusion Risk",
  OR(AW188="Confirmed Violation", AX188="Confirmed Breach"), "Exclusion Risk",
  OR(V188=0, ISBLANK(V188), DN188&lt;20), "Insufficient Evidence",
  AND(DT188&gt;=65, DA188="No", DB188="No"), "Clear",
  OR(DT188&gt;=40, DA188="Yes"), "Watchlist",
  TRUE, "Exclusion Risk"
)</f>
        <v>Insufficient Evidence</v>
      </c>
      <c r="DV188" s="5"/>
      <c r="DW188" s="5" t="str">
        <f t="array" ref="DW188">_xlfn.IFS(
  DU188="Exclusion Risk", "Exclude — Hard Trigger",
  DU188="Insufficient Evidence", "Watchlist — Further Evidence Needed",
  DU188="Watchlist", "Watchlist — Further Evidence Needed",
  AND(DU188="Clear", DT188&gt;=80), "Include — No Conditions",
  DU188="Clear", "Include — Monitor",
  TRUE, "Watchlist — Further Evidence Needed"
)</f>
        <v>Watchlist — Further Evidence Needed</v>
      </c>
      <c r="DX188" s="5"/>
      <c r="DY188" s="5"/>
      <c r="DZ188" s="5"/>
      <c r="EA188" s="5"/>
      <c r="EB188" s="5" t="str">
        <f t="shared" si="112"/>
        <v>MISSING — No sources reviewed</v>
      </c>
      <c r="EC188" s="5" t="str">
        <f t="shared" si="113"/>
        <v/>
      </c>
    </row>
    <row r="189" spans="1:133" ht="18" customHeight="1" x14ac:dyDescent="0.15">
      <c r="A189" s="5" t="s">
        <v>955</v>
      </c>
      <c r="B189" s="5" t="s">
        <v>956</v>
      </c>
      <c r="C189" s="5" t="str">
        <f>IF(ISBLANK('Universe Tracker'!D164),"",'Universe Tracker'!D164)</f>
        <v>GB00BVGBY890</v>
      </c>
      <c r="D189" s="5"/>
      <c r="E189" s="5"/>
      <c r="F189" s="5" t="str">
        <f>IF(ISBLANK('Universe Tracker'!F164),"",'Universe Tracker'!F164)</f>
        <v>Financials</v>
      </c>
      <c r="G189" s="5" t="str">
        <f>IF(ISBLANK('Universe Tracker'!G164),"",'Universe Tracker'!G164)</f>
        <v>Financial Services</v>
      </c>
      <c r="H189" s="5"/>
      <c r="I189" s="5"/>
      <c r="J189" s="5" t="str">
        <f t="shared" si="101"/>
        <v>1ZG_GB00BVGBY890</v>
      </c>
      <c r="K189" s="5"/>
      <c r="L189" s="5"/>
      <c r="M189" s="5"/>
      <c r="N189" s="5"/>
      <c r="O189" s="5"/>
      <c r="P189" s="5"/>
      <c r="Q189" s="5"/>
      <c r="R189" s="5"/>
      <c r="S189" s="5"/>
      <c r="T189" s="5"/>
      <c r="U189" s="5"/>
      <c r="V189" s="5"/>
      <c r="W189" s="5"/>
      <c r="X189" s="5"/>
      <c r="Y189" s="5" t="str">
        <f t="shared" si="102"/>
        <v>Insufficient</v>
      </c>
      <c r="Z189" s="5"/>
      <c r="AA189" s="5"/>
      <c r="AB189" s="5"/>
      <c r="AC189" s="5"/>
      <c r="AD189" s="5"/>
      <c r="AE189" s="5"/>
      <c r="AF189" s="5"/>
      <c r="AG189" s="5"/>
      <c r="AH189" s="5"/>
      <c r="AI189" s="5"/>
      <c r="AJ189" s="5"/>
      <c r="AK189" s="5"/>
      <c r="AL189" s="5"/>
      <c r="AM189" s="5"/>
      <c r="AN189" s="5"/>
      <c r="AO189" s="5"/>
      <c r="AP189" s="5"/>
      <c r="AQ189" s="5"/>
      <c r="AR189" s="40">
        <f t="array" ref="AR189">MIN(100, MAX(0,
  IFERROR(_xlfn.XLOOKUP(AJ189,'Lookup Tables'!$A$2:$A$7,'Lookup Tables'!$B$2:$B$7,0),0)
  + IF(Z189="Yes", IF(IFERROR(_xlfn.XLOOKUP(AJ189,'Lookup Tables'!$A$2:$A$7,'Lookup Tables'!$B$2:$B$7,0),0)&lt;20, 5, 0), 0)
  + _xlfn.IFS(AB189="Yes", IF(ISNUMBER(AC189)*AND(AC189&lt;=2030),15,10), AB189="Long-term Only", 5, AB189="No", 0, TRUE, 0)
  + _xlfn.IFS(AF189="Full",10, AF189="Partial",5, AF189="Scope 2 Only",3, TRUE,0)
  + _xlfn.IFS(AG189="Yes", IF(ISNUMBER(AH189)*AND(AH189&gt;=5),10,6), AG189="Partial",4, TRUE,0)
  + _xlfn.IFS(AI189="Yes",5, AI189="Partial (material categories only)",3, TRUE,0)
  + _xlfn.IFS(AL189="Yes — Detailed",10, AL189="Yes — High Level",5, TRUE,0)
  + _xlfn.IFS(AM189="Yes — Quantified",15, AM189="Yes — Directional Only",7, TRUE,0)
  + _xlfn.IFS(AP189="Formal",5, AP189="Referenced",2, TRUE,0)
  + _xlfn.IFS(AQ189="No Issues Found",5, AQ189="Concern Identified",-5, AQ189="Severe Contradiction",-15, TRUE,0)
  + _xlfn.IFS(BC189="Reasonable Assurance",5, BC189="Limited Assurance",3, TRUE,0)
  - IF(AND(Z189="Yes", AI189="No"), 10, 0)
  - IF(AND(Z189="Yes", AM189="No"), 10, 0)
))</f>
        <v>0</v>
      </c>
      <c r="AS189" s="5"/>
      <c r="AT189" s="5"/>
      <c r="AU189" s="5"/>
      <c r="AV189" s="5"/>
      <c r="AW189" s="5"/>
      <c r="AX189" s="5"/>
      <c r="AY189" s="5"/>
      <c r="AZ189" s="5"/>
      <c r="BA189" s="5"/>
      <c r="BB189" s="5"/>
      <c r="BC189" s="5"/>
      <c r="BD189" s="5"/>
      <c r="BE189" s="39">
        <f t="array" ref="BE189">MIN(100, MAX(0,
  IFERROR(_xlfn.XLOOKUP(AT189,'Lookup Tables'!$D$2:$D$6,'Lookup Tables'!$E$2:$E$6,0),0)
  + IFERROR(_xlfn.XLOOKUP(AV189,'Lookup Tables'!$G$2:$G$5,'Lookup Tables'!$H$2:$H$5,0),0)
  + IFERROR(_xlfn.XLOOKUP(AW189,'Lookup Tables'!$J$2:$J$5,'Lookup Tables'!$K$2:$K$5,0),0)
  + _xlfn.IFS(AX189="No Issues",10, AX189="Complaint Filed",3, AX189="Confirmed Breach",-15, TRUE,0)
  + IFERROR(_xlfn.XLOOKUP(AY189,'Lookup Tables'!$M$2:$M$6,'Lookup Tables'!$N$2:$N$6,0),0)
  + IFERROR(_xlfn.XLOOKUP(AZ189,'Lookup Tables'!$P$2:$P$6,'Lookup Tables'!$Q$2:$Q$6,0),0)
  + _xlfn.IFS(BA189="Formal Board Committee",5, BA189="Board Oversight Mentioned",2, TRUE,0)
  + _xlfn.IFS(BB189="Yes — Quantified Targets",5, BB189="Yes — Discretionary Only",2, TRUE,0)
  + _xlfn.IFS(BC189="Reasonable Assurance",5, BC189="Limited Assurance",3, BC189="Management Review Only",1, TRUE,0)
))</f>
        <v>0</v>
      </c>
      <c r="BF189" s="5"/>
      <c r="BG189" s="5"/>
      <c r="BH189" s="5"/>
      <c r="BI189" s="5"/>
      <c r="BJ189" s="5"/>
      <c r="BK189" s="5"/>
      <c r="BL189" s="5"/>
      <c r="BM189" s="5"/>
      <c r="BN189" s="5"/>
      <c r="BO189" s="5"/>
      <c r="BP189" s="5"/>
      <c r="BQ189" s="5"/>
      <c r="BR189" s="5"/>
      <c r="BS189" s="41">
        <f t="array" ref="BS189">MIN(100, MAX(0,
  IFERROR(_xlfn.XLOOKUP(BG189,'Lookup Tables'!$A$11:$A$16,'Lookup Tables'!$B$11:$B$16,0),0)
  + IFERROR(_xlfn.XLOOKUP(BR189,'Lookup Tables'!$M$11:$M$14,'Lookup Tables'!$N$11:$N$14,0),0)
  + IFERROR(_xlfn.XLOOKUP(BQ189,'Lookup Tables'!$J$11:$J$15,'Lookup Tables'!$K$11:$K$15,0),0)
  + IFERROR(_xlfn.XLOOKUP(BH189,'Lookup Tables'!$D$11:$D$15,'Lookup Tables'!$E$11:$E$15,0),0)
  + IFERROR(_xlfn.XLOOKUP(BJ189,'Lookup Tables'!$G$11:$G$16,'Lookup Tables'!$H$11:$H$16,0),0)
  + IFERROR(_xlfn.XLOOKUP(BN189,'Lookup Tables'!$P$11:$P$15,'Lookup Tables'!$Q$11:$Q$15,0),0)
  + _xlfn.IFS(BM189="No Evidence",10, BM189="Unknown",3, BM189="Likely",0, BM189="Confirmed",-10, TRUE,3)
  + IFERROR(_xlfn.XLOOKUP(BP189,'Lookup Tables'!$J$21:$J$24,'Lookup Tables'!$K$21:$K$24,0),0)
))</f>
        <v>3</v>
      </c>
      <c r="BT189" s="5"/>
      <c r="BU189" s="5"/>
      <c r="BV189" s="5"/>
      <c r="BW189" s="5"/>
      <c r="BX189" s="5"/>
      <c r="BY189" s="5"/>
      <c r="BZ189" s="5"/>
      <c r="CA189" s="5"/>
      <c r="CB189" s="5"/>
      <c r="CC189" s="5"/>
      <c r="CD189" s="5"/>
      <c r="CE189" s="43">
        <f t="array" ref="CE189">MIN(100, MAX(0,
  IF(ISNUMBER(BV189)*AND(BV189&gt;0), 10, 0)
  + _xlfn.IFS(BY189="Independently Verified",25, BY189="Yes",15, TRUE,0)
  + IFERROR(_xlfn.XLOOKUP(BZ189,'Lookup Tables'!$A$21:$A$24,'Lookup Tables'!$B$21:$B$24,0),0)
  + IFERROR(_xlfn.XLOOKUP(CA189,'Lookup Tables'!$D$21:$D$24,'Lookup Tables'!$E$21:$E$24,0),0)
  + _xlfn.IFS(ISNUMBER(CB189)*AND(CB189&gt;=11),15, ISNUMBER(CB189)*AND(CB189&gt;=6),10, ISNUMBER(CB189)*AND(CB189&gt;=1),5, TRUE,0)
  + IFERROR(_xlfn.XLOOKUP(CC189,'Lookup Tables'!$G$21:$G$25,'Lookup Tables'!$H$21:$H$25,0),0)
  - IF(ISNUMBER(BW189)*AND(ISNUMBER(BV189))*AND(BW189&gt;BV189), 20, 0)
  - IF(AND(BY189="Yes", ISNUMBER(BW189), BW189&gt;60), 10, 0)
))</f>
        <v>0</v>
      </c>
      <c r="CF189" s="5"/>
      <c r="CG189" s="5"/>
      <c r="CH189" s="5"/>
      <c r="CI189" s="5"/>
      <c r="CJ189" s="5"/>
      <c r="CK189" s="5"/>
      <c r="CL189" s="5"/>
      <c r="CM189" s="5"/>
      <c r="CN189" s="5"/>
      <c r="CO189" s="5"/>
      <c r="CP189" s="5"/>
      <c r="CQ189" s="5"/>
      <c r="CR189" s="5">
        <f t="shared" si="103"/>
        <v>0</v>
      </c>
      <c r="CS189" s="5">
        <f t="shared" si="104"/>
        <v>0</v>
      </c>
      <c r="CT189" s="5">
        <f t="shared" si="105"/>
        <v>0</v>
      </c>
      <c r="CU189" s="5">
        <f>MIN(100,
  CR189*15
  + CS189*6
  + CT189*3
  + IFERROR(_xlfn.XLOOKUP(CW189,'Lookup Tables'!$M$21:$M$25,'Lookup Tables'!$N$21:$N$25,0),0)
)</f>
        <v>0</v>
      </c>
      <c r="CV189" s="5" t="str">
        <f t="shared" si="106"/>
        <v>No failures</v>
      </c>
      <c r="CW189" s="5"/>
      <c r="CX189" s="5"/>
      <c r="CY189" s="5"/>
      <c r="CZ189" s="5"/>
      <c r="DA189" s="5" t="str">
        <f t="shared" si="107"/>
        <v>Yes</v>
      </c>
      <c r="DB189" s="5" t="str">
        <f t="shared" si="108"/>
        <v>No</v>
      </c>
      <c r="DC189" s="5"/>
      <c r="DD189" s="5"/>
      <c r="DE189" s="5"/>
      <c r="DF189" s="5"/>
      <c r="DG189" s="5"/>
      <c r="DH189" s="5"/>
      <c r="DI189" s="5"/>
      <c r="DJ189" s="5"/>
      <c r="DK189" s="5"/>
      <c r="DL189" s="5" t="str">
        <f t="shared" si="109"/>
        <v>Clear</v>
      </c>
      <c r="DM189" s="5" t="str">
        <f t="shared" si="110"/>
        <v>Yes</v>
      </c>
      <c r="DN189" s="5">
        <f t="array" ref="DN189">MIN(100,
  IF(ISNUMBER(V189), _xlfn.IFS(V189&gt;=3,25, V189=2,15, V189=1,5, TRUE,0), 0)
  + IFERROR(_xlfn.IFS(VALUE(LEFT(DF189,1))=5,25, VALUE(LEFT(DF189,1))=4,20, VALUE(LEFT(DF189,1))=3,15, VALUE(LEFT(DF189,1))=2,8, TRUE,0), 15)
  + IFERROR(_xlfn.IFS(VALUE(LEFT(DG189,1))=5,25, VALUE(LEFT(DG189,1))=4,20, VALUE(LEFT(DG189,1))=3,15, VALUE(LEFT(DG189,1))=2,8, TRUE,0), 15)
  + _xlfn.IFS(DH189="Fully Verified",25, DH189="Partially Verified",12, TRUE,0)
)</f>
        <v>30</v>
      </c>
      <c r="DO189" s="5" t="str">
        <f t="array" ref="DO189">_xlfn.IFS(
  ISBLANK(AR189), "Insufficient Evidence",
  AND(AR189&gt;=65, AJ189="Approved"), "Strong",
  AR189&gt;=65, "Adequate",
  AR189&gt;=40, "Adequate",
  AR189&gt;=20, "Weak",
  TRUE, "Insufficient Evidence"
)</f>
        <v>Insufficient Evidence</v>
      </c>
      <c r="DP189" s="5" t="str">
        <f t="array" ref="DP189">_xlfn.IFS(
  ISBLANK(BS189), "Insufficient Evidence",
  BS189&gt;=65, "Strong",
  BS189&gt;=40, "Adequate",
  BS189&gt;=20, "Weak",
  TRUE, "Insufficient Evidence"
)</f>
        <v>Insufficient Evidence</v>
      </c>
      <c r="DQ189" s="5" t="str">
        <f t="array" ref="DQ189">_xlfn.IFS(
  ISBLANK(BE189), "Insufficient Evidence",
  OR(AW189="Confirmed Violation", AX189="Confirmed Breach"), "Severe — Hard Trigger",
  BE189&gt;=65, "Strong",
  BE189&gt;=40, "Adequate",
  BE189&gt;=20, "Weak",
  TRUE, "Insufficient Evidence"
)</f>
        <v>Insufficient Evidence</v>
      </c>
      <c r="DR189" s="5" t="str">
        <f t="array" ref="DR189">_xlfn.IFS(
  ISBLANK(CU189), "Insufficient Evidence",
  CU189&lt;=20, "Low Risk",
  CU189&lt;=50, "Moderate Risk",
  CU189&lt;=75, "High Risk",
  TRUE, "Very High Risk"
)</f>
        <v>Low Risk</v>
      </c>
      <c r="DS189" s="5" t="str">
        <f t="array" ref="DS189">_xlfn.IFS(
  ISBLANK(CE189), "Insufficient Evidence",
  AND(ISNUMBER(BW189),ISNUMBER(BV189),BW189&gt;BV189), "Overclaiming Risk",
  CE189&gt;=65, "Strong",
  CE189&gt;=40, "Adequate",
  TRUE, "Weak"
)</f>
        <v>Weak</v>
      </c>
      <c r="DT189" s="5">
        <f t="shared" si="111"/>
        <v>11.7</v>
      </c>
      <c r="DU189" s="5" t="str">
        <f t="array" ref="DU189">_xlfn.IFS(
  DV189="Upgraded to Clear", "Clear",
  DV189="Downgraded to Watchlist", "Watchlist",
  DV189="Downgraded to Exclusion", "Exclusion Risk",
  DB189="Yes — Automatic", "Exclusion Risk",
  OR(AW189="Confirmed Violation", AX189="Confirmed Breach"), "Exclusion Risk",
  OR(V189=0, ISBLANK(V189), DN189&lt;20), "Insufficient Evidence",
  AND(DT189&gt;=65, DA189="No", DB189="No"), "Clear",
  OR(DT189&gt;=40, DA189="Yes"), "Watchlist",
  TRUE, "Exclusion Risk"
)</f>
        <v>Insufficient Evidence</v>
      </c>
      <c r="DV189" s="5"/>
      <c r="DW189" s="5" t="str">
        <f t="array" ref="DW189">_xlfn.IFS(
  DU189="Exclusion Risk", "Exclude — Hard Trigger",
  DU189="Insufficient Evidence", "Watchlist — Further Evidence Needed",
  DU189="Watchlist", "Watchlist — Further Evidence Needed",
  AND(DU189="Clear", DT189&gt;=80), "Include — No Conditions",
  DU189="Clear", "Include — Monitor",
  TRUE, "Watchlist — Further Evidence Needed"
)</f>
        <v>Watchlist — Further Evidence Needed</v>
      </c>
      <c r="DX189" s="5"/>
      <c r="DY189" s="5"/>
      <c r="DZ189" s="5"/>
      <c r="EA189" s="5"/>
      <c r="EB189" s="5" t="str">
        <f t="shared" si="112"/>
        <v>MISSING — No sources reviewed</v>
      </c>
      <c r="EC189" s="5" t="str">
        <f t="shared" si="113"/>
        <v/>
      </c>
    </row>
    <row r="190" spans="1:133" ht="18" customHeight="1" x14ac:dyDescent="0.15">
      <c r="A190" s="5" t="s">
        <v>959</v>
      </c>
      <c r="B190" s="5" t="s">
        <v>960</v>
      </c>
      <c r="C190" s="5" t="str">
        <f>IF(ISBLANK('Universe Tracker'!D165),"",'Universe Tracker'!D165)</f>
        <v>SE0007692850</v>
      </c>
      <c r="D190" s="5"/>
      <c r="E190" s="5"/>
      <c r="F190" s="5" t="str">
        <f>IF(ISBLANK('Universe Tracker'!F165),"",'Universe Tracker'!F165)</f>
        <v>Health Care</v>
      </c>
      <c r="G190" s="5" t="str">
        <f>IF(ISBLANK('Universe Tracker'!G165),"",'Universe Tracker'!G165)</f>
        <v>Health Care</v>
      </c>
      <c r="H190" s="5"/>
      <c r="I190" s="5"/>
      <c r="J190" s="5" t="str">
        <f t="shared" si="101"/>
        <v>7CA_SE0007692850</v>
      </c>
      <c r="K190" s="5"/>
      <c r="L190" s="5"/>
      <c r="M190" s="5"/>
      <c r="N190" s="5"/>
      <c r="O190" s="5"/>
      <c r="P190" s="5"/>
      <c r="Q190" s="5"/>
      <c r="R190" s="5"/>
      <c r="S190" s="5"/>
      <c r="T190" s="5"/>
      <c r="U190" s="5"/>
      <c r="V190" s="5"/>
      <c r="W190" s="5"/>
      <c r="X190" s="5"/>
      <c r="Y190" s="5" t="str">
        <f t="shared" si="102"/>
        <v>Insufficient</v>
      </c>
      <c r="Z190" s="5"/>
      <c r="AA190" s="5"/>
      <c r="AB190" s="5"/>
      <c r="AC190" s="5"/>
      <c r="AD190" s="5"/>
      <c r="AE190" s="5"/>
      <c r="AF190" s="5"/>
      <c r="AG190" s="5"/>
      <c r="AH190" s="5"/>
      <c r="AI190" s="5"/>
      <c r="AJ190" s="5"/>
      <c r="AK190" s="5"/>
      <c r="AL190" s="5"/>
      <c r="AM190" s="5"/>
      <c r="AN190" s="5"/>
      <c r="AO190" s="5"/>
      <c r="AP190" s="5"/>
      <c r="AQ190" s="5"/>
      <c r="AR190" s="40">
        <f t="array" ref="AR190">MIN(100, MAX(0,
  IFERROR(_xlfn.XLOOKUP(AJ190,'Lookup Tables'!$A$2:$A$7,'Lookup Tables'!$B$2:$B$7,0),0)
  + IF(Z190="Yes", IF(IFERROR(_xlfn.XLOOKUP(AJ190,'Lookup Tables'!$A$2:$A$7,'Lookup Tables'!$B$2:$B$7,0),0)&lt;20, 5, 0), 0)
  + _xlfn.IFS(AB190="Yes", IF(ISNUMBER(AC190)*AND(AC190&lt;=2030),15,10), AB190="Long-term Only", 5, AB190="No", 0, TRUE, 0)
  + _xlfn.IFS(AF190="Full",10, AF190="Partial",5, AF190="Scope 2 Only",3, TRUE,0)
  + _xlfn.IFS(AG190="Yes", IF(ISNUMBER(AH190)*AND(AH190&gt;=5),10,6), AG190="Partial",4, TRUE,0)
  + _xlfn.IFS(AI190="Yes",5, AI190="Partial (material categories only)",3, TRUE,0)
  + _xlfn.IFS(AL190="Yes — Detailed",10, AL190="Yes — High Level",5, TRUE,0)
  + _xlfn.IFS(AM190="Yes — Quantified",15, AM190="Yes — Directional Only",7, TRUE,0)
  + _xlfn.IFS(AP190="Formal",5, AP190="Referenced",2, TRUE,0)
  + _xlfn.IFS(AQ190="No Issues Found",5, AQ190="Concern Identified",-5, AQ190="Severe Contradiction",-15, TRUE,0)
  + _xlfn.IFS(BC190="Reasonable Assurance",5, BC190="Limited Assurance",3, TRUE,0)
  - IF(AND(Z190="Yes", AI190="No"), 10, 0)
  - IF(AND(Z190="Yes", AM190="No"), 10, 0)
))</f>
        <v>0</v>
      </c>
      <c r="AS190" s="5"/>
      <c r="AT190" s="5"/>
      <c r="AU190" s="5"/>
      <c r="AV190" s="5"/>
      <c r="AW190" s="5"/>
      <c r="AX190" s="5"/>
      <c r="AY190" s="5"/>
      <c r="AZ190" s="5"/>
      <c r="BA190" s="5"/>
      <c r="BB190" s="5"/>
      <c r="BC190" s="5"/>
      <c r="BD190" s="5"/>
      <c r="BE190" s="39">
        <f t="array" ref="BE190">MIN(100, MAX(0,
  IFERROR(_xlfn.XLOOKUP(AT190,'Lookup Tables'!$D$2:$D$6,'Lookup Tables'!$E$2:$E$6,0),0)
  + IFERROR(_xlfn.XLOOKUP(AV190,'Lookup Tables'!$G$2:$G$5,'Lookup Tables'!$H$2:$H$5,0),0)
  + IFERROR(_xlfn.XLOOKUP(AW190,'Lookup Tables'!$J$2:$J$5,'Lookup Tables'!$K$2:$K$5,0),0)
  + _xlfn.IFS(AX190="No Issues",10, AX190="Complaint Filed",3, AX190="Confirmed Breach",-15, TRUE,0)
  + IFERROR(_xlfn.XLOOKUP(AY190,'Lookup Tables'!$M$2:$M$6,'Lookup Tables'!$N$2:$N$6,0),0)
  + IFERROR(_xlfn.XLOOKUP(AZ190,'Lookup Tables'!$P$2:$P$6,'Lookup Tables'!$Q$2:$Q$6,0),0)
  + _xlfn.IFS(BA190="Formal Board Committee",5, BA190="Board Oversight Mentioned",2, TRUE,0)
  + _xlfn.IFS(BB190="Yes — Quantified Targets",5, BB190="Yes — Discretionary Only",2, TRUE,0)
  + _xlfn.IFS(BC190="Reasonable Assurance",5, BC190="Limited Assurance",3, BC190="Management Review Only",1, TRUE,0)
))</f>
        <v>0</v>
      </c>
      <c r="BF190" s="5"/>
      <c r="BG190" s="5"/>
      <c r="BH190" s="5"/>
      <c r="BI190" s="5"/>
      <c r="BJ190" s="5"/>
      <c r="BK190" s="5"/>
      <c r="BL190" s="5"/>
      <c r="BM190" s="5"/>
      <c r="BN190" s="5"/>
      <c r="BO190" s="5"/>
      <c r="BP190" s="5"/>
      <c r="BQ190" s="5"/>
      <c r="BR190" s="5"/>
      <c r="BS190" s="41">
        <f t="array" ref="BS190">MIN(100, MAX(0,
  IFERROR(_xlfn.XLOOKUP(BG190,'Lookup Tables'!$A$11:$A$16,'Lookup Tables'!$B$11:$B$16,0),0)
  + IFERROR(_xlfn.XLOOKUP(BR190,'Lookup Tables'!$M$11:$M$14,'Lookup Tables'!$N$11:$N$14,0),0)
  + IFERROR(_xlfn.XLOOKUP(BQ190,'Lookup Tables'!$J$11:$J$15,'Lookup Tables'!$K$11:$K$15,0),0)
  + IFERROR(_xlfn.XLOOKUP(BH190,'Lookup Tables'!$D$11:$D$15,'Lookup Tables'!$E$11:$E$15,0),0)
  + IFERROR(_xlfn.XLOOKUP(BJ190,'Lookup Tables'!$G$11:$G$16,'Lookup Tables'!$H$11:$H$16,0),0)
  + IFERROR(_xlfn.XLOOKUP(BN190,'Lookup Tables'!$P$11:$P$15,'Lookup Tables'!$Q$11:$Q$15,0),0)
  + _xlfn.IFS(BM190="No Evidence",10, BM190="Unknown",3, BM190="Likely",0, BM190="Confirmed",-10, TRUE,3)
  + IFERROR(_xlfn.XLOOKUP(BP190,'Lookup Tables'!$J$21:$J$24,'Lookup Tables'!$K$21:$K$24,0),0)
))</f>
        <v>3</v>
      </c>
      <c r="BT190" s="5"/>
      <c r="BU190" s="5"/>
      <c r="BV190" s="5"/>
      <c r="BW190" s="5"/>
      <c r="BX190" s="5"/>
      <c r="BY190" s="5"/>
      <c r="BZ190" s="5"/>
      <c r="CA190" s="5"/>
      <c r="CB190" s="5"/>
      <c r="CC190" s="5"/>
      <c r="CD190" s="5"/>
      <c r="CE190" s="43">
        <f t="array" ref="CE190">MIN(100, MAX(0,
  IF(ISNUMBER(BV190)*AND(BV190&gt;0), 10, 0)
  + _xlfn.IFS(BY190="Independently Verified",25, BY190="Yes",15, TRUE,0)
  + IFERROR(_xlfn.XLOOKUP(BZ190,'Lookup Tables'!$A$21:$A$24,'Lookup Tables'!$B$21:$B$24,0),0)
  + IFERROR(_xlfn.XLOOKUP(CA190,'Lookup Tables'!$D$21:$D$24,'Lookup Tables'!$E$21:$E$24,0),0)
  + _xlfn.IFS(ISNUMBER(CB190)*AND(CB190&gt;=11),15, ISNUMBER(CB190)*AND(CB190&gt;=6),10, ISNUMBER(CB190)*AND(CB190&gt;=1),5, TRUE,0)
  + IFERROR(_xlfn.XLOOKUP(CC190,'Lookup Tables'!$G$21:$G$25,'Lookup Tables'!$H$21:$H$25,0),0)
  - IF(ISNUMBER(BW190)*AND(ISNUMBER(BV190))*AND(BW190&gt;BV190), 20, 0)
  - IF(AND(BY190="Yes", ISNUMBER(BW190), BW190&gt;60), 10, 0)
))</f>
        <v>0</v>
      </c>
      <c r="CF190" s="5"/>
      <c r="CG190" s="5"/>
      <c r="CH190" s="5"/>
      <c r="CI190" s="5"/>
      <c r="CJ190" s="5"/>
      <c r="CK190" s="5"/>
      <c r="CL190" s="5"/>
      <c r="CM190" s="5"/>
      <c r="CN190" s="5"/>
      <c r="CO190" s="5"/>
      <c r="CP190" s="5"/>
      <c r="CQ190" s="5"/>
      <c r="CR190" s="5">
        <f t="shared" si="103"/>
        <v>0</v>
      </c>
      <c r="CS190" s="5">
        <f t="shared" si="104"/>
        <v>0</v>
      </c>
      <c r="CT190" s="5">
        <f t="shared" si="105"/>
        <v>0</v>
      </c>
      <c r="CU190" s="5">
        <f>MIN(100,
  CR190*15
  + CS190*6
  + CT190*3
  + IFERROR(_xlfn.XLOOKUP(CW190,'Lookup Tables'!$M$21:$M$25,'Lookup Tables'!$N$21:$N$25,0),0)
)</f>
        <v>0</v>
      </c>
      <c r="CV190" s="5" t="str">
        <f t="shared" si="106"/>
        <v>No failures</v>
      </c>
      <c r="CW190" s="5"/>
      <c r="CX190" s="5"/>
      <c r="CY190" s="5"/>
      <c r="CZ190" s="5"/>
      <c r="DA190" s="5" t="str">
        <f t="shared" si="107"/>
        <v>Yes</v>
      </c>
      <c r="DB190" s="5" t="str">
        <f t="shared" si="108"/>
        <v>No</v>
      </c>
      <c r="DC190" s="5"/>
      <c r="DD190" s="5"/>
      <c r="DE190" s="5"/>
      <c r="DF190" s="5"/>
      <c r="DG190" s="5"/>
      <c r="DH190" s="5"/>
      <c r="DI190" s="5"/>
      <c r="DJ190" s="5"/>
      <c r="DK190" s="5"/>
      <c r="DL190" s="5" t="str">
        <f t="shared" si="109"/>
        <v>Clear</v>
      </c>
      <c r="DM190" s="5" t="str">
        <f t="shared" si="110"/>
        <v>Yes</v>
      </c>
      <c r="DN190" s="5">
        <f t="array" ref="DN190">MIN(100,
  IF(ISNUMBER(V190), _xlfn.IFS(V190&gt;=3,25, V190=2,15, V190=1,5, TRUE,0), 0)
  + IFERROR(_xlfn.IFS(VALUE(LEFT(DF190,1))=5,25, VALUE(LEFT(DF190,1))=4,20, VALUE(LEFT(DF190,1))=3,15, VALUE(LEFT(DF190,1))=2,8, TRUE,0), 15)
  + IFERROR(_xlfn.IFS(VALUE(LEFT(DG190,1))=5,25, VALUE(LEFT(DG190,1))=4,20, VALUE(LEFT(DG190,1))=3,15, VALUE(LEFT(DG190,1))=2,8, TRUE,0), 15)
  + _xlfn.IFS(DH190="Fully Verified",25, DH190="Partially Verified",12, TRUE,0)
)</f>
        <v>30</v>
      </c>
      <c r="DO190" s="5" t="str">
        <f t="array" ref="DO190">_xlfn.IFS(
  ISBLANK(AR190), "Insufficient Evidence",
  AND(AR190&gt;=65, AJ190="Approved"), "Strong",
  AR190&gt;=65, "Adequate",
  AR190&gt;=40, "Adequate",
  AR190&gt;=20, "Weak",
  TRUE, "Insufficient Evidence"
)</f>
        <v>Insufficient Evidence</v>
      </c>
      <c r="DP190" s="5" t="str">
        <f t="array" ref="DP190">_xlfn.IFS(
  ISBLANK(BS190), "Insufficient Evidence",
  BS190&gt;=65, "Strong",
  BS190&gt;=40, "Adequate",
  BS190&gt;=20, "Weak",
  TRUE, "Insufficient Evidence"
)</f>
        <v>Insufficient Evidence</v>
      </c>
      <c r="DQ190" s="5" t="str">
        <f t="array" ref="DQ190">_xlfn.IFS(
  ISBLANK(BE190), "Insufficient Evidence",
  OR(AW190="Confirmed Violation", AX190="Confirmed Breach"), "Severe — Hard Trigger",
  BE190&gt;=65, "Strong",
  BE190&gt;=40, "Adequate",
  BE190&gt;=20, "Weak",
  TRUE, "Insufficient Evidence"
)</f>
        <v>Insufficient Evidence</v>
      </c>
      <c r="DR190" s="5" t="str">
        <f t="array" ref="DR190">_xlfn.IFS(
  ISBLANK(CU190), "Insufficient Evidence",
  CU190&lt;=20, "Low Risk",
  CU190&lt;=50, "Moderate Risk",
  CU190&lt;=75, "High Risk",
  TRUE, "Very High Risk"
)</f>
        <v>Low Risk</v>
      </c>
      <c r="DS190" s="5" t="str">
        <f t="array" ref="DS190">_xlfn.IFS(
  ISBLANK(CE190), "Insufficient Evidence",
  AND(ISNUMBER(BW190),ISNUMBER(BV190),BW190&gt;BV190), "Overclaiming Risk",
  CE190&gt;=65, "Strong",
  CE190&gt;=40, "Adequate",
  TRUE, "Weak"
)</f>
        <v>Weak</v>
      </c>
      <c r="DT190" s="5">
        <f t="shared" si="111"/>
        <v>11.7</v>
      </c>
      <c r="DU190" s="5" t="str">
        <f t="array" ref="DU190">_xlfn.IFS(
  DV190="Upgraded to Clear", "Clear",
  DV190="Downgraded to Watchlist", "Watchlist",
  DV190="Downgraded to Exclusion", "Exclusion Risk",
  DB190="Yes — Automatic", "Exclusion Risk",
  OR(AW190="Confirmed Violation", AX190="Confirmed Breach"), "Exclusion Risk",
  OR(V190=0, ISBLANK(V190), DN190&lt;20), "Insufficient Evidence",
  AND(DT190&gt;=65, DA190="No", DB190="No"), "Clear",
  OR(DT190&gt;=40, DA190="Yes"), "Watchlist",
  TRUE, "Exclusion Risk"
)</f>
        <v>Insufficient Evidence</v>
      </c>
      <c r="DV190" s="5"/>
      <c r="DW190" s="5" t="str">
        <f t="array" ref="DW190">_xlfn.IFS(
  DU190="Exclusion Risk", "Exclude — Hard Trigger",
  DU190="Insufficient Evidence", "Watchlist — Further Evidence Needed",
  DU190="Watchlist", "Watchlist — Further Evidence Needed",
  AND(DU190="Clear", DT190&gt;=80), "Include — No Conditions",
  DU190="Clear", "Include — Monitor",
  TRUE, "Watchlist — Further Evidence Needed"
)</f>
        <v>Watchlist — Further Evidence Needed</v>
      </c>
      <c r="DX190" s="5"/>
      <c r="DY190" s="5"/>
      <c r="DZ190" s="5"/>
      <c r="EA190" s="5"/>
      <c r="EB190" s="5" t="str">
        <f t="shared" si="112"/>
        <v>MISSING — No sources reviewed</v>
      </c>
      <c r="EC190" s="5" t="str">
        <f t="shared" si="113"/>
        <v/>
      </c>
    </row>
    <row r="191" spans="1:133" ht="18" customHeight="1" x14ac:dyDescent="0.15">
      <c r="A191" s="5" t="s">
        <v>963</v>
      </c>
      <c r="B191" s="5" t="s">
        <v>964</v>
      </c>
      <c r="C191" s="5" t="str">
        <f>IF(ISBLANK('Universe Tracker'!D166),"",'Universe Tracker'!D166)</f>
        <v>IT0005218380</v>
      </c>
      <c r="D191" s="5"/>
      <c r="E191" s="5"/>
      <c r="F191" s="5" t="str">
        <f>IF(ISBLANK('Universe Tracker'!F166),"",'Universe Tracker'!F166)</f>
        <v>Financials</v>
      </c>
      <c r="G191" s="5" t="str">
        <f>IF(ISBLANK('Universe Tracker'!G166),"",'Universe Tracker'!G166)</f>
        <v>Banking</v>
      </c>
      <c r="H191" s="5"/>
      <c r="I191" s="5"/>
      <c r="J191" s="5" t="str">
        <f t="shared" si="101"/>
        <v>BPM_IT0005218380</v>
      </c>
      <c r="K191" s="5"/>
      <c r="L191" s="5"/>
      <c r="M191" s="5"/>
      <c r="N191" s="5"/>
      <c r="O191" s="5"/>
      <c r="P191" s="5"/>
      <c r="Q191" s="5"/>
      <c r="R191" s="5"/>
      <c r="S191" s="5"/>
      <c r="T191" s="5"/>
      <c r="U191" s="5"/>
      <c r="V191" s="5"/>
      <c r="W191" s="5"/>
      <c r="X191" s="5"/>
      <c r="Y191" s="5" t="str">
        <f t="shared" si="102"/>
        <v>Insufficient</v>
      </c>
      <c r="Z191" s="5"/>
      <c r="AA191" s="5"/>
      <c r="AB191" s="5"/>
      <c r="AC191" s="5"/>
      <c r="AD191" s="5"/>
      <c r="AE191" s="5"/>
      <c r="AF191" s="5"/>
      <c r="AG191" s="5"/>
      <c r="AH191" s="5"/>
      <c r="AI191" s="5"/>
      <c r="AJ191" s="5"/>
      <c r="AK191" s="5"/>
      <c r="AL191" s="5"/>
      <c r="AM191" s="5"/>
      <c r="AN191" s="5"/>
      <c r="AO191" s="5"/>
      <c r="AP191" s="5"/>
      <c r="AQ191" s="5"/>
      <c r="AR191" s="40">
        <f t="array" ref="AR191">MIN(100, MAX(0,
  IFERROR(_xlfn.XLOOKUP(AJ191,'Lookup Tables'!$A$2:$A$7,'Lookup Tables'!$B$2:$B$7,0),0)
  + IF(Z191="Yes", IF(IFERROR(_xlfn.XLOOKUP(AJ191,'Lookup Tables'!$A$2:$A$7,'Lookup Tables'!$B$2:$B$7,0),0)&lt;20, 5, 0), 0)
  + _xlfn.IFS(AB191="Yes", IF(ISNUMBER(AC191)*AND(AC191&lt;=2030),15,10), AB191="Long-term Only", 5, AB191="No", 0, TRUE, 0)
  + _xlfn.IFS(AF191="Full",10, AF191="Partial",5, AF191="Scope 2 Only",3, TRUE,0)
  + _xlfn.IFS(AG191="Yes", IF(ISNUMBER(AH191)*AND(AH191&gt;=5),10,6), AG191="Partial",4, TRUE,0)
  + _xlfn.IFS(AI191="Yes",5, AI191="Partial (material categories only)",3, TRUE,0)
  + _xlfn.IFS(AL191="Yes — Detailed",10, AL191="Yes — High Level",5, TRUE,0)
  + _xlfn.IFS(AM191="Yes — Quantified",15, AM191="Yes — Directional Only",7, TRUE,0)
  + _xlfn.IFS(AP191="Formal",5, AP191="Referenced",2, TRUE,0)
  + _xlfn.IFS(AQ191="No Issues Found",5, AQ191="Concern Identified",-5, AQ191="Severe Contradiction",-15, TRUE,0)
  + _xlfn.IFS(BC191="Reasonable Assurance",5, BC191="Limited Assurance",3, TRUE,0)
  - IF(AND(Z191="Yes", AI191="No"), 10, 0)
  - IF(AND(Z191="Yes", AM191="No"), 10, 0)
))</f>
        <v>0</v>
      </c>
      <c r="AS191" s="5"/>
      <c r="AT191" s="5"/>
      <c r="AU191" s="5"/>
      <c r="AV191" s="5"/>
      <c r="AW191" s="5"/>
      <c r="AX191" s="5"/>
      <c r="AY191" s="5"/>
      <c r="AZ191" s="5"/>
      <c r="BA191" s="5"/>
      <c r="BB191" s="5"/>
      <c r="BC191" s="5"/>
      <c r="BD191" s="5"/>
      <c r="BE191" s="39">
        <f t="array" ref="BE191">MIN(100, MAX(0,
  IFERROR(_xlfn.XLOOKUP(AT191,'Lookup Tables'!$D$2:$D$6,'Lookup Tables'!$E$2:$E$6,0),0)
  + IFERROR(_xlfn.XLOOKUP(AV191,'Lookup Tables'!$G$2:$G$5,'Lookup Tables'!$H$2:$H$5,0),0)
  + IFERROR(_xlfn.XLOOKUP(AW191,'Lookup Tables'!$J$2:$J$5,'Lookup Tables'!$K$2:$K$5,0),0)
  + _xlfn.IFS(AX191="No Issues",10, AX191="Complaint Filed",3, AX191="Confirmed Breach",-15, TRUE,0)
  + IFERROR(_xlfn.XLOOKUP(AY191,'Lookup Tables'!$M$2:$M$6,'Lookup Tables'!$N$2:$N$6,0),0)
  + IFERROR(_xlfn.XLOOKUP(AZ191,'Lookup Tables'!$P$2:$P$6,'Lookup Tables'!$Q$2:$Q$6,0),0)
  + _xlfn.IFS(BA191="Formal Board Committee",5, BA191="Board Oversight Mentioned",2, TRUE,0)
  + _xlfn.IFS(BB191="Yes — Quantified Targets",5, BB191="Yes — Discretionary Only",2, TRUE,0)
  + _xlfn.IFS(BC191="Reasonable Assurance",5, BC191="Limited Assurance",3, BC191="Management Review Only",1, TRUE,0)
))</f>
        <v>0</v>
      </c>
      <c r="BF191" s="5"/>
      <c r="BG191" s="5"/>
      <c r="BH191" s="5"/>
      <c r="BI191" s="5"/>
      <c r="BJ191" s="5"/>
      <c r="BK191" s="5"/>
      <c r="BL191" s="5"/>
      <c r="BM191" s="5"/>
      <c r="BN191" s="5"/>
      <c r="BO191" s="5"/>
      <c r="BP191" s="5"/>
      <c r="BQ191" s="5"/>
      <c r="BR191" s="5"/>
      <c r="BS191" s="41">
        <f t="array" ref="BS191">MIN(100, MAX(0,
  IFERROR(_xlfn.XLOOKUP(BG191,'Lookup Tables'!$A$11:$A$16,'Lookup Tables'!$B$11:$B$16,0),0)
  + IFERROR(_xlfn.XLOOKUP(BR191,'Lookup Tables'!$M$11:$M$14,'Lookup Tables'!$N$11:$N$14,0),0)
  + IFERROR(_xlfn.XLOOKUP(BQ191,'Lookup Tables'!$J$11:$J$15,'Lookup Tables'!$K$11:$K$15,0),0)
  + IFERROR(_xlfn.XLOOKUP(BH191,'Lookup Tables'!$D$11:$D$15,'Lookup Tables'!$E$11:$E$15,0),0)
  + IFERROR(_xlfn.XLOOKUP(BJ191,'Lookup Tables'!$G$11:$G$16,'Lookup Tables'!$H$11:$H$16,0),0)
  + IFERROR(_xlfn.XLOOKUP(BN191,'Lookup Tables'!$P$11:$P$15,'Lookup Tables'!$Q$11:$Q$15,0),0)
  + _xlfn.IFS(BM191="No Evidence",10, BM191="Unknown",3, BM191="Likely",0, BM191="Confirmed",-10, TRUE,3)
  + IFERROR(_xlfn.XLOOKUP(BP191,'Lookup Tables'!$J$21:$J$24,'Lookup Tables'!$K$21:$K$24,0),0)
))</f>
        <v>3</v>
      </c>
      <c r="BT191" s="5"/>
      <c r="BU191" s="5"/>
      <c r="BV191" s="5"/>
      <c r="BW191" s="5"/>
      <c r="BX191" s="5"/>
      <c r="BY191" s="5"/>
      <c r="BZ191" s="5"/>
      <c r="CA191" s="5"/>
      <c r="CB191" s="5"/>
      <c r="CC191" s="5"/>
      <c r="CD191" s="5"/>
      <c r="CE191" s="43">
        <f t="array" ref="CE191">MIN(100, MAX(0,
  IF(ISNUMBER(BV191)*AND(BV191&gt;0), 10, 0)
  + _xlfn.IFS(BY191="Independently Verified",25, BY191="Yes",15, TRUE,0)
  + IFERROR(_xlfn.XLOOKUP(BZ191,'Lookup Tables'!$A$21:$A$24,'Lookup Tables'!$B$21:$B$24,0),0)
  + IFERROR(_xlfn.XLOOKUP(CA191,'Lookup Tables'!$D$21:$D$24,'Lookup Tables'!$E$21:$E$24,0),0)
  + _xlfn.IFS(ISNUMBER(CB191)*AND(CB191&gt;=11),15, ISNUMBER(CB191)*AND(CB191&gt;=6),10, ISNUMBER(CB191)*AND(CB191&gt;=1),5, TRUE,0)
  + IFERROR(_xlfn.XLOOKUP(CC191,'Lookup Tables'!$G$21:$G$25,'Lookup Tables'!$H$21:$H$25,0),0)
  - IF(ISNUMBER(BW191)*AND(ISNUMBER(BV191))*AND(BW191&gt;BV191), 20, 0)
  - IF(AND(BY191="Yes", ISNUMBER(BW191), BW191&gt;60), 10, 0)
))</f>
        <v>0</v>
      </c>
      <c r="CF191" s="5"/>
      <c r="CG191" s="5"/>
      <c r="CH191" s="5"/>
      <c r="CI191" s="5"/>
      <c r="CJ191" s="5"/>
      <c r="CK191" s="5"/>
      <c r="CL191" s="5"/>
      <c r="CM191" s="5"/>
      <c r="CN191" s="5"/>
      <c r="CO191" s="5"/>
      <c r="CP191" s="5"/>
      <c r="CQ191" s="5"/>
      <c r="CR191" s="5">
        <f t="shared" si="103"/>
        <v>0</v>
      </c>
      <c r="CS191" s="5">
        <f t="shared" si="104"/>
        <v>0</v>
      </c>
      <c r="CT191" s="5">
        <f t="shared" si="105"/>
        <v>0</v>
      </c>
      <c r="CU191" s="5">
        <f>MIN(100,
  CR191*15
  + CS191*6
  + CT191*3
  + IFERROR(_xlfn.XLOOKUP(CW191,'Lookup Tables'!$M$21:$M$25,'Lookup Tables'!$N$21:$N$25,0),0)
)</f>
        <v>0</v>
      </c>
      <c r="CV191" s="5" t="str">
        <f t="shared" si="106"/>
        <v>No failures</v>
      </c>
      <c r="CW191" s="5"/>
      <c r="CX191" s="5"/>
      <c r="CY191" s="5"/>
      <c r="CZ191" s="5"/>
      <c r="DA191" s="5" t="str">
        <f t="shared" si="107"/>
        <v>Yes</v>
      </c>
      <c r="DB191" s="5" t="str">
        <f t="shared" si="108"/>
        <v>No</v>
      </c>
      <c r="DC191" s="5"/>
      <c r="DD191" s="5"/>
      <c r="DE191" s="5"/>
      <c r="DF191" s="5"/>
      <c r="DG191" s="5"/>
      <c r="DH191" s="5"/>
      <c r="DI191" s="5"/>
      <c r="DJ191" s="5"/>
      <c r="DK191" s="5"/>
      <c r="DL191" s="5" t="str">
        <f t="shared" si="109"/>
        <v>Clear</v>
      </c>
      <c r="DM191" s="5" t="str">
        <f t="shared" si="110"/>
        <v>Yes</v>
      </c>
      <c r="DN191" s="5">
        <f t="array" ref="DN191">MIN(100,
  IF(ISNUMBER(V191), _xlfn.IFS(V191&gt;=3,25, V191=2,15, V191=1,5, TRUE,0), 0)
  + IFERROR(_xlfn.IFS(VALUE(LEFT(DF191,1))=5,25, VALUE(LEFT(DF191,1))=4,20, VALUE(LEFT(DF191,1))=3,15, VALUE(LEFT(DF191,1))=2,8, TRUE,0), 15)
  + IFERROR(_xlfn.IFS(VALUE(LEFT(DG191,1))=5,25, VALUE(LEFT(DG191,1))=4,20, VALUE(LEFT(DG191,1))=3,15, VALUE(LEFT(DG191,1))=2,8, TRUE,0), 15)
  + _xlfn.IFS(DH191="Fully Verified",25, DH191="Partially Verified",12, TRUE,0)
)</f>
        <v>30</v>
      </c>
      <c r="DO191" s="5" t="str">
        <f t="array" ref="DO191">_xlfn.IFS(
  ISBLANK(AR191), "Insufficient Evidence",
  AND(AR191&gt;=65, AJ191="Approved"), "Strong",
  AR191&gt;=65, "Adequate",
  AR191&gt;=40, "Adequate",
  AR191&gt;=20, "Weak",
  TRUE, "Insufficient Evidence"
)</f>
        <v>Insufficient Evidence</v>
      </c>
      <c r="DP191" s="5" t="str">
        <f t="array" ref="DP191">_xlfn.IFS(
  ISBLANK(BS191), "Insufficient Evidence",
  BS191&gt;=65, "Strong",
  BS191&gt;=40, "Adequate",
  BS191&gt;=20, "Weak",
  TRUE, "Insufficient Evidence"
)</f>
        <v>Insufficient Evidence</v>
      </c>
      <c r="DQ191" s="5" t="str">
        <f t="array" ref="DQ191">_xlfn.IFS(
  ISBLANK(BE191), "Insufficient Evidence",
  OR(AW191="Confirmed Violation", AX191="Confirmed Breach"), "Severe — Hard Trigger",
  BE191&gt;=65, "Strong",
  BE191&gt;=40, "Adequate",
  BE191&gt;=20, "Weak",
  TRUE, "Insufficient Evidence"
)</f>
        <v>Insufficient Evidence</v>
      </c>
      <c r="DR191" s="5" t="str">
        <f t="array" ref="DR191">_xlfn.IFS(
  ISBLANK(CU191), "Insufficient Evidence",
  CU191&lt;=20, "Low Risk",
  CU191&lt;=50, "Moderate Risk",
  CU191&lt;=75, "High Risk",
  TRUE, "Very High Risk"
)</f>
        <v>Low Risk</v>
      </c>
      <c r="DS191" s="5" t="str">
        <f t="array" ref="DS191">_xlfn.IFS(
  ISBLANK(CE191), "Insufficient Evidence",
  AND(ISNUMBER(BW191),ISNUMBER(BV191),BW191&gt;BV191), "Overclaiming Risk",
  CE191&gt;=65, "Strong",
  CE191&gt;=40, "Adequate",
  TRUE, "Weak"
)</f>
        <v>Weak</v>
      </c>
      <c r="DT191" s="5">
        <f t="shared" si="111"/>
        <v>11.7</v>
      </c>
      <c r="DU191" s="5" t="str">
        <f t="array" ref="DU191">_xlfn.IFS(
  DV191="Upgraded to Clear", "Clear",
  DV191="Downgraded to Watchlist", "Watchlist",
  DV191="Downgraded to Exclusion", "Exclusion Risk",
  DB191="Yes — Automatic", "Exclusion Risk",
  OR(AW191="Confirmed Violation", AX191="Confirmed Breach"), "Exclusion Risk",
  OR(V191=0, ISBLANK(V191), DN191&lt;20), "Insufficient Evidence",
  AND(DT191&gt;=65, DA191="No", DB191="No"), "Clear",
  OR(DT191&gt;=40, DA191="Yes"), "Watchlist",
  TRUE, "Exclusion Risk"
)</f>
        <v>Insufficient Evidence</v>
      </c>
      <c r="DV191" s="5"/>
      <c r="DW191" s="5" t="str">
        <f t="array" ref="DW191">_xlfn.IFS(
  DU191="Exclusion Risk", "Exclude — Hard Trigger",
  DU191="Insufficient Evidence", "Watchlist — Further Evidence Needed",
  DU191="Watchlist", "Watchlist — Further Evidence Needed",
  AND(DU191="Clear", DT191&gt;=80), "Include — No Conditions",
  DU191="Clear", "Include — Monitor",
  TRUE, "Watchlist — Further Evidence Needed"
)</f>
        <v>Watchlist — Further Evidence Needed</v>
      </c>
      <c r="DX191" s="5"/>
      <c r="DY191" s="5"/>
      <c r="DZ191" s="5"/>
      <c r="EA191" s="5"/>
      <c r="EB191" s="5" t="str">
        <f t="shared" si="112"/>
        <v>MISSING — No sources reviewed</v>
      </c>
      <c r="EC191" s="5" t="str">
        <f t="shared" si="113"/>
        <v/>
      </c>
    </row>
    <row r="192" spans="1:133" ht="18" customHeight="1" x14ac:dyDescent="0.15">
      <c r="A192" s="5" t="s">
        <v>967</v>
      </c>
      <c r="B192" s="5" t="s">
        <v>968</v>
      </c>
      <c r="C192" s="5" t="str">
        <f>IF(ISBLANK('Universe Tracker'!D167),"",'Universe Tracker'!D167)</f>
        <v>FR0012333284</v>
      </c>
      <c r="D192" s="5"/>
      <c r="E192" s="5"/>
      <c r="F192" s="5" t="str">
        <f>IF(ISBLANK('Universe Tracker'!F167),"",'Universe Tracker'!F167)</f>
        <v>Health Care</v>
      </c>
      <c r="G192" s="5" t="str">
        <f>IF(ISBLANK('Universe Tracker'!G167),"",'Universe Tracker'!G167)</f>
        <v>Health Care</v>
      </c>
      <c r="H192" s="5"/>
      <c r="I192" s="5"/>
      <c r="J192" s="5" t="str">
        <f t="shared" si="101"/>
        <v>2X1_FR0012333284</v>
      </c>
      <c r="K192" s="5"/>
      <c r="L192" s="5"/>
      <c r="M192" s="5"/>
      <c r="N192" s="5"/>
      <c r="O192" s="5"/>
      <c r="P192" s="5"/>
      <c r="Q192" s="5"/>
      <c r="R192" s="5"/>
      <c r="S192" s="5"/>
      <c r="T192" s="5"/>
      <c r="U192" s="5"/>
      <c r="V192" s="5"/>
      <c r="W192" s="5"/>
      <c r="X192" s="5"/>
      <c r="Y192" s="5" t="str">
        <f t="shared" si="102"/>
        <v>Insufficient</v>
      </c>
      <c r="Z192" s="5"/>
      <c r="AA192" s="5"/>
      <c r="AB192" s="5"/>
      <c r="AC192" s="5"/>
      <c r="AD192" s="5"/>
      <c r="AE192" s="5"/>
      <c r="AF192" s="5"/>
      <c r="AG192" s="5"/>
      <c r="AH192" s="5"/>
      <c r="AI192" s="5"/>
      <c r="AJ192" s="5"/>
      <c r="AK192" s="5"/>
      <c r="AL192" s="5"/>
      <c r="AM192" s="5"/>
      <c r="AN192" s="5"/>
      <c r="AO192" s="5"/>
      <c r="AP192" s="5"/>
      <c r="AQ192" s="5"/>
      <c r="AR192" s="40">
        <f t="array" ref="AR192">MIN(100, MAX(0,
  IFERROR(_xlfn.XLOOKUP(AJ192,'Lookup Tables'!$A$2:$A$7,'Lookup Tables'!$B$2:$B$7,0),0)
  + IF(Z192="Yes", IF(IFERROR(_xlfn.XLOOKUP(AJ192,'Lookup Tables'!$A$2:$A$7,'Lookup Tables'!$B$2:$B$7,0),0)&lt;20, 5, 0), 0)
  + _xlfn.IFS(AB192="Yes", IF(ISNUMBER(AC192)*AND(AC192&lt;=2030),15,10), AB192="Long-term Only", 5, AB192="No", 0, TRUE, 0)
  + _xlfn.IFS(AF192="Full",10, AF192="Partial",5, AF192="Scope 2 Only",3, TRUE,0)
  + _xlfn.IFS(AG192="Yes", IF(ISNUMBER(AH192)*AND(AH192&gt;=5),10,6), AG192="Partial",4, TRUE,0)
  + _xlfn.IFS(AI192="Yes",5, AI192="Partial (material categories only)",3, TRUE,0)
  + _xlfn.IFS(AL192="Yes — Detailed",10, AL192="Yes — High Level",5, TRUE,0)
  + _xlfn.IFS(AM192="Yes — Quantified",15, AM192="Yes — Directional Only",7, TRUE,0)
  + _xlfn.IFS(AP192="Formal",5, AP192="Referenced",2, TRUE,0)
  + _xlfn.IFS(AQ192="No Issues Found",5, AQ192="Concern Identified",-5, AQ192="Severe Contradiction",-15, TRUE,0)
  + _xlfn.IFS(BC192="Reasonable Assurance",5, BC192="Limited Assurance",3, TRUE,0)
  - IF(AND(Z192="Yes", AI192="No"), 10, 0)
  - IF(AND(Z192="Yes", AM192="No"), 10, 0)
))</f>
        <v>0</v>
      </c>
      <c r="AS192" s="5"/>
      <c r="AT192" s="5"/>
      <c r="AU192" s="5"/>
      <c r="AV192" s="5"/>
      <c r="AW192" s="5"/>
      <c r="AX192" s="5"/>
      <c r="AY192" s="5"/>
      <c r="AZ192" s="5"/>
      <c r="BA192" s="5"/>
      <c r="BB192" s="5"/>
      <c r="BC192" s="5"/>
      <c r="BD192" s="5"/>
      <c r="BE192" s="39">
        <f t="array" ref="BE192">MIN(100, MAX(0,
  IFERROR(_xlfn.XLOOKUP(AT192,'Lookup Tables'!$D$2:$D$6,'Lookup Tables'!$E$2:$E$6,0),0)
  + IFERROR(_xlfn.XLOOKUP(AV192,'Lookup Tables'!$G$2:$G$5,'Lookup Tables'!$H$2:$H$5,0),0)
  + IFERROR(_xlfn.XLOOKUP(AW192,'Lookup Tables'!$J$2:$J$5,'Lookup Tables'!$K$2:$K$5,0),0)
  + _xlfn.IFS(AX192="No Issues",10, AX192="Complaint Filed",3, AX192="Confirmed Breach",-15, TRUE,0)
  + IFERROR(_xlfn.XLOOKUP(AY192,'Lookup Tables'!$M$2:$M$6,'Lookup Tables'!$N$2:$N$6,0),0)
  + IFERROR(_xlfn.XLOOKUP(AZ192,'Lookup Tables'!$P$2:$P$6,'Lookup Tables'!$Q$2:$Q$6,0),0)
  + _xlfn.IFS(BA192="Formal Board Committee",5, BA192="Board Oversight Mentioned",2, TRUE,0)
  + _xlfn.IFS(BB192="Yes — Quantified Targets",5, BB192="Yes — Discretionary Only",2, TRUE,0)
  + _xlfn.IFS(BC192="Reasonable Assurance",5, BC192="Limited Assurance",3, BC192="Management Review Only",1, TRUE,0)
))</f>
        <v>0</v>
      </c>
      <c r="BF192" s="5"/>
      <c r="BG192" s="5"/>
      <c r="BH192" s="5"/>
      <c r="BI192" s="5"/>
      <c r="BJ192" s="5"/>
      <c r="BK192" s="5"/>
      <c r="BL192" s="5"/>
      <c r="BM192" s="5"/>
      <c r="BN192" s="5"/>
      <c r="BO192" s="5"/>
      <c r="BP192" s="5"/>
      <c r="BQ192" s="5"/>
      <c r="BR192" s="5"/>
      <c r="BS192" s="41">
        <f t="array" ref="BS192">MIN(100, MAX(0,
  IFERROR(_xlfn.XLOOKUP(BG192,'Lookup Tables'!$A$11:$A$16,'Lookup Tables'!$B$11:$B$16,0),0)
  + IFERROR(_xlfn.XLOOKUP(BR192,'Lookup Tables'!$M$11:$M$14,'Lookup Tables'!$N$11:$N$14,0),0)
  + IFERROR(_xlfn.XLOOKUP(BQ192,'Lookup Tables'!$J$11:$J$15,'Lookup Tables'!$K$11:$K$15,0),0)
  + IFERROR(_xlfn.XLOOKUP(BH192,'Lookup Tables'!$D$11:$D$15,'Lookup Tables'!$E$11:$E$15,0),0)
  + IFERROR(_xlfn.XLOOKUP(BJ192,'Lookup Tables'!$G$11:$G$16,'Lookup Tables'!$H$11:$H$16,0),0)
  + IFERROR(_xlfn.XLOOKUP(BN192,'Lookup Tables'!$P$11:$P$15,'Lookup Tables'!$Q$11:$Q$15,0),0)
  + _xlfn.IFS(BM192="No Evidence",10, BM192="Unknown",3, BM192="Likely",0, BM192="Confirmed",-10, TRUE,3)
  + IFERROR(_xlfn.XLOOKUP(BP192,'Lookup Tables'!$J$21:$J$24,'Lookup Tables'!$K$21:$K$24,0),0)
))</f>
        <v>3</v>
      </c>
      <c r="BT192" s="5"/>
      <c r="BU192" s="5"/>
      <c r="BV192" s="5"/>
      <c r="BW192" s="5"/>
      <c r="BX192" s="5"/>
      <c r="BY192" s="5"/>
      <c r="BZ192" s="5"/>
      <c r="CA192" s="5"/>
      <c r="CB192" s="5"/>
      <c r="CC192" s="5"/>
      <c r="CD192" s="5"/>
      <c r="CE192" s="43">
        <f t="array" ref="CE192">MIN(100, MAX(0,
  IF(ISNUMBER(BV192)*AND(BV192&gt;0), 10, 0)
  + _xlfn.IFS(BY192="Independently Verified",25, BY192="Yes",15, TRUE,0)
  + IFERROR(_xlfn.XLOOKUP(BZ192,'Lookup Tables'!$A$21:$A$24,'Lookup Tables'!$B$21:$B$24,0),0)
  + IFERROR(_xlfn.XLOOKUP(CA192,'Lookup Tables'!$D$21:$D$24,'Lookup Tables'!$E$21:$E$24,0),0)
  + _xlfn.IFS(ISNUMBER(CB192)*AND(CB192&gt;=11),15, ISNUMBER(CB192)*AND(CB192&gt;=6),10, ISNUMBER(CB192)*AND(CB192&gt;=1),5, TRUE,0)
  + IFERROR(_xlfn.XLOOKUP(CC192,'Lookup Tables'!$G$21:$G$25,'Lookup Tables'!$H$21:$H$25,0),0)
  - IF(ISNUMBER(BW192)*AND(ISNUMBER(BV192))*AND(BW192&gt;BV192), 20, 0)
  - IF(AND(BY192="Yes", ISNUMBER(BW192), BW192&gt;60), 10, 0)
))</f>
        <v>0</v>
      </c>
      <c r="CF192" s="5"/>
      <c r="CG192" s="5"/>
      <c r="CH192" s="5"/>
      <c r="CI192" s="5"/>
      <c r="CJ192" s="5"/>
      <c r="CK192" s="5"/>
      <c r="CL192" s="5"/>
      <c r="CM192" s="5"/>
      <c r="CN192" s="5"/>
      <c r="CO192" s="5"/>
      <c r="CP192" s="5"/>
      <c r="CQ192" s="5"/>
      <c r="CR192" s="5">
        <f t="shared" si="103"/>
        <v>0</v>
      </c>
      <c r="CS192" s="5">
        <f t="shared" si="104"/>
        <v>0</v>
      </c>
      <c r="CT192" s="5">
        <f t="shared" si="105"/>
        <v>0</v>
      </c>
      <c r="CU192" s="5">
        <f>MIN(100,
  CR192*15
  + CS192*6
  + CT192*3
  + IFERROR(_xlfn.XLOOKUP(CW192,'Lookup Tables'!$M$21:$M$25,'Lookup Tables'!$N$21:$N$25,0),0)
)</f>
        <v>0</v>
      </c>
      <c r="CV192" s="5" t="str">
        <f t="shared" si="106"/>
        <v>No failures</v>
      </c>
      <c r="CW192" s="5"/>
      <c r="CX192" s="5"/>
      <c r="CY192" s="5"/>
      <c r="CZ192" s="5"/>
      <c r="DA192" s="5" t="str">
        <f t="shared" si="107"/>
        <v>Yes</v>
      </c>
      <c r="DB192" s="5" t="str">
        <f t="shared" si="108"/>
        <v>No</v>
      </c>
      <c r="DC192" s="5"/>
      <c r="DD192" s="5"/>
      <c r="DE192" s="5"/>
      <c r="DF192" s="5"/>
      <c r="DG192" s="5"/>
      <c r="DH192" s="5"/>
      <c r="DI192" s="5"/>
      <c r="DJ192" s="5"/>
      <c r="DK192" s="5"/>
      <c r="DL192" s="5" t="str">
        <f t="shared" si="109"/>
        <v>Clear</v>
      </c>
      <c r="DM192" s="5" t="str">
        <f t="shared" si="110"/>
        <v>Yes</v>
      </c>
      <c r="DN192" s="5">
        <f t="array" ref="DN192">MIN(100,
  IF(ISNUMBER(V192), _xlfn.IFS(V192&gt;=3,25, V192=2,15, V192=1,5, TRUE,0), 0)
  + IFERROR(_xlfn.IFS(VALUE(LEFT(DF192,1))=5,25, VALUE(LEFT(DF192,1))=4,20, VALUE(LEFT(DF192,1))=3,15, VALUE(LEFT(DF192,1))=2,8, TRUE,0), 15)
  + IFERROR(_xlfn.IFS(VALUE(LEFT(DG192,1))=5,25, VALUE(LEFT(DG192,1))=4,20, VALUE(LEFT(DG192,1))=3,15, VALUE(LEFT(DG192,1))=2,8, TRUE,0), 15)
  + _xlfn.IFS(DH192="Fully Verified",25, DH192="Partially Verified",12, TRUE,0)
)</f>
        <v>30</v>
      </c>
      <c r="DO192" s="5" t="str">
        <f t="array" ref="DO192">_xlfn.IFS(
  ISBLANK(AR192), "Insufficient Evidence",
  AND(AR192&gt;=65, AJ192="Approved"), "Strong",
  AR192&gt;=65, "Adequate",
  AR192&gt;=40, "Adequate",
  AR192&gt;=20, "Weak",
  TRUE, "Insufficient Evidence"
)</f>
        <v>Insufficient Evidence</v>
      </c>
      <c r="DP192" s="5" t="str">
        <f t="array" ref="DP192">_xlfn.IFS(
  ISBLANK(BS192), "Insufficient Evidence",
  BS192&gt;=65, "Strong",
  BS192&gt;=40, "Adequate",
  BS192&gt;=20, "Weak",
  TRUE, "Insufficient Evidence"
)</f>
        <v>Insufficient Evidence</v>
      </c>
      <c r="DQ192" s="5" t="str">
        <f t="array" ref="DQ192">_xlfn.IFS(
  ISBLANK(BE192), "Insufficient Evidence",
  OR(AW192="Confirmed Violation", AX192="Confirmed Breach"), "Severe — Hard Trigger",
  BE192&gt;=65, "Strong",
  BE192&gt;=40, "Adequate",
  BE192&gt;=20, "Weak",
  TRUE, "Insufficient Evidence"
)</f>
        <v>Insufficient Evidence</v>
      </c>
      <c r="DR192" s="5" t="str">
        <f t="array" ref="DR192">_xlfn.IFS(
  ISBLANK(CU192), "Insufficient Evidence",
  CU192&lt;=20, "Low Risk",
  CU192&lt;=50, "Moderate Risk",
  CU192&lt;=75, "High Risk",
  TRUE, "Very High Risk"
)</f>
        <v>Low Risk</v>
      </c>
      <c r="DS192" s="5" t="str">
        <f t="array" ref="DS192">_xlfn.IFS(
  ISBLANK(CE192), "Insufficient Evidence",
  AND(ISNUMBER(BW192),ISNUMBER(BV192),BW192&gt;BV192), "Overclaiming Risk",
  CE192&gt;=65, "Strong",
  CE192&gt;=40, "Adequate",
  TRUE, "Weak"
)</f>
        <v>Weak</v>
      </c>
      <c r="DT192" s="5">
        <f t="shared" si="111"/>
        <v>11.7</v>
      </c>
      <c r="DU192" s="5" t="str">
        <f t="array" ref="DU192">_xlfn.IFS(
  DV192="Upgraded to Clear", "Clear",
  DV192="Downgraded to Watchlist", "Watchlist",
  DV192="Downgraded to Exclusion", "Exclusion Risk",
  DB192="Yes — Automatic", "Exclusion Risk",
  OR(AW192="Confirmed Violation", AX192="Confirmed Breach"), "Exclusion Risk",
  OR(V192=0, ISBLANK(V192), DN192&lt;20), "Insufficient Evidence",
  AND(DT192&gt;=65, DA192="No", DB192="No"), "Clear",
  OR(DT192&gt;=40, DA192="Yes"), "Watchlist",
  TRUE, "Exclusion Risk"
)</f>
        <v>Insufficient Evidence</v>
      </c>
      <c r="DV192" s="5"/>
      <c r="DW192" s="5" t="str">
        <f t="array" ref="DW192">_xlfn.IFS(
  DU192="Exclusion Risk", "Exclude — Hard Trigger",
  DU192="Insufficient Evidence", "Watchlist — Further Evidence Needed",
  DU192="Watchlist", "Watchlist — Further Evidence Needed",
  AND(DU192="Clear", DT192&gt;=80), "Include — No Conditions",
  DU192="Clear", "Include — Monitor",
  TRUE, "Watchlist — Further Evidence Needed"
)</f>
        <v>Watchlist — Further Evidence Needed</v>
      </c>
      <c r="DX192" s="5"/>
      <c r="DY192" s="5"/>
      <c r="DZ192" s="5"/>
      <c r="EA192" s="5"/>
      <c r="EB192" s="5" t="str">
        <f t="shared" si="112"/>
        <v>MISSING — No sources reviewed</v>
      </c>
      <c r="EC192" s="5" t="str">
        <f t="shared" si="113"/>
        <v/>
      </c>
    </row>
    <row r="193" spans="1:133" ht="18" customHeight="1" x14ac:dyDescent="0.15">
      <c r="A193" s="5" t="s">
        <v>971</v>
      </c>
      <c r="B193" s="5" t="s">
        <v>972</v>
      </c>
      <c r="C193" s="5" t="str">
        <f>IF(ISBLANK('Universe Tracker'!D168),"",'Universe Tracker'!D168)</f>
        <v>IE00BD1RP616</v>
      </c>
      <c r="D193" s="5"/>
      <c r="E193" s="5"/>
      <c r="F193" s="5" t="str">
        <f>IF(ISBLANK('Universe Tracker'!F168),"",'Universe Tracker'!F168)</f>
        <v>Financials</v>
      </c>
      <c r="G193" s="5" t="str">
        <f>IF(ISBLANK('Universe Tracker'!G168),"",'Universe Tracker'!G168)</f>
        <v>Banking</v>
      </c>
      <c r="H193" s="5"/>
      <c r="I193" s="5"/>
      <c r="J193" s="5" t="str">
        <f t="shared" si="101"/>
        <v>BIRG_IE00BD1RP616</v>
      </c>
      <c r="K193" s="5"/>
      <c r="L193" s="5"/>
      <c r="M193" s="5"/>
      <c r="N193" s="5"/>
      <c r="O193" s="5"/>
      <c r="P193" s="5"/>
      <c r="Q193" s="5"/>
      <c r="R193" s="5"/>
      <c r="S193" s="5"/>
      <c r="T193" s="5"/>
      <c r="U193" s="5"/>
      <c r="V193" s="5"/>
      <c r="W193" s="5"/>
      <c r="X193" s="5"/>
      <c r="Y193" s="5" t="str">
        <f t="shared" si="102"/>
        <v>Insufficient</v>
      </c>
      <c r="Z193" s="5"/>
      <c r="AA193" s="5"/>
      <c r="AB193" s="5"/>
      <c r="AC193" s="5"/>
      <c r="AD193" s="5"/>
      <c r="AE193" s="5"/>
      <c r="AF193" s="5"/>
      <c r="AG193" s="5"/>
      <c r="AH193" s="5"/>
      <c r="AI193" s="5"/>
      <c r="AJ193" s="5"/>
      <c r="AK193" s="5"/>
      <c r="AL193" s="5"/>
      <c r="AM193" s="5"/>
      <c r="AN193" s="5"/>
      <c r="AO193" s="5"/>
      <c r="AP193" s="5"/>
      <c r="AQ193" s="5"/>
      <c r="AR193" s="40">
        <f t="array" ref="AR193">MIN(100, MAX(0,
  IFERROR(_xlfn.XLOOKUP(AJ193,'Lookup Tables'!$A$2:$A$7,'Lookup Tables'!$B$2:$B$7,0),0)
  + IF(Z193="Yes", IF(IFERROR(_xlfn.XLOOKUP(AJ193,'Lookup Tables'!$A$2:$A$7,'Lookup Tables'!$B$2:$B$7,0),0)&lt;20, 5, 0), 0)
  + _xlfn.IFS(AB193="Yes", IF(ISNUMBER(AC193)*AND(AC193&lt;=2030),15,10), AB193="Long-term Only", 5, AB193="No", 0, TRUE, 0)
  + _xlfn.IFS(AF193="Full",10, AF193="Partial",5, AF193="Scope 2 Only",3, TRUE,0)
  + _xlfn.IFS(AG193="Yes", IF(ISNUMBER(AH193)*AND(AH193&gt;=5),10,6), AG193="Partial",4, TRUE,0)
  + _xlfn.IFS(AI193="Yes",5, AI193="Partial (material categories only)",3, TRUE,0)
  + _xlfn.IFS(AL193="Yes — Detailed",10, AL193="Yes — High Level",5, TRUE,0)
  + _xlfn.IFS(AM193="Yes — Quantified",15, AM193="Yes — Directional Only",7, TRUE,0)
  + _xlfn.IFS(AP193="Formal",5, AP193="Referenced",2, TRUE,0)
  + _xlfn.IFS(AQ193="No Issues Found",5, AQ193="Concern Identified",-5, AQ193="Severe Contradiction",-15, TRUE,0)
  + _xlfn.IFS(BC193="Reasonable Assurance",5, BC193="Limited Assurance",3, TRUE,0)
  - IF(AND(Z193="Yes", AI193="No"), 10, 0)
  - IF(AND(Z193="Yes", AM193="No"), 10, 0)
))</f>
        <v>0</v>
      </c>
      <c r="AS193" s="5"/>
      <c r="AT193" s="5"/>
      <c r="AU193" s="5"/>
      <c r="AV193" s="5"/>
      <c r="AW193" s="5"/>
      <c r="AX193" s="5"/>
      <c r="AY193" s="5"/>
      <c r="AZ193" s="5"/>
      <c r="BA193" s="5"/>
      <c r="BB193" s="5"/>
      <c r="BC193" s="5"/>
      <c r="BD193" s="5"/>
      <c r="BE193" s="39">
        <f t="array" ref="BE193">MIN(100, MAX(0,
  IFERROR(_xlfn.XLOOKUP(AT193,'Lookup Tables'!$D$2:$D$6,'Lookup Tables'!$E$2:$E$6,0),0)
  + IFERROR(_xlfn.XLOOKUP(AV193,'Lookup Tables'!$G$2:$G$5,'Lookup Tables'!$H$2:$H$5,0),0)
  + IFERROR(_xlfn.XLOOKUP(AW193,'Lookup Tables'!$J$2:$J$5,'Lookup Tables'!$K$2:$K$5,0),0)
  + _xlfn.IFS(AX193="No Issues",10, AX193="Complaint Filed",3, AX193="Confirmed Breach",-15, TRUE,0)
  + IFERROR(_xlfn.XLOOKUP(AY193,'Lookup Tables'!$M$2:$M$6,'Lookup Tables'!$N$2:$N$6,0),0)
  + IFERROR(_xlfn.XLOOKUP(AZ193,'Lookup Tables'!$P$2:$P$6,'Lookup Tables'!$Q$2:$Q$6,0),0)
  + _xlfn.IFS(BA193="Formal Board Committee",5, BA193="Board Oversight Mentioned",2, TRUE,0)
  + _xlfn.IFS(BB193="Yes — Quantified Targets",5, BB193="Yes — Discretionary Only",2, TRUE,0)
  + _xlfn.IFS(BC193="Reasonable Assurance",5, BC193="Limited Assurance",3, BC193="Management Review Only",1, TRUE,0)
))</f>
        <v>0</v>
      </c>
      <c r="BF193" s="5"/>
      <c r="BG193" s="5"/>
      <c r="BH193" s="5"/>
      <c r="BI193" s="5"/>
      <c r="BJ193" s="5"/>
      <c r="BK193" s="5"/>
      <c r="BL193" s="5"/>
      <c r="BM193" s="5"/>
      <c r="BN193" s="5"/>
      <c r="BO193" s="5"/>
      <c r="BP193" s="5"/>
      <c r="BQ193" s="5"/>
      <c r="BR193" s="5"/>
      <c r="BS193" s="41">
        <f t="array" ref="BS193">MIN(100, MAX(0,
  IFERROR(_xlfn.XLOOKUP(BG193,'Lookup Tables'!$A$11:$A$16,'Lookup Tables'!$B$11:$B$16,0),0)
  + IFERROR(_xlfn.XLOOKUP(BR193,'Lookup Tables'!$M$11:$M$14,'Lookup Tables'!$N$11:$N$14,0),0)
  + IFERROR(_xlfn.XLOOKUP(BQ193,'Lookup Tables'!$J$11:$J$15,'Lookup Tables'!$K$11:$K$15,0),0)
  + IFERROR(_xlfn.XLOOKUP(BH193,'Lookup Tables'!$D$11:$D$15,'Lookup Tables'!$E$11:$E$15,0),0)
  + IFERROR(_xlfn.XLOOKUP(BJ193,'Lookup Tables'!$G$11:$G$16,'Lookup Tables'!$H$11:$H$16,0),0)
  + IFERROR(_xlfn.XLOOKUP(BN193,'Lookup Tables'!$P$11:$P$15,'Lookup Tables'!$Q$11:$Q$15,0),0)
  + _xlfn.IFS(BM193="No Evidence",10, BM193="Unknown",3, BM193="Likely",0, BM193="Confirmed",-10, TRUE,3)
  + IFERROR(_xlfn.XLOOKUP(BP193,'Lookup Tables'!$J$21:$J$24,'Lookup Tables'!$K$21:$K$24,0),0)
))</f>
        <v>3</v>
      </c>
      <c r="BT193" s="5"/>
      <c r="BU193" s="5"/>
      <c r="BV193" s="5"/>
      <c r="BW193" s="5"/>
      <c r="BX193" s="5"/>
      <c r="BY193" s="5"/>
      <c r="BZ193" s="5"/>
      <c r="CA193" s="5"/>
      <c r="CB193" s="5"/>
      <c r="CC193" s="5"/>
      <c r="CD193" s="5"/>
      <c r="CE193" s="43">
        <f t="array" ref="CE193">MIN(100, MAX(0,
  IF(ISNUMBER(BV193)*AND(BV193&gt;0), 10, 0)
  + _xlfn.IFS(BY193="Independently Verified",25, BY193="Yes",15, TRUE,0)
  + IFERROR(_xlfn.XLOOKUP(BZ193,'Lookup Tables'!$A$21:$A$24,'Lookup Tables'!$B$21:$B$24,0),0)
  + IFERROR(_xlfn.XLOOKUP(CA193,'Lookup Tables'!$D$21:$D$24,'Lookup Tables'!$E$21:$E$24,0),0)
  + _xlfn.IFS(ISNUMBER(CB193)*AND(CB193&gt;=11),15, ISNUMBER(CB193)*AND(CB193&gt;=6),10, ISNUMBER(CB193)*AND(CB193&gt;=1),5, TRUE,0)
  + IFERROR(_xlfn.XLOOKUP(CC193,'Lookup Tables'!$G$21:$G$25,'Lookup Tables'!$H$21:$H$25,0),0)
  - IF(ISNUMBER(BW193)*AND(ISNUMBER(BV193))*AND(BW193&gt;BV193), 20, 0)
  - IF(AND(BY193="Yes", ISNUMBER(BW193), BW193&gt;60), 10, 0)
))</f>
        <v>0</v>
      </c>
      <c r="CF193" s="5"/>
      <c r="CG193" s="5"/>
      <c r="CH193" s="5"/>
      <c r="CI193" s="5"/>
      <c r="CJ193" s="5"/>
      <c r="CK193" s="5"/>
      <c r="CL193" s="5"/>
      <c r="CM193" s="5"/>
      <c r="CN193" s="5"/>
      <c r="CO193" s="5"/>
      <c r="CP193" s="5"/>
      <c r="CQ193" s="5"/>
      <c r="CR193" s="5">
        <f t="shared" si="103"/>
        <v>0</v>
      </c>
      <c r="CS193" s="5">
        <f t="shared" si="104"/>
        <v>0</v>
      </c>
      <c r="CT193" s="5">
        <f t="shared" si="105"/>
        <v>0</v>
      </c>
      <c r="CU193" s="5">
        <f>MIN(100,
  CR193*15
  + CS193*6
  + CT193*3
  + IFERROR(_xlfn.XLOOKUP(CW193,'Lookup Tables'!$M$21:$M$25,'Lookup Tables'!$N$21:$N$25,0),0)
)</f>
        <v>0</v>
      </c>
      <c r="CV193" s="5" t="str">
        <f t="shared" si="106"/>
        <v>No failures</v>
      </c>
      <c r="CW193" s="5"/>
      <c r="CX193" s="5"/>
      <c r="CY193" s="5"/>
      <c r="CZ193" s="5"/>
      <c r="DA193" s="5" t="str">
        <f t="shared" si="107"/>
        <v>Yes</v>
      </c>
      <c r="DB193" s="5" t="str">
        <f t="shared" si="108"/>
        <v>No</v>
      </c>
      <c r="DC193" s="5"/>
      <c r="DD193" s="5"/>
      <c r="DE193" s="5"/>
      <c r="DF193" s="5"/>
      <c r="DG193" s="5"/>
      <c r="DH193" s="5"/>
      <c r="DI193" s="5"/>
      <c r="DJ193" s="5"/>
      <c r="DK193" s="5"/>
      <c r="DL193" s="5" t="str">
        <f t="shared" si="109"/>
        <v>Clear</v>
      </c>
      <c r="DM193" s="5" t="str">
        <f t="shared" si="110"/>
        <v>Yes</v>
      </c>
      <c r="DN193" s="5">
        <f t="array" ref="DN193">MIN(100,
  IF(ISNUMBER(V193), _xlfn.IFS(V193&gt;=3,25, V193=2,15, V193=1,5, TRUE,0), 0)
  + IFERROR(_xlfn.IFS(VALUE(LEFT(DF193,1))=5,25, VALUE(LEFT(DF193,1))=4,20, VALUE(LEFT(DF193,1))=3,15, VALUE(LEFT(DF193,1))=2,8, TRUE,0), 15)
  + IFERROR(_xlfn.IFS(VALUE(LEFT(DG193,1))=5,25, VALUE(LEFT(DG193,1))=4,20, VALUE(LEFT(DG193,1))=3,15, VALUE(LEFT(DG193,1))=2,8, TRUE,0), 15)
  + _xlfn.IFS(DH193="Fully Verified",25, DH193="Partially Verified",12, TRUE,0)
)</f>
        <v>30</v>
      </c>
      <c r="DO193" s="5" t="str">
        <f t="array" ref="DO193">_xlfn.IFS(
  ISBLANK(AR193), "Insufficient Evidence",
  AND(AR193&gt;=65, AJ193="Approved"), "Strong",
  AR193&gt;=65, "Adequate",
  AR193&gt;=40, "Adequate",
  AR193&gt;=20, "Weak",
  TRUE, "Insufficient Evidence"
)</f>
        <v>Insufficient Evidence</v>
      </c>
      <c r="DP193" s="5" t="str">
        <f t="array" ref="DP193">_xlfn.IFS(
  ISBLANK(BS193), "Insufficient Evidence",
  BS193&gt;=65, "Strong",
  BS193&gt;=40, "Adequate",
  BS193&gt;=20, "Weak",
  TRUE, "Insufficient Evidence"
)</f>
        <v>Insufficient Evidence</v>
      </c>
      <c r="DQ193" s="5" t="str">
        <f t="array" ref="DQ193">_xlfn.IFS(
  ISBLANK(BE193), "Insufficient Evidence",
  OR(AW193="Confirmed Violation", AX193="Confirmed Breach"), "Severe — Hard Trigger",
  BE193&gt;=65, "Strong",
  BE193&gt;=40, "Adequate",
  BE193&gt;=20, "Weak",
  TRUE, "Insufficient Evidence"
)</f>
        <v>Insufficient Evidence</v>
      </c>
      <c r="DR193" s="5" t="str">
        <f t="array" ref="DR193">_xlfn.IFS(
  ISBLANK(CU193), "Insufficient Evidence",
  CU193&lt;=20, "Low Risk",
  CU193&lt;=50, "Moderate Risk",
  CU193&lt;=75, "High Risk",
  TRUE, "Very High Risk"
)</f>
        <v>Low Risk</v>
      </c>
      <c r="DS193" s="5" t="str">
        <f t="array" ref="DS193">_xlfn.IFS(
  ISBLANK(CE193), "Insufficient Evidence",
  AND(ISNUMBER(BW193),ISNUMBER(BV193),BW193&gt;BV193), "Overclaiming Risk",
  CE193&gt;=65, "Strong",
  CE193&gt;=40, "Adequate",
  TRUE, "Weak"
)</f>
        <v>Weak</v>
      </c>
      <c r="DT193" s="5">
        <f t="shared" si="111"/>
        <v>11.7</v>
      </c>
      <c r="DU193" s="5" t="str">
        <f t="array" ref="DU193">_xlfn.IFS(
  DV193="Upgraded to Clear", "Clear",
  DV193="Downgraded to Watchlist", "Watchlist",
  DV193="Downgraded to Exclusion", "Exclusion Risk",
  DB193="Yes — Automatic", "Exclusion Risk",
  OR(AW193="Confirmed Violation", AX193="Confirmed Breach"), "Exclusion Risk",
  OR(V193=0, ISBLANK(V193), DN193&lt;20), "Insufficient Evidence",
  AND(DT193&gt;=65, DA193="No", DB193="No"), "Clear",
  OR(DT193&gt;=40, DA193="Yes"), "Watchlist",
  TRUE, "Exclusion Risk"
)</f>
        <v>Insufficient Evidence</v>
      </c>
      <c r="DV193" s="5"/>
      <c r="DW193" s="5" t="str">
        <f t="array" ref="DW193">_xlfn.IFS(
  DU193="Exclusion Risk", "Exclude — Hard Trigger",
  DU193="Insufficient Evidence", "Watchlist — Further Evidence Needed",
  DU193="Watchlist", "Watchlist — Further Evidence Needed",
  AND(DU193="Clear", DT193&gt;=80), "Include — No Conditions",
  DU193="Clear", "Include — Monitor",
  TRUE, "Watchlist — Further Evidence Needed"
)</f>
        <v>Watchlist — Further Evidence Needed</v>
      </c>
      <c r="DX193" s="5"/>
      <c r="DY193" s="5"/>
      <c r="DZ193" s="5"/>
      <c r="EA193" s="5"/>
      <c r="EB193" s="5" t="str">
        <f t="shared" si="112"/>
        <v>MISSING — No sources reviewed</v>
      </c>
      <c r="EC193" s="5" t="str">
        <f t="shared" si="113"/>
        <v/>
      </c>
    </row>
    <row r="194" spans="1:133" ht="18" customHeight="1" x14ac:dyDescent="0.15">
      <c r="A194" s="5" t="s">
        <v>975</v>
      </c>
      <c r="B194" s="5" t="s">
        <v>976</v>
      </c>
      <c r="C194" s="5" t="str">
        <f>IF(ISBLANK('Universe Tracker'!D169),"",'Universe Tracker'!D169)</f>
        <v>PLLPP0000011</v>
      </c>
      <c r="D194" s="5"/>
      <c r="E194" s="5"/>
      <c r="F194" s="5" t="str">
        <f>IF(ISBLANK('Universe Tracker'!F169),"",'Universe Tracker'!F169)</f>
        <v>Consumer Discretionary</v>
      </c>
      <c r="G194" s="5" t="str">
        <f>IF(ISBLANK('Universe Tracker'!G169),"",'Universe Tracker'!G169)</f>
        <v>Retail &amp; Whsle - Discretionary</v>
      </c>
      <c r="H194" s="5"/>
      <c r="I194" s="5"/>
      <c r="J194" s="5" t="str">
        <f t="shared" si="101"/>
        <v>1RY_PLLPP0000011</v>
      </c>
      <c r="K194" s="5"/>
      <c r="L194" s="5"/>
      <c r="M194" s="5"/>
      <c r="N194" s="5"/>
      <c r="O194" s="5"/>
      <c r="P194" s="5"/>
      <c r="Q194" s="5"/>
      <c r="R194" s="5"/>
      <c r="S194" s="5"/>
      <c r="T194" s="5"/>
      <c r="U194" s="5"/>
      <c r="V194" s="5"/>
      <c r="W194" s="5"/>
      <c r="X194" s="5"/>
      <c r="Y194" s="5" t="str">
        <f t="shared" si="102"/>
        <v>Insufficient</v>
      </c>
      <c r="Z194" s="5"/>
      <c r="AA194" s="5"/>
      <c r="AB194" s="5"/>
      <c r="AC194" s="5"/>
      <c r="AD194" s="5"/>
      <c r="AE194" s="5"/>
      <c r="AF194" s="5"/>
      <c r="AG194" s="5"/>
      <c r="AH194" s="5"/>
      <c r="AI194" s="5"/>
      <c r="AJ194" s="5"/>
      <c r="AK194" s="5"/>
      <c r="AL194" s="5"/>
      <c r="AM194" s="5"/>
      <c r="AN194" s="5"/>
      <c r="AO194" s="5"/>
      <c r="AP194" s="5"/>
      <c r="AQ194" s="5"/>
      <c r="AR194" s="40">
        <f t="array" ref="AR194">MIN(100, MAX(0,
  IFERROR(_xlfn.XLOOKUP(AJ194,'Lookup Tables'!$A$2:$A$7,'Lookup Tables'!$B$2:$B$7,0),0)
  + IF(Z194="Yes", IF(IFERROR(_xlfn.XLOOKUP(AJ194,'Lookup Tables'!$A$2:$A$7,'Lookup Tables'!$B$2:$B$7,0),0)&lt;20, 5, 0), 0)
  + _xlfn.IFS(AB194="Yes", IF(ISNUMBER(AC194)*AND(AC194&lt;=2030),15,10), AB194="Long-term Only", 5, AB194="No", 0, TRUE, 0)
  + _xlfn.IFS(AF194="Full",10, AF194="Partial",5, AF194="Scope 2 Only",3, TRUE,0)
  + _xlfn.IFS(AG194="Yes", IF(ISNUMBER(AH194)*AND(AH194&gt;=5),10,6), AG194="Partial",4, TRUE,0)
  + _xlfn.IFS(AI194="Yes",5, AI194="Partial (material categories only)",3, TRUE,0)
  + _xlfn.IFS(AL194="Yes — Detailed",10, AL194="Yes — High Level",5, TRUE,0)
  + _xlfn.IFS(AM194="Yes — Quantified",15, AM194="Yes — Directional Only",7, TRUE,0)
  + _xlfn.IFS(AP194="Formal",5, AP194="Referenced",2, TRUE,0)
  + _xlfn.IFS(AQ194="No Issues Found",5, AQ194="Concern Identified",-5, AQ194="Severe Contradiction",-15, TRUE,0)
  + _xlfn.IFS(BC194="Reasonable Assurance",5, BC194="Limited Assurance",3, TRUE,0)
  - IF(AND(Z194="Yes", AI194="No"), 10, 0)
  - IF(AND(Z194="Yes", AM194="No"), 10, 0)
))</f>
        <v>0</v>
      </c>
      <c r="AS194" s="5"/>
      <c r="AT194" s="5"/>
      <c r="AU194" s="5"/>
      <c r="AV194" s="5"/>
      <c r="AW194" s="5"/>
      <c r="AX194" s="5"/>
      <c r="AY194" s="5"/>
      <c r="AZ194" s="5"/>
      <c r="BA194" s="5"/>
      <c r="BB194" s="5"/>
      <c r="BC194" s="5"/>
      <c r="BD194" s="5"/>
      <c r="BE194" s="39">
        <f t="array" ref="BE194">MIN(100, MAX(0,
  IFERROR(_xlfn.XLOOKUP(AT194,'Lookup Tables'!$D$2:$D$6,'Lookup Tables'!$E$2:$E$6,0),0)
  + IFERROR(_xlfn.XLOOKUP(AV194,'Lookup Tables'!$G$2:$G$5,'Lookup Tables'!$H$2:$H$5,0),0)
  + IFERROR(_xlfn.XLOOKUP(AW194,'Lookup Tables'!$J$2:$J$5,'Lookup Tables'!$K$2:$K$5,0),0)
  + _xlfn.IFS(AX194="No Issues",10, AX194="Complaint Filed",3, AX194="Confirmed Breach",-15, TRUE,0)
  + IFERROR(_xlfn.XLOOKUP(AY194,'Lookup Tables'!$M$2:$M$6,'Lookup Tables'!$N$2:$N$6,0),0)
  + IFERROR(_xlfn.XLOOKUP(AZ194,'Lookup Tables'!$P$2:$P$6,'Lookup Tables'!$Q$2:$Q$6,0),0)
  + _xlfn.IFS(BA194="Formal Board Committee",5, BA194="Board Oversight Mentioned",2, TRUE,0)
  + _xlfn.IFS(BB194="Yes — Quantified Targets",5, BB194="Yes — Discretionary Only",2, TRUE,0)
  + _xlfn.IFS(BC194="Reasonable Assurance",5, BC194="Limited Assurance",3, BC194="Management Review Only",1, TRUE,0)
))</f>
        <v>0</v>
      </c>
      <c r="BF194" s="5"/>
      <c r="BG194" s="5"/>
      <c r="BH194" s="5"/>
      <c r="BI194" s="5"/>
      <c r="BJ194" s="5"/>
      <c r="BK194" s="5"/>
      <c r="BL194" s="5"/>
      <c r="BM194" s="5"/>
      <c r="BN194" s="5"/>
      <c r="BO194" s="5"/>
      <c r="BP194" s="5"/>
      <c r="BQ194" s="5"/>
      <c r="BR194" s="5"/>
      <c r="BS194" s="41">
        <f t="array" ref="BS194">MIN(100, MAX(0,
  IFERROR(_xlfn.XLOOKUP(BG194,'Lookup Tables'!$A$11:$A$16,'Lookup Tables'!$B$11:$B$16,0),0)
  + IFERROR(_xlfn.XLOOKUP(BR194,'Lookup Tables'!$M$11:$M$14,'Lookup Tables'!$N$11:$N$14,0),0)
  + IFERROR(_xlfn.XLOOKUP(BQ194,'Lookup Tables'!$J$11:$J$15,'Lookup Tables'!$K$11:$K$15,0),0)
  + IFERROR(_xlfn.XLOOKUP(BH194,'Lookup Tables'!$D$11:$D$15,'Lookup Tables'!$E$11:$E$15,0),0)
  + IFERROR(_xlfn.XLOOKUP(BJ194,'Lookup Tables'!$G$11:$G$16,'Lookup Tables'!$H$11:$H$16,0),0)
  + IFERROR(_xlfn.XLOOKUP(BN194,'Lookup Tables'!$P$11:$P$15,'Lookup Tables'!$Q$11:$Q$15,0),0)
  + _xlfn.IFS(BM194="No Evidence",10, BM194="Unknown",3, BM194="Likely",0, BM194="Confirmed",-10, TRUE,3)
  + IFERROR(_xlfn.XLOOKUP(BP194,'Lookup Tables'!$J$21:$J$24,'Lookup Tables'!$K$21:$K$24,0),0)
))</f>
        <v>3</v>
      </c>
      <c r="BT194" s="5"/>
      <c r="BU194" s="5"/>
      <c r="BV194" s="5"/>
      <c r="BW194" s="5"/>
      <c r="BX194" s="5"/>
      <c r="BY194" s="5"/>
      <c r="BZ194" s="5"/>
      <c r="CA194" s="5"/>
      <c r="CB194" s="5"/>
      <c r="CC194" s="5"/>
      <c r="CD194" s="5"/>
      <c r="CE194" s="43">
        <f t="array" ref="CE194">MIN(100, MAX(0,
  IF(ISNUMBER(BV194)*AND(BV194&gt;0), 10, 0)
  + _xlfn.IFS(BY194="Independently Verified",25, BY194="Yes",15, TRUE,0)
  + IFERROR(_xlfn.XLOOKUP(BZ194,'Lookup Tables'!$A$21:$A$24,'Lookup Tables'!$B$21:$B$24,0),0)
  + IFERROR(_xlfn.XLOOKUP(CA194,'Lookup Tables'!$D$21:$D$24,'Lookup Tables'!$E$21:$E$24,0),0)
  + _xlfn.IFS(ISNUMBER(CB194)*AND(CB194&gt;=11),15, ISNUMBER(CB194)*AND(CB194&gt;=6),10, ISNUMBER(CB194)*AND(CB194&gt;=1),5, TRUE,0)
  + IFERROR(_xlfn.XLOOKUP(CC194,'Lookup Tables'!$G$21:$G$25,'Lookup Tables'!$H$21:$H$25,0),0)
  - IF(ISNUMBER(BW194)*AND(ISNUMBER(BV194))*AND(BW194&gt;BV194), 20, 0)
  - IF(AND(BY194="Yes", ISNUMBER(BW194), BW194&gt;60), 10, 0)
))</f>
        <v>0</v>
      </c>
      <c r="CF194" s="5"/>
      <c r="CG194" s="5"/>
      <c r="CH194" s="5"/>
      <c r="CI194" s="5"/>
      <c r="CJ194" s="5"/>
      <c r="CK194" s="5"/>
      <c r="CL194" s="5"/>
      <c r="CM194" s="5"/>
      <c r="CN194" s="5"/>
      <c r="CO194" s="5"/>
      <c r="CP194" s="5"/>
      <c r="CQ194" s="5"/>
      <c r="CR194" s="5">
        <f t="shared" si="103"/>
        <v>0</v>
      </c>
      <c r="CS194" s="5">
        <f t="shared" si="104"/>
        <v>0</v>
      </c>
      <c r="CT194" s="5">
        <f t="shared" si="105"/>
        <v>0</v>
      </c>
      <c r="CU194" s="5">
        <f>MIN(100,
  CR194*15
  + CS194*6
  + CT194*3
  + IFERROR(_xlfn.XLOOKUP(CW194,'Lookup Tables'!$M$21:$M$25,'Lookup Tables'!$N$21:$N$25,0),0)
)</f>
        <v>0</v>
      </c>
      <c r="CV194" s="5" t="str">
        <f t="shared" si="106"/>
        <v>No failures</v>
      </c>
      <c r="CW194" s="5"/>
      <c r="CX194" s="5"/>
      <c r="CY194" s="5"/>
      <c r="CZ194" s="5"/>
      <c r="DA194" s="5" t="str">
        <f t="shared" si="107"/>
        <v>Yes</v>
      </c>
      <c r="DB194" s="5" t="str">
        <f t="shared" si="108"/>
        <v>No</v>
      </c>
      <c r="DC194" s="5"/>
      <c r="DD194" s="5"/>
      <c r="DE194" s="5"/>
      <c r="DF194" s="5"/>
      <c r="DG194" s="5"/>
      <c r="DH194" s="5"/>
      <c r="DI194" s="5"/>
      <c r="DJ194" s="5"/>
      <c r="DK194" s="5"/>
      <c r="DL194" s="5" t="str">
        <f t="shared" si="109"/>
        <v>Clear</v>
      </c>
      <c r="DM194" s="5" t="str">
        <f t="shared" si="110"/>
        <v>Yes</v>
      </c>
      <c r="DN194" s="5">
        <f t="array" ref="DN194">MIN(100,
  IF(ISNUMBER(V194), _xlfn.IFS(V194&gt;=3,25, V194=2,15, V194=1,5, TRUE,0), 0)
  + IFERROR(_xlfn.IFS(VALUE(LEFT(DF194,1))=5,25, VALUE(LEFT(DF194,1))=4,20, VALUE(LEFT(DF194,1))=3,15, VALUE(LEFT(DF194,1))=2,8, TRUE,0), 15)
  + IFERROR(_xlfn.IFS(VALUE(LEFT(DG194,1))=5,25, VALUE(LEFT(DG194,1))=4,20, VALUE(LEFT(DG194,1))=3,15, VALUE(LEFT(DG194,1))=2,8, TRUE,0), 15)
  + _xlfn.IFS(DH194="Fully Verified",25, DH194="Partially Verified",12, TRUE,0)
)</f>
        <v>30</v>
      </c>
      <c r="DO194" s="5" t="str">
        <f t="array" ref="DO194">_xlfn.IFS(
  ISBLANK(AR194), "Insufficient Evidence",
  AND(AR194&gt;=65, AJ194="Approved"), "Strong",
  AR194&gt;=65, "Adequate",
  AR194&gt;=40, "Adequate",
  AR194&gt;=20, "Weak",
  TRUE, "Insufficient Evidence"
)</f>
        <v>Insufficient Evidence</v>
      </c>
      <c r="DP194" s="5" t="str">
        <f t="array" ref="DP194">_xlfn.IFS(
  ISBLANK(BS194), "Insufficient Evidence",
  BS194&gt;=65, "Strong",
  BS194&gt;=40, "Adequate",
  BS194&gt;=20, "Weak",
  TRUE, "Insufficient Evidence"
)</f>
        <v>Insufficient Evidence</v>
      </c>
      <c r="DQ194" s="5" t="str">
        <f t="array" ref="DQ194">_xlfn.IFS(
  ISBLANK(BE194), "Insufficient Evidence",
  OR(AW194="Confirmed Violation", AX194="Confirmed Breach"), "Severe — Hard Trigger",
  BE194&gt;=65, "Strong",
  BE194&gt;=40, "Adequate",
  BE194&gt;=20, "Weak",
  TRUE, "Insufficient Evidence"
)</f>
        <v>Insufficient Evidence</v>
      </c>
      <c r="DR194" s="5" t="str">
        <f t="array" ref="DR194">_xlfn.IFS(
  ISBLANK(CU194), "Insufficient Evidence",
  CU194&lt;=20, "Low Risk",
  CU194&lt;=50, "Moderate Risk",
  CU194&lt;=75, "High Risk",
  TRUE, "Very High Risk"
)</f>
        <v>Low Risk</v>
      </c>
      <c r="DS194" s="5" t="str">
        <f t="array" ref="DS194">_xlfn.IFS(
  ISBLANK(CE194), "Insufficient Evidence",
  AND(ISNUMBER(BW194),ISNUMBER(BV194),BW194&gt;BV194), "Overclaiming Risk",
  CE194&gt;=65, "Strong",
  CE194&gt;=40, "Adequate",
  TRUE, "Weak"
)</f>
        <v>Weak</v>
      </c>
      <c r="DT194" s="5">
        <f t="shared" si="111"/>
        <v>11.7</v>
      </c>
      <c r="DU194" s="5" t="str">
        <f t="array" ref="DU194">_xlfn.IFS(
  DV194="Upgraded to Clear", "Clear",
  DV194="Downgraded to Watchlist", "Watchlist",
  DV194="Downgraded to Exclusion", "Exclusion Risk",
  DB194="Yes — Automatic", "Exclusion Risk",
  OR(AW194="Confirmed Violation", AX194="Confirmed Breach"), "Exclusion Risk",
  OR(V194=0, ISBLANK(V194), DN194&lt;20), "Insufficient Evidence",
  AND(DT194&gt;=65, DA194="No", DB194="No"), "Clear",
  OR(DT194&gt;=40, DA194="Yes"), "Watchlist",
  TRUE, "Exclusion Risk"
)</f>
        <v>Insufficient Evidence</v>
      </c>
      <c r="DV194" s="5"/>
      <c r="DW194" s="5" t="str">
        <f t="array" ref="DW194">_xlfn.IFS(
  DU194="Exclusion Risk", "Exclude — Hard Trigger",
  DU194="Insufficient Evidence", "Watchlist — Further Evidence Needed",
  DU194="Watchlist", "Watchlist — Further Evidence Needed",
  AND(DU194="Clear", DT194&gt;=80), "Include — No Conditions",
  DU194="Clear", "Include — Monitor",
  TRUE, "Watchlist — Further Evidence Needed"
)</f>
        <v>Watchlist — Further Evidence Needed</v>
      </c>
      <c r="DX194" s="5"/>
      <c r="DY194" s="5"/>
      <c r="DZ194" s="5"/>
      <c r="EA194" s="5"/>
      <c r="EB194" s="5" t="str">
        <f t="shared" si="112"/>
        <v>MISSING — No sources reviewed</v>
      </c>
      <c r="EC194" s="5" t="str">
        <f t="shared" si="113"/>
        <v/>
      </c>
    </row>
    <row r="195" spans="1:133" ht="18" customHeight="1" x14ac:dyDescent="0.15">
      <c r="A195" s="5" t="s">
        <v>1617</v>
      </c>
      <c r="B195" s="5" t="s">
        <v>1617</v>
      </c>
      <c r="C195" s="5" t="str">
        <f>IF(ISBLANK('Universe Tracker'!D170),"",'Universe Tracker'!D170)</f>
        <v/>
      </c>
      <c r="D195" s="5"/>
      <c r="E195" s="5"/>
      <c r="F195" s="5" t="str">
        <f>IF(ISBLANK('Universe Tracker'!F170),"",'Universe Tracker'!F170)</f>
        <v/>
      </c>
      <c r="G195" s="5" t="str">
        <f>IF(ISBLANK('Universe Tracker'!G170),"",'Universe Tracker'!G170)</f>
        <v/>
      </c>
      <c r="H195" s="5"/>
      <c r="I195" s="5"/>
      <c r="J195" s="5" t="str">
        <f t="shared" si="101"/>
        <v>_</v>
      </c>
      <c r="K195" s="5"/>
      <c r="L195" s="5"/>
      <c r="M195" s="5"/>
      <c r="N195" s="5"/>
      <c r="O195" s="5"/>
      <c r="P195" s="5"/>
      <c r="Q195" s="5"/>
      <c r="R195" s="5"/>
      <c r="S195" s="5"/>
      <c r="T195" s="5"/>
      <c r="U195" s="5"/>
      <c r="V195" s="5"/>
      <c r="W195" s="5"/>
      <c r="X195" s="5"/>
      <c r="Y195" s="5" t="str">
        <f t="shared" si="102"/>
        <v>Insufficient</v>
      </c>
      <c r="Z195" s="5"/>
      <c r="AA195" s="5"/>
      <c r="AB195" s="5"/>
      <c r="AC195" s="5"/>
      <c r="AD195" s="5"/>
      <c r="AE195" s="5"/>
      <c r="AF195" s="5"/>
      <c r="AG195" s="5"/>
      <c r="AH195" s="5"/>
      <c r="AI195" s="5"/>
      <c r="AJ195" s="5"/>
      <c r="AK195" s="5"/>
      <c r="AL195" s="5"/>
      <c r="AM195" s="5"/>
      <c r="AN195" s="5"/>
      <c r="AO195" s="5"/>
      <c r="AP195" s="5"/>
      <c r="AQ195" s="5"/>
      <c r="AR195" s="40">
        <f t="array" ref="AR195">MIN(100, MAX(0,
  IFERROR(_xlfn.XLOOKUP(AJ195,'Lookup Tables'!$A$2:$A$7,'Lookup Tables'!$B$2:$B$7,0),0)
  + IF(Z195="Yes", IF(IFERROR(_xlfn.XLOOKUP(AJ195,'Lookup Tables'!$A$2:$A$7,'Lookup Tables'!$B$2:$B$7,0),0)&lt;20, 5, 0), 0)
  + _xlfn.IFS(AB195="Yes", IF(ISNUMBER(AC195)*AND(AC195&lt;=2030),15,10), AB195="Long-term Only", 5, AB195="No", 0, TRUE, 0)
  + _xlfn.IFS(AF195="Full",10, AF195="Partial",5, AF195="Scope 2 Only",3, TRUE,0)
  + _xlfn.IFS(AG195="Yes", IF(ISNUMBER(AH195)*AND(AH195&gt;=5),10,6), AG195="Partial",4, TRUE,0)
  + _xlfn.IFS(AI195="Yes",5, AI195="Partial (material categories only)",3, TRUE,0)
  + _xlfn.IFS(AL195="Yes — Detailed",10, AL195="Yes — High Level",5, TRUE,0)
  + _xlfn.IFS(AM195="Yes — Quantified",15, AM195="Yes — Directional Only",7, TRUE,0)
  + _xlfn.IFS(AP195="Formal",5, AP195="Referenced",2, TRUE,0)
  + _xlfn.IFS(AQ195="No Issues Found",5, AQ195="Concern Identified",-5, AQ195="Severe Contradiction",-15, TRUE,0)
  + _xlfn.IFS(BC195="Reasonable Assurance",5, BC195="Limited Assurance",3, TRUE,0)
  - IF(AND(Z195="Yes", AI195="No"), 10, 0)
  - IF(AND(Z195="Yes", AM195="No"), 10, 0)
))</f>
        <v>0</v>
      </c>
      <c r="AS195" s="5"/>
      <c r="AT195" s="5"/>
      <c r="AU195" s="5"/>
      <c r="AV195" s="5"/>
      <c r="AW195" s="5"/>
      <c r="AX195" s="5"/>
      <c r="AY195" s="5"/>
      <c r="AZ195" s="5"/>
      <c r="BA195" s="5"/>
      <c r="BB195" s="5"/>
      <c r="BC195" s="5"/>
      <c r="BD195" s="5"/>
      <c r="BE195" s="39">
        <f t="array" ref="BE195">MIN(100, MAX(0,
  IFERROR(_xlfn.XLOOKUP(AT195,'Lookup Tables'!$D$2:$D$6,'Lookup Tables'!$E$2:$E$6,0),0)
  + IFERROR(_xlfn.XLOOKUP(AV195,'Lookup Tables'!$G$2:$G$5,'Lookup Tables'!$H$2:$H$5,0),0)
  + IFERROR(_xlfn.XLOOKUP(AW195,'Lookup Tables'!$J$2:$J$5,'Lookup Tables'!$K$2:$K$5,0),0)
  + _xlfn.IFS(AX195="No Issues",10, AX195="Complaint Filed",3, AX195="Confirmed Breach",-15, TRUE,0)
  + IFERROR(_xlfn.XLOOKUP(AY195,'Lookup Tables'!$M$2:$M$6,'Lookup Tables'!$N$2:$N$6,0),0)
  + IFERROR(_xlfn.XLOOKUP(AZ195,'Lookup Tables'!$P$2:$P$6,'Lookup Tables'!$Q$2:$Q$6,0),0)
  + _xlfn.IFS(BA195="Formal Board Committee",5, BA195="Board Oversight Mentioned",2, TRUE,0)
  + _xlfn.IFS(BB195="Yes — Quantified Targets",5, BB195="Yes — Discretionary Only",2, TRUE,0)
  + _xlfn.IFS(BC195="Reasonable Assurance",5, BC195="Limited Assurance",3, BC195="Management Review Only",1, TRUE,0)
))</f>
        <v>0</v>
      </c>
      <c r="BF195" s="5"/>
      <c r="BG195" s="5"/>
      <c r="BH195" s="5"/>
      <c r="BI195" s="5"/>
      <c r="BJ195" s="5"/>
      <c r="BK195" s="5"/>
      <c r="BL195" s="5"/>
      <c r="BM195" s="5"/>
      <c r="BN195" s="5"/>
      <c r="BO195" s="5"/>
      <c r="BP195" s="5"/>
      <c r="BQ195" s="5"/>
      <c r="BR195" s="5"/>
      <c r="BS195" s="41">
        <f t="array" ref="BS195">MIN(100, MAX(0,
  IFERROR(_xlfn.XLOOKUP(BG195,'Lookup Tables'!$A$11:$A$16,'Lookup Tables'!$B$11:$B$16,0),0)
  + IFERROR(_xlfn.XLOOKUP(BR195,'Lookup Tables'!$M$11:$M$14,'Lookup Tables'!$N$11:$N$14,0),0)
  + IFERROR(_xlfn.XLOOKUP(BQ195,'Lookup Tables'!$J$11:$J$15,'Lookup Tables'!$K$11:$K$15,0),0)
  + IFERROR(_xlfn.XLOOKUP(BH195,'Lookup Tables'!$D$11:$D$15,'Lookup Tables'!$E$11:$E$15,0),0)
  + IFERROR(_xlfn.XLOOKUP(BJ195,'Lookup Tables'!$G$11:$G$16,'Lookup Tables'!$H$11:$H$16,0),0)
  + IFERROR(_xlfn.XLOOKUP(BN195,'Lookup Tables'!$P$11:$P$15,'Lookup Tables'!$Q$11:$Q$15,0),0)
  + _xlfn.IFS(BM195="No Evidence",10, BM195="Unknown",3, BM195="Likely",0, BM195="Confirmed",-10, TRUE,3)
  + IFERROR(_xlfn.XLOOKUP(BP195,'Lookup Tables'!$J$21:$J$24,'Lookup Tables'!$K$21:$K$24,0),0)
))</f>
        <v>3</v>
      </c>
      <c r="BT195" s="5"/>
      <c r="BU195" s="5"/>
      <c r="BV195" s="5"/>
      <c r="BW195" s="5"/>
      <c r="BX195" s="5"/>
      <c r="BY195" s="5"/>
      <c r="BZ195" s="5"/>
      <c r="CA195" s="5"/>
      <c r="CB195" s="5"/>
      <c r="CC195" s="5"/>
      <c r="CD195" s="5"/>
      <c r="CE195" s="43">
        <f t="array" ref="CE195">MIN(100, MAX(0,
  IF(ISNUMBER(BV195)*AND(BV195&gt;0), 10, 0)
  + _xlfn.IFS(BY195="Independently Verified",25, BY195="Yes",15, TRUE,0)
  + IFERROR(_xlfn.XLOOKUP(BZ195,'Lookup Tables'!$A$21:$A$24,'Lookup Tables'!$B$21:$B$24,0),0)
  + IFERROR(_xlfn.XLOOKUP(CA195,'Lookup Tables'!$D$21:$D$24,'Lookup Tables'!$E$21:$E$24,0),0)
  + _xlfn.IFS(ISNUMBER(CB195)*AND(CB195&gt;=11),15, ISNUMBER(CB195)*AND(CB195&gt;=6),10, ISNUMBER(CB195)*AND(CB195&gt;=1),5, TRUE,0)
  + IFERROR(_xlfn.XLOOKUP(CC195,'Lookup Tables'!$G$21:$G$25,'Lookup Tables'!$H$21:$H$25,0),0)
  - IF(ISNUMBER(BW195)*AND(ISNUMBER(BV195))*AND(BW195&gt;BV195), 20, 0)
  - IF(AND(BY195="Yes", ISNUMBER(BW195), BW195&gt;60), 10, 0)
))</f>
        <v>0</v>
      </c>
      <c r="CF195" s="5"/>
      <c r="CG195" s="5"/>
      <c r="CH195" s="5"/>
      <c r="CI195" s="5"/>
      <c r="CJ195" s="5"/>
      <c r="CK195" s="5"/>
      <c r="CL195" s="5"/>
      <c r="CM195" s="5"/>
      <c r="CN195" s="5"/>
      <c r="CO195" s="5"/>
      <c r="CP195" s="5"/>
      <c r="CQ195" s="5"/>
      <c r="CR195" s="5">
        <f t="shared" si="103"/>
        <v>0</v>
      </c>
      <c r="CS195" s="5">
        <f t="shared" si="104"/>
        <v>0</v>
      </c>
      <c r="CT195" s="5">
        <f t="shared" si="105"/>
        <v>0</v>
      </c>
      <c r="CU195" s="5">
        <f>MIN(100,
  CR195*15
  + CS195*6
  + CT195*3
  + IFERROR(_xlfn.XLOOKUP(CW195,'Lookup Tables'!$M$21:$M$25,'Lookup Tables'!$N$21:$N$25,0),0)
)</f>
        <v>0</v>
      </c>
      <c r="CV195" s="5" t="str">
        <f t="shared" si="106"/>
        <v>No failures</v>
      </c>
      <c r="CW195" s="5"/>
      <c r="CX195" s="5"/>
      <c r="CY195" s="5"/>
      <c r="CZ195" s="5"/>
      <c r="DA195" s="5" t="str">
        <f t="shared" si="107"/>
        <v>Yes</v>
      </c>
      <c r="DB195" s="5" t="str">
        <f t="shared" si="108"/>
        <v>No</v>
      </c>
      <c r="DC195" s="5"/>
      <c r="DD195" s="5"/>
      <c r="DE195" s="5"/>
      <c r="DF195" s="5"/>
      <c r="DG195" s="5"/>
      <c r="DH195" s="5"/>
      <c r="DI195" s="5"/>
      <c r="DJ195" s="5"/>
      <c r="DK195" s="5"/>
      <c r="DL195" s="5" t="str">
        <f t="shared" si="109"/>
        <v>Clear</v>
      </c>
      <c r="DM195" s="5" t="str">
        <f t="shared" si="110"/>
        <v>Yes</v>
      </c>
      <c r="DN195" s="5">
        <f t="array" ref="DN195">MIN(100,
  IF(ISNUMBER(V195), _xlfn.IFS(V195&gt;=3,25, V195=2,15, V195=1,5, TRUE,0), 0)
  + IFERROR(_xlfn.IFS(VALUE(LEFT(DF195,1))=5,25, VALUE(LEFT(DF195,1))=4,20, VALUE(LEFT(DF195,1))=3,15, VALUE(LEFT(DF195,1))=2,8, TRUE,0), 15)
  + IFERROR(_xlfn.IFS(VALUE(LEFT(DG195,1))=5,25, VALUE(LEFT(DG195,1))=4,20, VALUE(LEFT(DG195,1))=3,15, VALUE(LEFT(DG195,1))=2,8, TRUE,0), 15)
  + _xlfn.IFS(DH195="Fully Verified",25, DH195="Partially Verified",12, TRUE,0)
)</f>
        <v>30</v>
      </c>
      <c r="DO195" s="5" t="str">
        <f t="array" ref="DO195">_xlfn.IFS(
  ISBLANK(AR195), "Insufficient Evidence",
  AND(AR195&gt;=65, AJ195="Approved"), "Strong",
  AR195&gt;=65, "Adequate",
  AR195&gt;=40, "Adequate",
  AR195&gt;=20, "Weak",
  TRUE, "Insufficient Evidence"
)</f>
        <v>Insufficient Evidence</v>
      </c>
      <c r="DP195" s="5" t="str">
        <f t="array" ref="DP195">_xlfn.IFS(
  ISBLANK(BS195), "Insufficient Evidence",
  BS195&gt;=65, "Strong",
  BS195&gt;=40, "Adequate",
  BS195&gt;=20, "Weak",
  TRUE, "Insufficient Evidence"
)</f>
        <v>Insufficient Evidence</v>
      </c>
      <c r="DQ195" s="5" t="str">
        <f t="array" ref="DQ195">_xlfn.IFS(
  ISBLANK(BE195), "Insufficient Evidence",
  OR(AW195="Confirmed Violation", AX195="Confirmed Breach"), "Severe — Hard Trigger",
  BE195&gt;=65, "Strong",
  BE195&gt;=40, "Adequate",
  BE195&gt;=20, "Weak",
  TRUE, "Insufficient Evidence"
)</f>
        <v>Insufficient Evidence</v>
      </c>
      <c r="DR195" s="5" t="str">
        <f t="array" ref="DR195">_xlfn.IFS(
  ISBLANK(CU195), "Insufficient Evidence",
  CU195&lt;=20, "Low Risk",
  CU195&lt;=50, "Moderate Risk",
  CU195&lt;=75, "High Risk",
  TRUE, "Very High Risk"
)</f>
        <v>Low Risk</v>
      </c>
      <c r="DS195" s="5" t="str">
        <f t="array" ref="DS195">_xlfn.IFS(
  ISBLANK(CE195), "Insufficient Evidence",
  AND(ISNUMBER(BW195),ISNUMBER(BV195),BW195&gt;BV195), "Overclaiming Risk",
  CE195&gt;=65, "Strong",
  CE195&gt;=40, "Adequate",
  TRUE, "Weak"
)</f>
        <v>Weak</v>
      </c>
      <c r="DT195" s="5">
        <f t="shared" si="111"/>
        <v>11.7</v>
      </c>
      <c r="DU195" s="5" t="str">
        <f t="array" ref="DU195">_xlfn.IFS(
  DV195="Upgraded to Clear", "Clear",
  DV195="Downgraded to Watchlist", "Watchlist",
  DV195="Downgraded to Exclusion", "Exclusion Risk",
  DB195="Yes — Automatic", "Exclusion Risk",
  OR(AW195="Confirmed Violation", AX195="Confirmed Breach"), "Exclusion Risk",
  OR(V195=0, ISBLANK(V195), DN195&lt;20), "Insufficient Evidence",
  AND(DT195&gt;=65, DA195="No", DB195="No"), "Clear",
  OR(DT195&gt;=40, DA195="Yes"), "Watchlist",
  TRUE, "Exclusion Risk"
)</f>
        <v>Insufficient Evidence</v>
      </c>
      <c r="DV195" s="5"/>
      <c r="DW195" s="5" t="str">
        <f t="array" ref="DW195">_xlfn.IFS(
  DU195="Exclusion Risk", "Exclude — Hard Trigger",
  DU195="Insufficient Evidence", "Watchlist — Further Evidence Needed",
  DU195="Watchlist", "Watchlist — Further Evidence Needed",
  AND(DU195="Clear", DT195&gt;=80), "Include — No Conditions",
  DU195="Clear", "Include — Monitor",
  TRUE, "Watchlist — Further Evidence Needed"
)</f>
        <v>Watchlist — Further Evidence Needed</v>
      </c>
      <c r="DX195" s="5"/>
      <c r="DY195" s="5"/>
      <c r="DZ195" s="5"/>
      <c r="EA195" s="5"/>
      <c r="EB195" s="5" t="str">
        <f t="shared" si="112"/>
        <v>MISSING — No sources reviewed</v>
      </c>
      <c r="EC195" s="5" t="str">
        <f t="shared" si="113"/>
        <v/>
      </c>
    </row>
    <row r="196" spans="1:133" ht="18" customHeight="1" x14ac:dyDescent="0.15">
      <c r="A196" s="5" t="s">
        <v>1617</v>
      </c>
      <c r="B196" s="5" t="s">
        <v>1617</v>
      </c>
      <c r="C196" s="5" t="str">
        <f>IF(ISBLANK('Universe Tracker'!D171),"",'Universe Tracker'!D171)</f>
        <v/>
      </c>
      <c r="D196" s="5"/>
      <c r="E196" s="5"/>
      <c r="F196" s="5" t="str">
        <f>IF(ISBLANK('Universe Tracker'!F171),"",'Universe Tracker'!F171)</f>
        <v/>
      </c>
      <c r="G196" s="5" t="str">
        <f>IF(ISBLANK('Universe Tracker'!G171),"",'Universe Tracker'!G171)</f>
        <v/>
      </c>
      <c r="H196" s="5"/>
      <c r="I196" s="5"/>
      <c r="J196" s="5" t="str">
        <f t="shared" si="101"/>
        <v>_</v>
      </c>
      <c r="K196" s="5"/>
      <c r="L196" s="5"/>
      <c r="M196" s="5"/>
      <c r="N196" s="5"/>
      <c r="O196" s="5"/>
      <c r="P196" s="5"/>
      <c r="Q196" s="5"/>
      <c r="R196" s="5"/>
      <c r="S196" s="5"/>
      <c r="T196" s="5"/>
      <c r="U196" s="5"/>
      <c r="V196" s="5"/>
      <c r="W196" s="5"/>
      <c r="X196" s="5"/>
      <c r="Y196" s="5" t="str">
        <f t="shared" si="102"/>
        <v>Insufficient</v>
      </c>
      <c r="Z196" s="5"/>
      <c r="AA196" s="5"/>
      <c r="AB196" s="5"/>
      <c r="AC196" s="5"/>
      <c r="AD196" s="5"/>
      <c r="AE196" s="5"/>
      <c r="AF196" s="5"/>
      <c r="AG196" s="5"/>
      <c r="AH196" s="5"/>
      <c r="AI196" s="5"/>
      <c r="AJ196" s="5"/>
      <c r="AK196" s="5"/>
      <c r="AL196" s="5"/>
      <c r="AM196" s="5"/>
      <c r="AN196" s="5"/>
      <c r="AO196" s="5"/>
      <c r="AP196" s="5"/>
      <c r="AQ196" s="5"/>
      <c r="AR196" s="40">
        <f t="array" ref="AR196">MIN(100, MAX(0,
  IFERROR(_xlfn.XLOOKUP(AJ196,'Lookup Tables'!$A$2:$A$7,'Lookup Tables'!$B$2:$B$7,0),0)
  + IF(Z196="Yes", IF(IFERROR(_xlfn.XLOOKUP(AJ196,'Lookup Tables'!$A$2:$A$7,'Lookup Tables'!$B$2:$B$7,0),0)&lt;20, 5, 0), 0)
  + _xlfn.IFS(AB196="Yes", IF(ISNUMBER(AC196)*AND(AC196&lt;=2030),15,10), AB196="Long-term Only", 5, AB196="No", 0, TRUE, 0)
  + _xlfn.IFS(AF196="Full",10, AF196="Partial",5, AF196="Scope 2 Only",3, TRUE,0)
  + _xlfn.IFS(AG196="Yes", IF(ISNUMBER(AH196)*AND(AH196&gt;=5),10,6), AG196="Partial",4, TRUE,0)
  + _xlfn.IFS(AI196="Yes",5, AI196="Partial (material categories only)",3, TRUE,0)
  + _xlfn.IFS(AL196="Yes — Detailed",10, AL196="Yes — High Level",5, TRUE,0)
  + _xlfn.IFS(AM196="Yes — Quantified",15, AM196="Yes — Directional Only",7, TRUE,0)
  + _xlfn.IFS(AP196="Formal",5, AP196="Referenced",2, TRUE,0)
  + _xlfn.IFS(AQ196="No Issues Found",5, AQ196="Concern Identified",-5, AQ196="Severe Contradiction",-15, TRUE,0)
  + _xlfn.IFS(BC196="Reasonable Assurance",5, BC196="Limited Assurance",3, TRUE,0)
  - IF(AND(Z196="Yes", AI196="No"), 10, 0)
  - IF(AND(Z196="Yes", AM196="No"), 10, 0)
))</f>
        <v>0</v>
      </c>
      <c r="AS196" s="5"/>
      <c r="AT196" s="5"/>
      <c r="AU196" s="5"/>
      <c r="AV196" s="5"/>
      <c r="AW196" s="5"/>
      <c r="AX196" s="5"/>
      <c r="AY196" s="5"/>
      <c r="AZ196" s="5"/>
      <c r="BA196" s="5"/>
      <c r="BB196" s="5"/>
      <c r="BC196" s="5"/>
      <c r="BD196" s="5"/>
      <c r="BE196" s="39">
        <f t="array" ref="BE196">MIN(100, MAX(0,
  IFERROR(_xlfn.XLOOKUP(AT196,'Lookup Tables'!$D$2:$D$6,'Lookup Tables'!$E$2:$E$6,0),0)
  + IFERROR(_xlfn.XLOOKUP(AV196,'Lookup Tables'!$G$2:$G$5,'Lookup Tables'!$H$2:$H$5,0),0)
  + IFERROR(_xlfn.XLOOKUP(AW196,'Lookup Tables'!$J$2:$J$5,'Lookup Tables'!$K$2:$K$5,0),0)
  + _xlfn.IFS(AX196="No Issues",10, AX196="Complaint Filed",3, AX196="Confirmed Breach",-15, TRUE,0)
  + IFERROR(_xlfn.XLOOKUP(AY196,'Lookup Tables'!$M$2:$M$6,'Lookup Tables'!$N$2:$N$6,0),0)
  + IFERROR(_xlfn.XLOOKUP(AZ196,'Lookup Tables'!$P$2:$P$6,'Lookup Tables'!$Q$2:$Q$6,0),0)
  + _xlfn.IFS(BA196="Formal Board Committee",5, BA196="Board Oversight Mentioned",2, TRUE,0)
  + _xlfn.IFS(BB196="Yes — Quantified Targets",5, BB196="Yes — Discretionary Only",2, TRUE,0)
  + _xlfn.IFS(BC196="Reasonable Assurance",5, BC196="Limited Assurance",3, BC196="Management Review Only",1, TRUE,0)
))</f>
        <v>0</v>
      </c>
      <c r="BF196" s="5"/>
      <c r="BG196" s="5"/>
      <c r="BH196" s="5"/>
      <c r="BI196" s="5"/>
      <c r="BJ196" s="5"/>
      <c r="BK196" s="5"/>
      <c r="BL196" s="5"/>
      <c r="BM196" s="5"/>
      <c r="BN196" s="5"/>
      <c r="BO196" s="5"/>
      <c r="BP196" s="5"/>
      <c r="BQ196" s="5"/>
      <c r="BR196" s="5"/>
      <c r="BS196" s="41">
        <f t="array" ref="BS196">MIN(100, MAX(0,
  IFERROR(_xlfn.XLOOKUP(BG196,'Lookup Tables'!$A$11:$A$16,'Lookup Tables'!$B$11:$B$16,0),0)
  + IFERROR(_xlfn.XLOOKUP(BR196,'Lookup Tables'!$M$11:$M$14,'Lookup Tables'!$N$11:$N$14,0),0)
  + IFERROR(_xlfn.XLOOKUP(BQ196,'Lookup Tables'!$J$11:$J$15,'Lookup Tables'!$K$11:$K$15,0),0)
  + IFERROR(_xlfn.XLOOKUP(BH196,'Lookup Tables'!$D$11:$D$15,'Lookup Tables'!$E$11:$E$15,0),0)
  + IFERROR(_xlfn.XLOOKUP(BJ196,'Lookup Tables'!$G$11:$G$16,'Lookup Tables'!$H$11:$H$16,0),0)
  + IFERROR(_xlfn.XLOOKUP(BN196,'Lookup Tables'!$P$11:$P$15,'Lookup Tables'!$Q$11:$Q$15,0),0)
  + _xlfn.IFS(BM196="No Evidence",10, BM196="Unknown",3, BM196="Likely",0, BM196="Confirmed",-10, TRUE,3)
  + IFERROR(_xlfn.XLOOKUP(BP196,'Lookup Tables'!$J$21:$J$24,'Lookup Tables'!$K$21:$K$24,0),0)
))</f>
        <v>3</v>
      </c>
      <c r="BT196" s="5"/>
      <c r="BU196" s="5"/>
      <c r="BV196" s="5"/>
      <c r="BW196" s="5"/>
      <c r="BX196" s="5"/>
      <c r="BY196" s="5"/>
      <c r="BZ196" s="5"/>
      <c r="CA196" s="5"/>
      <c r="CB196" s="5"/>
      <c r="CC196" s="5"/>
      <c r="CD196" s="5"/>
      <c r="CE196" s="43">
        <f t="array" ref="CE196">MIN(100, MAX(0,
  IF(ISNUMBER(BV196)*AND(BV196&gt;0), 10, 0)
  + _xlfn.IFS(BY196="Independently Verified",25, BY196="Yes",15, TRUE,0)
  + IFERROR(_xlfn.XLOOKUP(BZ196,'Lookup Tables'!$A$21:$A$24,'Lookup Tables'!$B$21:$B$24,0),0)
  + IFERROR(_xlfn.XLOOKUP(CA196,'Lookup Tables'!$D$21:$D$24,'Lookup Tables'!$E$21:$E$24,0),0)
  + _xlfn.IFS(ISNUMBER(CB196)*AND(CB196&gt;=11),15, ISNUMBER(CB196)*AND(CB196&gt;=6),10, ISNUMBER(CB196)*AND(CB196&gt;=1),5, TRUE,0)
  + IFERROR(_xlfn.XLOOKUP(CC196,'Lookup Tables'!$G$21:$G$25,'Lookup Tables'!$H$21:$H$25,0),0)
  - IF(ISNUMBER(BW196)*AND(ISNUMBER(BV196))*AND(BW196&gt;BV196), 20, 0)
  - IF(AND(BY196="Yes", ISNUMBER(BW196), BW196&gt;60), 10, 0)
))</f>
        <v>0</v>
      </c>
      <c r="CF196" s="5"/>
      <c r="CG196" s="5"/>
      <c r="CH196" s="5"/>
      <c r="CI196" s="5"/>
      <c r="CJ196" s="5"/>
      <c r="CK196" s="5"/>
      <c r="CL196" s="5"/>
      <c r="CM196" s="5"/>
      <c r="CN196" s="5"/>
      <c r="CO196" s="5"/>
      <c r="CP196" s="5"/>
      <c r="CQ196" s="5"/>
      <c r="CR196" s="5">
        <f t="shared" si="103"/>
        <v>0</v>
      </c>
      <c r="CS196" s="5">
        <f t="shared" si="104"/>
        <v>0</v>
      </c>
      <c r="CT196" s="5">
        <f t="shared" si="105"/>
        <v>0</v>
      </c>
      <c r="CU196" s="5">
        <f>MIN(100,
  CR196*15
  + CS196*6
  + CT196*3
  + IFERROR(_xlfn.XLOOKUP(CW196,'Lookup Tables'!$M$21:$M$25,'Lookup Tables'!$N$21:$N$25,0),0)
)</f>
        <v>0</v>
      </c>
      <c r="CV196" s="5" t="str">
        <f t="shared" si="106"/>
        <v>No failures</v>
      </c>
      <c r="CW196" s="5"/>
      <c r="CX196" s="5"/>
      <c r="CY196" s="5"/>
      <c r="CZ196" s="5"/>
      <c r="DA196" s="5" t="str">
        <f t="shared" si="107"/>
        <v>Yes</v>
      </c>
      <c r="DB196" s="5" t="str">
        <f t="shared" si="108"/>
        <v>No</v>
      </c>
      <c r="DC196" s="5"/>
      <c r="DD196" s="5"/>
      <c r="DE196" s="5"/>
      <c r="DF196" s="5"/>
      <c r="DG196" s="5"/>
      <c r="DH196" s="5"/>
      <c r="DI196" s="5"/>
      <c r="DJ196" s="5"/>
      <c r="DK196" s="5"/>
      <c r="DL196" s="5" t="str">
        <f t="shared" si="109"/>
        <v>Clear</v>
      </c>
      <c r="DM196" s="5" t="str">
        <f t="shared" si="110"/>
        <v>Yes</v>
      </c>
      <c r="DN196" s="5">
        <f t="array" ref="DN196">MIN(100,
  IF(ISNUMBER(V196), _xlfn.IFS(V196&gt;=3,25, V196=2,15, V196=1,5, TRUE,0), 0)
  + IFERROR(_xlfn.IFS(VALUE(LEFT(DF196,1))=5,25, VALUE(LEFT(DF196,1))=4,20, VALUE(LEFT(DF196,1))=3,15, VALUE(LEFT(DF196,1))=2,8, TRUE,0), 15)
  + IFERROR(_xlfn.IFS(VALUE(LEFT(DG196,1))=5,25, VALUE(LEFT(DG196,1))=4,20, VALUE(LEFT(DG196,1))=3,15, VALUE(LEFT(DG196,1))=2,8, TRUE,0), 15)
  + _xlfn.IFS(DH196="Fully Verified",25, DH196="Partially Verified",12, TRUE,0)
)</f>
        <v>30</v>
      </c>
      <c r="DO196" s="5" t="str">
        <f t="array" ref="DO196">_xlfn.IFS(
  ISBLANK(AR196), "Insufficient Evidence",
  AND(AR196&gt;=65, AJ196="Approved"), "Strong",
  AR196&gt;=65, "Adequate",
  AR196&gt;=40, "Adequate",
  AR196&gt;=20, "Weak",
  TRUE, "Insufficient Evidence"
)</f>
        <v>Insufficient Evidence</v>
      </c>
      <c r="DP196" s="5" t="str">
        <f t="array" ref="DP196">_xlfn.IFS(
  ISBLANK(BS196), "Insufficient Evidence",
  BS196&gt;=65, "Strong",
  BS196&gt;=40, "Adequate",
  BS196&gt;=20, "Weak",
  TRUE, "Insufficient Evidence"
)</f>
        <v>Insufficient Evidence</v>
      </c>
      <c r="DQ196" s="5" t="str">
        <f t="array" ref="DQ196">_xlfn.IFS(
  ISBLANK(BE196), "Insufficient Evidence",
  OR(AW196="Confirmed Violation", AX196="Confirmed Breach"), "Severe — Hard Trigger",
  BE196&gt;=65, "Strong",
  BE196&gt;=40, "Adequate",
  BE196&gt;=20, "Weak",
  TRUE, "Insufficient Evidence"
)</f>
        <v>Insufficient Evidence</v>
      </c>
      <c r="DR196" s="5" t="str">
        <f t="array" ref="DR196">_xlfn.IFS(
  ISBLANK(CU196), "Insufficient Evidence",
  CU196&lt;=20, "Low Risk",
  CU196&lt;=50, "Moderate Risk",
  CU196&lt;=75, "High Risk",
  TRUE, "Very High Risk"
)</f>
        <v>Low Risk</v>
      </c>
      <c r="DS196" s="5" t="str">
        <f t="array" ref="DS196">_xlfn.IFS(
  ISBLANK(CE196), "Insufficient Evidence",
  AND(ISNUMBER(BW196),ISNUMBER(BV196),BW196&gt;BV196), "Overclaiming Risk",
  CE196&gt;=65, "Strong",
  CE196&gt;=40, "Adequate",
  TRUE, "Weak"
)</f>
        <v>Weak</v>
      </c>
      <c r="DT196" s="5">
        <f t="shared" si="111"/>
        <v>11.7</v>
      </c>
      <c r="DU196" s="5" t="str">
        <f t="array" ref="DU196">_xlfn.IFS(
  DV196="Upgraded to Clear", "Clear",
  DV196="Downgraded to Watchlist", "Watchlist",
  DV196="Downgraded to Exclusion", "Exclusion Risk",
  DB196="Yes — Automatic", "Exclusion Risk",
  OR(AW196="Confirmed Violation", AX196="Confirmed Breach"), "Exclusion Risk",
  OR(V196=0, ISBLANK(V196), DN196&lt;20), "Insufficient Evidence",
  AND(DT196&gt;=65, DA196="No", DB196="No"), "Clear",
  OR(DT196&gt;=40, DA196="Yes"), "Watchlist",
  TRUE, "Exclusion Risk"
)</f>
        <v>Insufficient Evidence</v>
      </c>
      <c r="DV196" s="5"/>
      <c r="DW196" s="5" t="str">
        <f t="array" ref="DW196">_xlfn.IFS(
  DU196="Exclusion Risk", "Exclude — Hard Trigger",
  DU196="Insufficient Evidence", "Watchlist — Further Evidence Needed",
  DU196="Watchlist", "Watchlist — Further Evidence Needed",
  AND(DU196="Clear", DT196&gt;=80), "Include — No Conditions",
  DU196="Clear", "Include — Monitor",
  TRUE, "Watchlist — Further Evidence Needed"
)</f>
        <v>Watchlist — Further Evidence Needed</v>
      </c>
      <c r="DX196" s="5"/>
      <c r="DY196" s="5"/>
      <c r="DZ196" s="5"/>
      <c r="EA196" s="5"/>
      <c r="EB196" s="5" t="str">
        <f t="shared" si="112"/>
        <v>MISSING — No sources reviewed</v>
      </c>
      <c r="EC196" s="5" t="str">
        <f t="shared" si="113"/>
        <v/>
      </c>
    </row>
    <row r="197" spans="1:133" ht="18" customHeight="1" x14ac:dyDescent="0.15">
      <c r="A197" s="5" t="s">
        <v>1617</v>
      </c>
      <c r="B197" s="5" t="s">
        <v>1617</v>
      </c>
      <c r="C197" s="5" t="str">
        <f>IF(ISBLANK('Universe Tracker'!D172),"",'Universe Tracker'!D172)</f>
        <v/>
      </c>
      <c r="D197" s="5"/>
      <c r="E197" s="5"/>
      <c r="F197" s="5" t="str">
        <f>IF(ISBLANK('Universe Tracker'!F172),"",'Universe Tracker'!F172)</f>
        <v/>
      </c>
      <c r="G197" s="5" t="str">
        <f>IF(ISBLANK('Universe Tracker'!G172),"",'Universe Tracker'!G172)</f>
        <v/>
      </c>
      <c r="H197" s="5"/>
      <c r="I197" s="5"/>
      <c r="J197" s="5" t="str">
        <f t="shared" si="101"/>
        <v>_</v>
      </c>
      <c r="K197" s="5"/>
      <c r="L197" s="5"/>
      <c r="M197" s="5"/>
      <c r="N197" s="5"/>
      <c r="O197" s="5"/>
      <c r="P197" s="5"/>
      <c r="Q197" s="5"/>
      <c r="R197" s="5"/>
      <c r="S197" s="5"/>
      <c r="T197" s="5"/>
      <c r="U197" s="5"/>
      <c r="V197" s="5"/>
      <c r="W197" s="5"/>
      <c r="X197" s="5"/>
      <c r="Y197" s="5" t="str">
        <f t="shared" si="102"/>
        <v>Insufficient</v>
      </c>
      <c r="Z197" s="5"/>
      <c r="AA197" s="5"/>
      <c r="AB197" s="5"/>
      <c r="AC197" s="5"/>
      <c r="AD197" s="5"/>
      <c r="AE197" s="5"/>
      <c r="AF197" s="5"/>
      <c r="AG197" s="5"/>
      <c r="AH197" s="5"/>
      <c r="AI197" s="5"/>
      <c r="AJ197" s="5"/>
      <c r="AK197" s="5"/>
      <c r="AL197" s="5"/>
      <c r="AM197" s="5"/>
      <c r="AN197" s="5"/>
      <c r="AO197" s="5"/>
      <c r="AP197" s="5"/>
      <c r="AQ197" s="5"/>
      <c r="AR197" s="40">
        <f t="array" ref="AR197">MIN(100, MAX(0,
  IFERROR(_xlfn.XLOOKUP(AJ197,'Lookup Tables'!$A$2:$A$7,'Lookup Tables'!$B$2:$B$7,0),0)
  + IF(Z197="Yes", IF(IFERROR(_xlfn.XLOOKUP(AJ197,'Lookup Tables'!$A$2:$A$7,'Lookup Tables'!$B$2:$B$7,0),0)&lt;20, 5, 0), 0)
  + _xlfn.IFS(AB197="Yes", IF(ISNUMBER(AC197)*AND(AC197&lt;=2030),15,10), AB197="Long-term Only", 5, AB197="No", 0, TRUE, 0)
  + _xlfn.IFS(AF197="Full",10, AF197="Partial",5, AF197="Scope 2 Only",3, TRUE,0)
  + _xlfn.IFS(AG197="Yes", IF(ISNUMBER(AH197)*AND(AH197&gt;=5),10,6), AG197="Partial",4, TRUE,0)
  + _xlfn.IFS(AI197="Yes",5, AI197="Partial (material categories only)",3, TRUE,0)
  + _xlfn.IFS(AL197="Yes — Detailed",10, AL197="Yes — High Level",5, TRUE,0)
  + _xlfn.IFS(AM197="Yes — Quantified",15, AM197="Yes — Directional Only",7, TRUE,0)
  + _xlfn.IFS(AP197="Formal",5, AP197="Referenced",2, TRUE,0)
  + _xlfn.IFS(AQ197="No Issues Found",5, AQ197="Concern Identified",-5, AQ197="Severe Contradiction",-15, TRUE,0)
  + _xlfn.IFS(BC197="Reasonable Assurance",5, BC197="Limited Assurance",3, TRUE,0)
  - IF(AND(Z197="Yes", AI197="No"), 10, 0)
  - IF(AND(Z197="Yes", AM197="No"), 10, 0)
))</f>
        <v>0</v>
      </c>
      <c r="AS197" s="5"/>
      <c r="AT197" s="5"/>
      <c r="AU197" s="5"/>
      <c r="AV197" s="5"/>
      <c r="AW197" s="5"/>
      <c r="AX197" s="5"/>
      <c r="AY197" s="5"/>
      <c r="AZ197" s="5"/>
      <c r="BA197" s="5"/>
      <c r="BB197" s="5"/>
      <c r="BC197" s="5"/>
      <c r="BD197" s="5"/>
      <c r="BE197" s="39">
        <f t="array" ref="BE197">MIN(100, MAX(0,
  IFERROR(_xlfn.XLOOKUP(AT197,'Lookup Tables'!$D$2:$D$6,'Lookup Tables'!$E$2:$E$6,0),0)
  + IFERROR(_xlfn.XLOOKUP(AV197,'Lookup Tables'!$G$2:$G$5,'Lookup Tables'!$H$2:$H$5,0),0)
  + IFERROR(_xlfn.XLOOKUP(AW197,'Lookup Tables'!$J$2:$J$5,'Lookup Tables'!$K$2:$K$5,0),0)
  + _xlfn.IFS(AX197="No Issues",10, AX197="Complaint Filed",3, AX197="Confirmed Breach",-15, TRUE,0)
  + IFERROR(_xlfn.XLOOKUP(AY197,'Lookup Tables'!$M$2:$M$6,'Lookup Tables'!$N$2:$N$6,0),0)
  + IFERROR(_xlfn.XLOOKUP(AZ197,'Lookup Tables'!$P$2:$P$6,'Lookup Tables'!$Q$2:$Q$6,0),0)
  + _xlfn.IFS(BA197="Formal Board Committee",5, BA197="Board Oversight Mentioned",2, TRUE,0)
  + _xlfn.IFS(BB197="Yes — Quantified Targets",5, BB197="Yes — Discretionary Only",2, TRUE,0)
  + _xlfn.IFS(BC197="Reasonable Assurance",5, BC197="Limited Assurance",3, BC197="Management Review Only",1, TRUE,0)
))</f>
        <v>0</v>
      </c>
      <c r="BF197" s="5"/>
      <c r="BG197" s="5"/>
      <c r="BH197" s="5"/>
      <c r="BI197" s="5"/>
      <c r="BJ197" s="5"/>
      <c r="BK197" s="5"/>
      <c r="BL197" s="5"/>
      <c r="BM197" s="5"/>
      <c r="BN197" s="5"/>
      <c r="BO197" s="5"/>
      <c r="BP197" s="5"/>
      <c r="BQ197" s="5"/>
      <c r="BR197" s="5"/>
      <c r="BS197" s="41">
        <f t="array" ref="BS197">MIN(100, MAX(0,
  IFERROR(_xlfn.XLOOKUP(BG197,'Lookup Tables'!$A$11:$A$16,'Lookup Tables'!$B$11:$B$16,0),0)
  + IFERROR(_xlfn.XLOOKUP(BR197,'Lookup Tables'!$M$11:$M$14,'Lookup Tables'!$N$11:$N$14,0),0)
  + IFERROR(_xlfn.XLOOKUP(BQ197,'Lookup Tables'!$J$11:$J$15,'Lookup Tables'!$K$11:$K$15,0),0)
  + IFERROR(_xlfn.XLOOKUP(BH197,'Lookup Tables'!$D$11:$D$15,'Lookup Tables'!$E$11:$E$15,0),0)
  + IFERROR(_xlfn.XLOOKUP(BJ197,'Lookup Tables'!$G$11:$G$16,'Lookup Tables'!$H$11:$H$16,0),0)
  + IFERROR(_xlfn.XLOOKUP(BN197,'Lookup Tables'!$P$11:$P$15,'Lookup Tables'!$Q$11:$Q$15,0),0)
  + _xlfn.IFS(BM197="No Evidence",10, BM197="Unknown",3, BM197="Likely",0, BM197="Confirmed",-10, TRUE,3)
  + IFERROR(_xlfn.XLOOKUP(BP197,'Lookup Tables'!$J$21:$J$24,'Lookup Tables'!$K$21:$K$24,0),0)
))</f>
        <v>3</v>
      </c>
      <c r="BT197" s="5"/>
      <c r="BU197" s="5"/>
      <c r="BV197" s="5"/>
      <c r="BW197" s="5"/>
      <c r="BX197" s="5"/>
      <c r="BY197" s="5"/>
      <c r="BZ197" s="5"/>
      <c r="CA197" s="5"/>
      <c r="CB197" s="5"/>
      <c r="CC197" s="5"/>
      <c r="CD197" s="5"/>
      <c r="CE197" s="43">
        <f t="array" ref="CE197">MIN(100, MAX(0,
  IF(ISNUMBER(BV197)*AND(BV197&gt;0), 10, 0)
  + _xlfn.IFS(BY197="Independently Verified",25, BY197="Yes",15, TRUE,0)
  + IFERROR(_xlfn.XLOOKUP(BZ197,'Lookup Tables'!$A$21:$A$24,'Lookup Tables'!$B$21:$B$24,0),0)
  + IFERROR(_xlfn.XLOOKUP(CA197,'Lookup Tables'!$D$21:$D$24,'Lookup Tables'!$E$21:$E$24,0),0)
  + _xlfn.IFS(ISNUMBER(CB197)*AND(CB197&gt;=11),15, ISNUMBER(CB197)*AND(CB197&gt;=6),10, ISNUMBER(CB197)*AND(CB197&gt;=1),5, TRUE,0)
  + IFERROR(_xlfn.XLOOKUP(CC197,'Lookup Tables'!$G$21:$G$25,'Lookup Tables'!$H$21:$H$25,0),0)
  - IF(ISNUMBER(BW197)*AND(ISNUMBER(BV197))*AND(BW197&gt;BV197), 20, 0)
  - IF(AND(BY197="Yes", ISNUMBER(BW197), BW197&gt;60), 10, 0)
))</f>
        <v>0</v>
      </c>
      <c r="CF197" s="5"/>
      <c r="CG197" s="5"/>
      <c r="CH197" s="5"/>
      <c r="CI197" s="5"/>
      <c r="CJ197" s="5"/>
      <c r="CK197" s="5"/>
      <c r="CL197" s="5"/>
      <c r="CM197" s="5"/>
      <c r="CN197" s="5"/>
      <c r="CO197" s="5"/>
      <c r="CP197" s="5"/>
      <c r="CQ197" s="5"/>
      <c r="CR197" s="5">
        <f t="shared" si="103"/>
        <v>0</v>
      </c>
      <c r="CS197" s="5">
        <f t="shared" si="104"/>
        <v>0</v>
      </c>
      <c r="CT197" s="5">
        <f t="shared" si="105"/>
        <v>0</v>
      </c>
      <c r="CU197" s="5">
        <f>MIN(100,
  CR197*15
  + CS197*6
  + CT197*3
  + IFERROR(_xlfn.XLOOKUP(CW197,'Lookup Tables'!$M$21:$M$25,'Lookup Tables'!$N$21:$N$25,0),0)
)</f>
        <v>0</v>
      </c>
      <c r="CV197" s="5" t="str">
        <f t="shared" si="106"/>
        <v>No failures</v>
      </c>
      <c r="CW197" s="5"/>
      <c r="CX197" s="5"/>
      <c r="CY197" s="5"/>
      <c r="CZ197" s="5"/>
      <c r="DA197" s="5" t="str">
        <f t="shared" si="107"/>
        <v>Yes</v>
      </c>
      <c r="DB197" s="5" t="str">
        <f t="shared" si="108"/>
        <v>No</v>
      </c>
      <c r="DC197" s="5"/>
      <c r="DD197" s="5"/>
      <c r="DE197" s="5"/>
      <c r="DF197" s="5"/>
      <c r="DG197" s="5"/>
      <c r="DH197" s="5"/>
      <c r="DI197" s="5"/>
      <c r="DJ197" s="5"/>
      <c r="DK197" s="5"/>
      <c r="DL197" s="5" t="str">
        <f t="shared" si="109"/>
        <v>Clear</v>
      </c>
      <c r="DM197" s="5" t="str">
        <f t="shared" si="110"/>
        <v>Yes</v>
      </c>
      <c r="DN197" s="5">
        <f t="array" ref="DN197">MIN(100,
  IF(ISNUMBER(V197), _xlfn.IFS(V197&gt;=3,25, V197=2,15, V197=1,5, TRUE,0), 0)
  + IFERROR(_xlfn.IFS(VALUE(LEFT(DF197,1))=5,25, VALUE(LEFT(DF197,1))=4,20, VALUE(LEFT(DF197,1))=3,15, VALUE(LEFT(DF197,1))=2,8, TRUE,0), 15)
  + IFERROR(_xlfn.IFS(VALUE(LEFT(DG197,1))=5,25, VALUE(LEFT(DG197,1))=4,20, VALUE(LEFT(DG197,1))=3,15, VALUE(LEFT(DG197,1))=2,8, TRUE,0), 15)
  + _xlfn.IFS(DH197="Fully Verified",25, DH197="Partially Verified",12, TRUE,0)
)</f>
        <v>30</v>
      </c>
      <c r="DO197" s="5" t="str">
        <f t="array" ref="DO197">_xlfn.IFS(
  ISBLANK(AR197), "Insufficient Evidence",
  AND(AR197&gt;=65, AJ197="Approved"), "Strong",
  AR197&gt;=65, "Adequate",
  AR197&gt;=40, "Adequate",
  AR197&gt;=20, "Weak",
  TRUE, "Insufficient Evidence"
)</f>
        <v>Insufficient Evidence</v>
      </c>
      <c r="DP197" s="5" t="str">
        <f t="array" ref="DP197">_xlfn.IFS(
  ISBLANK(BS197), "Insufficient Evidence",
  BS197&gt;=65, "Strong",
  BS197&gt;=40, "Adequate",
  BS197&gt;=20, "Weak",
  TRUE, "Insufficient Evidence"
)</f>
        <v>Insufficient Evidence</v>
      </c>
      <c r="DQ197" s="5" t="str">
        <f t="array" ref="DQ197">_xlfn.IFS(
  ISBLANK(BE197), "Insufficient Evidence",
  OR(AW197="Confirmed Violation", AX197="Confirmed Breach"), "Severe — Hard Trigger",
  BE197&gt;=65, "Strong",
  BE197&gt;=40, "Adequate",
  BE197&gt;=20, "Weak",
  TRUE, "Insufficient Evidence"
)</f>
        <v>Insufficient Evidence</v>
      </c>
      <c r="DR197" s="5" t="str">
        <f t="array" ref="DR197">_xlfn.IFS(
  ISBLANK(CU197), "Insufficient Evidence",
  CU197&lt;=20, "Low Risk",
  CU197&lt;=50, "Moderate Risk",
  CU197&lt;=75, "High Risk",
  TRUE, "Very High Risk"
)</f>
        <v>Low Risk</v>
      </c>
      <c r="DS197" s="5" t="str">
        <f t="array" ref="DS197">_xlfn.IFS(
  ISBLANK(CE197), "Insufficient Evidence",
  AND(ISNUMBER(BW197),ISNUMBER(BV197),BW197&gt;BV197), "Overclaiming Risk",
  CE197&gt;=65, "Strong",
  CE197&gt;=40, "Adequate",
  TRUE, "Weak"
)</f>
        <v>Weak</v>
      </c>
      <c r="DT197" s="5">
        <f t="shared" si="111"/>
        <v>11.7</v>
      </c>
      <c r="DU197" s="5" t="str">
        <f t="array" ref="DU197">_xlfn.IFS(
  DV197="Upgraded to Clear", "Clear",
  DV197="Downgraded to Watchlist", "Watchlist",
  DV197="Downgraded to Exclusion", "Exclusion Risk",
  DB197="Yes — Automatic", "Exclusion Risk",
  OR(AW197="Confirmed Violation", AX197="Confirmed Breach"), "Exclusion Risk",
  OR(V197=0, ISBLANK(V197), DN197&lt;20), "Insufficient Evidence",
  AND(DT197&gt;=65, DA197="No", DB197="No"), "Clear",
  OR(DT197&gt;=40, DA197="Yes"), "Watchlist",
  TRUE, "Exclusion Risk"
)</f>
        <v>Insufficient Evidence</v>
      </c>
      <c r="DV197" s="5"/>
      <c r="DW197" s="5" t="str">
        <f t="array" ref="DW197">_xlfn.IFS(
  DU197="Exclusion Risk", "Exclude — Hard Trigger",
  DU197="Insufficient Evidence", "Watchlist — Further Evidence Needed",
  DU197="Watchlist", "Watchlist — Further Evidence Needed",
  AND(DU197="Clear", DT197&gt;=80), "Include — No Conditions",
  DU197="Clear", "Include — Monitor",
  TRUE, "Watchlist — Further Evidence Needed"
)</f>
        <v>Watchlist — Further Evidence Needed</v>
      </c>
      <c r="DX197" s="5"/>
      <c r="DY197" s="5"/>
      <c r="DZ197" s="5"/>
      <c r="EA197" s="5"/>
      <c r="EB197" s="5" t="str">
        <f t="shared" si="112"/>
        <v>MISSING — No sources reviewed</v>
      </c>
      <c r="EC197" s="5" t="str">
        <f t="shared" si="113"/>
        <v/>
      </c>
    </row>
    <row r="198" spans="1:133" ht="18" customHeight="1" x14ac:dyDescent="0.15">
      <c r="A198" s="5" t="s">
        <v>1617</v>
      </c>
      <c r="B198" s="5" t="s">
        <v>1617</v>
      </c>
      <c r="C198" s="5" t="str">
        <f>IF(ISBLANK('Universe Tracker'!D173),"",'Universe Tracker'!D173)</f>
        <v/>
      </c>
      <c r="D198" s="5"/>
      <c r="E198" s="5"/>
      <c r="F198" s="5" t="str">
        <f>IF(ISBLANK('Universe Tracker'!F173),"",'Universe Tracker'!F173)</f>
        <v/>
      </c>
      <c r="G198" s="5" t="str">
        <f>IF(ISBLANK('Universe Tracker'!G173),"",'Universe Tracker'!G173)</f>
        <v/>
      </c>
      <c r="H198" s="5"/>
      <c r="I198" s="5"/>
      <c r="J198" s="5" t="str">
        <f t="shared" si="101"/>
        <v>_</v>
      </c>
      <c r="K198" s="5"/>
      <c r="L198" s="5"/>
      <c r="M198" s="5"/>
      <c r="N198" s="5"/>
      <c r="O198" s="5"/>
      <c r="P198" s="5"/>
      <c r="Q198" s="5"/>
      <c r="R198" s="5"/>
      <c r="S198" s="5"/>
      <c r="T198" s="5"/>
      <c r="U198" s="5"/>
      <c r="V198" s="5"/>
      <c r="W198" s="5"/>
      <c r="X198" s="5"/>
      <c r="Y198" s="5" t="str">
        <f t="shared" si="102"/>
        <v>Insufficient</v>
      </c>
      <c r="Z198" s="5"/>
      <c r="AA198" s="5"/>
      <c r="AB198" s="5"/>
      <c r="AC198" s="5"/>
      <c r="AD198" s="5"/>
      <c r="AE198" s="5"/>
      <c r="AF198" s="5"/>
      <c r="AG198" s="5"/>
      <c r="AH198" s="5"/>
      <c r="AI198" s="5"/>
      <c r="AJ198" s="5"/>
      <c r="AK198" s="5"/>
      <c r="AL198" s="5"/>
      <c r="AM198" s="5"/>
      <c r="AN198" s="5"/>
      <c r="AO198" s="5"/>
      <c r="AP198" s="5"/>
      <c r="AQ198" s="5"/>
      <c r="AR198" s="40">
        <f t="array" ref="AR198">MIN(100, MAX(0,
  IFERROR(_xlfn.XLOOKUP(AJ198,'Lookup Tables'!$A$2:$A$7,'Lookup Tables'!$B$2:$B$7,0),0)
  + IF(Z198="Yes", IF(IFERROR(_xlfn.XLOOKUP(AJ198,'Lookup Tables'!$A$2:$A$7,'Lookup Tables'!$B$2:$B$7,0),0)&lt;20, 5, 0), 0)
  + _xlfn.IFS(AB198="Yes", IF(ISNUMBER(AC198)*AND(AC198&lt;=2030),15,10), AB198="Long-term Only", 5, AB198="No", 0, TRUE, 0)
  + _xlfn.IFS(AF198="Full",10, AF198="Partial",5, AF198="Scope 2 Only",3, TRUE,0)
  + _xlfn.IFS(AG198="Yes", IF(ISNUMBER(AH198)*AND(AH198&gt;=5),10,6), AG198="Partial",4, TRUE,0)
  + _xlfn.IFS(AI198="Yes",5, AI198="Partial (material categories only)",3, TRUE,0)
  + _xlfn.IFS(AL198="Yes — Detailed",10, AL198="Yes — High Level",5, TRUE,0)
  + _xlfn.IFS(AM198="Yes — Quantified",15, AM198="Yes — Directional Only",7, TRUE,0)
  + _xlfn.IFS(AP198="Formal",5, AP198="Referenced",2, TRUE,0)
  + _xlfn.IFS(AQ198="No Issues Found",5, AQ198="Concern Identified",-5, AQ198="Severe Contradiction",-15, TRUE,0)
  + _xlfn.IFS(BC198="Reasonable Assurance",5, BC198="Limited Assurance",3, TRUE,0)
  - IF(AND(Z198="Yes", AI198="No"), 10, 0)
  - IF(AND(Z198="Yes", AM198="No"), 10, 0)
))</f>
        <v>0</v>
      </c>
      <c r="AS198" s="5"/>
      <c r="AT198" s="5"/>
      <c r="AU198" s="5"/>
      <c r="AV198" s="5"/>
      <c r="AW198" s="5"/>
      <c r="AX198" s="5"/>
      <c r="AY198" s="5"/>
      <c r="AZ198" s="5"/>
      <c r="BA198" s="5"/>
      <c r="BB198" s="5"/>
      <c r="BC198" s="5"/>
      <c r="BD198" s="5"/>
      <c r="BE198" s="39">
        <f t="array" ref="BE198">MIN(100, MAX(0,
  IFERROR(_xlfn.XLOOKUP(AT198,'Lookup Tables'!$D$2:$D$6,'Lookup Tables'!$E$2:$E$6,0),0)
  + IFERROR(_xlfn.XLOOKUP(AV198,'Lookup Tables'!$G$2:$G$5,'Lookup Tables'!$H$2:$H$5,0),0)
  + IFERROR(_xlfn.XLOOKUP(AW198,'Lookup Tables'!$J$2:$J$5,'Lookup Tables'!$K$2:$K$5,0),0)
  + _xlfn.IFS(AX198="No Issues",10, AX198="Complaint Filed",3, AX198="Confirmed Breach",-15, TRUE,0)
  + IFERROR(_xlfn.XLOOKUP(AY198,'Lookup Tables'!$M$2:$M$6,'Lookup Tables'!$N$2:$N$6,0),0)
  + IFERROR(_xlfn.XLOOKUP(AZ198,'Lookup Tables'!$P$2:$P$6,'Lookup Tables'!$Q$2:$Q$6,0),0)
  + _xlfn.IFS(BA198="Formal Board Committee",5, BA198="Board Oversight Mentioned",2, TRUE,0)
  + _xlfn.IFS(BB198="Yes — Quantified Targets",5, BB198="Yes — Discretionary Only",2, TRUE,0)
  + _xlfn.IFS(BC198="Reasonable Assurance",5, BC198="Limited Assurance",3, BC198="Management Review Only",1, TRUE,0)
))</f>
        <v>0</v>
      </c>
      <c r="BF198" s="5"/>
      <c r="BG198" s="5"/>
      <c r="BH198" s="5"/>
      <c r="BI198" s="5"/>
      <c r="BJ198" s="5"/>
      <c r="BK198" s="5"/>
      <c r="BL198" s="5"/>
      <c r="BM198" s="5"/>
      <c r="BN198" s="5"/>
      <c r="BO198" s="5"/>
      <c r="BP198" s="5"/>
      <c r="BQ198" s="5"/>
      <c r="BR198" s="5"/>
      <c r="BS198" s="41">
        <f t="array" ref="BS198">MIN(100, MAX(0,
  IFERROR(_xlfn.XLOOKUP(BG198,'Lookup Tables'!$A$11:$A$16,'Lookup Tables'!$B$11:$B$16,0),0)
  + IFERROR(_xlfn.XLOOKUP(BR198,'Lookup Tables'!$M$11:$M$14,'Lookup Tables'!$N$11:$N$14,0),0)
  + IFERROR(_xlfn.XLOOKUP(BQ198,'Lookup Tables'!$J$11:$J$15,'Lookup Tables'!$K$11:$K$15,0),0)
  + IFERROR(_xlfn.XLOOKUP(BH198,'Lookup Tables'!$D$11:$D$15,'Lookup Tables'!$E$11:$E$15,0),0)
  + IFERROR(_xlfn.XLOOKUP(BJ198,'Lookup Tables'!$G$11:$G$16,'Lookup Tables'!$H$11:$H$16,0),0)
  + IFERROR(_xlfn.XLOOKUP(BN198,'Lookup Tables'!$P$11:$P$15,'Lookup Tables'!$Q$11:$Q$15,0),0)
  + _xlfn.IFS(BM198="No Evidence",10, BM198="Unknown",3, BM198="Likely",0, BM198="Confirmed",-10, TRUE,3)
  + IFERROR(_xlfn.XLOOKUP(BP198,'Lookup Tables'!$J$21:$J$24,'Lookup Tables'!$K$21:$K$24,0),0)
))</f>
        <v>3</v>
      </c>
      <c r="BT198" s="5"/>
      <c r="BU198" s="5"/>
      <c r="BV198" s="5"/>
      <c r="BW198" s="5"/>
      <c r="BX198" s="5"/>
      <c r="BY198" s="5"/>
      <c r="BZ198" s="5"/>
      <c r="CA198" s="5"/>
      <c r="CB198" s="5"/>
      <c r="CC198" s="5"/>
      <c r="CD198" s="5"/>
      <c r="CE198" s="43">
        <f t="array" ref="CE198">MIN(100, MAX(0,
  IF(ISNUMBER(BV198)*AND(BV198&gt;0), 10, 0)
  + _xlfn.IFS(BY198="Independently Verified",25, BY198="Yes",15, TRUE,0)
  + IFERROR(_xlfn.XLOOKUP(BZ198,'Lookup Tables'!$A$21:$A$24,'Lookup Tables'!$B$21:$B$24,0),0)
  + IFERROR(_xlfn.XLOOKUP(CA198,'Lookup Tables'!$D$21:$D$24,'Lookup Tables'!$E$21:$E$24,0),0)
  + _xlfn.IFS(ISNUMBER(CB198)*AND(CB198&gt;=11),15, ISNUMBER(CB198)*AND(CB198&gt;=6),10, ISNUMBER(CB198)*AND(CB198&gt;=1),5, TRUE,0)
  + IFERROR(_xlfn.XLOOKUP(CC198,'Lookup Tables'!$G$21:$G$25,'Lookup Tables'!$H$21:$H$25,0),0)
  - IF(ISNUMBER(BW198)*AND(ISNUMBER(BV198))*AND(BW198&gt;BV198), 20, 0)
  - IF(AND(BY198="Yes", ISNUMBER(BW198), BW198&gt;60), 10, 0)
))</f>
        <v>0</v>
      </c>
      <c r="CF198" s="5"/>
      <c r="CG198" s="5"/>
      <c r="CH198" s="5"/>
      <c r="CI198" s="5"/>
      <c r="CJ198" s="5"/>
      <c r="CK198" s="5"/>
      <c r="CL198" s="5"/>
      <c r="CM198" s="5"/>
      <c r="CN198" s="5"/>
      <c r="CO198" s="5"/>
      <c r="CP198" s="5"/>
      <c r="CQ198" s="5"/>
      <c r="CR198" s="5">
        <f t="shared" si="103"/>
        <v>0</v>
      </c>
      <c r="CS198" s="5">
        <f t="shared" si="104"/>
        <v>0</v>
      </c>
      <c r="CT198" s="5">
        <f t="shared" si="105"/>
        <v>0</v>
      </c>
      <c r="CU198" s="5">
        <f>MIN(100,
  CR198*15
  + CS198*6
  + CT198*3
  + IFERROR(_xlfn.XLOOKUP(CW198,'Lookup Tables'!$M$21:$M$25,'Lookup Tables'!$N$21:$N$25,0),0)
)</f>
        <v>0</v>
      </c>
      <c r="CV198" s="5" t="str">
        <f t="shared" si="106"/>
        <v>No failures</v>
      </c>
      <c r="CW198" s="5"/>
      <c r="CX198" s="5"/>
      <c r="CY198" s="5"/>
      <c r="CZ198" s="5"/>
      <c r="DA198" s="5" t="str">
        <f t="shared" si="107"/>
        <v>Yes</v>
      </c>
      <c r="DB198" s="5" t="str">
        <f t="shared" si="108"/>
        <v>No</v>
      </c>
      <c r="DC198" s="5"/>
      <c r="DD198" s="5"/>
      <c r="DE198" s="5"/>
      <c r="DF198" s="5"/>
      <c r="DG198" s="5"/>
      <c r="DH198" s="5"/>
      <c r="DI198" s="5"/>
      <c r="DJ198" s="5"/>
      <c r="DK198" s="5"/>
      <c r="DL198" s="5" t="str">
        <f t="shared" si="109"/>
        <v>Clear</v>
      </c>
      <c r="DM198" s="5" t="str">
        <f t="shared" si="110"/>
        <v>Yes</v>
      </c>
      <c r="DN198" s="5">
        <f t="array" ref="DN198">MIN(100,
  IF(ISNUMBER(V198), _xlfn.IFS(V198&gt;=3,25, V198=2,15, V198=1,5, TRUE,0), 0)
  + IFERROR(_xlfn.IFS(VALUE(LEFT(DF198,1))=5,25, VALUE(LEFT(DF198,1))=4,20, VALUE(LEFT(DF198,1))=3,15, VALUE(LEFT(DF198,1))=2,8, TRUE,0), 15)
  + IFERROR(_xlfn.IFS(VALUE(LEFT(DG198,1))=5,25, VALUE(LEFT(DG198,1))=4,20, VALUE(LEFT(DG198,1))=3,15, VALUE(LEFT(DG198,1))=2,8, TRUE,0), 15)
  + _xlfn.IFS(DH198="Fully Verified",25, DH198="Partially Verified",12, TRUE,0)
)</f>
        <v>30</v>
      </c>
      <c r="DO198" s="5" t="str">
        <f t="array" ref="DO198">_xlfn.IFS(
  ISBLANK(AR198), "Insufficient Evidence",
  AND(AR198&gt;=65, AJ198="Approved"), "Strong",
  AR198&gt;=65, "Adequate",
  AR198&gt;=40, "Adequate",
  AR198&gt;=20, "Weak",
  TRUE, "Insufficient Evidence"
)</f>
        <v>Insufficient Evidence</v>
      </c>
      <c r="DP198" s="5" t="str">
        <f t="array" ref="DP198">_xlfn.IFS(
  ISBLANK(BS198), "Insufficient Evidence",
  BS198&gt;=65, "Strong",
  BS198&gt;=40, "Adequate",
  BS198&gt;=20, "Weak",
  TRUE, "Insufficient Evidence"
)</f>
        <v>Insufficient Evidence</v>
      </c>
      <c r="DQ198" s="5" t="str">
        <f t="array" ref="DQ198">_xlfn.IFS(
  ISBLANK(BE198), "Insufficient Evidence",
  OR(AW198="Confirmed Violation", AX198="Confirmed Breach"), "Severe — Hard Trigger",
  BE198&gt;=65, "Strong",
  BE198&gt;=40, "Adequate",
  BE198&gt;=20, "Weak",
  TRUE, "Insufficient Evidence"
)</f>
        <v>Insufficient Evidence</v>
      </c>
      <c r="DR198" s="5" t="str">
        <f t="array" ref="DR198">_xlfn.IFS(
  ISBLANK(CU198), "Insufficient Evidence",
  CU198&lt;=20, "Low Risk",
  CU198&lt;=50, "Moderate Risk",
  CU198&lt;=75, "High Risk",
  TRUE, "Very High Risk"
)</f>
        <v>Low Risk</v>
      </c>
      <c r="DS198" s="5" t="str">
        <f t="array" ref="DS198">_xlfn.IFS(
  ISBLANK(CE198), "Insufficient Evidence",
  AND(ISNUMBER(BW198),ISNUMBER(BV198),BW198&gt;BV198), "Overclaiming Risk",
  CE198&gt;=65, "Strong",
  CE198&gt;=40, "Adequate",
  TRUE, "Weak"
)</f>
        <v>Weak</v>
      </c>
      <c r="DT198" s="5">
        <f t="shared" si="111"/>
        <v>11.7</v>
      </c>
      <c r="DU198" s="5" t="str">
        <f t="array" ref="DU198">_xlfn.IFS(
  DV198="Upgraded to Clear", "Clear",
  DV198="Downgraded to Watchlist", "Watchlist",
  DV198="Downgraded to Exclusion", "Exclusion Risk",
  DB198="Yes — Automatic", "Exclusion Risk",
  OR(AW198="Confirmed Violation", AX198="Confirmed Breach"), "Exclusion Risk",
  OR(V198=0, ISBLANK(V198), DN198&lt;20), "Insufficient Evidence",
  AND(DT198&gt;=65, DA198="No", DB198="No"), "Clear",
  OR(DT198&gt;=40, DA198="Yes"), "Watchlist",
  TRUE, "Exclusion Risk"
)</f>
        <v>Insufficient Evidence</v>
      </c>
      <c r="DV198" s="5"/>
      <c r="DW198" s="5" t="str">
        <f t="array" ref="DW198">_xlfn.IFS(
  DU198="Exclusion Risk", "Exclude — Hard Trigger",
  DU198="Insufficient Evidence", "Watchlist — Further Evidence Needed",
  DU198="Watchlist", "Watchlist — Further Evidence Needed",
  AND(DU198="Clear", DT198&gt;=80), "Include — No Conditions",
  DU198="Clear", "Include — Monitor",
  TRUE, "Watchlist — Further Evidence Needed"
)</f>
        <v>Watchlist — Further Evidence Needed</v>
      </c>
      <c r="DX198" s="5"/>
      <c r="DY198" s="5"/>
      <c r="DZ198" s="5"/>
      <c r="EA198" s="5"/>
      <c r="EB198" s="5" t="str">
        <f t="shared" si="112"/>
        <v>MISSING — No sources reviewed</v>
      </c>
      <c r="EC198" s="5" t="str">
        <f t="shared" si="113"/>
        <v/>
      </c>
    </row>
    <row r="199" spans="1:133" ht="18" customHeight="1" x14ac:dyDescent="0.15">
      <c r="A199" s="5" t="s">
        <v>1617</v>
      </c>
      <c r="B199" s="5" t="s">
        <v>1617</v>
      </c>
      <c r="C199" s="5" t="str">
        <f>IF(ISBLANK('Universe Tracker'!D174),"",'Universe Tracker'!D174)</f>
        <v/>
      </c>
      <c r="D199" s="5"/>
      <c r="E199" s="5"/>
      <c r="F199" s="5" t="str">
        <f>IF(ISBLANK('Universe Tracker'!F174),"",'Universe Tracker'!F174)</f>
        <v/>
      </c>
      <c r="G199" s="5" t="str">
        <f>IF(ISBLANK('Universe Tracker'!G174),"",'Universe Tracker'!G174)</f>
        <v/>
      </c>
      <c r="H199" s="5"/>
      <c r="I199" s="5"/>
      <c r="J199" s="5" t="str">
        <f t="shared" si="101"/>
        <v>_</v>
      </c>
      <c r="K199" s="5"/>
      <c r="L199" s="5"/>
      <c r="M199" s="5"/>
      <c r="N199" s="5"/>
      <c r="O199" s="5"/>
      <c r="P199" s="5"/>
      <c r="Q199" s="5"/>
      <c r="R199" s="5"/>
      <c r="S199" s="5"/>
      <c r="T199" s="5"/>
      <c r="U199" s="5"/>
      <c r="V199" s="5"/>
      <c r="W199" s="5"/>
      <c r="X199" s="5"/>
      <c r="Y199" s="5" t="str">
        <f t="shared" si="102"/>
        <v>Insufficient</v>
      </c>
      <c r="Z199" s="5"/>
      <c r="AA199" s="5"/>
      <c r="AB199" s="5"/>
      <c r="AC199" s="5"/>
      <c r="AD199" s="5"/>
      <c r="AE199" s="5"/>
      <c r="AF199" s="5"/>
      <c r="AG199" s="5"/>
      <c r="AH199" s="5"/>
      <c r="AI199" s="5"/>
      <c r="AJ199" s="5"/>
      <c r="AK199" s="5"/>
      <c r="AL199" s="5"/>
      <c r="AM199" s="5"/>
      <c r="AN199" s="5"/>
      <c r="AO199" s="5"/>
      <c r="AP199" s="5"/>
      <c r="AQ199" s="5"/>
      <c r="AR199" s="40">
        <f t="array" ref="AR199">MIN(100, MAX(0,
  IFERROR(_xlfn.XLOOKUP(AJ199,'Lookup Tables'!$A$2:$A$7,'Lookup Tables'!$B$2:$B$7,0),0)
  + IF(Z199="Yes", IF(IFERROR(_xlfn.XLOOKUP(AJ199,'Lookup Tables'!$A$2:$A$7,'Lookup Tables'!$B$2:$B$7,0),0)&lt;20, 5, 0), 0)
  + _xlfn.IFS(AB199="Yes", IF(ISNUMBER(AC199)*AND(AC199&lt;=2030),15,10), AB199="Long-term Only", 5, AB199="No", 0, TRUE, 0)
  + _xlfn.IFS(AF199="Full",10, AF199="Partial",5, AF199="Scope 2 Only",3, TRUE,0)
  + _xlfn.IFS(AG199="Yes", IF(ISNUMBER(AH199)*AND(AH199&gt;=5),10,6), AG199="Partial",4, TRUE,0)
  + _xlfn.IFS(AI199="Yes",5, AI199="Partial (material categories only)",3, TRUE,0)
  + _xlfn.IFS(AL199="Yes — Detailed",10, AL199="Yes — High Level",5, TRUE,0)
  + _xlfn.IFS(AM199="Yes — Quantified",15, AM199="Yes — Directional Only",7, TRUE,0)
  + _xlfn.IFS(AP199="Formal",5, AP199="Referenced",2, TRUE,0)
  + _xlfn.IFS(AQ199="No Issues Found",5, AQ199="Concern Identified",-5, AQ199="Severe Contradiction",-15, TRUE,0)
  + _xlfn.IFS(BC199="Reasonable Assurance",5, BC199="Limited Assurance",3, TRUE,0)
  - IF(AND(Z199="Yes", AI199="No"), 10, 0)
  - IF(AND(Z199="Yes", AM199="No"), 10, 0)
))</f>
        <v>0</v>
      </c>
      <c r="AS199" s="5"/>
      <c r="AT199" s="5"/>
      <c r="AU199" s="5"/>
      <c r="AV199" s="5"/>
      <c r="AW199" s="5"/>
      <c r="AX199" s="5"/>
      <c r="AY199" s="5"/>
      <c r="AZ199" s="5"/>
      <c r="BA199" s="5"/>
      <c r="BB199" s="5"/>
      <c r="BC199" s="5"/>
      <c r="BD199" s="5"/>
      <c r="BE199" s="39">
        <f t="array" ref="BE199">MIN(100, MAX(0,
  IFERROR(_xlfn.XLOOKUP(AT199,'Lookup Tables'!$D$2:$D$6,'Lookup Tables'!$E$2:$E$6,0),0)
  + IFERROR(_xlfn.XLOOKUP(AV199,'Lookup Tables'!$G$2:$G$5,'Lookup Tables'!$H$2:$H$5,0),0)
  + IFERROR(_xlfn.XLOOKUP(AW199,'Lookup Tables'!$J$2:$J$5,'Lookup Tables'!$K$2:$K$5,0),0)
  + _xlfn.IFS(AX199="No Issues",10, AX199="Complaint Filed",3, AX199="Confirmed Breach",-15, TRUE,0)
  + IFERROR(_xlfn.XLOOKUP(AY199,'Lookup Tables'!$M$2:$M$6,'Lookup Tables'!$N$2:$N$6,0),0)
  + IFERROR(_xlfn.XLOOKUP(AZ199,'Lookup Tables'!$P$2:$P$6,'Lookup Tables'!$Q$2:$Q$6,0),0)
  + _xlfn.IFS(BA199="Formal Board Committee",5, BA199="Board Oversight Mentioned",2, TRUE,0)
  + _xlfn.IFS(BB199="Yes — Quantified Targets",5, BB199="Yes — Discretionary Only",2, TRUE,0)
  + _xlfn.IFS(BC199="Reasonable Assurance",5, BC199="Limited Assurance",3, BC199="Management Review Only",1, TRUE,0)
))</f>
        <v>0</v>
      </c>
      <c r="BF199" s="5"/>
      <c r="BG199" s="5"/>
      <c r="BH199" s="5"/>
      <c r="BI199" s="5"/>
      <c r="BJ199" s="5"/>
      <c r="BK199" s="5"/>
      <c r="BL199" s="5"/>
      <c r="BM199" s="5"/>
      <c r="BN199" s="5"/>
      <c r="BO199" s="5"/>
      <c r="BP199" s="5"/>
      <c r="BQ199" s="5"/>
      <c r="BR199" s="5"/>
      <c r="BS199" s="41">
        <f t="array" ref="BS199">MIN(100, MAX(0,
  IFERROR(_xlfn.XLOOKUP(BG199,'Lookup Tables'!$A$11:$A$16,'Lookup Tables'!$B$11:$B$16,0),0)
  + IFERROR(_xlfn.XLOOKUP(BR199,'Lookup Tables'!$M$11:$M$14,'Lookup Tables'!$N$11:$N$14,0),0)
  + IFERROR(_xlfn.XLOOKUP(BQ199,'Lookup Tables'!$J$11:$J$15,'Lookup Tables'!$K$11:$K$15,0),0)
  + IFERROR(_xlfn.XLOOKUP(BH199,'Lookup Tables'!$D$11:$D$15,'Lookup Tables'!$E$11:$E$15,0),0)
  + IFERROR(_xlfn.XLOOKUP(BJ199,'Lookup Tables'!$G$11:$G$16,'Lookup Tables'!$H$11:$H$16,0),0)
  + IFERROR(_xlfn.XLOOKUP(BN199,'Lookup Tables'!$P$11:$P$15,'Lookup Tables'!$Q$11:$Q$15,0),0)
  + _xlfn.IFS(BM199="No Evidence",10, BM199="Unknown",3, BM199="Likely",0, BM199="Confirmed",-10, TRUE,3)
  + IFERROR(_xlfn.XLOOKUP(BP199,'Lookup Tables'!$J$21:$J$24,'Lookup Tables'!$K$21:$K$24,0),0)
))</f>
        <v>3</v>
      </c>
      <c r="BT199" s="5"/>
      <c r="BU199" s="5"/>
      <c r="BV199" s="5"/>
      <c r="BW199" s="5"/>
      <c r="BX199" s="5"/>
      <c r="BY199" s="5"/>
      <c r="BZ199" s="5"/>
      <c r="CA199" s="5"/>
      <c r="CB199" s="5"/>
      <c r="CC199" s="5"/>
      <c r="CD199" s="5"/>
      <c r="CE199" s="43">
        <f t="array" ref="CE199">MIN(100, MAX(0,
  IF(ISNUMBER(BV199)*AND(BV199&gt;0), 10, 0)
  + _xlfn.IFS(BY199="Independently Verified",25, BY199="Yes",15, TRUE,0)
  + IFERROR(_xlfn.XLOOKUP(BZ199,'Lookup Tables'!$A$21:$A$24,'Lookup Tables'!$B$21:$B$24,0),0)
  + IFERROR(_xlfn.XLOOKUP(CA199,'Lookup Tables'!$D$21:$D$24,'Lookup Tables'!$E$21:$E$24,0),0)
  + _xlfn.IFS(ISNUMBER(CB199)*AND(CB199&gt;=11),15, ISNUMBER(CB199)*AND(CB199&gt;=6),10, ISNUMBER(CB199)*AND(CB199&gt;=1),5, TRUE,0)
  + IFERROR(_xlfn.XLOOKUP(CC199,'Lookup Tables'!$G$21:$G$25,'Lookup Tables'!$H$21:$H$25,0),0)
  - IF(ISNUMBER(BW199)*AND(ISNUMBER(BV199))*AND(BW199&gt;BV199), 20, 0)
  - IF(AND(BY199="Yes", ISNUMBER(BW199), BW199&gt;60), 10, 0)
))</f>
        <v>0</v>
      </c>
      <c r="CF199" s="5"/>
      <c r="CG199" s="5"/>
      <c r="CH199" s="5"/>
      <c r="CI199" s="5"/>
      <c r="CJ199" s="5"/>
      <c r="CK199" s="5"/>
      <c r="CL199" s="5"/>
      <c r="CM199" s="5"/>
      <c r="CN199" s="5"/>
      <c r="CO199" s="5"/>
      <c r="CP199" s="5"/>
      <c r="CQ199" s="5"/>
      <c r="CR199" s="5">
        <f t="shared" si="103"/>
        <v>0</v>
      </c>
      <c r="CS199" s="5">
        <f t="shared" si="104"/>
        <v>0</v>
      </c>
      <c r="CT199" s="5">
        <f t="shared" si="105"/>
        <v>0</v>
      </c>
      <c r="CU199" s="5">
        <f>MIN(100,
  CR199*15
  + CS199*6
  + CT199*3
  + IFERROR(_xlfn.XLOOKUP(CW199,'Lookup Tables'!$M$21:$M$25,'Lookup Tables'!$N$21:$N$25,0),0)
)</f>
        <v>0</v>
      </c>
      <c r="CV199" s="5" t="str">
        <f t="shared" si="106"/>
        <v>No failures</v>
      </c>
      <c r="CW199" s="5"/>
      <c r="CX199" s="5"/>
      <c r="CY199" s="5"/>
      <c r="CZ199" s="5"/>
      <c r="DA199" s="5" t="str">
        <f t="shared" si="107"/>
        <v>Yes</v>
      </c>
      <c r="DB199" s="5" t="str">
        <f t="shared" si="108"/>
        <v>No</v>
      </c>
      <c r="DC199" s="5"/>
      <c r="DD199" s="5"/>
      <c r="DE199" s="5"/>
      <c r="DF199" s="5"/>
      <c r="DG199" s="5"/>
      <c r="DH199" s="5"/>
      <c r="DI199" s="5"/>
      <c r="DJ199" s="5"/>
      <c r="DK199" s="5"/>
      <c r="DL199" s="5" t="str">
        <f t="shared" si="109"/>
        <v>Clear</v>
      </c>
      <c r="DM199" s="5" t="str">
        <f t="shared" si="110"/>
        <v>Yes</v>
      </c>
      <c r="DN199" s="5">
        <f t="array" ref="DN199">MIN(100,
  IF(ISNUMBER(V199), _xlfn.IFS(V199&gt;=3,25, V199=2,15, V199=1,5, TRUE,0), 0)
  + IFERROR(_xlfn.IFS(VALUE(LEFT(DF199,1))=5,25, VALUE(LEFT(DF199,1))=4,20, VALUE(LEFT(DF199,1))=3,15, VALUE(LEFT(DF199,1))=2,8, TRUE,0), 15)
  + IFERROR(_xlfn.IFS(VALUE(LEFT(DG199,1))=5,25, VALUE(LEFT(DG199,1))=4,20, VALUE(LEFT(DG199,1))=3,15, VALUE(LEFT(DG199,1))=2,8, TRUE,0), 15)
  + _xlfn.IFS(DH199="Fully Verified",25, DH199="Partially Verified",12, TRUE,0)
)</f>
        <v>30</v>
      </c>
      <c r="DO199" s="5" t="str">
        <f t="array" ref="DO199">_xlfn.IFS(
  ISBLANK(AR199), "Insufficient Evidence",
  AND(AR199&gt;=65, AJ199="Approved"), "Strong",
  AR199&gt;=65, "Adequate",
  AR199&gt;=40, "Adequate",
  AR199&gt;=20, "Weak",
  TRUE, "Insufficient Evidence"
)</f>
        <v>Insufficient Evidence</v>
      </c>
      <c r="DP199" s="5" t="str">
        <f t="array" ref="DP199">_xlfn.IFS(
  ISBLANK(BS199), "Insufficient Evidence",
  BS199&gt;=65, "Strong",
  BS199&gt;=40, "Adequate",
  BS199&gt;=20, "Weak",
  TRUE, "Insufficient Evidence"
)</f>
        <v>Insufficient Evidence</v>
      </c>
      <c r="DQ199" s="5" t="str">
        <f t="array" ref="DQ199">_xlfn.IFS(
  ISBLANK(BE199), "Insufficient Evidence",
  OR(AW199="Confirmed Violation", AX199="Confirmed Breach"), "Severe — Hard Trigger",
  BE199&gt;=65, "Strong",
  BE199&gt;=40, "Adequate",
  BE199&gt;=20, "Weak",
  TRUE, "Insufficient Evidence"
)</f>
        <v>Insufficient Evidence</v>
      </c>
      <c r="DR199" s="5" t="str">
        <f t="array" ref="DR199">_xlfn.IFS(
  ISBLANK(CU199), "Insufficient Evidence",
  CU199&lt;=20, "Low Risk",
  CU199&lt;=50, "Moderate Risk",
  CU199&lt;=75, "High Risk",
  TRUE, "Very High Risk"
)</f>
        <v>Low Risk</v>
      </c>
      <c r="DS199" s="5" t="str">
        <f t="array" ref="DS199">_xlfn.IFS(
  ISBLANK(CE199), "Insufficient Evidence",
  AND(ISNUMBER(BW199),ISNUMBER(BV199),BW199&gt;BV199), "Overclaiming Risk",
  CE199&gt;=65, "Strong",
  CE199&gt;=40, "Adequate",
  TRUE, "Weak"
)</f>
        <v>Weak</v>
      </c>
      <c r="DT199" s="5">
        <f t="shared" si="111"/>
        <v>11.7</v>
      </c>
      <c r="DU199" s="5" t="str">
        <f t="array" ref="DU199">_xlfn.IFS(
  DV199="Upgraded to Clear", "Clear",
  DV199="Downgraded to Watchlist", "Watchlist",
  DV199="Downgraded to Exclusion", "Exclusion Risk",
  DB199="Yes — Automatic", "Exclusion Risk",
  OR(AW199="Confirmed Violation", AX199="Confirmed Breach"), "Exclusion Risk",
  OR(V199=0, ISBLANK(V199), DN199&lt;20), "Insufficient Evidence",
  AND(DT199&gt;=65, DA199="No", DB199="No"), "Clear",
  OR(DT199&gt;=40, DA199="Yes"), "Watchlist",
  TRUE, "Exclusion Risk"
)</f>
        <v>Insufficient Evidence</v>
      </c>
      <c r="DV199" s="5"/>
      <c r="DW199" s="5" t="str">
        <f t="array" ref="DW199">_xlfn.IFS(
  DU199="Exclusion Risk", "Exclude — Hard Trigger",
  DU199="Insufficient Evidence", "Watchlist — Further Evidence Needed",
  DU199="Watchlist", "Watchlist — Further Evidence Needed",
  AND(DU199="Clear", DT199&gt;=80), "Include — No Conditions",
  DU199="Clear", "Include — Monitor",
  TRUE, "Watchlist — Further Evidence Needed"
)</f>
        <v>Watchlist — Further Evidence Needed</v>
      </c>
      <c r="DX199" s="5"/>
      <c r="DY199" s="5"/>
      <c r="DZ199" s="5"/>
      <c r="EA199" s="5"/>
      <c r="EB199" s="5" t="str">
        <f t="shared" si="112"/>
        <v>MISSING — No sources reviewed</v>
      </c>
      <c r="EC199" s="5" t="str">
        <f t="shared" si="113"/>
        <v/>
      </c>
    </row>
    <row r="200" spans="1:133" ht="18" customHeight="1" x14ac:dyDescent="0.15">
      <c r="A200" s="5" t="s">
        <v>1617</v>
      </c>
      <c r="B200" s="5" t="s">
        <v>1617</v>
      </c>
      <c r="C200" s="5" t="str">
        <f>IF(ISBLANK('Universe Tracker'!D175),"",'Universe Tracker'!D175)</f>
        <v/>
      </c>
      <c r="D200" s="5"/>
      <c r="E200" s="5"/>
      <c r="F200" s="5" t="str">
        <f>IF(ISBLANK('Universe Tracker'!F175),"",'Universe Tracker'!F175)</f>
        <v/>
      </c>
      <c r="G200" s="5" t="str">
        <f>IF(ISBLANK('Universe Tracker'!G175),"",'Universe Tracker'!G175)</f>
        <v/>
      </c>
      <c r="H200" s="5"/>
      <c r="I200" s="5"/>
      <c r="J200" s="5" t="str">
        <f t="shared" si="101"/>
        <v>_</v>
      </c>
      <c r="K200" s="5"/>
      <c r="L200" s="5"/>
      <c r="M200" s="5"/>
      <c r="N200" s="5"/>
      <c r="O200" s="5"/>
      <c r="P200" s="5"/>
      <c r="Q200" s="5"/>
      <c r="R200" s="5"/>
      <c r="S200" s="5"/>
      <c r="T200" s="5"/>
      <c r="U200" s="5"/>
      <c r="V200" s="5"/>
      <c r="W200" s="5"/>
      <c r="X200" s="5"/>
      <c r="Y200" s="5" t="str">
        <f t="shared" si="102"/>
        <v>Insufficient</v>
      </c>
      <c r="Z200" s="5"/>
      <c r="AA200" s="5"/>
      <c r="AB200" s="5"/>
      <c r="AC200" s="5"/>
      <c r="AD200" s="5"/>
      <c r="AE200" s="5"/>
      <c r="AF200" s="5"/>
      <c r="AG200" s="5"/>
      <c r="AH200" s="5"/>
      <c r="AI200" s="5"/>
      <c r="AJ200" s="5"/>
      <c r="AK200" s="5"/>
      <c r="AL200" s="5"/>
      <c r="AM200" s="5"/>
      <c r="AN200" s="5"/>
      <c r="AO200" s="5"/>
      <c r="AP200" s="5"/>
      <c r="AQ200" s="5"/>
      <c r="AR200" s="40">
        <f t="array" ref="AR200">MIN(100, MAX(0,
  IFERROR(_xlfn.XLOOKUP(AJ200,'Lookup Tables'!$A$2:$A$7,'Lookup Tables'!$B$2:$B$7,0),0)
  + IF(Z200="Yes", IF(IFERROR(_xlfn.XLOOKUP(AJ200,'Lookup Tables'!$A$2:$A$7,'Lookup Tables'!$B$2:$B$7,0),0)&lt;20, 5, 0), 0)
  + _xlfn.IFS(AB200="Yes", IF(ISNUMBER(AC200)*AND(AC200&lt;=2030),15,10), AB200="Long-term Only", 5, AB200="No", 0, TRUE, 0)
  + _xlfn.IFS(AF200="Full",10, AF200="Partial",5, AF200="Scope 2 Only",3, TRUE,0)
  + _xlfn.IFS(AG200="Yes", IF(ISNUMBER(AH200)*AND(AH200&gt;=5),10,6), AG200="Partial",4, TRUE,0)
  + _xlfn.IFS(AI200="Yes",5, AI200="Partial (material categories only)",3, TRUE,0)
  + _xlfn.IFS(AL200="Yes — Detailed",10, AL200="Yes — High Level",5, TRUE,0)
  + _xlfn.IFS(AM200="Yes — Quantified",15, AM200="Yes — Directional Only",7, TRUE,0)
  + _xlfn.IFS(AP200="Formal",5, AP200="Referenced",2, TRUE,0)
  + _xlfn.IFS(AQ200="No Issues Found",5, AQ200="Concern Identified",-5, AQ200="Severe Contradiction",-15, TRUE,0)
  + _xlfn.IFS(BC200="Reasonable Assurance",5, BC200="Limited Assurance",3, TRUE,0)
  - IF(AND(Z200="Yes", AI200="No"), 10, 0)
  - IF(AND(Z200="Yes", AM200="No"), 10, 0)
))</f>
        <v>0</v>
      </c>
      <c r="AS200" s="5"/>
      <c r="AT200" s="5"/>
      <c r="AU200" s="5"/>
      <c r="AV200" s="5"/>
      <c r="AW200" s="5"/>
      <c r="AX200" s="5"/>
      <c r="AY200" s="5"/>
      <c r="AZ200" s="5"/>
      <c r="BA200" s="5"/>
      <c r="BB200" s="5"/>
      <c r="BC200" s="5"/>
      <c r="BD200" s="5"/>
      <c r="BE200" s="39">
        <f t="array" ref="BE200">MIN(100, MAX(0,
  IFERROR(_xlfn.XLOOKUP(AT200,'Lookup Tables'!$D$2:$D$6,'Lookup Tables'!$E$2:$E$6,0),0)
  + IFERROR(_xlfn.XLOOKUP(AV200,'Lookup Tables'!$G$2:$G$5,'Lookup Tables'!$H$2:$H$5,0),0)
  + IFERROR(_xlfn.XLOOKUP(AW200,'Lookup Tables'!$J$2:$J$5,'Lookup Tables'!$K$2:$K$5,0),0)
  + _xlfn.IFS(AX200="No Issues",10, AX200="Complaint Filed",3, AX200="Confirmed Breach",-15, TRUE,0)
  + IFERROR(_xlfn.XLOOKUP(AY200,'Lookup Tables'!$M$2:$M$6,'Lookup Tables'!$N$2:$N$6,0),0)
  + IFERROR(_xlfn.XLOOKUP(AZ200,'Lookup Tables'!$P$2:$P$6,'Lookup Tables'!$Q$2:$Q$6,0),0)
  + _xlfn.IFS(BA200="Formal Board Committee",5, BA200="Board Oversight Mentioned",2, TRUE,0)
  + _xlfn.IFS(BB200="Yes — Quantified Targets",5, BB200="Yes — Discretionary Only",2, TRUE,0)
  + _xlfn.IFS(BC200="Reasonable Assurance",5, BC200="Limited Assurance",3, BC200="Management Review Only",1, TRUE,0)
))</f>
        <v>0</v>
      </c>
      <c r="BF200" s="5"/>
      <c r="BG200" s="5"/>
      <c r="BH200" s="5"/>
      <c r="BI200" s="5"/>
      <c r="BJ200" s="5"/>
      <c r="BK200" s="5"/>
      <c r="BL200" s="5"/>
      <c r="BM200" s="5"/>
      <c r="BN200" s="5"/>
      <c r="BO200" s="5"/>
      <c r="BP200" s="5"/>
      <c r="BQ200" s="5"/>
      <c r="BR200" s="5"/>
      <c r="BS200" s="41">
        <f t="array" ref="BS200">MIN(100, MAX(0,
  IFERROR(_xlfn.XLOOKUP(BG200,'Lookup Tables'!$A$11:$A$16,'Lookup Tables'!$B$11:$B$16,0),0)
  + IFERROR(_xlfn.XLOOKUP(BR200,'Lookup Tables'!$M$11:$M$14,'Lookup Tables'!$N$11:$N$14,0),0)
  + IFERROR(_xlfn.XLOOKUP(BQ200,'Lookup Tables'!$J$11:$J$15,'Lookup Tables'!$K$11:$K$15,0),0)
  + IFERROR(_xlfn.XLOOKUP(BH200,'Lookup Tables'!$D$11:$D$15,'Lookup Tables'!$E$11:$E$15,0),0)
  + IFERROR(_xlfn.XLOOKUP(BJ200,'Lookup Tables'!$G$11:$G$16,'Lookup Tables'!$H$11:$H$16,0),0)
  + IFERROR(_xlfn.XLOOKUP(BN200,'Lookup Tables'!$P$11:$P$15,'Lookup Tables'!$Q$11:$Q$15,0),0)
  + _xlfn.IFS(BM200="No Evidence",10, BM200="Unknown",3, BM200="Likely",0, BM200="Confirmed",-10, TRUE,3)
  + IFERROR(_xlfn.XLOOKUP(BP200,'Lookup Tables'!$J$21:$J$24,'Lookup Tables'!$K$21:$K$24,0),0)
))</f>
        <v>3</v>
      </c>
      <c r="BT200" s="5"/>
      <c r="BU200" s="5"/>
      <c r="BV200" s="5"/>
      <c r="BW200" s="5"/>
      <c r="BX200" s="5"/>
      <c r="BY200" s="5"/>
      <c r="BZ200" s="5"/>
      <c r="CA200" s="5"/>
      <c r="CB200" s="5"/>
      <c r="CC200" s="5"/>
      <c r="CD200" s="5"/>
      <c r="CE200" s="43">
        <f t="array" ref="CE200">MIN(100, MAX(0,
  IF(ISNUMBER(BV200)*AND(BV200&gt;0), 10, 0)
  + _xlfn.IFS(BY200="Independently Verified",25, BY200="Yes",15, TRUE,0)
  + IFERROR(_xlfn.XLOOKUP(BZ200,'Lookup Tables'!$A$21:$A$24,'Lookup Tables'!$B$21:$B$24,0),0)
  + IFERROR(_xlfn.XLOOKUP(CA200,'Lookup Tables'!$D$21:$D$24,'Lookup Tables'!$E$21:$E$24,0),0)
  + _xlfn.IFS(ISNUMBER(CB200)*AND(CB200&gt;=11),15, ISNUMBER(CB200)*AND(CB200&gt;=6),10, ISNUMBER(CB200)*AND(CB200&gt;=1),5, TRUE,0)
  + IFERROR(_xlfn.XLOOKUP(CC200,'Lookup Tables'!$G$21:$G$25,'Lookup Tables'!$H$21:$H$25,0),0)
  - IF(ISNUMBER(BW200)*AND(ISNUMBER(BV200))*AND(BW200&gt;BV200), 20, 0)
  - IF(AND(BY200="Yes", ISNUMBER(BW200), BW200&gt;60), 10, 0)
))</f>
        <v>0</v>
      </c>
      <c r="CF200" s="5"/>
      <c r="CG200" s="5"/>
      <c r="CH200" s="5"/>
      <c r="CI200" s="5"/>
      <c r="CJ200" s="5"/>
      <c r="CK200" s="5"/>
      <c r="CL200" s="5"/>
      <c r="CM200" s="5"/>
      <c r="CN200" s="5"/>
      <c r="CO200" s="5"/>
      <c r="CP200" s="5"/>
      <c r="CQ200" s="5"/>
      <c r="CR200" s="5">
        <f t="shared" si="103"/>
        <v>0</v>
      </c>
      <c r="CS200" s="5">
        <f t="shared" si="104"/>
        <v>0</v>
      </c>
      <c r="CT200" s="5">
        <f t="shared" si="105"/>
        <v>0</v>
      </c>
      <c r="CU200" s="5">
        <f>MIN(100,
  CR200*15
  + CS200*6
  + CT200*3
  + IFERROR(_xlfn.XLOOKUP(CW200,'Lookup Tables'!$M$21:$M$25,'Lookup Tables'!$N$21:$N$25,0),0)
)</f>
        <v>0</v>
      </c>
      <c r="CV200" s="5" t="str">
        <f t="shared" si="106"/>
        <v>No failures</v>
      </c>
      <c r="CW200" s="5"/>
      <c r="CX200" s="5"/>
      <c r="CY200" s="5"/>
      <c r="CZ200" s="5"/>
      <c r="DA200" s="5" t="str">
        <f t="shared" si="107"/>
        <v>Yes</v>
      </c>
      <c r="DB200" s="5" t="str">
        <f t="shared" si="108"/>
        <v>No</v>
      </c>
      <c r="DC200" s="5"/>
      <c r="DD200" s="5"/>
      <c r="DE200" s="5"/>
      <c r="DF200" s="5"/>
      <c r="DG200" s="5"/>
      <c r="DH200" s="5"/>
      <c r="DI200" s="5"/>
      <c r="DJ200" s="5"/>
      <c r="DK200" s="5"/>
      <c r="DL200" s="5" t="str">
        <f t="shared" si="109"/>
        <v>Clear</v>
      </c>
      <c r="DM200" s="5" t="str">
        <f t="shared" si="110"/>
        <v>Yes</v>
      </c>
      <c r="DN200" s="5">
        <f t="array" ref="DN200">MIN(100,
  IF(ISNUMBER(V200), _xlfn.IFS(V200&gt;=3,25, V200=2,15, V200=1,5, TRUE,0), 0)
  + IFERROR(_xlfn.IFS(VALUE(LEFT(DF200,1))=5,25, VALUE(LEFT(DF200,1))=4,20, VALUE(LEFT(DF200,1))=3,15, VALUE(LEFT(DF200,1))=2,8, TRUE,0), 15)
  + IFERROR(_xlfn.IFS(VALUE(LEFT(DG200,1))=5,25, VALUE(LEFT(DG200,1))=4,20, VALUE(LEFT(DG200,1))=3,15, VALUE(LEFT(DG200,1))=2,8, TRUE,0), 15)
  + _xlfn.IFS(DH200="Fully Verified",25, DH200="Partially Verified",12, TRUE,0)
)</f>
        <v>30</v>
      </c>
      <c r="DO200" s="5" t="str">
        <f t="array" ref="DO200">_xlfn.IFS(
  ISBLANK(AR200), "Insufficient Evidence",
  AND(AR200&gt;=65, AJ200="Approved"), "Strong",
  AR200&gt;=65, "Adequate",
  AR200&gt;=40, "Adequate",
  AR200&gt;=20, "Weak",
  TRUE, "Insufficient Evidence"
)</f>
        <v>Insufficient Evidence</v>
      </c>
      <c r="DP200" s="5" t="str">
        <f t="array" ref="DP200">_xlfn.IFS(
  ISBLANK(BS200), "Insufficient Evidence",
  BS200&gt;=65, "Strong",
  BS200&gt;=40, "Adequate",
  BS200&gt;=20, "Weak",
  TRUE, "Insufficient Evidence"
)</f>
        <v>Insufficient Evidence</v>
      </c>
      <c r="DQ200" s="5" t="str">
        <f t="array" ref="DQ200">_xlfn.IFS(
  ISBLANK(BE200), "Insufficient Evidence",
  OR(AW200="Confirmed Violation", AX200="Confirmed Breach"), "Severe — Hard Trigger",
  BE200&gt;=65, "Strong",
  BE200&gt;=40, "Adequate",
  BE200&gt;=20, "Weak",
  TRUE, "Insufficient Evidence"
)</f>
        <v>Insufficient Evidence</v>
      </c>
      <c r="DR200" s="5" t="str">
        <f t="array" ref="DR200">_xlfn.IFS(
  ISBLANK(CU200), "Insufficient Evidence",
  CU200&lt;=20, "Low Risk",
  CU200&lt;=50, "Moderate Risk",
  CU200&lt;=75, "High Risk",
  TRUE, "Very High Risk"
)</f>
        <v>Low Risk</v>
      </c>
      <c r="DS200" s="5" t="str">
        <f t="array" ref="DS200">_xlfn.IFS(
  ISBLANK(CE200), "Insufficient Evidence",
  AND(ISNUMBER(BW200),ISNUMBER(BV200),BW200&gt;BV200), "Overclaiming Risk",
  CE200&gt;=65, "Strong",
  CE200&gt;=40, "Adequate",
  TRUE, "Weak"
)</f>
        <v>Weak</v>
      </c>
      <c r="DT200" s="5">
        <f t="shared" si="111"/>
        <v>11.7</v>
      </c>
      <c r="DU200" s="5" t="str">
        <f t="array" ref="DU200">_xlfn.IFS(
  DV200="Upgraded to Clear", "Clear",
  DV200="Downgraded to Watchlist", "Watchlist",
  DV200="Downgraded to Exclusion", "Exclusion Risk",
  DB200="Yes — Automatic", "Exclusion Risk",
  OR(AW200="Confirmed Violation", AX200="Confirmed Breach"), "Exclusion Risk",
  OR(V200=0, ISBLANK(V200), DN200&lt;20), "Insufficient Evidence",
  AND(DT200&gt;=65, DA200="No", DB200="No"), "Clear",
  OR(DT200&gt;=40, DA200="Yes"), "Watchlist",
  TRUE, "Exclusion Risk"
)</f>
        <v>Insufficient Evidence</v>
      </c>
      <c r="DV200" s="5"/>
      <c r="DW200" s="5" t="str">
        <f t="array" ref="DW200">_xlfn.IFS(
  DU200="Exclusion Risk", "Exclude — Hard Trigger",
  DU200="Insufficient Evidence", "Watchlist — Further Evidence Needed",
  DU200="Watchlist", "Watchlist — Further Evidence Needed",
  AND(DU200="Clear", DT200&gt;=80), "Include — No Conditions",
  DU200="Clear", "Include — Monitor",
  TRUE, "Watchlist — Further Evidence Needed"
)</f>
        <v>Watchlist — Further Evidence Needed</v>
      </c>
      <c r="DX200" s="5"/>
      <c r="DY200" s="5"/>
      <c r="DZ200" s="5"/>
      <c r="EA200" s="5"/>
      <c r="EB200" s="5" t="str">
        <f t="shared" si="112"/>
        <v>MISSING — No sources reviewed</v>
      </c>
      <c r="EC200" s="5" t="str">
        <f t="shared" si="113"/>
        <v/>
      </c>
    </row>
    <row r="201" spans="1:133" ht="18" customHeight="1" x14ac:dyDescent="0.15">
      <c r="A201" s="5" t="s">
        <v>1617</v>
      </c>
      <c r="B201" s="5" t="s">
        <v>1617</v>
      </c>
      <c r="C201" s="5" t="str">
        <f>IF(ISBLANK('Universe Tracker'!D176),"",'Universe Tracker'!D176)</f>
        <v/>
      </c>
      <c r="D201" s="5"/>
      <c r="E201" s="5"/>
      <c r="F201" s="5" t="str">
        <f>IF(ISBLANK('Universe Tracker'!F176),"",'Universe Tracker'!F176)</f>
        <v/>
      </c>
      <c r="G201" s="5" t="str">
        <f>IF(ISBLANK('Universe Tracker'!G176),"",'Universe Tracker'!G176)</f>
        <v/>
      </c>
      <c r="H201" s="5"/>
      <c r="I201" s="5"/>
      <c r="J201" s="5" t="str">
        <f t="shared" si="101"/>
        <v>_</v>
      </c>
      <c r="K201" s="5"/>
      <c r="L201" s="5"/>
      <c r="M201" s="5"/>
      <c r="N201" s="5"/>
      <c r="O201" s="5"/>
      <c r="P201" s="5"/>
      <c r="Q201" s="5"/>
      <c r="R201" s="5"/>
      <c r="S201" s="5"/>
      <c r="T201" s="5"/>
      <c r="U201" s="5"/>
      <c r="V201" s="5"/>
      <c r="W201" s="5"/>
      <c r="X201" s="5"/>
      <c r="Y201" s="5" t="str">
        <f t="shared" si="102"/>
        <v>Insufficient</v>
      </c>
      <c r="Z201" s="5"/>
      <c r="AA201" s="5"/>
      <c r="AB201" s="5"/>
      <c r="AC201" s="5"/>
      <c r="AD201" s="5"/>
      <c r="AE201" s="5"/>
      <c r="AF201" s="5"/>
      <c r="AG201" s="5"/>
      <c r="AH201" s="5"/>
      <c r="AI201" s="5"/>
      <c r="AJ201" s="5"/>
      <c r="AK201" s="5"/>
      <c r="AL201" s="5"/>
      <c r="AM201" s="5"/>
      <c r="AN201" s="5"/>
      <c r="AO201" s="5"/>
      <c r="AP201" s="5"/>
      <c r="AQ201" s="5"/>
      <c r="AR201" s="40">
        <f t="array" ref="AR201">MIN(100, MAX(0,
  IFERROR(_xlfn.XLOOKUP(AJ201,'Lookup Tables'!$A$2:$A$7,'Lookup Tables'!$B$2:$B$7,0),0)
  + IF(Z201="Yes", IF(IFERROR(_xlfn.XLOOKUP(AJ201,'Lookup Tables'!$A$2:$A$7,'Lookup Tables'!$B$2:$B$7,0),0)&lt;20, 5, 0), 0)
  + _xlfn.IFS(AB201="Yes", IF(ISNUMBER(AC201)*AND(AC201&lt;=2030),15,10), AB201="Long-term Only", 5, AB201="No", 0, TRUE, 0)
  + _xlfn.IFS(AF201="Full",10, AF201="Partial",5, AF201="Scope 2 Only",3, TRUE,0)
  + _xlfn.IFS(AG201="Yes", IF(ISNUMBER(AH201)*AND(AH201&gt;=5),10,6), AG201="Partial",4, TRUE,0)
  + _xlfn.IFS(AI201="Yes",5, AI201="Partial (material categories only)",3, TRUE,0)
  + _xlfn.IFS(AL201="Yes — Detailed",10, AL201="Yes — High Level",5, TRUE,0)
  + _xlfn.IFS(AM201="Yes — Quantified",15, AM201="Yes — Directional Only",7, TRUE,0)
  + _xlfn.IFS(AP201="Formal",5, AP201="Referenced",2, TRUE,0)
  + _xlfn.IFS(AQ201="No Issues Found",5, AQ201="Concern Identified",-5, AQ201="Severe Contradiction",-15, TRUE,0)
  + _xlfn.IFS(BC201="Reasonable Assurance",5, BC201="Limited Assurance",3, TRUE,0)
  - IF(AND(Z201="Yes", AI201="No"), 10, 0)
  - IF(AND(Z201="Yes", AM201="No"), 10, 0)
))</f>
        <v>0</v>
      </c>
      <c r="AS201" s="5"/>
      <c r="AT201" s="5"/>
      <c r="AU201" s="5"/>
      <c r="AV201" s="5"/>
      <c r="AW201" s="5"/>
      <c r="AX201" s="5"/>
      <c r="AY201" s="5"/>
      <c r="AZ201" s="5"/>
      <c r="BA201" s="5"/>
      <c r="BB201" s="5"/>
      <c r="BC201" s="5"/>
      <c r="BD201" s="5"/>
      <c r="BE201" s="39">
        <f t="array" ref="BE201">MIN(100, MAX(0,
  IFERROR(_xlfn.XLOOKUP(AT201,'Lookup Tables'!$D$2:$D$6,'Lookup Tables'!$E$2:$E$6,0),0)
  + IFERROR(_xlfn.XLOOKUP(AV201,'Lookup Tables'!$G$2:$G$5,'Lookup Tables'!$H$2:$H$5,0),0)
  + IFERROR(_xlfn.XLOOKUP(AW201,'Lookup Tables'!$J$2:$J$5,'Lookup Tables'!$K$2:$K$5,0),0)
  + _xlfn.IFS(AX201="No Issues",10, AX201="Complaint Filed",3, AX201="Confirmed Breach",-15, TRUE,0)
  + IFERROR(_xlfn.XLOOKUP(AY201,'Lookup Tables'!$M$2:$M$6,'Lookup Tables'!$N$2:$N$6,0),0)
  + IFERROR(_xlfn.XLOOKUP(AZ201,'Lookup Tables'!$P$2:$P$6,'Lookup Tables'!$Q$2:$Q$6,0),0)
  + _xlfn.IFS(BA201="Formal Board Committee",5, BA201="Board Oversight Mentioned",2, TRUE,0)
  + _xlfn.IFS(BB201="Yes — Quantified Targets",5, BB201="Yes — Discretionary Only",2, TRUE,0)
  + _xlfn.IFS(BC201="Reasonable Assurance",5, BC201="Limited Assurance",3, BC201="Management Review Only",1, TRUE,0)
))</f>
        <v>0</v>
      </c>
      <c r="BF201" s="5"/>
      <c r="BG201" s="5"/>
      <c r="BH201" s="5"/>
      <c r="BI201" s="5"/>
      <c r="BJ201" s="5"/>
      <c r="BK201" s="5"/>
      <c r="BL201" s="5"/>
      <c r="BM201" s="5"/>
      <c r="BN201" s="5"/>
      <c r="BO201" s="5"/>
      <c r="BP201" s="5"/>
      <c r="BQ201" s="5"/>
      <c r="BR201" s="5"/>
      <c r="BS201" s="41">
        <f t="array" ref="BS201">MIN(100, MAX(0,
  IFERROR(_xlfn.XLOOKUP(BG201,'Lookup Tables'!$A$11:$A$16,'Lookup Tables'!$B$11:$B$16,0),0)
  + IFERROR(_xlfn.XLOOKUP(BR201,'Lookup Tables'!$M$11:$M$14,'Lookup Tables'!$N$11:$N$14,0),0)
  + IFERROR(_xlfn.XLOOKUP(BQ201,'Lookup Tables'!$J$11:$J$15,'Lookup Tables'!$K$11:$K$15,0),0)
  + IFERROR(_xlfn.XLOOKUP(BH201,'Lookup Tables'!$D$11:$D$15,'Lookup Tables'!$E$11:$E$15,0),0)
  + IFERROR(_xlfn.XLOOKUP(BJ201,'Lookup Tables'!$G$11:$G$16,'Lookup Tables'!$H$11:$H$16,0),0)
  + IFERROR(_xlfn.XLOOKUP(BN201,'Lookup Tables'!$P$11:$P$15,'Lookup Tables'!$Q$11:$Q$15,0),0)
  + _xlfn.IFS(BM201="No Evidence",10, BM201="Unknown",3, BM201="Likely",0, BM201="Confirmed",-10, TRUE,3)
  + IFERROR(_xlfn.XLOOKUP(BP201,'Lookup Tables'!$J$21:$J$24,'Lookup Tables'!$K$21:$K$24,0),0)
))</f>
        <v>3</v>
      </c>
      <c r="BT201" s="5"/>
      <c r="BU201" s="5"/>
      <c r="BV201" s="5"/>
      <c r="BW201" s="5"/>
      <c r="BX201" s="5"/>
      <c r="BY201" s="5"/>
      <c r="BZ201" s="5"/>
      <c r="CA201" s="5"/>
      <c r="CB201" s="5"/>
      <c r="CC201" s="5"/>
      <c r="CD201" s="5"/>
      <c r="CE201" s="43">
        <f t="array" ref="CE201">MIN(100, MAX(0,
  IF(ISNUMBER(BV201)*AND(BV201&gt;0), 10, 0)
  + _xlfn.IFS(BY201="Independently Verified",25, BY201="Yes",15, TRUE,0)
  + IFERROR(_xlfn.XLOOKUP(BZ201,'Lookup Tables'!$A$21:$A$24,'Lookup Tables'!$B$21:$B$24,0),0)
  + IFERROR(_xlfn.XLOOKUP(CA201,'Lookup Tables'!$D$21:$D$24,'Lookup Tables'!$E$21:$E$24,0),0)
  + _xlfn.IFS(ISNUMBER(CB201)*AND(CB201&gt;=11),15, ISNUMBER(CB201)*AND(CB201&gt;=6),10, ISNUMBER(CB201)*AND(CB201&gt;=1),5, TRUE,0)
  + IFERROR(_xlfn.XLOOKUP(CC201,'Lookup Tables'!$G$21:$G$25,'Lookup Tables'!$H$21:$H$25,0),0)
  - IF(ISNUMBER(BW201)*AND(ISNUMBER(BV201))*AND(BW201&gt;BV201), 20, 0)
  - IF(AND(BY201="Yes", ISNUMBER(BW201), BW201&gt;60), 10, 0)
))</f>
        <v>0</v>
      </c>
      <c r="CF201" s="5"/>
      <c r="CG201" s="5"/>
      <c r="CH201" s="5"/>
      <c r="CI201" s="5"/>
      <c r="CJ201" s="5"/>
      <c r="CK201" s="5"/>
      <c r="CL201" s="5"/>
      <c r="CM201" s="5"/>
      <c r="CN201" s="5"/>
      <c r="CO201" s="5"/>
      <c r="CP201" s="5"/>
      <c r="CQ201" s="5"/>
      <c r="CR201" s="5">
        <f t="shared" si="103"/>
        <v>0</v>
      </c>
      <c r="CS201" s="5">
        <f t="shared" si="104"/>
        <v>0</v>
      </c>
      <c r="CT201" s="5">
        <f t="shared" si="105"/>
        <v>0</v>
      </c>
      <c r="CU201" s="5">
        <f>MIN(100,
  CR201*15
  + CS201*6
  + CT201*3
  + IFERROR(_xlfn.XLOOKUP(CW201,'Lookup Tables'!$M$21:$M$25,'Lookup Tables'!$N$21:$N$25,0),0)
)</f>
        <v>0</v>
      </c>
      <c r="CV201" s="5" t="str">
        <f t="shared" si="106"/>
        <v>No failures</v>
      </c>
      <c r="CW201" s="5"/>
      <c r="CX201" s="5"/>
      <c r="CY201" s="5"/>
      <c r="CZ201" s="5"/>
      <c r="DA201" s="5" t="str">
        <f t="shared" si="107"/>
        <v>Yes</v>
      </c>
      <c r="DB201" s="5" t="str">
        <f t="shared" si="108"/>
        <v>No</v>
      </c>
      <c r="DC201" s="5"/>
      <c r="DD201" s="5"/>
      <c r="DE201" s="5"/>
      <c r="DF201" s="5"/>
      <c r="DG201" s="5"/>
      <c r="DH201" s="5"/>
      <c r="DI201" s="5"/>
      <c r="DJ201" s="5"/>
      <c r="DK201" s="5"/>
      <c r="DL201" s="5" t="str">
        <f t="shared" si="109"/>
        <v>Clear</v>
      </c>
      <c r="DM201" s="5" t="str">
        <f t="shared" si="110"/>
        <v>Yes</v>
      </c>
      <c r="DN201" s="5">
        <f t="array" ref="DN201">MIN(100,
  IF(ISNUMBER(V201), _xlfn.IFS(V201&gt;=3,25, V201=2,15, V201=1,5, TRUE,0), 0)
  + IFERROR(_xlfn.IFS(VALUE(LEFT(DF201,1))=5,25, VALUE(LEFT(DF201,1))=4,20, VALUE(LEFT(DF201,1))=3,15, VALUE(LEFT(DF201,1))=2,8, TRUE,0), 15)
  + IFERROR(_xlfn.IFS(VALUE(LEFT(DG201,1))=5,25, VALUE(LEFT(DG201,1))=4,20, VALUE(LEFT(DG201,1))=3,15, VALUE(LEFT(DG201,1))=2,8, TRUE,0), 15)
  + _xlfn.IFS(DH201="Fully Verified",25, DH201="Partially Verified",12, TRUE,0)
)</f>
        <v>30</v>
      </c>
      <c r="DO201" s="5" t="str">
        <f t="array" ref="DO201">_xlfn.IFS(
  ISBLANK(AR201), "Insufficient Evidence",
  AND(AR201&gt;=65, AJ201="Approved"), "Strong",
  AR201&gt;=65, "Adequate",
  AR201&gt;=40, "Adequate",
  AR201&gt;=20, "Weak",
  TRUE, "Insufficient Evidence"
)</f>
        <v>Insufficient Evidence</v>
      </c>
      <c r="DP201" s="5" t="str">
        <f t="array" ref="DP201">_xlfn.IFS(
  ISBLANK(BS201), "Insufficient Evidence",
  BS201&gt;=65, "Strong",
  BS201&gt;=40, "Adequate",
  BS201&gt;=20, "Weak",
  TRUE, "Insufficient Evidence"
)</f>
        <v>Insufficient Evidence</v>
      </c>
      <c r="DQ201" s="5" t="str">
        <f t="array" ref="DQ201">_xlfn.IFS(
  ISBLANK(BE201), "Insufficient Evidence",
  OR(AW201="Confirmed Violation", AX201="Confirmed Breach"), "Severe — Hard Trigger",
  BE201&gt;=65, "Strong",
  BE201&gt;=40, "Adequate",
  BE201&gt;=20, "Weak",
  TRUE, "Insufficient Evidence"
)</f>
        <v>Insufficient Evidence</v>
      </c>
      <c r="DR201" s="5" t="str">
        <f t="array" ref="DR201">_xlfn.IFS(
  ISBLANK(CU201), "Insufficient Evidence",
  CU201&lt;=20, "Low Risk",
  CU201&lt;=50, "Moderate Risk",
  CU201&lt;=75, "High Risk",
  TRUE, "Very High Risk"
)</f>
        <v>Low Risk</v>
      </c>
      <c r="DS201" s="5" t="str">
        <f t="array" ref="DS201">_xlfn.IFS(
  ISBLANK(CE201), "Insufficient Evidence",
  AND(ISNUMBER(BW201),ISNUMBER(BV201),BW201&gt;BV201), "Overclaiming Risk",
  CE201&gt;=65, "Strong",
  CE201&gt;=40, "Adequate",
  TRUE, "Weak"
)</f>
        <v>Weak</v>
      </c>
      <c r="DT201" s="5">
        <f t="shared" si="111"/>
        <v>11.7</v>
      </c>
      <c r="DU201" s="5" t="str">
        <f t="array" ref="DU201">_xlfn.IFS(
  DV201="Upgraded to Clear", "Clear",
  DV201="Downgraded to Watchlist", "Watchlist",
  DV201="Downgraded to Exclusion", "Exclusion Risk",
  DB201="Yes — Automatic", "Exclusion Risk",
  OR(AW201="Confirmed Violation", AX201="Confirmed Breach"), "Exclusion Risk",
  OR(V201=0, ISBLANK(V201), DN201&lt;20), "Insufficient Evidence",
  AND(DT201&gt;=65, DA201="No", DB201="No"), "Clear",
  OR(DT201&gt;=40, DA201="Yes"), "Watchlist",
  TRUE, "Exclusion Risk"
)</f>
        <v>Insufficient Evidence</v>
      </c>
      <c r="DV201" s="5"/>
      <c r="DW201" s="5" t="str">
        <f t="array" ref="DW201">_xlfn.IFS(
  DU201="Exclusion Risk", "Exclude — Hard Trigger",
  DU201="Insufficient Evidence", "Watchlist — Further Evidence Needed",
  DU201="Watchlist", "Watchlist — Further Evidence Needed",
  AND(DU201="Clear", DT201&gt;=80), "Include — No Conditions",
  DU201="Clear", "Include — Monitor",
  TRUE, "Watchlist — Further Evidence Needed"
)</f>
        <v>Watchlist — Further Evidence Needed</v>
      </c>
      <c r="DX201" s="5"/>
      <c r="DY201" s="5"/>
      <c r="DZ201" s="5"/>
      <c r="EA201" s="5"/>
      <c r="EB201" s="5" t="str">
        <f t="shared" si="112"/>
        <v>MISSING — No sources reviewed</v>
      </c>
      <c r="EC201" s="5" t="str">
        <f t="shared" si="113"/>
        <v/>
      </c>
    </row>
    <row r="202" spans="1:133" ht="18" customHeight="1" x14ac:dyDescent="0.15">
      <c r="A202" s="5" t="s">
        <v>1617</v>
      </c>
      <c r="B202" s="5" t="s">
        <v>1617</v>
      </c>
      <c r="C202" s="5" t="str">
        <f>IF(ISBLANK('Universe Tracker'!D177),"",'Universe Tracker'!D177)</f>
        <v/>
      </c>
      <c r="D202" s="5"/>
      <c r="E202" s="5"/>
      <c r="F202" s="5" t="str">
        <f>IF(ISBLANK('Universe Tracker'!F177),"",'Universe Tracker'!F177)</f>
        <v/>
      </c>
      <c r="G202" s="5" t="str">
        <f>IF(ISBLANK('Universe Tracker'!G177),"",'Universe Tracker'!G177)</f>
        <v/>
      </c>
      <c r="H202" s="5"/>
      <c r="I202" s="5"/>
      <c r="J202" s="5" t="str">
        <f t="shared" si="101"/>
        <v>_</v>
      </c>
      <c r="K202" s="5"/>
      <c r="L202" s="5"/>
      <c r="M202" s="5"/>
      <c r="N202" s="5"/>
      <c r="O202" s="5"/>
      <c r="P202" s="5"/>
      <c r="Q202" s="5"/>
      <c r="R202" s="5"/>
      <c r="S202" s="5"/>
      <c r="T202" s="5"/>
      <c r="U202" s="5"/>
      <c r="V202" s="5"/>
      <c r="W202" s="5"/>
      <c r="X202" s="5"/>
      <c r="Y202" s="5" t="str">
        <f t="shared" si="102"/>
        <v>Insufficient</v>
      </c>
      <c r="Z202" s="5"/>
      <c r="AA202" s="5"/>
      <c r="AB202" s="5"/>
      <c r="AC202" s="5"/>
      <c r="AD202" s="5"/>
      <c r="AE202" s="5"/>
      <c r="AF202" s="5"/>
      <c r="AG202" s="5"/>
      <c r="AH202" s="5"/>
      <c r="AI202" s="5"/>
      <c r="AJ202" s="5"/>
      <c r="AK202" s="5"/>
      <c r="AL202" s="5"/>
      <c r="AM202" s="5"/>
      <c r="AN202" s="5"/>
      <c r="AO202" s="5"/>
      <c r="AP202" s="5"/>
      <c r="AQ202" s="5"/>
      <c r="AR202" s="40">
        <f t="array" ref="AR202">MIN(100, MAX(0,
  IFERROR(_xlfn.XLOOKUP(AJ202,'Lookup Tables'!$A$2:$A$7,'Lookup Tables'!$B$2:$B$7,0),0)
  + IF(Z202="Yes", IF(IFERROR(_xlfn.XLOOKUP(AJ202,'Lookup Tables'!$A$2:$A$7,'Lookup Tables'!$B$2:$B$7,0),0)&lt;20, 5, 0), 0)
  + _xlfn.IFS(AB202="Yes", IF(ISNUMBER(AC202)*AND(AC202&lt;=2030),15,10), AB202="Long-term Only", 5, AB202="No", 0, TRUE, 0)
  + _xlfn.IFS(AF202="Full",10, AF202="Partial",5, AF202="Scope 2 Only",3, TRUE,0)
  + _xlfn.IFS(AG202="Yes", IF(ISNUMBER(AH202)*AND(AH202&gt;=5),10,6), AG202="Partial",4, TRUE,0)
  + _xlfn.IFS(AI202="Yes",5, AI202="Partial (material categories only)",3, TRUE,0)
  + _xlfn.IFS(AL202="Yes — Detailed",10, AL202="Yes — High Level",5, TRUE,0)
  + _xlfn.IFS(AM202="Yes — Quantified",15, AM202="Yes — Directional Only",7, TRUE,0)
  + _xlfn.IFS(AP202="Formal",5, AP202="Referenced",2, TRUE,0)
  + _xlfn.IFS(AQ202="No Issues Found",5, AQ202="Concern Identified",-5, AQ202="Severe Contradiction",-15, TRUE,0)
  + _xlfn.IFS(BC202="Reasonable Assurance",5, BC202="Limited Assurance",3, TRUE,0)
  - IF(AND(Z202="Yes", AI202="No"), 10, 0)
  - IF(AND(Z202="Yes", AM202="No"), 10, 0)
))</f>
        <v>0</v>
      </c>
      <c r="AS202" s="5"/>
      <c r="AT202" s="5"/>
      <c r="AU202" s="5"/>
      <c r="AV202" s="5"/>
      <c r="AW202" s="5"/>
      <c r="AX202" s="5"/>
      <c r="AY202" s="5"/>
      <c r="AZ202" s="5"/>
      <c r="BA202" s="5"/>
      <c r="BB202" s="5"/>
      <c r="BC202" s="5"/>
      <c r="BD202" s="5"/>
      <c r="BE202" s="39">
        <f t="array" ref="BE202">MIN(100, MAX(0,
  IFERROR(_xlfn.XLOOKUP(AT202,'Lookup Tables'!$D$2:$D$6,'Lookup Tables'!$E$2:$E$6,0),0)
  + IFERROR(_xlfn.XLOOKUP(AV202,'Lookup Tables'!$G$2:$G$5,'Lookup Tables'!$H$2:$H$5,0),0)
  + IFERROR(_xlfn.XLOOKUP(AW202,'Lookup Tables'!$J$2:$J$5,'Lookup Tables'!$K$2:$K$5,0),0)
  + _xlfn.IFS(AX202="No Issues",10, AX202="Complaint Filed",3, AX202="Confirmed Breach",-15, TRUE,0)
  + IFERROR(_xlfn.XLOOKUP(AY202,'Lookup Tables'!$M$2:$M$6,'Lookup Tables'!$N$2:$N$6,0),0)
  + IFERROR(_xlfn.XLOOKUP(AZ202,'Lookup Tables'!$P$2:$P$6,'Lookup Tables'!$Q$2:$Q$6,0),0)
  + _xlfn.IFS(BA202="Formal Board Committee",5, BA202="Board Oversight Mentioned",2, TRUE,0)
  + _xlfn.IFS(BB202="Yes — Quantified Targets",5, BB202="Yes — Discretionary Only",2, TRUE,0)
  + _xlfn.IFS(BC202="Reasonable Assurance",5, BC202="Limited Assurance",3, BC202="Management Review Only",1, TRUE,0)
))</f>
        <v>0</v>
      </c>
      <c r="BF202" s="5"/>
      <c r="BG202" s="5"/>
      <c r="BH202" s="5"/>
      <c r="BI202" s="5"/>
      <c r="BJ202" s="5"/>
      <c r="BK202" s="5"/>
      <c r="BL202" s="5"/>
      <c r="BM202" s="5"/>
      <c r="BN202" s="5"/>
      <c r="BO202" s="5"/>
      <c r="BP202" s="5"/>
      <c r="BQ202" s="5"/>
      <c r="BR202" s="5"/>
      <c r="BS202" s="41">
        <f t="array" ref="BS202">MIN(100, MAX(0,
  IFERROR(_xlfn.XLOOKUP(BG202,'Lookup Tables'!$A$11:$A$16,'Lookup Tables'!$B$11:$B$16,0),0)
  + IFERROR(_xlfn.XLOOKUP(BR202,'Lookup Tables'!$M$11:$M$14,'Lookup Tables'!$N$11:$N$14,0),0)
  + IFERROR(_xlfn.XLOOKUP(BQ202,'Lookup Tables'!$J$11:$J$15,'Lookup Tables'!$K$11:$K$15,0),0)
  + IFERROR(_xlfn.XLOOKUP(BH202,'Lookup Tables'!$D$11:$D$15,'Lookup Tables'!$E$11:$E$15,0),0)
  + IFERROR(_xlfn.XLOOKUP(BJ202,'Lookup Tables'!$G$11:$G$16,'Lookup Tables'!$H$11:$H$16,0),0)
  + IFERROR(_xlfn.XLOOKUP(BN202,'Lookup Tables'!$P$11:$P$15,'Lookup Tables'!$Q$11:$Q$15,0),0)
  + _xlfn.IFS(BM202="No Evidence",10, BM202="Unknown",3, BM202="Likely",0, BM202="Confirmed",-10, TRUE,3)
  + IFERROR(_xlfn.XLOOKUP(BP202,'Lookup Tables'!$J$21:$J$24,'Lookup Tables'!$K$21:$K$24,0),0)
))</f>
        <v>3</v>
      </c>
      <c r="BT202" s="5"/>
      <c r="BU202" s="5"/>
      <c r="BV202" s="5"/>
      <c r="BW202" s="5"/>
      <c r="BX202" s="5"/>
      <c r="BY202" s="5"/>
      <c r="BZ202" s="5"/>
      <c r="CA202" s="5"/>
      <c r="CB202" s="5"/>
      <c r="CC202" s="5"/>
      <c r="CD202" s="5"/>
      <c r="CE202" s="43">
        <f t="array" ref="CE202">MIN(100, MAX(0,
  IF(ISNUMBER(BV202)*AND(BV202&gt;0), 10, 0)
  + _xlfn.IFS(BY202="Independently Verified",25, BY202="Yes",15, TRUE,0)
  + IFERROR(_xlfn.XLOOKUP(BZ202,'Lookup Tables'!$A$21:$A$24,'Lookup Tables'!$B$21:$B$24,0),0)
  + IFERROR(_xlfn.XLOOKUP(CA202,'Lookup Tables'!$D$21:$D$24,'Lookup Tables'!$E$21:$E$24,0),0)
  + _xlfn.IFS(ISNUMBER(CB202)*AND(CB202&gt;=11),15, ISNUMBER(CB202)*AND(CB202&gt;=6),10, ISNUMBER(CB202)*AND(CB202&gt;=1),5, TRUE,0)
  + IFERROR(_xlfn.XLOOKUP(CC202,'Lookup Tables'!$G$21:$G$25,'Lookup Tables'!$H$21:$H$25,0),0)
  - IF(ISNUMBER(BW202)*AND(ISNUMBER(BV202))*AND(BW202&gt;BV202), 20, 0)
  - IF(AND(BY202="Yes", ISNUMBER(BW202), BW202&gt;60), 10, 0)
))</f>
        <v>0</v>
      </c>
      <c r="CF202" s="5"/>
      <c r="CG202" s="5"/>
      <c r="CH202" s="5"/>
      <c r="CI202" s="5"/>
      <c r="CJ202" s="5"/>
      <c r="CK202" s="5"/>
      <c r="CL202" s="5"/>
      <c r="CM202" s="5"/>
      <c r="CN202" s="5"/>
      <c r="CO202" s="5"/>
      <c r="CP202" s="5"/>
      <c r="CQ202" s="5"/>
      <c r="CR202" s="5">
        <f t="shared" si="103"/>
        <v>0</v>
      </c>
      <c r="CS202" s="5">
        <f t="shared" si="104"/>
        <v>0</v>
      </c>
      <c r="CT202" s="5">
        <f t="shared" si="105"/>
        <v>0</v>
      </c>
      <c r="CU202" s="5">
        <f>MIN(100,
  CR202*15
  + CS202*6
  + CT202*3
  + IFERROR(_xlfn.XLOOKUP(CW202,'Lookup Tables'!$M$21:$M$25,'Lookup Tables'!$N$21:$N$25,0),0)
)</f>
        <v>0</v>
      </c>
      <c r="CV202" s="5" t="str">
        <f t="shared" si="106"/>
        <v>No failures</v>
      </c>
      <c r="CW202" s="5"/>
      <c r="CX202" s="5"/>
      <c r="CY202" s="5"/>
      <c r="CZ202" s="5"/>
      <c r="DA202" s="5" t="str">
        <f t="shared" si="107"/>
        <v>Yes</v>
      </c>
      <c r="DB202" s="5" t="str">
        <f t="shared" si="108"/>
        <v>No</v>
      </c>
      <c r="DC202" s="5"/>
      <c r="DD202" s="5"/>
      <c r="DE202" s="5"/>
      <c r="DF202" s="5"/>
      <c r="DG202" s="5"/>
      <c r="DH202" s="5"/>
      <c r="DI202" s="5"/>
      <c r="DJ202" s="5"/>
      <c r="DK202" s="5"/>
      <c r="DL202" s="5" t="str">
        <f t="shared" si="109"/>
        <v>Clear</v>
      </c>
      <c r="DM202" s="5" t="str">
        <f t="shared" si="110"/>
        <v>Yes</v>
      </c>
      <c r="DN202" s="5">
        <f t="array" ref="DN202">MIN(100,
  IF(ISNUMBER(V202), _xlfn.IFS(V202&gt;=3,25, V202=2,15, V202=1,5, TRUE,0), 0)
  + IFERROR(_xlfn.IFS(VALUE(LEFT(DF202,1))=5,25, VALUE(LEFT(DF202,1))=4,20, VALUE(LEFT(DF202,1))=3,15, VALUE(LEFT(DF202,1))=2,8, TRUE,0), 15)
  + IFERROR(_xlfn.IFS(VALUE(LEFT(DG202,1))=5,25, VALUE(LEFT(DG202,1))=4,20, VALUE(LEFT(DG202,1))=3,15, VALUE(LEFT(DG202,1))=2,8, TRUE,0), 15)
  + _xlfn.IFS(DH202="Fully Verified",25, DH202="Partially Verified",12, TRUE,0)
)</f>
        <v>30</v>
      </c>
      <c r="DO202" s="5" t="str">
        <f t="array" ref="DO202">_xlfn.IFS(
  ISBLANK(AR202), "Insufficient Evidence",
  AND(AR202&gt;=65, AJ202="Approved"), "Strong",
  AR202&gt;=65, "Adequate",
  AR202&gt;=40, "Adequate",
  AR202&gt;=20, "Weak",
  TRUE, "Insufficient Evidence"
)</f>
        <v>Insufficient Evidence</v>
      </c>
      <c r="DP202" s="5" t="str">
        <f t="array" ref="DP202">_xlfn.IFS(
  ISBLANK(BS202), "Insufficient Evidence",
  BS202&gt;=65, "Strong",
  BS202&gt;=40, "Adequate",
  BS202&gt;=20, "Weak",
  TRUE, "Insufficient Evidence"
)</f>
        <v>Insufficient Evidence</v>
      </c>
      <c r="DQ202" s="5" t="str">
        <f t="array" ref="DQ202">_xlfn.IFS(
  ISBLANK(BE202), "Insufficient Evidence",
  OR(AW202="Confirmed Violation", AX202="Confirmed Breach"), "Severe — Hard Trigger",
  BE202&gt;=65, "Strong",
  BE202&gt;=40, "Adequate",
  BE202&gt;=20, "Weak",
  TRUE, "Insufficient Evidence"
)</f>
        <v>Insufficient Evidence</v>
      </c>
      <c r="DR202" s="5" t="str">
        <f t="array" ref="DR202">_xlfn.IFS(
  ISBLANK(CU202), "Insufficient Evidence",
  CU202&lt;=20, "Low Risk",
  CU202&lt;=50, "Moderate Risk",
  CU202&lt;=75, "High Risk",
  TRUE, "Very High Risk"
)</f>
        <v>Low Risk</v>
      </c>
      <c r="DS202" s="5" t="str">
        <f t="array" ref="DS202">_xlfn.IFS(
  ISBLANK(CE202), "Insufficient Evidence",
  AND(ISNUMBER(BW202),ISNUMBER(BV202),BW202&gt;BV202), "Overclaiming Risk",
  CE202&gt;=65, "Strong",
  CE202&gt;=40, "Adequate",
  TRUE, "Weak"
)</f>
        <v>Weak</v>
      </c>
      <c r="DT202" s="5">
        <f t="shared" si="111"/>
        <v>11.7</v>
      </c>
      <c r="DU202" s="5" t="str">
        <f t="array" ref="DU202">_xlfn.IFS(
  DV202="Upgraded to Clear", "Clear",
  DV202="Downgraded to Watchlist", "Watchlist",
  DV202="Downgraded to Exclusion", "Exclusion Risk",
  DB202="Yes — Automatic", "Exclusion Risk",
  OR(AW202="Confirmed Violation", AX202="Confirmed Breach"), "Exclusion Risk",
  OR(V202=0, ISBLANK(V202), DN202&lt;20), "Insufficient Evidence",
  AND(DT202&gt;=65, DA202="No", DB202="No"), "Clear",
  OR(DT202&gt;=40, DA202="Yes"), "Watchlist",
  TRUE, "Exclusion Risk"
)</f>
        <v>Insufficient Evidence</v>
      </c>
      <c r="DV202" s="5"/>
      <c r="DW202" s="5" t="str">
        <f t="array" ref="DW202">_xlfn.IFS(
  DU202="Exclusion Risk", "Exclude — Hard Trigger",
  DU202="Insufficient Evidence", "Watchlist — Further Evidence Needed",
  DU202="Watchlist", "Watchlist — Further Evidence Needed",
  AND(DU202="Clear", DT202&gt;=80), "Include — No Conditions",
  DU202="Clear", "Include — Monitor",
  TRUE, "Watchlist — Further Evidence Needed"
)</f>
        <v>Watchlist — Further Evidence Needed</v>
      </c>
      <c r="DX202" s="5"/>
      <c r="DY202" s="5"/>
      <c r="DZ202" s="5"/>
      <c r="EA202" s="5"/>
      <c r="EB202" s="5" t="str">
        <f t="shared" si="112"/>
        <v>MISSING — No sources reviewed</v>
      </c>
      <c r="EC202" s="5" t="str">
        <f t="shared" si="113"/>
        <v/>
      </c>
    </row>
    <row r="203" spans="1:133" ht="18" customHeight="1" x14ac:dyDescent="0.15">
      <c r="A203" s="5" t="s">
        <v>1617</v>
      </c>
      <c r="B203" s="5" t="s">
        <v>1617</v>
      </c>
      <c r="C203" s="5" t="str">
        <f>IF(ISBLANK('Universe Tracker'!D178),"",'Universe Tracker'!D178)</f>
        <v/>
      </c>
      <c r="D203" s="5"/>
      <c r="E203" s="5"/>
      <c r="F203" s="5" t="str">
        <f>IF(ISBLANK('Universe Tracker'!F178),"",'Universe Tracker'!F178)</f>
        <v/>
      </c>
      <c r="G203" s="5" t="str">
        <f>IF(ISBLANK('Universe Tracker'!G178),"",'Universe Tracker'!G178)</f>
        <v/>
      </c>
      <c r="H203" s="5"/>
      <c r="I203" s="5"/>
      <c r="J203" s="5" t="str">
        <f t="shared" si="101"/>
        <v>_</v>
      </c>
      <c r="K203" s="5"/>
      <c r="L203" s="5"/>
      <c r="M203" s="5"/>
      <c r="N203" s="5"/>
      <c r="O203" s="5"/>
      <c r="P203" s="5"/>
      <c r="Q203" s="5"/>
      <c r="R203" s="5"/>
      <c r="S203" s="5"/>
      <c r="T203" s="5"/>
      <c r="U203" s="5"/>
      <c r="V203" s="5"/>
      <c r="W203" s="5"/>
      <c r="X203" s="5"/>
      <c r="Y203" s="5" t="str">
        <f t="shared" si="102"/>
        <v>Insufficient</v>
      </c>
      <c r="Z203" s="5"/>
      <c r="AA203" s="5"/>
      <c r="AB203" s="5"/>
      <c r="AC203" s="5"/>
      <c r="AD203" s="5"/>
      <c r="AE203" s="5"/>
      <c r="AF203" s="5"/>
      <c r="AG203" s="5"/>
      <c r="AH203" s="5"/>
      <c r="AI203" s="5"/>
      <c r="AJ203" s="5"/>
      <c r="AK203" s="5"/>
      <c r="AL203" s="5"/>
      <c r="AM203" s="5"/>
      <c r="AN203" s="5"/>
      <c r="AO203" s="5"/>
      <c r="AP203" s="5"/>
      <c r="AQ203" s="5"/>
      <c r="AR203" s="40">
        <f t="array" ref="AR203">MIN(100, MAX(0,
  IFERROR(_xlfn.XLOOKUP(AJ203,'Lookup Tables'!$A$2:$A$7,'Lookup Tables'!$B$2:$B$7,0),0)
  + IF(Z203="Yes", IF(IFERROR(_xlfn.XLOOKUP(AJ203,'Lookup Tables'!$A$2:$A$7,'Lookup Tables'!$B$2:$B$7,0),0)&lt;20, 5, 0), 0)
  + _xlfn.IFS(AB203="Yes", IF(ISNUMBER(AC203)*AND(AC203&lt;=2030),15,10), AB203="Long-term Only", 5, AB203="No", 0, TRUE, 0)
  + _xlfn.IFS(AF203="Full",10, AF203="Partial",5, AF203="Scope 2 Only",3, TRUE,0)
  + _xlfn.IFS(AG203="Yes", IF(ISNUMBER(AH203)*AND(AH203&gt;=5),10,6), AG203="Partial",4, TRUE,0)
  + _xlfn.IFS(AI203="Yes",5, AI203="Partial (material categories only)",3, TRUE,0)
  + _xlfn.IFS(AL203="Yes — Detailed",10, AL203="Yes — High Level",5, TRUE,0)
  + _xlfn.IFS(AM203="Yes — Quantified",15, AM203="Yes — Directional Only",7, TRUE,0)
  + _xlfn.IFS(AP203="Formal",5, AP203="Referenced",2, TRUE,0)
  + _xlfn.IFS(AQ203="No Issues Found",5, AQ203="Concern Identified",-5, AQ203="Severe Contradiction",-15, TRUE,0)
  + _xlfn.IFS(BC203="Reasonable Assurance",5, BC203="Limited Assurance",3, TRUE,0)
  - IF(AND(Z203="Yes", AI203="No"), 10, 0)
  - IF(AND(Z203="Yes", AM203="No"), 10, 0)
))</f>
        <v>0</v>
      </c>
      <c r="AS203" s="5"/>
      <c r="AT203" s="5"/>
      <c r="AU203" s="5"/>
      <c r="AV203" s="5"/>
      <c r="AW203" s="5"/>
      <c r="AX203" s="5"/>
      <c r="AY203" s="5"/>
      <c r="AZ203" s="5"/>
      <c r="BA203" s="5"/>
      <c r="BB203" s="5"/>
      <c r="BC203" s="5"/>
      <c r="BD203" s="5"/>
      <c r="BE203" s="39">
        <f t="array" ref="BE203">MIN(100, MAX(0,
  IFERROR(_xlfn.XLOOKUP(AT203,'Lookup Tables'!$D$2:$D$6,'Lookup Tables'!$E$2:$E$6,0),0)
  + IFERROR(_xlfn.XLOOKUP(AV203,'Lookup Tables'!$G$2:$G$5,'Lookup Tables'!$H$2:$H$5,0),0)
  + IFERROR(_xlfn.XLOOKUP(AW203,'Lookup Tables'!$J$2:$J$5,'Lookup Tables'!$K$2:$K$5,0),0)
  + _xlfn.IFS(AX203="No Issues",10, AX203="Complaint Filed",3, AX203="Confirmed Breach",-15, TRUE,0)
  + IFERROR(_xlfn.XLOOKUP(AY203,'Lookup Tables'!$M$2:$M$6,'Lookup Tables'!$N$2:$N$6,0),0)
  + IFERROR(_xlfn.XLOOKUP(AZ203,'Lookup Tables'!$P$2:$P$6,'Lookup Tables'!$Q$2:$Q$6,0),0)
  + _xlfn.IFS(BA203="Formal Board Committee",5, BA203="Board Oversight Mentioned",2, TRUE,0)
  + _xlfn.IFS(BB203="Yes — Quantified Targets",5, BB203="Yes — Discretionary Only",2, TRUE,0)
  + _xlfn.IFS(BC203="Reasonable Assurance",5, BC203="Limited Assurance",3, BC203="Management Review Only",1, TRUE,0)
))</f>
        <v>0</v>
      </c>
      <c r="BF203" s="5"/>
      <c r="BG203" s="5"/>
      <c r="BH203" s="5"/>
      <c r="BI203" s="5"/>
      <c r="BJ203" s="5"/>
      <c r="BK203" s="5"/>
      <c r="BL203" s="5"/>
      <c r="BM203" s="5"/>
      <c r="BN203" s="5"/>
      <c r="BO203" s="5"/>
      <c r="BP203" s="5"/>
      <c r="BQ203" s="5"/>
      <c r="BR203" s="5"/>
      <c r="BS203" s="41">
        <f t="array" ref="BS203">MIN(100, MAX(0,
  IFERROR(_xlfn.XLOOKUP(BG203,'Lookup Tables'!$A$11:$A$16,'Lookup Tables'!$B$11:$B$16,0),0)
  + IFERROR(_xlfn.XLOOKUP(BR203,'Lookup Tables'!$M$11:$M$14,'Lookup Tables'!$N$11:$N$14,0),0)
  + IFERROR(_xlfn.XLOOKUP(BQ203,'Lookup Tables'!$J$11:$J$15,'Lookup Tables'!$K$11:$K$15,0),0)
  + IFERROR(_xlfn.XLOOKUP(BH203,'Lookup Tables'!$D$11:$D$15,'Lookup Tables'!$E$11:$E$15,0),0)
  + IFERROR(_xlfn.XLOOKUP(BJ203,'Lookup Tables'!$G$11:$G$16,'Lookup Tables'!$H$11:$H$16,0),0)
  + IFERROR(_xlfn.XLOOKUP(BN203,'Lookup Tables'!$P$11:$P$15,'Lookup Tables'!$Q$11:$Q$15,0),0)
  + _xlfn.IFS(BM203="No Evidence",10, BM203="Unknown",3, BM203="Likely",0, BM203="Confirmed",-10, TRUE,3)
  + IFERROR(_xlfn.XLOOKUP(BP203,'Lookup Tables'!$J$21:$J$24,'Lookup Tables'!$K$21:$K$24,0),0)
))</f>
        <v>3</v>
      </c>
      <c r="BT203" s="5"/>
      <c r="BU203" s="5"/>
      <c r="BV203" s="5"/>
      <c r="BW203" s="5"/>
      <c r="BX203" s="5"/>
      <c r="BY203" s="5"/>
      <c r="BZ203" s="5"/>
      <c r="CA203" s="5"/>
      <c r="CB203" s="5"/>
      <c r="CC203" s="5"/>
      <c r="CD203" s="5"/>
      <c r="CE203" s="43">
        <f t="array" ref="CE203">MIN(100, MAX(0,
  IF(ISNUMBER(BV203)*AND(BV203&gt;0), 10, 0)
  + _xlfn.IFS(BY203="Independently Verified",25, BY203="Yes",15, TRUE,0)
  + IFERROR(_xlfn.XLOOKUP(BZ203,'Lookup Tables'!$A$21:$A$24,'Lookup Tables'!$B$21:$B$24,0),0)
  + IFERROR(_xlfn.XLOOKUP(CA203,'Lookup Tables'!$D$21:$D$24,'Lookup Tables'!$E$21:$E$24,0),0)
  + _xlfn.IFS(ISNUMBER(CB203)*AND(CB203&gt;=11),15, ISNUMBER(CB203)*AND(CB203&gt;=6),10, ISNUMBER(CB203)*AND(CB203&gt;=1),5, TRUE,0)
  + IFERROR(_xlfn.XLOOKUP(CC203,'Lookup Tables'!$G$21:$G$25,'Lookup Tables'!$H$21:$H$25,0),0)
  - IF(ISNUMBER(BW203)*AND(ISNUMBER(BV203))*AND(BW203&gt;BV203), 20, 0)
  - IF(AND(BY203="Yes", ISNUMBER(BW203), BW203&gt;60), 10, 0)
))</f>
        <v>0</v>
      </c>
      <c r="CF203" s="5"/>
      <c r="CG203" s="5"/>
      <c r="CH203" s="5"/>
      <c r="CI203" s="5"/>
      <c r="CJ203" s="5"/>
      <c r="CK203" s="5"/>
      <c r="CL203" s="5"/>
      <c r="CM203" s="5"/>
      <c r="CN203" s="5"/>
      <c r="CO203" s="5"/>
      <c r="CP203" s="5"/>
      <c r="CQ203" s="5"/>
      <c r="CR203" s="5">
        <f t="shared" si="103"/>
        <v>0</v>
      </c>
      <c r="CS203" s="5">
        <f t="shared" si="104"/>
        <v>0</v>
      </c>
      <c r="CT203" s="5">
        <f t="shared" si="105"/>
        <v>0</v>
      </c>
      <c r="CU203" s="5">
        <f>MIN(100,
  CR203*15
  + CS203*6
  + CT203*3
  + IFERROR(_xlfn.XLOOKUP(CW203,'Lookup Tables'!$M$21:$M$25,'Lookup Tables'!$N$21:$N$25,0),0)
)</f>
        <v>0</v>
      </c>
      <c r="CV203" s="5" t="str">
        <f t="shared" si="106"/>
        <v>No failures</v>
      </c>
      <c r="CW203" s="5"/>
      <c r="CX203" s="5"/>
      <c r="CY203" s="5"/>
      <c r="CZ203" s="5"/>
      <c r="DA203" s="5" t="str">
        <f t="shared" si="107"/>
        <v>Yes</v>
      </c>
      <c r="DB203" s="5" t="str">
        <f t="shared" si="108"/>
        <v>No</v>
      </c>
      <c r="DC203" s="5"/>
      <c r="DD203" s="5"/>
      <c r="DE203" s="5"/>
      <c r="DF203" s="5"/>
      <c r="DG203" s="5"/>
      <c r="DH203" s="5"/>
      <c r="DI203" s="5"/>
      <c r="DJ203" s="5"/>
      <c r="DK203" s="5"/>
      <c r="DL203" s="5" t="str">
        <f t="shared" si="109"/>
        <v>Clear</v>
      </c>
      <c r="DM203" s="5" t="str">
        <f t="shared" si="110"/>
        <v>Yes</v>
      </c>
      <c r="DN203" s="5">
        <f t="array" ref="DN203">MIN(100,
  IF(ISNUMBER(V203), _xlfn.IFS(V203&gt;=3,25, V203=2,15, V203=1,5, TRUE,0), 0)
  + IFERROR(_xlfn.IFS(VALUE(LEFT(DF203,1))=5,25, VALUE(LEFT(DF203,1))=4,20, VALUE(LEFT(DF203,1))=3,15, VALUE(LEFT(DF203,1))=2,8, TRUE,0), 15)
  + IFERROR(_xlfn.IFS(VALUE(LEFT(DG203,1))=5,25, VALUE(LEFT(DG203,1))=4,20, VALUE(LEFT(DG203,1))=3,15, VALUE(LEFT(DG203,1))=2,8, TRUE,0), 15)
  + _xlfn.IFS(DH203="Fully Verified",25, DH203="Partially Verified",12, TRUE,0)
)</f>
        <v>30</v>
      </c>
      <c r="DO203" s="5" t="str">
        <f t="array" ref="DO203">_xlfn.IFS(
  ISBLANK(AR203), "Insufficient Evidence",
  AND(AR203&gt;=65, AJ203="Approved"), "Strong",
  AR203&gt;=65, "Adequate",
  AR203&gt;=40, "Adequate",
  AR203&gt;=20, "Weak",
  TRUE, "Insufficient Evidence"
)</f>
        <v>Insufficient Evidence</v>
      </c>
      <c r="DP203" s="5" t="str">
        <f t="array" ref="DP203">_xlfn.IFS(
  ISBLANK(BS203), "Insufficient Evidence",
  BS203&gt;=65, "Strong",
  BS203&gt;=40, "Adequate",
  BS203&gt;=20, "Weak",
  TRUE, "Insufficient Evidence"
)</f>
        <v>Insufficient Evidence</v>
      </c>
      <c r="DQ203" s="5" t="str">
        <f t="array" ref="DQ203">_xlfn.IFS(
  ISBLANK(BE203), "Insufficient Evidence",
  OR(AW203="Confirmed Violation", AX203="Confirmed Breach"), "Severe — Hard Trigger",
  BE203&gt;=65, "Strong",
  BE203&gt;=40, "Adequate",
  BE203&gt;=20, "Weak",
  TRUE, "Insufficient Evidence"
)</f>
        <v>Insufficient Evidence</v>
      </c>
      <c r="DR203" s="5" t="str">
        <f t="array" ref="DR203">_xlfn.IFS(
  ISBLANK(CU203), "Insufficient Evidence",
  CU203&lt;=20, "Low Risk",
  CU203&lt;=50, "Moderate Risk",
  CU203&lt;=75, "High Risk",
  TRUE, "Very High Risk"
)</f>
        <v>Low Risk</v>
      </c>
      <c r="DS203" s="5" t="str">
        <f t="array" ref="DS203">_xlfn.IFS(
  ISBLANK(CE203), "Insufficient Evidence",
  AND(ISNUMBER(BW203),ISNUMBER(BV203),BW203&gt;BV203), "Overclaiming Risk",
  CE203&gt;=65, "Strong",
  CE203&gt;=40, "Adequate",
  TRUE, "Weak"
)</f>
        <v>Weak</v>
      </c>
      <c r="DT203" s="5">
        <f t="shared" si="111"/>
        <v>11.7</v>
      </c>
      <c r="DU203" s="5" t="str">
        <f t="array" ref="DU203">_xlfn.IFS(
  DV203="Upgraded to Clear", "Clear",
  DV203="Downgraded to Watchlist", "Watchlist",
  DV203="Downgraded to Exclusion", "Exclusion Risk",
  DB203="Yes — Automatic", "Exclusion Risk",
  OR(AW203="Confirmed Violation", AX203="Confirmed Breach"), "Exclusion Risk",
  OR(V203=0, ISBLANK(V203), DN203&lt;20), "Insufficient Evidence",
  AND(DT203&gt;=65, DA203="No", DB203="No"), "Clear",
  OR(DT203&gt;=40, DA203="Yes"), "Watchlist",
  TRUE, "Exclusion Risk"
)</f>
        <v>Insufficient Evidence</v>
      </c>
      <c r="DV203" s="5"/>
      <c r="DW203" s="5" t="str">
        <f t="array" ref="DW203">_xlfn.IFS(
  DU203="Exclusion Risk", "Exclude — Hard Trigger",
  DU203="Insufficient Evidence", "Watchlist — Further Evidence Needed",
  DU203="Watchlist", "Watchlist — Further Evidence Needed",
  AND(DU203="Clear", DT203&gt;=80), "Include — No Conditions",
  DU203="Clear", "Include — Monitor",
  TRUE, "Watchlist — Further Evidence Needed"
)</f>
        <v>Watchlist — Further Evidence Needed</v>
      </c>
      <c r="DX203" s="5"/>
      <c r="DY203" s="5"/>
      <c r="DZ203" s="5"/>
      <c r="EA203" s="5"/>
      <c r="EB203" s="5" t="str">
        <f t="shared" si="112"/>
        <v>MISSING — No sources reviewed</v>
      </c>
      <c r="EC203" s="5" t="str">
        <f t="shared" si="113"/>
        <v/>
      </c>
    </row>
    <row r="204" spans="1:133" ht="18" customHeight="1" x14ac:dyDescent="0.15">
      <c r="A204" s="5" t="s">
        <v>1617</v>
      </c>
      <c r="B204" s="5" t="s">
        <v>1617</v>
      </c>
      <c r="C204" s="5" t="str">
        <f>IF(ISBLANK('Universe Tracker'!D179),"",'Universe Tracker'!D179)</f>
        <v/>
      </c>
      <c r="D204" s="5"/>
      <c r="E204" s="5"/>
      <c r="F204" s="5" t="str">
        <f>IF(ISBLANK('Universe Tracker'!F179),"",'Universe Tracker'!F179)</f>
        <v/>
      </c>
      <c r="G204" s="5" t="str">
        <f>IF(ISBLANK('Universe Tracker'!G179),"",'Universe Tracker'!G179)</f>
        <v/>
      </c>
      <c r="H204" s="5"/>
      <c r="I204" s="5"/>
      <c r="J204" s="5" t="str">
        <f t="shared" si="101"/>
        <v>_</v>
      </c>
      <c r="K204" s="5"/>
      <c r="L204" s="5"/>
      <c r="M204" s="5"/>
      <c r="N204" s="5"/>
      <c r="O204" s="5"/>
      <c r="P204" s="5"/>
      <c r="Q204" s="5"/>
      <c r="R204" s="5"/>
      <c r="S204" s="5"/>
      <c r="T204" s="5"/>
      <c r="U204" s="5"/>
      <c r="V204" s="5"/>
      <c r="W204" s="5"/>
      <c r="X204" s="5"/>
      <c r="Y204" s="5" t="str">
        <f t="shared" si="102"/>
        <v>Insufficient</v>
      </c>
      <c r="Z204" s="5"/>
      <c r="AA204" s="5"/>
      <c r="AB204" s="5"/>
      <c r="AC204" s="5"/>
      <c r="AD204" s="5"/>
      <c r="AE204" s="5"/>
      <c r="AF204" s="5"/>
      <c r="AG204" s="5"/>
      <c r="AH204" s="5"/>
      <c r="AI204" s="5"/>
      <c r="AJ204" s="5"/>
      <c r="AK204" s="5"/>
      <c r="AL204" s="5"/>
      <c r="AM204" s="5"/>
      <c r="AN204" s="5"/>
      <c r="AO204" s="5"/>
      <c r="AP204" s="5"/>
      <c r="AQ204" s="5"/>
      <c r="AR204" s="40">
        <f t="array" ref="AR204">MIN(100, MAX(0,
  IFERROR(_xlfn.XLOOKUP(AJ204,'Lookup Tables'!$A$2:$A$7,'Lookup Tables'!$B$2:$B$7,0),0)
  + IF(Z204="Yes", IF(IFERROR(_xlfn.XLOOKUP(AJ204,'Lookup Tables'!$A$2:$A$7,'Lookup Tables'!$B$2:$B$7,0),0)&lt;20, 5, 0), 0)
  + _xlfn.IFS(AB204="Yes", IF(ISNUMBER(AC204)*AND(AC204&lt;=2030),15,10), AB204="Long-term Only", 5, AB204="No", 0, TRUE, 0)
  + _xlfn.IFS(AF204="Full",10, AF204="Partial",5, AF204="Scope 2 Only",3, TRUE,0)
  + _xlfn.IFS(AG204="Yes", IF(ISNUMBER(AH204)*AND(AH204&gt;=5),10,6), AG204="Partial",4, TRUE,0)
  + _xlfn.IFS(AI204="Yes",5, AI204="Partial (material categories only)",3, TRUE,0)
  + _xlfn.IFS(AL204="Yes — Detailed",10, AL204="Yes — High Level",5, TRUE,0)
  + _xlfn.IFS(AM204="Yes — Quantified",15, AM204="Yes — Directional Only",7, TRUE,0)
  + _xlfn.IFS(AP204="Formal",5, AP204="Referenced",2, TRUE,0)
  + _xlfn.IFS(AQ204="No Issues Found",5, AQ204="Concern Identified",-5, AQ204="Severe Contradiction",-15, TRUE,0)
  + _xlfn.IFS(BC204="Reasonable Assurance",5, BC204="Limited Assurance",3, TRUE,0)
  - IF(AND(Z204="Yes", AI204="No"), 10, 0)
  - IF(AND(Z204="Yes", AM204="No"), 10, 0)
))</f>
        <v>0</v>
      </c>
      <c r="AS204" s="5"/>
      <c r="AT204" s="5"/>
      <c r="AU204" s="5"/>
      <c r="AV204" s="5"/>
      <c r="AW204" s="5"/>
      <c r="AX204" s="5"/>
      <c r="AY204" s="5"/>
      <c r="AZ204" s="5"/>
      <c r="BA204" s="5"/>
      <c r="BB204" s="5"/>
      <c r="BC204" s="5"/>
      <c r="BD204" s="5"/>
      <c r="BE204" s="39">
        <f t="array" ref="BE204">MIN(100, MAX(0,
  IFERROR(_xlfn.XLOOKUP(AT204,'Lookup Tables'!$D$2:$D$6,'Lookup Tables'!$E$2:$E$6,0),0)
  + IFERROR(_xlfn.XLOOKUP(AV204,'Lookup Tables'!$G$2:$G$5,'Lookup Tables'!$H$2:$H$5,0),0)
  + IFERROR(_xlfn.XLOOKUP(AW204,'Lookup Tables'!$J$2:$J$5,'Lookup Tables'!$K$2:$K$5,0),0)
  + _xlfn.IFS(AX204="No Issues",10, AX204="Complaint Filed",3, AX204="Confirmed Breach",-15, TRUE,0)
  + IFERROR(_xlfn.XLOOKUP(AY204,'Lookup Tables'!$M$2:$M$6,'Lookup Tables'!$N$2:$N$6,0),0)
  + IFERROR(_xlfn.XLOOKUP(AZ204,'Lookup Tables'!$P$2:$P$6,'Lookup Tables'!$Q$2:$Q$6,0),0)
  + _xlfn.IFS(BA204="Formal Board Committee",5, BA204="Board Oversight Mentioned",2, TRUE,0)
  + _xlfn.IFS(BB204="Yes — Quantified Targets",5, BB204="Yes — Discretionary Only",2, TRUE,0)
  + _xlfn.IFS(BC204="Reasonable Assurance",5, BC204="Limited Assurance",3, BC204="Management Review Only",1, TRUE,0)
))</f>
        <v>0</v>
      </c>
      <c r="BF204" s="5"/>
      <c r="BG204" s="5"/>
      <c r="BH204" s="5"/>
      <c r="BI204" s="5"/>
      <c r="BJ204" s="5"/>
      <c r="BK204" s="5"/>
      <c r="BL204" s="5"/>
      <c r="BM204" s="5"/>
      <c r="BN204" s="5"/>
      <c r="BO204" s="5"/>
      <c r="BP204" s="5"/>
      <c r="BQ204" s="5"/>
      <c r="BR204" s="5"/>
      <c r="BS204" s="41">
        <f t="array" ref="BS204">MIN(100, MAX(0,
  IFERROR(_xlfn.XLOOKUP(BG204,'Lookup Tables'!$A$11:$A$16,'Lookup Tables'!$B$11:$B$16,0),0)
  + IFERROR(_xlfn.XLOOKUP(BR204,'Lookup Tables'!$M$11:$M$14,'Lookup Tables'!$N$11:$N$14,0),0)
  + IFERROR(_xlfn.XLOOKUP(BQ204,'Lookup Tables'!$J$11:$J$15,'Lookup Tables'!$K$11:$K$15,0),0)
  + IFERROR(_xlfn.XLOOKUP(BH204,'Lookup Tables'!$D$11:$D$15,'Lookup Tables'!$E$11:$E$15,0),0)
  + IFERROR(_xlfn.XLOOKUP(BJ204,'Lookup Tables'!$G$11:$G$16,'Lookup Tables'!$H$11:$H$16,0),0)
  + IFERROR(_xlfn.XLOOKUP(BN204,'Lookup Tables'!$P$11:$P$15,'Lookup Tables'!$Q$11:$Q$15,0),0)
  + _xlfn.IFS(BM204="No Evidence",10, BM204="Unknown",3, BM204="Likely",0, BM204="Confirmed",-10, TRUE,3)
  + IFERROR(_xlfn.XLOOKUP(BP204,'Lookup Tables'!$J$21:$J$24,'Lookup Tables'!$K$21:$K$24,0),0)
))</f>
        <v>3</v>
      </c>
      <c r="BT204" s="5"/>
      <c r="BU204" s="5"/>
      <c r="BV204" s="5"/>
      <c r="BW204" s="5"/>
      <c r="BX204" s="5"/>
      <c r="BY204" s="5"/>
      <c r="BZ204" s="5"/>
      <c r="CA204" s="5"/>
      <c r="CB204" s="5"/>
      <c r="CC204" s="5"/>
      <c r="CD204" s="5"/>
      <c r="CE204" s="43">
        <f t="array" ref="CE204">MIN(100, MAX(0,
  IF(ISNUMBER(BV204)*AND(BV204&gt;0), 10, 0)
  + _xlfn.IFS(BY204="Independently Verified",25, BY204="Yes",15, TRUE,0)
  + IFERROR(_xlfn.XLOOKUP(BZ204,'Lookup Tables'!$A$21:$A$24,'Lookup Tables'!$B$21:$B$24,0),0)
  + IFERROR(_xlfn.XLOOKUP(CA204,'Lookup Tables'!$D$21:$D$24,'Lookup Tables'!$E$21:$E$24,0),0)
  + _xlfn.IFS(ISNUMBER(CB204)*AND(CB204&gt;=11),15, ISNUMBER(CB204)*AND(CB204&gt;=6),10, ISNUMBER(CB204)*AND(CB204&gt;=1),5, TRUE,0)
  + IFERROR(_xlfn.XLOOKUP(CC204,'Lookup Tables'!$G$21:$G$25,'Lookup Tables'!$H$21:$H$25,0),0)
  - IF(ISNUMBER(BW204)*AND(ISNUMBER(BV204))*AND(BW204&gt;BV204), 20, 0)
  - IF(AND(BY204="Yes", ISNUMBER(BW204), BW204&gt;60), 10, 0)
))</f>
        <v>0</v>
      </c>
      <c r="CF204" s="5"/>
      <c r="CG204" s="5"/>
      <c r="CH204" s="5"/>
      <c r="CI204" s="5"/>
      <c r="CJ204" s="5"/>
      <c r="CK204" s="5"/>
      <c r="CL204" s="5"/>
      <c r="CM204" s="5"/>
      <c r="CN204" s="5"/>
      <c r="CO204" s="5"/>
      <c r="CP204" s="5"/>
      <c r="CQ204" s="5"/>
      <c r="CR204" s="5">
        <f t="shared" si="103"/>
        <v>0</v>
      </c>
      <c r="CS204" s="5">
        <f t="shared" si="104"/>
        <v>0</v>
      </c>
      <c r="CT204" s="5">
        <f t="shared" si="105"/>
        <v>0</v>
      </c>
      <c r="CU204" s="5">
        <f>MIN(100,
  CR204*15
  + CS204*6
  + CT204*3
  + IFERROR(_xlfn.XLOOKUP(CW204,'Lookup Tables'!$M$21:$M$25,'Lookup Tables'!$N$21:$N$25,0),0)
)</f>
        <v>0</v>
      </c>
      <c r="CV204" s="5" t="str">
        <f t="shared" si="106"/>
        <v>No failures</v>
      </c>
      <c r="CW204" s="5"/>
      <c r="CX204" s="5"/>
      <c r="CY204" s="5"/>
      <c r="CZ204" s="5"/>
      <c r="DA204" s="5" t="str">
        <f t="shared" si="107"/>
        <v>Yes</v>
      </c>
      <c r="DB204" s="5" t="str">
        <f t="shared" si="108"/>
        <v>No</v>
      </c>
      <c r="DC204" s="5"/>
      <c r="DD204" s="5"/>
      <c r="DE204" s="5"/>
      <c r="DF204" s="5"/>
      <c r="DG204" s="5"/>
      <c r="DH204" s="5"/>
      <c r="DI204" s="5"/>
      <c r="DJ204" s="5"/>
      <c r="DK204" s="5"/>
      <c r="DL204" s="5" t="str">
        <f t="shared" si="109"/>
        <v>Clear</v>
      </c>
      <c r="DM204" s="5" t="str">
        <f t="shared" si="110"/>
        <v>Yes</v>
      </c>
      <c r="DN204" s="5">
        <f t="array" ref="DN204">MIN(100,
  IF(ISNUMBER(V204), _xlfn.IFS(V204&gt;=3,25, V204=2,15, V204=1,5, TRUE,0), 0)
  + IFERROR(_xlfn.IFS(VALUE(LEFT(DF204,1))=5,25, VALUE(LEFT(DF204,1))=4,20, VALUE(LEFT(DF204,1))=3,15, VALUE(LEFT(DF204,1))=2,8, TRUE,0), 15)
  + IFERROR(_xlfn.IFS(VALUE(LEFT(DG204,1))=5,25, VALUE(LEFT(DG204,1))=4,20, VALUE(LEFT(DG204,1))=3,15, VALUE(LEFT(DG204,1))=2,8, TRUE,0), 15)
  + _xlfn.IFS(DH204="Fully Verified",25, DH204="Partially Verified",12, TRUE,0)
)</f>
        <v>30</v>
      </c>
      <c r="DO204" s="5" t="str">
        <f t="array" ref="DO204">_xlfn.IFS(
  ISBLANK(AR204), "Insufficient Evidence",
  AND(AR204&gt;=65, AJ204="Approved"), "Strong",
  AR204&gt;=65, "Adequate",
  AR204&gt;=40, "Adequate",
  AR204&gt;=20, "Weak",
  TRUE, "Insufficient Evidence"
)</f>
        <v>Insufficient Evidence</v>
      </c>
      <c r="DP204" s="5" t="str">
        <f t="array" ref="DP204">_xlfn.IFS(
  ISBLANK(BS204), "Insufficient Evidence",
  BS204&gt;=65, "Strong",
  BS204&gt;=40, "Adequate",
  BS204&gt;=20, "Weak",
  TRUE, "Insufficient Evidence"
)</f>
        <v>Insufficient Evidence</v>
      </c>
      <c r="DQ204" s="5" t="str">
        <f t="array" ref="DQ204">_xlfn.IFS(
  ISBLANK(BE204), "Insufficient Evidence",
  OR(AW204="Confirmed Violation", AX204="Confirmed Breach"), "Severe — Hard Trigger",
  BE204&gt;=65, "Strong",
  BE204&gt;=40, "Adequate",
  BE204&gt;=20, "Weak",
  TRUE, "Insufficient Evidence"
)</f>
        <v>Insufficient Evidence</v>
      </c>
      <c r="DR204" s="5" t="str">
        <f t="array" ref="DR204">_xlfn.IFS(
  ISBLANK(CU204), "Insufficient Evidence",
  CU204&lt;=20, "Low Risk",
  CU204&lt;=50, "Moderate Risk",
  CU204&lt;=75, "High Risk",
  TRUE, "Very High Risk"
)</f>
        <v>Low Risk</v>
      </c>
      <c r="DS204" s="5" t="str">
        <f t="array" ref="DS204">_xlfn.IFS(
  ISBLANK(CE204), "Insufficient Evidence",
  AND(ISNUMBER(BW204),ISNUMBER(BV204),BW204&gt;BV204), "Overclaiming Risk",
  CE204&gt;=65, "Strong",
  CE204&gt;=40, "Adequate",
  TRUE, "Weak"
)</f>
        <v>Weak</v>
      </c>
      <c r="DT204" s="5">
        <f t="shared" si="111"/>
        <v>11.7</v>
      </c>
      <c r="DU204" s="5" t="str">
        <f t="array" ref="DU204">_xlfn.IFS(
  DV204="Upgraded to Clear", "Clear",
  DV204="Downgraded to Watchlist", "Watchlist",
  DV204="Downgraded to Exclusion", "Exclusion Risk",
  DB204="Yes — Automatic", "Exclusion Risk",
  OR(AW204="Confirmed Violation", AX204="Confirmed Breach"), "Exclusion Risk",
  OR(V204=0, ISBLANK(V204), DN204&lt;20), "Insufficient Evidence",
  AND(DT204&gt;=65, DA204="No", DB204="No"), "Clear",
  OR(DT204&gt;=40, DA204="Yes"), "Watchlist",
  TRUE, "Exclusion Risk"
)</f>
        <v>Insufficient Evidence</v>
      </c>
      <c r="DV204" s="5"/>
      <c r="DW204" s="5" t="str">
        <f t="array" ref="DW204">_xlfn.IFS(
  DU204="Exclusion Risk", "Exclude — Hard Trigger",
  DU204="Insufficient Evidence", "Watchlist — Further Evidence Needed",
  DU204="Watchlist", "Watchlist — Further Evidence Needed",
  AND(DU204="Clear", DT204&gt;=80), "Include — No Conditions",
  DU204="Clear", "Include — Monitor",
  TRUE, "Watchlist — Further Evidence Needed"
)</f>
        <v>Watchlist — Further Evidence Needed</v>
      </c>
      <c r="DX204" s="5"/>
      <c r="DY204" s="5"/>
      <c r="DZ204" s="5"/>
      <c r="EA204" s="5"/>
      <c r="EB204" s="5" t="str">
        <f t="shared" si="112"/>
        <v>MISSING — No sources reviewed</v>
      </c>
      <c r="EC204" s="5" t="str">
        <f t="shared" si="113"/>
        <v/>
      </c>
    </row>
    <row r="205" spans="1:133" ht="18" customHeight="1" x14ac:dyDescent="0.15">
      <c r="A205" s="5" t="s">
        <v>1617</v>
      </c>
      <c r="B205" s="5" t="s">
        <v>1617</v>
      </c>
      <c r="C205" s="5" t="str">
        <f>IF(ISBLANK('Universe Tracker'!D180),"",'Universe Tracker'!D180)</f>
        <v/>
      </c>
      <c r="D205" s="5"/>
      <c r="E205" s="5"/>
      <c r="F205" s="5" t="str">
        <f>IF(ISBLANK('Universe Tracker'!F180),"",'Universe Tracker'!F180)</f>
        <v/>
      </c>
      <c r="G205" s="5" t="str">
        <f>IF(ISBLANK('Universe Tracker'!G180),"",'Universe Tracker'!G180)</f>
        <v/>
      </c>
      <c r="H205" s="5"/>
      <c r="I205" s="5"/>
      <c r="J205" s="5" t="str">
        <f t="shared" si="101"/>
        <v>_</v>
      </c>
      <c r="K205" s="5"/>
      <c r="L205" s="5"/>
      <c r="M205" s="5"/>
      <c r="N205" s="5"/>
      <c r="O205" s="5"/>
      <c r="P205" s="5"/>
      <c r="Q205" s="5"/>
      <c r="R205" s="5"/>
      <c r="S205" s="5"/>
      <c r="T205" s="5"/>
      <c r="U205" s="5"/>
      <c r="V205" s="5"/>
      <c r="W205" s="5"/>
      <c r="X205" s="5"/>
      <c r="Y205" s="5" t="str">
        <f t="shared" si="102"/>
        <v>Insufficient</v>
      </c>
      <c r="Z205" s="5"/>
      <c r="AA205" s="5"/>
      <c r="AB205" s="5"/>
      <c r="AC205" s="5"/>
      <c r="AD205" s="5"/>
      <c r="AE205" s="5"/>
      <c r="AF205" s="5"/>
      <c r="AG205" s="5"/>
      <c r="AH205" s="5"/>
      <c r="AI205" s="5"/>
      <c r="AJ205" s="5"/>
      <c r="AK205" s="5"/>
      <c r="AL205" s="5"/>
      <c r="AM205" s="5"/>
      <c r="AN205" s="5"/>
      <c r="AO205" s="5"/>
      <c r="AP205" s="5"/>
      <c r="AQ205" s="5"/>
      <c r="AR205" s="40">
        <f t="array" ref="AR205">MIN(100, MAX(0,
  IFERROR(_xlfn.XLOOKUP(AJ205,'Lookup Tables'!$A$2:$A$7,'Lookup Tables'!$B$2:$B$7,0),0)
  + IF(Z205="Yes", IF(IFERROR(_xlfn.XLOOKUP(AJ205,'Lookup Tables'!$A$2:$A$7,'Lookup Tables'!$B$2:$B$7,0),0)&lt;20, 5, 0), 0)
  + _xlfn.IFS(AB205="Yes", IF(ISNUMBER(AC205)*AND(AC205&lt;=2030),15,10), AB205="Long-term Only", 5, AB205="No", 0, TRUE, 0)
  + _xlfn.IFS(AF205="Full",10, AF205="Partial",5, AF205="Scope 2 Only",3, TRUE,0)
  + _xlfn.IFS(AG205="Yes", IF(ISNUMBER(AH205)*AND(AH205&gt;=5),10,6), AG205="Partial",4, TRUE,0)
  + _xlfn.IFS(AI205="Yes",5, AI205="Partial (material categories only)",3, TRUE,0)
  + _xlfn.IFS(AL205="Yes — Detailed",10, AL205="Yes — High Level",5, TRUE,0)
  + _xlfn.IFS(AM205="Yes — Quantified",15, AM205="Yes — Directional Only",7, TRUE,0)
  + _xlfn.IFS(AP205="Formal",5, AP205="Referenced",2, TRUE,0)
  + _xlfn.IFS(AQ205="No Issues Found",5, AQ205="Concern Identified",-5, AQ205="Severe Contradiction",-15, TRUE,0)
  + _xlfn.IFS(BC205="Reasonable Assurance",5, BC205="Limited Assurance",3, TRUE,0)
  - IF(AND(Z205="Yes", AI205="No"), 10, 0)
  - IF(AND(Z205="Yes", AM205="No"), 10, 0)
))</f>
        <v>0</v>
      </c>
      <c r="AS205" s="5"/>
      <c r="AT205" s="5"/>
      <c r="AU205" s="5"/>
      <c r="AV205" s="5"/>
      <c r="AW205" s="5"/>
      <c r="AX205" s="5"/>
      <c r="AY205" s="5"/>
      <c r="AZ205" s="5"/>
      <c r="BA205" s="5"/>
      <c r="BB205" s="5"/>
      <c r="BC205" s="5"/>
      <c r="BD205" s="5"/>
      <c r="BE205" s="39">
        <f t="array" ref="BE205">MIN(100, MAX(0,
  IFERROR(_xlfn.XLOOKUP(AT205,'Lookup Tables'!$D$2:$D$6,'Lookup Tables'!$E$2:$E$6,0),0)
  + IFERROR(_xlfn.XLOOKUP(AV205,'Lookup Tables'!$G$2:$G$5,'Lookup Tables'!$H$2:$H$5,0),0)
  + IFERROR(_xlfn.XLOOKUP(AW205,'Lookup Tables'!$J$2:$J$5,'Lookup Tables'!$K$2:$K$5,0),0)
  + _xlfn.IFS(AX205="No Issues",10, AX205="Complaint Filed",3, AX205="Confirmed Breach",-15, TRUE,0)
  + IFERROR(_xlfn.XLOOKUP(AY205,'Lookup Tables'!$M$2:$M$6,'Lookup Tables'!$N$2:$N$6,0),0)
  + IFERROR(_xlfn.XLOOKUP(AZ205,'Lookup Tables'!$P$2:$P$6,'Lookup Tables'!$Q$2:$Q$6,0),0)
  + _xlfn.IFS(BA205="Formal Board Committee",5, BA205="Board Oversight Mentioned",2, TRUE,0)
  + _xlfn.IFS(BB205="Yes — Quantified Targets",5, BB205="Yes — Discretionary Only",2, TRUE,0)
  + _xlfn.IFS(BC205="Reasonable Assurance",5, BC205="Limited Assurance",3, BC205="Management Review Only",1, TRUE,0)
))</f>
        <v>0</v>
      </c>
      <c r="BF205" s="5"/>
      <c r="BG205" s="5"/>
      <c r="BH205" s="5"/>
      <c r="BI205" s="5"/>
      <c r="BJ205" s="5"/>
      <c r="BK205" s="5"/>
      <c r="BL205" s="5"/>
      <c r="BM205" s="5"/>
      <c r="BN205" s="5"/>
      <c r="BO205" s="5"/>
      <c r="BP205" s="5"/>
      <c r="BQ205" s="5"/>
      <c r="BR205" s="5"/>
      <c r="BS205" s="41">
        <f t="array" ref="BS205">MIN(100, MAX(0,
  IFERROR(_xlfn.XLOOKUP(BG205,'Lookup Tables'!$A$11:$A$16,'Lookup Tables'!$B$11:$B$16,0),0)
  + IFERROR(_xlfn.XLOOKUP(BR205,'Lookup Tables'!$M$11:$M$14,'Lookup Tables'!$N$11:$N$14,0),0)
  + IFERROR(_xlfn.XLOOKUP(BQ205,'Lookup Tables'!$J$11:$J$15,'Lookup Tables'!$K$11:$K$15,0),0)
  + IFERROR(_xlfn.XLOOKUP(BH205,'Lookup Tables'!$D$11:$D$15,'Lookup Tables'!$E$11:$E$15,0),0)
  + IFERROR(_xlfn.XLOOKUP(BJ205,'Lookup Tables'!$G$11:$G$16,'Lookup Tables'!$H$11:$H$16,0),0)
  + IFERROR(_xlfn.XLOOKUP(BN205,'Lookup Tables'!$P$11:$P$15,'Lookup Tables'!$Q$11:$Q$15,0),0)
  + _xlfn.IFS(BM205="No Evidence",10, BM205="Unknown",3, BM205="Likely",0, BM205="Confirmed",-10, TRUE,3)
  + IFERROR(_xlfn.XLOOKUP(BP205,'Lookup Tables'!$J$21:$J$24,'Lookup Tables'!$K$21:$K$24,0),0)
))</f>
        <v>3</v>
      </c>
      <c r="BT205" s="5"/>
      <c r="BU205" s="5"/>
      <c r="BV205" s="5"/>
      <c r="BW205" s="5"/>
      <c r="BX205" s="5"/>
      <c r="BY205" s="5"/>
      <c r="BZ205" s="5"/>
      <c r="CA205" s="5"/>
      <c r="CB205" s="5"/>
      <c r="CC205" s="5"/>
      <c r="CD205" s="5"/>
      <c r="CE205" s="43">
        <f t="array" ref="CE205">MIN(100, MAX(0,
  IF(ISNUMBER(BV205)*AND(BV205&gt;0), 10, 0)
  + _xlfn.IFS(BY205="Independently Verified",25, BY205="Yes",15, TRUE,0)
  + IFERROR(_xlfn.XLOOKUP(BZ205,'Lookup Tables'!$A$21:$A$24,'Lookup Tables'!$B$21:$B$24,0),0)
  + IFERROR(_xlfn.XLOOKUP(CA205,'Lookup Tables'!$D$21:$D$24,'Lookup Tables'!$E$21:$E$24,0),0)
  + _xlfn.IFS(ISNUMBER(CB205)*AND(CB205&gt;=11),15, ISNUMBER(CB205)*AND(CB205&gt;=6),10, ISNUMBER(CB205)*AND(CB205&gt;=1),5, TRUE,0)
  + IFERROR(_xlfn.XLOOKUP(CC205,'Lookup Tables'!$G$21:$G$25,'Lookup Tables'!$H$21:$H$25,0),0)
  - IF(ISNUMBER(BW205)*AND(ISNUMBER(BV205))*AND(BW205&gt;BV205), 20, 0)
  - IF(AND(BY205="Yes", ISNUMBER(BW205), BW205&gt;60), 10, 0)
))</f>
        <v>0</v>
      </c>
      <c r="CF205" s="5"/>
      <c r="CG205" s="5"/>
      <c r="CH205" s="5"/>
      <c r="CI205" s="5"/>
      <c r="CJ205" s="5"/>
      <c r="CK205" s="5"/>
      <c r="CL205" s="5"/>
      <c r="CM205" s="5"/>
      <c r="CN205" s="5"/>
      <c r="CO205" s="5"/>
      <c r="CP205" s="5"/>
      <c r="CQ205" s="5"/>
      <c r="CR205" s="5">
        <f t="shared" si="103"/>
        <v>0</v>
      </c>
      <c r="CS205" s="5">
        <f t="shared" si="104"/>
        <v>0</v>
      </c>
      <c r="CT205" s="5">
        <f t="shared" si="105"/>
        <v>0</v>
      </c>
      <c r="CU205" s="5">
        <f>MIN(100,
  CR205*15
  + CS205*6
  + CT205*3
  + IFERROR(_xlfn.XLOOKUP(CW205,'Lookup Tables'!$M$21:$M$25,'Lookup Tables'!$N$21:$N$25,0),0)
)</f>
        <v>0</v>
      </c>
      <c r="CV205" s="5" t="str">
        <f t="shared" si="106"/>
        <v>No failures</v>
      </c>
      <c r="CW205" s="5"/>
      <c r="CX205" s="5"/>
      <c r="CY205" s="5"/>
      <c r="CZ205" s="5"/>
      <c r="DA205" s="5" t="str">
        <f t="shared" si="107"/>
        <v>Yes</v>
      </c>
      <c r="DB205" s="5" t="str">
        <f t="shared" si="108"/>
        <v>No</v>
      </c>
      <c r="DC205" s="5"/>
      <c r="DD205" s="5"/>
      <c r="DE205" s="5"/>
      <c r="DF205" s="5"/>
      <c r="DG205" s="5"/>
      <c r="DH205" s="5"/>
      <c r="DI205" s="5"/>
      <c r="DJ205" s="5"/>
      <c r="DK205" s="5"/>
      <c r="DL205" s="5" t="str">
        <f t="shared" si="109"/>
        <v>Clear</v>
      </c>
      <c r="DM205" s="5" t="str">
        <f t="shared" si="110"/>
        <v>Yes</v>
      </c>
      <c r="DN205" s="5">
        <f t="array" ref="DN205">MIN(100,
  IF(ISNUMBER(V205), _xlfn.IFS(V205&gt;=3,25, V205=2,15, V205=1,5, TRUE,0), 0)
  + IFERROR(_xlfn.IFS(VALUE(LEFT(DF205,1))=5,25, VALUE(LEFT(DF205,1))=4,20, VALUE(LEFT(DF205,1))=3,15, VALUE(LEFT(DF205,1))=2,8, TRUE,0), 15)
  + IFERROR(_xlfn.IFS(VALUE(LEFT(DG205,1))=5,25, VALUE(LEFT(DG205,1))=4,20, VALUE(LEFT(DG205,1))=3,15, VALUE(LEFT(DG205,1))=2,8, TRUE,0), 15)
  + _xlfn.IFS(DH205="Fully Verified",25, DH205="Partially Verified",12, TRUE,0)
)</f>
        <v>30</v>
      </c>
      <c r="DO205" s="5" t="str">
        <f t="array" ref="DO205">_xlfn.IFS(
  ISBLANK(AR205), "Insufficient Evidence",
  AND(AR205&gt;=65, AJ205="Approved"), "Strong",
  AR205&gt;=65, "Adequate",
  AR205&gt;=40, "Adequate",
  AR205&gt;=20, "Weak",
  TRUE, "Insufficient Evidence"
)</f>
        <v>Insufficient Evidence</v>
      </c>
      <c r="DP205" s="5" t="str">
        <f t="array" ref="DP205">_xlfn.IFS(
  ISBLANK(BS205), "Insufficient Evidence",
  BS205&gt;=65, "Strong",
  BS205&gt;=40, "Adequate",
  BS205&gt;=20, "Weak",
  TRUE, "Insufficient Evidence"
)</f>
        <v>Insufficient Evidence</v>
      </c>
      <c r="DQ205" s="5" t="str">
        <f t="array" ref="DQ205">_xlfn.IFS(
  ISBLANK(BE205), "Insufficient Evidence",
  OR(AW205="Confirmed Violation", AX205="Confirmed Breach"), "Severe — Hard Trigger",
  BE205&gt;=65, "Strong",
  BE205&gt;=40, "Adequate",
  BE205&gt;=20, "Weak",
  TRUE, "Insufficient Evidence"
)</f>
        <v>Insufficient Evidence</v>
      </c>
      <c r="DR205" s="5" t="str">
        <f t="array" ref="DR205">_xlfn.IFS(
  ISBLANK(CU205), "Insufficient Evidence",
  CU205&lt;=20, "Low Risk",
  CU205&lt;=50, "Moderate Risk",
  CU205&lt;=75, "High Risk",
  TRUE, "Very High Risk"
)</f>
        <v>Low Risk</v>
      </c>
      <c r="DS205" s="5" t="str">
        <f t="array" ref="DS205">_xlfn.IFS(
  ISBLANK(CE205), "Insufficient Evidence",
  AND(ISNUMBER(BW205),ISNUMBER(BV205),BW205&gt;BV205), "Overclaiming Risk",
  CE205&gt;=65, "Strong",
  CE205&gt;=40, "Adequate",
  TRUE, "Weak"
)</f>
        <v>Weak</v>
      </c>
      <c r="DT205" s="5">
        <f t="shared" si="111"/>
        <v>11.7</v>
      </c>
      <c r="DU205" s="5" t="str">
        <f t="array" ref="DU205">_xlfn.IFS(
  DV205="Upgraded to Clear", "Clear",
  DV205="Downgraded to Watchlist", "Watchlist",
  DV205="Downgraded to Exclusion", "Exclusion Risk",
  DB205="Yes — Automatic", "Exclusion Risk",
  OR(AW205="Confirmed Violation", AX205="Confirmed Breach"), "Exclusion Risk",
  OR(V205=0, ISBLANK(V205), DN205&lt;20), "Insufficient Evidence",
  AND(DT205&gt;=65, DA205="No", DB205="No"), "Clear",
  OR(DT205&gt;=40, DA205="Yes"), "Watchlist",
  TRUE, "Exclusion Risk"
)</f>
        <v>Insufficient Evidence</v>
      </c>
      <c r="DV205" s="5"/>
      <c r="DW205" s="5" t="str">
        <f t="array" ref="DW205">_xlfn.IFS(
  DU205="Exclusion Risk", "Exclude — Hard Trigger",
  DU205="Insufficient Evidence", "Watchlist — Further Evidence Needed",
  DU205="Watchlist", "Watchlist — Further Evidence Needed",
  AND(DU205="Clear", DT205&gt;=80), "Include — No Conditions",
  DU205="Clear", "Include — Monitor",
  TRUE, "Watchlist — Further Evidence Needed"
)</f>
        <v>Watchlist — Further Evidence Needed</v>
      </c>
      <c r="DX205" s="5"/>
      <c r="DY205" s="5"/>
      <c r="DZ205" s="5"/>
      <c r="EA205" s="5"/>
      <c r="EB205" s="5" t="str">
        <f t="shared" si="112"/>
        <v>MISSING — No sources reviewed</v>
      </c>
      <c r="EC205" s="5" t="str">
        <f t="shared" si="113"/>
        <v/>
      </c>
    </row>
    <row r="206" spans="1:133" ht="18" customHeight="1" x14ac:dyDescent="0.15">
      <c r="A206" s="5" t="s">
        <v>1617</v>
      </c>
      <c r="B206" s="5" t="s">
        <v>1617</v>
      </c>
      <c r="C206" s="5" t="str">
        <f>IF(ISBLANK('Universe Tracker'!D181),"",'Universe Tracker'!D181)</f>
        <v/>
      </c>
      <c r="D206" s="5"/>
      <c r="E206" s="5"/>
      <c r="F206" s="5" t="str">
        <f>IF(ISBLANK('Universe Tracker'!F181),"",'Universe Tracker'!F181)</f>
        <v/>
      </c>
      <c r="G206" s="5" t="str">
        <f>IF(ISBLANK('Universe Tracker'!G181),"",'Universe Tracker'!G181)</f>
        <v/>
      </c>
      <c r="H206" s="5"/>
      <c r="I206" s="5"/>
      <c r="J206" s="5" t="str">
        <f t="shared" si="101"/>
        <v>_</v>
      </c>
      <c r="K206" s="5"/>
      <c r="L206" s="5"/>
      <c r="M206" s="5"/>
      <c r="N206" s="5"/>
      <c r="O206" s="5"/>
      <c r="P206" s="5"/>
      <c r="Q206" s="5"/>
      <c r="R206" s="5"/>
      <c r="S206" s="5"/>
      <c r="T206" s="5"/>
      <c r="U206" s="5"/>
      <c r="V206" s="5"/>
      <c r="W206" s="5"/>
      <c r="X206" s="5"/>
      <c r="Y206" s="5" t="str">
        <f t="shared" si="102"/>
        <v>Insufficient</v>
      </c>
      <c r="Z206" s="5"/>
      <c r="AA206" s="5"/>
      <c r="AB206" s="5"/>
      <c r="AC206" s="5"/>
      <c r="AD206" s="5"/>
      <c r="AE206" s="5"/>
      <c r="AF206" s="5"/>
      <c r="AG206" s="5"/>
      <c r="AH206" s="5"/>
      <c r="AI206" s="5"/>
      <c r="AJ206" s="5"/>
      <c r="AK206" s="5"/>
      <c r="AL206" s="5"/>
      <c r="AM206" s="5"/>
      <c r="AN206" s="5"/>
      <c r="AO206" s="5"/>
      <c r="AP206" s="5"/>
      <c r="AQ206" s="5"/>
      <c r="AR206" s="40">
        <f t="array" ref="AR206">MIN(100, MAX(0,
  IFERROR(_xlfn.XLOOKUP(AJ206,'Lookup Tables'!$A$2:$A$7,'Lookup Tables'!$B$2:$B$7,0),0)
  + IF(Z206="Yes", IF(IFERROR(_xlfn.XLOOKUP(AJ206,'Lookup Tables'!$A$2:$A$7,'Lookup Tables'!$B$2:$B$7,0),0)&lt;20, 5, 0), 0)
  + _xlfn.IFS(AB206="Yes", IF(ISNUMBER(AC206)*AND(AC206&lt;=2030),15,10), AB206="Long-term Only", 5, AB206="No", 0, TRUE, 0)
  + _xlfn.IFS(AF206="Full",10, AF206="Partial",5, AF206="Scope 2 Only",3, TRUE,0)
  + _xlfn.IFS(AG206="Yes", IF(ISNUMBER(AH206)*AND(AH206&gt;=5),10,6), AG206="Partial",4, TRUE,0)
  + _xlfn.IFS(AI206="Yes",5, AI206="Partial (material categories only)",3, TRUE,0)
  + _xlfn.IFS(AL206="Yes — Detailed",10, AL206="Yes — High Level",5, TRUE,0)
  + _xlfn.IFS(AM206="Yes — Quantified",15, AM206="Yes — Directional Only",7, TRUE,0)
  + _xlfn.IFS(AP206="Formal",5, AP206="Referenced",2, TRUE,0)
  + _xlfn.IFS(AQ206="No Issues Found",5, AQ206="Concern Identified",-5, AQ206="Severe Contradiction",-15, TRUE,0)
  + _xlfn.IFS(BC206="Reasonable Assurance",5, BC206="Limited Assurance",3, TRUE,0)
  - IF(AND(Z206="Yes", AI206="No"), 10, 0)
  - IF(AND(Z206="Yes", AM206="No"), 10, 0)
))</f>
        <v>0</v>
      </c>
      <c r="AS206" s="5"/>
      <c r="AT206" s="5"/>
      <c r="AU206" s="5"/>
      <c r="AV206" s="5"/>
      <c r="AW206" s="5"/>
      <c r="AX206" s="5"/>
      <c r="AY206" s="5"/>
      <c r="AZ206" s="5"/>
      <c r="BA206" s="5"/>
      <c r="BB206" s="5"/>
      <c r="BC206" s="5"/>
      <c r="BD206" s="5"/>
      <c r="BE206" s="39">
        <f t="array" ref="BE206">MIN(100, MAX(0,
  IFERROR(_xlfn.XLOOKUP(AT206,'Lookup Tables'!$D$2:$D$6,'Lookup Tables'!$E$2:$E$6,0),0)
  + IFERROR(_xlfn.XLOOKUP(AV206,'Lookup Tables'!$G$2:$G$5,'Lookup Tables'!$H$2:$H$5,0),0)
  + IFERROR(_xlfn.XLOOKUP(AW206,'Lookup Tables'!$J$2:$J$5,'Lookup Tables'!$K$2:$K$5,0),0)
  + _xlfn.IFS(AX206="No Issues",10, AX206="Complaint Filed",3, AX206="Confirmed Breach",-15, TRUE,0)
  + IFERROR(_xlfn.XLOOKUP(AY206,'Lookup Tables'!$M$2:$M$6,'Lookup Tables'!$N$2:$N$6,0),0)
  + IFERROR(_xlfn.XLOOKUP(AZ206,'Lookup Tables'!$P$2:$P$6,'Lookup Tables'!$Q$2:$Q$6,0),0)
  + _xlfn.IFS(BA206="Formal Board Committee",5, BA206="Board Oversight Mentioned",2, TRUE,0)
  + _xlfn.IFS(BB206="Yes — Quantified Targets",5, BB206="Yes — Discretionary Only",2, TRUE,0)
  + _xlfn.IFS(BC206="Reasonable Assurance",5, BC206="Limited Assurance",3, BC206="Management Review Only",1, TRUE,0)
))</f>
        <v>0</v>
      </c>
      <c r="BF206" s="5"/>
      <c r="BG206" s="5"/>
      <c r="BH206" s="5"/>
      <c r="BI206" s="5"/>
      <c r="BJ206" s="5"/>
      <c r="BK206" s="5"/>
      <c r="BL206" s="5"/>
      <c r="BM206" s="5"/>
      <c r="BN206" s="5"/>
      <c r="BO206" s="5"/>
      <c r="BP206" s="5"/>
      <c r="BQ206" s="5"/>
      <c r="BR206" s="5"/>
      <c r="BS206" s="41">
        <f t="array" ref="BS206">MIN(100, MAX(0,
  IFERROR(_xlfn.XLOOKUP(BG206,'Lookup Tables'!$A$11:$A$16,'Lookup Tables'!$B$11:$B$16,0),0)
  + IFERROR(_xlfn.XLOOKUP(BR206,'Lookup Tables'!$M$11:$M$14,'Lookup Tables'!$N$11:$N$14,0),0)
  + IFERROR(_xlfn.XLOOKUP(BQ206,'Lookup Tables'!$J$11:$J$15,'Lookup Tables'!$K$11:$K$15,0),0)
  + IFERROR(_xlfn.XLOOKUP(BH206,'Lookup Tables'!$D$11:$D$15,'Lookup Tables'!$E$11:$E$15,0),0)
  + IFERROR(_xlfn.XLOOKUP(BJ206,'Lookup Tables'!$G$11:$G$16,'Lookup Tables'!$H$11:$H$16,0),0)
  + IFERROR(_xlfn.XLOOKUP(BN206,'Lookup Tables'!$P$11:$P$15,'Lookup Tables'!$Q$11:$Q$15,0),0)
  + _xlfn.IFS(BM206="No Evidence",10, BM206="Unknown",3, BM206="Likely",0, BM206="Confirmed",-10, TRUE,3)
  + IFERROR(_xlfn.XLOOKUP(BP206,'Lookup Tables'!$J$21:$J$24,'Lookup Tables'!$K$21:$K$24,0),0)
))</f>
        <v>3</v>
      </c>
      <c r="BT206" s="5"/>
      <c r="BU206" s="5"/>
      <c r="BV206" s="5"/>
      <c r="BW206" s="5"/>
      <c r="BX206" s="5"/>
      <c r="BY206" s="5"/>
      <c r="BZ206" s="5"/>
      <c r="CA206" s="5"/>
      <c r="CB206" s="5"/>
      <c r="CC206" s="5"/>
      <c r="CD206" s="5"/>
      <c r="CE206" s="43">
        <f t="array" ref="CE206">MIN(100, MAX(0,
  IF(ISNUMBER(BV206)*AND(BV206&gt;0), 10, 0)
  + _xlfn.IFS(BY206="Independently Verified",25, BY206="Yes",15, TRUE,0)
  + IFERROR(_xlfn.XLOOKUP(BZ206,'Lookup Tables'!$A$21:$A$24,'Lookup Tables'!$B$21:$B$24,0),0)
  + IFERROR(_xlfn.XLOOKUP(CA206,'Lookup Tables'!$D$21:$D$24,'Lookup Tables'!$E$21:$E$24,0),0)
  + _xlfn.IFS(ISNUMBER(CB206)*AND(CB206&gt;=11),15, ISNUMBER(CB206)*AND(CB206&gt;=6),10, ISNUMBER(CB206)*AND(CB206&gt;=1),5, TRUE,0)
  + IFERROR(_xlfn.XLOOKUP(CC206,'Lookup Tables'!$G$21:$G$25,'Lookup Tables'!$H$21:$H$25,0),0)
  - IF(ISNUMBER(BW206)*AND(ISNUMBER(BV206))*AND(BW206&gt;BV206), 20, 0)
  - IF(AND(BY206="Yes", ISNUMBER(BW206), BW206&gt;60), 10, 0)
))</f>
        <v>0</v>
      </c>
      <c r="CF206" s="5"/>
      <c r="CG206" s="5"/>
      <c r="CH206" s="5"/>
      <c r="CI206" s="5"/>
      <c r="CJ206" s="5"/>
      <c r="CK206" s="5"/>
      <c r="CL206" s="5"/>
      <c r="CM206" s="5"/>
      <c r="CN206" s="5"/>
      <c r="CO206" s="5"/>
      <c r="CP206" s="5"/>
      <c r="CQ206" s="5"/>
      <c r="CR206" s="5">
        <f t="shared" si="103"/>
        <v>0</v>
      </c>
      <c r="CS206" s="5">
        <f t="shared" si="104"/>
        <v>0</v>
      </c>
      <c r="CT206" s="5">
        <f t="shared" si="105"/>
        <v>0</v>
      </c>
      <c r="CU206" s="5">
        <f>MIN(100,
  CR206*15
  + CS206*6
  + CT206*3
  + IFERROR(_xlfn.XLOOKUP(CW206,'Lookup Tables'!$M$21:$M$25,'Lookup Tables'!$N$21:$N$25,0),0)
)</f>
        <v>0</v>
      </c>
      <c r="CV206" s="5" t="str">
        <f t="shared" si="106"/>
        <v>No failures</v>
      </c>
      <c r="CW206" s="5"/>
      <c r="CX206" s="5"/>
      <c r="CY206" s="5"/>
      <c r="CZ206" s="5"/>
      <c r="DA206" s="5" t="str">
        <f t="shared" si="107"/>
        <v>Yes</v>
      </c>
      <c r="DB206" s="5" t="str">
        <f t="shared" si="108"/>
        <v>No</v>
      </c>
      <c r="DC206" s="5"/>
      <c r="DD206" s="5"/>
      <c r="DE206" s="5"/>
      <c r="DF206" s="5"/>
      <c r="DG206" s="5"/>
      <c r="DH206" s="5"/>
      <c r="DI206" s="5"/>
      <c r="DJ206" s="5"/>
      <c r="DK206" s="5"/>
      <c r="DL206" s="5" t="str">
        <f t="shared" si="109"/>
        <v>Clear</v>
      </c>
      <c r="DM206" s="5" t="str">
        <f t="shared" si="110"/>
        <v>Yes</v>
      </c>
      <c r="DN206" s="5">
        <f t="array" ref="DN206">MIN(100,
  IF(ISNUMBER(V206), _xlfn.IFS(V206&gt;=3,25, V206=2,15, V206=1,5, TRUE,0), 0)
  + IFERROR(_xlfn.IFS(VALUE(LEFT(DF206,1))=5,25, VALUE(LEFT(DF206,1))=4,20, VALUE(LEFT(DF206,1))=3,15, VALUE(LEFT(DF206,1))=2,8, TRUE,0), 15)
  + IFERROR(_xlfn.IFS(VALUE(LEFT(DG206,1))=5,25, VALUE(LEFT(DG206,1))=4,20, VALUE(LEFT(DG206,1))=3,15, VALUE(LEFT(DG206,1))=2,8, TRUE,0), 15)
  + _xlfn.IFS(DH206="Fully Verified",25, DH206="Partially Verified",12, TRUE,0)
)</f>
        <v>30</v>
      </c>
      <c r="DO206" s="5" t="str">
        <f t="array" ref="DO206">_xlfn.IFS(
  ISBLANK(AR206), "Insufficient Evidence",
  AND(AR206&gt;=65, AJ206="Approved"), "Strong",
  AR206&gt;=65, "Adequate",
  AR206&gt;=40, "Adequate",
  AR206&gt;=20, "Weak",
  TRUE, "Insufficient Evidence"
)</f>
        <v>Insufficient Evidence</v>
      </c>
      <c r="DP206" s="5" t="str">
        <f t="array" ref="DP206">_xlfn.IFS(
  ISBLANK(BS206), "Insufficient Evidence",
  BS206&gt;=65, "Strong",
  BS206&gt;=40, "Adequate",
  BS206&gt;=20, "Weak",
  TRUE, "Insufficient Evidence"
)</f>
        <v>Insufficient Evidence</v>
      </c>
      <c r="DQ206" s="5" t="str">
        <f t="array" ref="DQ206">_xlfn.IFS(
  ISBLANK(BE206), "Insufficient Evidence",
  OR(AW206="Confirmed Violation", AX206="Confirmed Breach"), "Severe — Hard Trigger",
  BE206&gt;=65, "Strong",
  BE206&gt;=40, "Adequate",
  BE206&gt;=20, "Weak",
  TRUE, "Insufficient Evidence"
)</f>
        <v>Insufficient Evidence</v>
      </c>
      <c r="DR206" s="5" t="str">
        <f t="array" ref="DR206">_xlfn.IFS(
  ISBLANK(CU206), "Insufficient Evidence",
  CU206&lt;=20, "Low Risk",
  CU206&lt;=50, "Moderate Risk",
  CU206&lt;=75, "High Risk",
  TRUE, "Very High Risk"
)</f>
        <v>Low Risk</v>
      </c>
      <c r="DS206" s="5" t="str">
        <f t="array" ref="DS206">_xlfn.IFS(
  ISBLANK(CE206), "Insufficient Evidence",
  AND(ISNUMBER(BW206),ISNUMBER(BV206),BW206&gt;BV206), "Overclaiming Risk",
  CE206&gt;=65, "Strong",
  CE206&gt;=40, "Adequate",
  TRUE, "Weak"
)</f>
        <v>Weak</v>
      </c>
      <c r="DT206" s="5">
        <f t="shared" si="111"/>
        <v>11.7</v>
      </c>
      <c r="DU206" s="5" t="str">
        <f t="array" ref="DU206">_xlfn.IFS(
  DV206="Upgraded to Clear", "Clear",
  DV206="Downgraded to Watchlist", "Watchlist",
  DV206="Downgraded to Exclusion", "Exclusion Risk",
  DB206="Yes — Automatic", "Exclusion Risk",
  OR(AW206="Confirmed Violation", AX206="Confirmed Breach"), "Exclusion Risk",
  OR(V206=0, ISBLANK(V206), DN206&lt;20), "Insufficient Evidence",
  AND(DT206&gt;=65, DA206="No", DB206="No"), "Clear",
  OR(DT206&gt;=40, DA206="Yes"), "Watchlist",
  TRUE, "Exclusion Risk"
)</f>
        <v>Insufficient Evidence</v>
      </c>
      <c r="DV206" s="5"/>
      <c r="DW206" s="5" t="str">
        <f t="array" ref="DW206">_xlfn.IFS(
  DU206="Exclusion Risk", "Exclude — Hard Trigger",
  DU206="Insufficient Evidence", "Watchlist — Further Evidence Needed",
  DU206="Watchlist", "Watchlist — Further Evidence Needed",
  AND(DU206="Clear", DT206&gt;=80), "Include — No Conditions",
  DU206="Clear", "Include — Monitor",
  TRUE, "Watchlist — Further Evidence Needed"
)</f>
        <v>Watchlist — Further Evidence Needed</v>
      </c>
      <c r="DX206" s="5"/>
      <c r="DY206" s="5"/>
      <c r="DZ206" s="5"/>
      <c r="EA206" s="5"/>
      <c r="EB206" s="5" t="str">
        <f t="shared" si="112"/>
        <v>MISSING — No sources reviewed</v>
      </c>
      <c r="EC206" s="5" t="str">
        <f t="shared" si="113"/>
        <v/>
      </c>
    </row>
    <row r="207" spans="1:133" ht="18" customHeight="1" x14ac:dyDescent="0.15">
      <c r="A207" s="5" t="s">
        <v>1617</v>
      </c>
      <c r="B207" s="5" t="s">
        <v>1617</v>
      </c>
      <c r="C207" s="5" t="str">
        <f>IF(ISBLANK('Universe Tracker'!D182),"",'Universe Tracker'!D182)</f>
        <v/>
      </c>
      <c r="D207" s="5"/>
      <c r="E207" s="5"/>
      <c r="F207" s="5" t="str">
        <f>IF(ISBLANK('Universe Tracker'!F182),"",'Universe Tracker'!F182)</f>
        <v/>
      </c>
      <c r="G207" s="5" t="str">
        <f>IF(ISBLANK('Universe Tracker'!G182),"",'Universe Tracker'!G182)</f>
        <v/>
      </c>
      <c r="H207" s="5"/>
      <c r="I207" s="5"/>
      <c r="J207" s="5" t="str">
        <f t="shared" si="101"/>
        <v>_</v>
      </c>
      <c r="K207" s="5"/>
      <c r="L207" s="5"/>
      <c r="M207" s="5"/>
      <c r="N207" s="5"/>
      <c r="O207" s="5"/>
      <c r="P207" s="5"/>
      <c r="Q207" s="5"/>
      <c r="R207" s="5"/>
      <c r="S207" s="5"/>
      <c r="T207" s="5"/>
      <c r="U207" s="5"/>
      <c r="V207" s="5"/>
      <c r="W207" s="5"/>
      <c r="X207" s="5"/>
      <c r="Y207" s="5" t="str">
        <f t="shared" si="102"/>
        <v>Insufficient</v>
      </c>
      <c r="Z207" s="5"/>
      <c r="AA207" s="5"/>
      <c r="AB207" s="5"/>
      <c r="AC207" s="5"/>
      <c r="AD207" s="5"/>
      <c r="AE207" s="5"/>
      <c r="AF207" s="5"/>
      <c r="AG207" s="5"/>
      <c r="AH207" s="5"/>
      <c r="AI207" s="5"/>
      <c r="AJ207" s="5"/>
      <c r="AK207" s="5"/>
      <c r="AL207" s="5"/>
      <c r="AM207" s="5"/>
      <c r="AN207" s="5"/>
      <c r="AO207" s="5"/>
      <c r="AP207" s="5"/>
      <c r="AQ207" s="5"/>
      <c r="AR207" s="40">
        <f t="array" ref="AR207">MIN(100, MAX(0,
  IFERROR(_xlfn.XLOOKUP(AJ207,'Lookup Tables'!$A$2:$A$7,'Lookup Tables'!$B$2:$B$7,0),0)
  + IF(Z207="Yes", IF(IFERROR(_xlfn.XLOOKUP(AJ207,'Lookup Tables'!$A$2:$A$7,'Lookup Tables'!$B$2:$B$7,0),0)&lt;20, 5, 0), 0)
  + _xlfn.IFS(AB207="Yes", IF(ISNUMBER(AC207)*AND(AC207&lt;=2030),15,10), AB207="Long-term Only", 5, AB207="No", 0, TRUE, 0)
  + _xlfn.IFS(AF207="Full",10, AF207="Partial",5, AF207="Scope 2 Only",3, TRUE,0)
  + _xlfn.IFS(AG207="Yes", IF(ISNUMBER(AH207)*AND(AH207&gt;=5),10,6), AG207="Partial",4, TRUE,0)
  + _xlfn.IFS(AI207="Yes",5, AI207="Partial (material categories only)",3, TRUE,0)
  + _xlfn.IFS(AL207="Yes — Detailed",10, AL207="Yes — High Level",5, TRUE,0)
  + _xlfn.IFS(AM207="Yes — Quantified",15, AM207="Yes — Directional Only",7, TRUE,0)
  + _xlfn.IFS(AP207="Formal",5, AP207="Referenced",2, TRUE,0)
  + _xlfn.IFS(AQ207="No Issues Found",5, AQ207="Concern Identified",-5, AQ207="Severe Contradiction",-15, TRUE,0)
  + _xlfn.IFS(BC207="Reasonable Assurance",5, BC207="Limited Assurance",3, TRUE,0)
  - IF(AND(Z207="Yes", AI207="No"), 10, 0)
  - IF(AND(Z207="Yes", AM207="No"), 10, 0)
))</f>
        <v>0</v>
      </c>
      <c r="AS207" s="5"/>
      <c r="AT207" s="5"/>
      <c r="AU207" s="5"/>
      <c r="AV207" s="5"/>
      <c r="AW207" s="5"/>
      <c r="AX207" s="5"/>
      <c r="AY207" s="5"/>
      <c r="AZ207" s="5"/>
      <c r="BA207" s="5"/>
      <c r="BB207" s="5"/>
      <c r="BC207" s="5"/>
      <c r="BD207" s="5"/>
      <c r="BE207" s="39">
        <f t="array" ref="BE207">MIN(100, MAX(0,
  IFERROR(_xlfn.XLOOKUP(AT207,'Lookup Tables'!$D$2:$D$6,'Lookup Tables'!$E$2:$E$6,0),0)
  + IFERROR(_xlfn.XLOOKUP(AV207,'Lookup Tables'!$G$2:$G$5,'Lookup Tables'!$H$2:$H$5,0),0)
  + IFERROR(_xlfn.XLOOKUP(AW207,'Lookup Tables'!$J$2:$J$5,'Lookup Tables'!$K$2:$K$5,0),0)
  + _xlfn.IFS(AX207="No Issues",10, AX207="Complaint Filed",3, AX207="Confirmed Breach",-15, TRUE,0)
  + IFERROR(_xlfn.XLOOKUP(AY207,'Lookup Tables'!$M$2:$M$6,'Lookup Tables'!$N$2:$N$6,0),0)
  + IFERROR(_xlfn.XLOOKUP(AZ207,'Lookup Tables'!$P$2:$P$6,'Lookup Tables'!$Q$2:$Q$6,0),0)
  + _xlfn.IFS(BA207="Formal Board Committee",5, BA207="Board Oversight Mentioned",2, TRUE,0)
  + _xlfn.IFS(BB207="Yes — Quantified Targets",5, BB207="Yes — Discretionary Only",2, TRUE,0)
  + _xlfn.IFS(BC207="Reasonable Assurance",5, BC207="Limited Assurance",3, BC207="Management Review Only",1, TRUE,0)
))</f>
        <v>0</v>
      </c>
      <c r="BF207" s="5"/>
      <c r="BG207" s="5"/>
      <c r="BH207" s="5"/>
      <c r="BI207" s="5"/>
      <c r="BJ207" s="5"/>
      <c r="BK207" s="5"/>
      <c r="BL207" s="5"/>
      <c r="BM207" s="5"/>
      <c r="BN207" s="5"/>
      <c r="BO207" s="5"/>
      <c r="BP207" s="5"/>
      <c r="BQ207" s="5"/>
      <c r="BR207" s="5"/>
      <c r="BS207" s="41">
        <f t="array" ref="BS207">MIN(100, MAX(0,
  IFERROR(_xlfn.XLOOKUP(BG207,'Lookup Tables'!$A$11:$A$16,'Lookup Tables'!$B$11:$B$16,0),0)
  + IFERROR(_xlfn.XLOOKUP(BR207,'Lookup Tables'!$M$11:$M$14,'Lookup Tables'!$N$11:$N$14,0),0)
  + IFERROR(_xlfn.XLOOKUP(BQ207,'Lookup Tables'!$J$11:$J$15,'Lookup Tables'!$K$11:$K$15,0),0)
  + IFERROR(_xlfn.XLOOKUP(BH207,'Lookup Tables'!$D$11:$D$15,'Lookup Tables'!$E$11:$E$15,0),0)
  + IFERROR(_xlfn.XLOOKUP(BJ207,'Lookup Tables'!$G$11:$G$16,'Lookup Tables'!$H$11:$H$16,0),0)
  + IFERROR(_xlfn.XLOOKUP(BN207,'Lookup Tables'!$P$11:$P$15,'Lookup Tables'!$Q$11:$Q$15,0),0)
  + _xlfn.IFS(BM207="No Evidence",10, BM207="Unknown",3, BM207="Likely",0, BM207="Confirmed",-10, TRUE,3)
  + IFERROR(_xlfn.XLOOKUP(BP207,'Lookup Tables'!$J$21:$J$24,'Lookup Tables'!$K$21:$K$24,0),0)
))</f>
        <v>3</v>
      </c>
      <c r="BT207" s="5"/>
      <c r="BU207" s="5"/>
      <c r="BV207" s="5"/>
      <c r="BW207" s="5"/>
      <c r="BX207" s="5"/>
      <c r="BY207" s="5"/>
      <c r="BZ207" s="5"/>
      <c r="CA207" s="5"/>
      <c r="CB207" s="5"/>
      <c r="CC207" s="5"/>
      <c r="CD207" s="5"/>
      <c r="CE207" s="43">
        <f t="array" ref="CE207">MIN(100, MAX(0,
  IF(ISNUMBER(BV207)*AND(BV207&gt;0), 10, 0)
  + _xlfn.IFS(BY207="Independently Verified",25, BY207="Yes",15, TRUE,0)
  + IFERROR(_xlfn.XLOOKUP(BZ207,'Lookup Tables'!$A$21:$A$24,'Lookup Tables'!$B$21:$B$24,0),0)
  + IFERROR(_xlfn.XLOOKUP(CA207,'Lookup Tables'!$D$21:$D$24,'Lookup Tables'!$E$21:$E$24,0),0)
  + _xlfn.IFS(ISNUMBER(CB207)*AND(CB207&gt;=11),15, ISNUMBER(CB207)*AND(CB207&gt;=6),10, ISNUMBER(CB207)*AND(CB207&gt;=1),5, TRUE,0)
  + IFERROR(_xlfn.XLOOKUP(CC207,'Lookup Tables'!$G$21:$G$25,'Lookup Tables'!$H$21:$H$25,0),0)
  - IF(ISNUMBER(BW207)*AND(ISNUMBER(BV207))*AND(BW207&gt;BV207), 20, 0)
  - IF(AND(BY207="Yes", ISNUMBER(BW207), BW207&gt;60), 10, 0)
))</f>
        <v>0</v>
      </c>
      <c r="CF207" s="5"/>
      <c r="CG207" s="5"/>
      <c r="CH207" s="5"/>
      <c r="CI207" s="5"/>
      <c r="CJ207" s="5"/>
      <c r="CK207" s="5"/>
      <c r="CL207" s="5"/>
      <c r="CM207" s="5"/>
      <c r="CN207" s="5"/>
      <c r="CO207" s="5"/>
      <c r="CP207" s="5"/>
      <c r="CQ207" s="5"/>
      <c r="CR207" s="5">
        <f t="shared" si="103"/>
        <v>0</v>
      </c>
      <c r="CS207" s="5">
        <f t="shared" si="104"/>
        <v>0</v>
      </c>
      <c r="CT207" s="5">
        <f t="shared" si="105"/>
        <v>0</v>
      </c>
      <c r="CU207" s="5">
        <f>MIN(100,
  CR207*15
  + CS207*6
  + CT207*3
  + IFERROR(_xlfn.XLOOKUP(CW207,'Lookup Tables'!$M$21:$M$25,'Lookup Tables'!$N$21:$N$25,0),0)
)</f>
        <v>0</v>
      </c>
      <c r="CV207" s="5" t="str">
        <f t="shared" si="106"/>
        <v>No failures</v>
      </c>
      <c r="CW207" s="5"/>
      <c r="CX207" s="5"/>
      <c r="CY207" s="5"/>
      <c r="CZ207" s="5"/>
      <c r="DA207" s="5" t="str">
        <f t="shared" si="107"/>
        <v>Yes</v>
      </c>
      <c r="DB207" s="5" t="str">
        <f t="shared" si="108"/>
        <v>No</v>
      </c>
      <c r="DC207" s="5"/>
      <c r="DD207" s="5"/>
      <c r="DE207" s="5"/>
      <c r="DF207" s="5"/>
      <c r="DG207" s="5"/>
      <c r="DH207" s="5"/>
      <c r="DI207" s="5"/>
      <c r="DJ207" s="5"/>
      <c r="DK207" s="5"/>
      <c r="DL207" s="5" t="str">
        <f t="shared" si="109"/>
        <v>Clear</v>
      </c>
      <c r="DM207" s="5" t="str">
        <f t="shared" si="110"/>
        <v>Yes</v>
      </c>
      <c r="DN207" s="5">
        <f t="array" ref="DN207">MIN(100,
  IF(ISNUMBER(V207), _xlfn.IFS(V207&gt;=3,25, V207=2,15, V207=1,5, TRUE,0), 0)
  + IFERROR(_xlfn.IFS(VALUE(LEFT(DF207,1))=5,25, VALUE(LEFT(DF207,1))=4,20, VALUE(LEFT(DF207,1))=3,15, VALUE(LEFT(DF207,1))=2,8, TRUE,0), 15)
  + IFERROR(_xlfn.IFS(VALUE(LEFT(DG207,1))=5,25, VALUE(LEFT(DG207,1))=4,20, VALUE(LEFT(DG207,1))=3,15, VALUE(LEFT(DG207,1))=2,8, TRUE,0), 15)
  + _xlfn.IFS(DH207="Fully Verified",25, DH207="Partially Verified",12, TRUE,0)
)</f>
        <v>30</v>
      </c>
      <c r="DO207" s="5" t="str">
        <f t="array" ref="DO207">_xlfn.IFS(
  ISBLANK(AR207), "Insufficient Evidence",
  AND(AR207&gt;=65, AJ207="Approved"), "Strong",
  AR207&gt;=65, "Adequate",
  AR207&gt;=40, "Adequate",
  AR207&gt;=20, "Weak",
  TRUE, "Insufficient Evidence"
)</f>
        <v>Insufficient Evidence</v>
      </c>
      <c r="DP207" s="5" t="str">
        <f t="array" ref="DP207">_xlfn.IFS(
  ISBLANK(BS207), "Insufficient Evidence",
  BS207&gt;=65, "Strong",
  BS207&gt;=40, "Adequate",
  BS207&gt;=20, "Weak",
  TRUE, "Insufficient Evidence"
)</f>
        <v>Insufficient Evidence</v>
      </c>
      <c r="DQ207" s="5" t="str">
        <f t="array" ref="DQ207">_xlfn.IFS(
  ISBLANK(BE207), "Insufficient Evidence",
  OR(AW207="Confirmed Violation", AX207="Confirmed Breach"), "Severe — Hard Trigger",
  BE207&gt;=65, "Strong",
  BE207&gt;=40, "Adequate",
  BE207&gt;=20, "Weak",
  TRUE, "Insufficient Evidence"
)</f>
        <v>Insufficient Evidence</v>
      </c>
      <c r="DR207" s="5" t="str">
        <f t="array" ref="DR207">_xlfn.IFS(
  ISBLANK(CU207), "Insufficient Evidence",
  CU207&lt;=20, "Low Risk",
  CU207&lt;=50, "Moderate Risk",
  CU207&lt;=75, "High Risk",
  TRUE, "Very High Risk"
)</f>
        <v>Low Risk</v>
      </c>
      <c r="DS207" s="5" t="str">
        <f t="array" ref="DS207">_xlfn.IFS(
  ISBLANK(CE207), "Insufficient Evidence",
  AND(ISNUMBER(BW207),ISNUMBER(BV207),BW207&gt;BV207), "Overclaiming Risk",
  CE207&gt;=65, "Strong",
  CE207&gt;=40, "Adequate",
  TRUE, "Weak"
)</f>
        <v>Weak</v>
      </c>
      <c r="DT207" s="5">
        <f t="shared" si="111"/>
        <v>11.7</v>
      </c>
      <c r="DU207" s="5" t="str">
        <f t="array" ref="DU207">_xlfn.IFS(
  DV207="Upgraded to Clear", "Clear",
  DV207="Downgraded to Watchlist", "Watchlist",
  DV207="Downgraded to Exclusion", "Exclusion Risk",
  DB207="Yes — Automatic", "Exclusion Risk",
  OR(AW207="Confirmed Violation", AX207="Confirmed Breach"), "Exclusion Risk",
  OR(V207=0, ISBLANK(V207), DN207&lt;20), "Insufficient Evidence",
  AND(DT207&gt;=65, DA207="No", DB207="No"), "Clear",
  OR(DT207&gt;=40, DA207="Yes"), "Watchlist",
  TRUE, "Exclusion Risk"
)</f>
        <v>Insufficient Evidence</v>
      </c>
      <c r="DV207" s="5"/>
      <c r="DW207" s="5" t="str">
        <f t="array" ref="DW207">_xlfn.IFS(
  DU207="Exclusion Risk", "Exclude — Hard Trigger",
  DU207="Insufficient Evidence", "Watchlist — Further Evidence Needed",
  DU207="Watchlist", "Watchlist — Further Evidence Needed",
  AND(DU207="Clear", DT207&gt;=80), "Include — No Conditions",
  DU207="Clear", "Include — Monitor",
  TRUE, "Watchlist — Further Evidence Needed"
)</f>
        <v>Watchlist — Further Evidence Needed</v>
      </c>
      <c r="DX207" s="5"/>
      <c r="DY207" s="5"/>
      <c r="DZ207" s="5"/>
      <c r="EA207" s="5"/>
      <c r="EB207" s="5" t="str">
        <f t="shared" si="112"/>
        <v>MISSING — No sources reviewed</v>
      </c>
      <c r="EC207" s="5" t="str">
        <f t="shared" si="113"/>
        <v/>
      </c>
    </row>
    <row r="208" spans="1:133" ht="18" customHeight="1" x14ac:dyDescent="0.15">
      <c r="A208" s="5" t="s">
        <v>1617</v>
      </c>
      <c r="B208" s="5" t="s">
        <v>1617</v>
      </c>
      <c r="C208" s="5" t="str">
        <f>IF(ISBLANK('Universe Tracker'!D183),"",'Universe Tracker'!D183)</f>
        <v/>
      </c>
      <c r="D208" s="5"/>
      <c r="E208" s="5"/>
      <c r="F208" s="5" t="str">
        <f>IF(ISBLANK('Universe Tracker'!F183),"",'Universe Tracker'!F183)</f>
        <v/>
      </c>
      <c r="G208" s="5" t="str">
        <f>IF(ISBLANK('Universe Tracker'!G183),"",'Universe Tracker'!G183)</f>
        <v/>
      </c>
      <c r="H208" s="5"/>
      <c r="I208" s="5"/>
      <c r="J208" s="5" t="str">
        <f t="shared" si="101"/>
        <v>_</v>
      </c>
      <c r="K208" s="5"/>
      <c r="L208" s="5"/>
      <c r="M208" s="5"/>
      <c r="N208" s="5"/>
      <c r="O208" s="5"/>
      <c r="P208" s="5"/>
      <c r="Q208" s="5"/>
      <c r="R208" s="5"/>
      <c r="S208" s="5"/>
      <c r="T208" s="5"/>
      <c r="U208" s="5"/>
      <c r="V208" s="5"/>
      <c r="W208" s="5"/>
      <c r="X208" s="5"/>
      <c r="Y208" s="5" t="str">
        <f t="shared" si="102"/>
        <v>Insufficient</v>
      </c>
      <c r="Z208" s="5"/>
      <c r="AA208" s="5"/>
      <c r="AB208" s="5"/>
      <c r="AC208" s="5"/>
      <c r="AD208" s="5"/>
      <c r="AE208" s="5"/>
      <c r="AF208" s="5"/>
      <c r="AG208" s="5"/>
      <c r="AH208" s="5"/>
      <c r="AI208" s="5"/>
      <c r="AJ208" s="5"/>
      <c r="AK208" s="5"/>
      <c r="AL208" s="5"/>
      <c r="AM208" s="5"/>
      <c r="AN208" s="5"/>
      <c r="AO208" s="5"/>
      <c r="AP208" s="5"/>
      <c r="AQ208" s="5"/>
      <c r="AR208" s="40">
        <f t="array" ref="AR208">MIN(100, MAX(0,
  IFERROR(_xlfn.XLOOKUP(AJ208,'Lookup Tables'!$A$2:$A$7,'Lookup Tables'!$B$2:$B$7,0),0)
  + IF(Z208="Yes", IF(IFERROR(_xlfn.XLOOKUP(AJ208,'Lookup Tables'!$A$2:$A$7,'Lookup Tables'!$B$2:$B$7,0),0)&lt;20, 5, 0), 0)
  + _xlfn.IFS(AB208="Yes", IF(ISNUMBER(AC208)*AND(AC208&lt;=2030),15,10), AB208="Long-term Only", 5, AB208="No", 0, TRUE, 0)
  + _xlfn.IFS(AF208="Full",10, AF208="Partial",5, AF208="Scope 2 Only",3, TRUE,0)
  + _xlfn.IFS(AG208="Yes", IF(ISNUMBER(AH208)*AND(AH208&gt;=5),10,6), AG208="Partial",4, TRUE,0)
  + _xlfn.IFS(AI208="Yes",5, AI208="Partial (material categories only)",3, TRUE,0)
  + _xlfn.IFS(AL208="Yes — Detailed",10, AL208="Yes — High Level",5, TRUE,0)
  + _xlfn.IFS(AM208="Yes — Quantified",15, AM208="Yes — Directional Only",7, TRUE,0)
  + _xlfn.IFS(AP208="Formal",5, AP208="Referenced",2, TRUE,0)
  + _xlfn.IFS(AQ208="No Issues Found",5, AQ208="Concern Identified",-5, AQ208="Severe Contradiction",-15, TRUE,0)
  + _xlfn.IFS(BC208="Reasonable Assurance",5, BC208="Limited Assurance",3, TRUE,0)
  - IF(AND(Z208="Yes", AI208="No"), 10, 0)
  - IF(AND(Z208="Yes", AM208="No"), 10, 0)
))</f>
        <v>0</v>
      </c>
      <c r="AS208" s="5"/>
      <c r="AT208" s="5"/>
      <c r="AU208" s="5"/>
      <c r="AV208" s="5"/>
      <c r="AW208" s="5"/>
      <c r="AX208" s="5"/>
      <c r="AY208" s="5"/>
      <c r="AZ208" s="5"/>
      <c r="BA208" s="5"/>
      <c r="BB208" s="5"/>
      <c r="BC208" s="5"/>
      <c r="BD208" s="5"/>
      <c r="BE208" s="39">
        <f t="array" ref="BE208">MIN(100, MAX(0,
  IFERROR(_xlfn.XLOOKUP(AT208,'Lookup Tables'!$D$2:$D$6,'Lookup Tables'!$E$2:$E$6,0),0)
  + IFERROR(_xlfn.XLOOKUP(AV208,'Lookup Tables'!$G$2:$G$5,'Lookup Tables'!$H$2:$H$5,0),0)
  + IFERROR(_xlfn.XLOOKUP(AW208,'Lookup Tables'!$J$2:$J$5,'Lookup Tables'!$K$2:$K$5,0),0)
  + _xlfn.IFS(AX208="No Issues",10, AX208="Complaint Filed",3, AX208="Confirmed Breach",-15, TRUE,0)
  + IFERROR(_xlfn.XLOOKUP(AY208,'Lookup Tables'!$M$2:$M$6,'Lookup Tables'!$N$2:$N$6,0),0)
  + IFERROR(_xlfn.XLOOKUP(AZ208,'Lookup Tables'!$P$2:$P$6,'Lookup Tables'!$Q$2:$Q$6,0),0)
  + _xlfn.IFS(BA208="Formal Board Committee",5, BA208="Board Oversight Mentioned",2, TRUE,0)
  + _xlfn.IFS(BB208="Yes — Quantified Targets",5, BB208="Yes — Discretionary Only",2, TRUE,0)
  + _xlfn.IFS(BC208="Reasonable Assurance",5, BC208="Limited Assurance",3, BC208="Management Review Only",1, TRUE,0)
))</f>
        <v>0</v>
      </c>
      <c r="BF208" s="5"/>
      <c r="BG208" s="5"/>
      <c r="BH208" s="5"/>
      <c r="BI208" s="5"/>
      <c r="BJ208" s="5"/>
      <c r="BK208" s="5"/>
      <c r="BL208" s="5"/>
      <c r="BM208" s="5"/>
      <c r="BN208" s="5"/>
      <c r="BO208" s="5"/>
      <c r="BP208" s="5"/>
      <c r="BQ208" s="5"/>
      <c r="BR208" s="5"/>
      <c r="BS208" s="41">
        <f t="array" ref="BS208">MIN(100, MAX(0,
  IFERROR(_xlfn.XLOOKUP(BG208,'Lookup Tables'!$A$11:$A$16,'Lookup Tables'!$B$11:$B$16,0),0)
  + IFERROR(_xlfn.XLOOKUP(BR208,'Lookup Tables'!$M$11:$M$14,'Lookup Tables'!$N$11:$N$14,0),0)
  + IFERROR(_xlfn.XLOOKUP(BQ208,'Lookup Tables'!$J$11:$J$15,'Lookup Tables'!$K$11:$K$15,0),0)
  + IFERROR(_xlfn.XLOOKUP(BH208,'Lookup Tables'!$D$11:$D$15,'Lookup Tables'!$E$11:$E$15,0),0)
  + IFERROR(_xlfn.XLOOKUP(BJ208,'Lookup Tables'!$G$11:$G$16,'Lookup Tables'!$H$11:$H$16,0),0)
  + IFERROR(_xlfn.XLOOKUP(BN208,'Lookup Tables'!$P$11:$P$15,'Lookup Tables'!$Q$11:$Q$15,0),0)
  + _xlfn.IFS(BM208="No Evidence",10, BM208="Unknown",3, BM208="Likely",0, BM208="Confirmed",-10, TRUE,3)
  + IFERROR(_xlfn.XLOOKUP(BP208,'Lookup Tables'!$J$21:$J$24,'Lookup Tables'!$K$21:$K$24,0),0)
))</f>
        <v>3</v>
      </c>
      <c r="BT208" s="5"/>
      <c r="BU208" s="5"/>
      <c r="BV208" s="5"/>
      <c r="BW208" s="5"/>
      <c r="BX208" s="5"/>
      <c r="BY208" s="5"/>
      <c r="BZ208" s="5"/>
      <c r="CA208" s="5"/>
      <c r="CB208" s="5"/>
      <c r="CC208" s="5"/>
      <c r="CD208" s="5"/>
      <c r="CE208" s="43">
        <f t="array" ref="CE208">MIN(100, MAX(0,
  IF(ISNUMBER(BV208)*AND(BV208&gt;0), 10, 0)
  + _xlfn.IFS(BY208="Independently Verified",25, BY208="Yes",15, TRUE,0)
  + IFERROR(_xlfn.XLOOKUP(BZ208,'Lookup Tables'!$A$21:$A$24,'Lookup Tables'!$B$21:$B$24,0),0)
  + IFERROR(_xlfn.XLOOKUP(CA208,'Lookup Tables'!$D$21:$D$24,'Lookup Tables'!$E$21:$E$24,0),0)
  + _xlfn.IFS(ISNUMBER(CB208)*AND(CB208&gt;=11),15, ISNUMBER(CB208)*AND(CB208&gt;=6),10, ISNUMBER(CB208)*AND(CB208&gt;=1),5, TRUE,0)
  + IFERROR(_xlfn.XLOOKUP(CC208,'Lookup Tables'!$G$21:$G$25,'Lookup Tables'!$H$21:$H$25,0),0)
  - IF(ISNUMBER(BW208)*AND(ISNUMBER(BV208))*AND(BW208&gt;BV208), 20, 0)
  - IF(AND(BY208="Yes", ISNUMBER(BW208), BW208&gt;60), 10, 0)
))</f>
        <v>0</v>
      </c>
      <c r="CF208" s="5"/>
      <c r="CG208" s="5"/>
      <c r="CH208" s="5"/>
      <c r="CI208" s="5"/>
      <c r="CJ208" s="5"/>
      <c r="CK208" s="5"/>
      <c r="CL208" s="5"/>
      <c r="CM208" s="5"/>
      <c r="CN208" s="5"/>
      <c r="CO208" s="5"/>
      <c r="CP208" s="5"/>
      <c r="CQ208" s="5"/>
      <c r="CR208" s="5">
        <f t="shared" si="103"/>
        <v>0</v>
      </c>
      <c r="CS208" s="5">
        <f t="shared" si="104"/>
        <v>0</v>
      </c>
      <c r="CT208" s="5">
        <f t="shared" si="105"/>
        <v>0</v>
      </c>
      <c r="CU208" s="5">
        <f>MIN(100,
  CR208*15
  + CS208*6
  + CT208*3
  + IFERROR(_xlfn.XLOOKUP(CW208,'Lookup Tables'!$M$21:$M$25,'Lookup Tables'!$N$21:$N$25,0),0)
)</f>
        <v>0</v>
      </c>
      <c r="CV208" s="5" t="str">
        <f t="shared" si="106"/>
        <v>No failures</v>
      </c>
      <c r="CW208" s="5"/>
      <c r="CX208" s="5"/>
      <c r="CY208" s="5"/>
      <c r="CZ208" s="5"/>
      <c r="DA208" s="5" t="str">
        <f t="shared" si="107"/>
        <v>Yes</v>
      </c>
      <c r="DB208" s="5" t="str">
        <f t="shared" si="108"/>
        <v>No</v>
      </c>
      <c r="DC208" s="5"/>
      <c r="DD208" s="5"/>
      <c r="DE208" s="5"/>
      <c r="DF208" s="5"/>
      <c r="DG208" s="5"/>
      <c r="DH208" s="5"/>
      <c r="DI208" s="5"/>
      <c r="DJ208" s="5"/>
      <c r="DK208" s="5"/>
      <c r="DL208" s="5" t="str">
        <f t="shared" si="109"/>
        <v>Clear</v>
      </c>
      <c r="DM208" s="5" t="str">
        <f t="shared" si="110"/>
        <v>Yes</v>
      </c>
      <c r="DN208" s="5">
        <f t="array" ref="DN208">MIN(100,
  IF(ISNUMBER(V208), _xlfn.IFS(V208&gt;=3,25, V208=2,15, V208=1,5, TRUE,0), 0)
  + IFERROR(_xlfn.IFS(VALUE(LEFT(DF208,1))=5,25, VALUE(LEFT(DF208,1))=4,20, VALUE(LEFT(DF208,1))=3,15, VALUE(LEFT(DF208,1))=2,8, TRUE,0), 15)
  + IFERROR(_xlfn.IFS(VALUE(LEFT(DG208,1))=5,25, VALUE(LEFT(DG208,1))=4,20, VALUE(LEFT(DG208,1))=3,15, VALUE(LEFT(DG208,1))=2,8, TRUE,0), 15)
  + _xlfn.IFS(DH208="Fully Verified",25, DH208="Partially Verified",12, TRUE,0)
)</f>
        <v>30</v>
      </c>
      <c r="DO208" s="5" t="str">
        <f t="array" ref="DO208">_xlfn.IFS(
  ISBLANK(AR208), "Insufficient Evidence",
  AND(AR208&gt;=65, AJ208="Approved"), "Strong",
  AR208&gt;=65, "Adequate",
  AR208&gt;=40, "Adequate",
  AR208&gt;=20, "Weak",
  TRUE, "Insufficient Evidence"
)</f>
        <v>Insufficient Evidence</v>
      </c>
      <c r="DP208" s="5" t="str">
        <f t="array" ref="DP208">_xlfn.IFS(
  ISBLANK(BS208), "Insufficient Evidence",
  BS208&gt;=65, "Strong",
  BS208&gt;=40, "Adequate",
  BS208&gt;=20, "Weak",
  TRUE, "Insufficient Evidence"
)</f>
        <v>Insufficient Evidence</v>
      </c>
      <c r="DQ208" s="5" t="str">
        <f t="array" ref="DQ208">_xlfn.IFS(
  ISBLANK(BE208), "Insufficient Evidence",
  OR(AW208="Confirmed Violation", AX208="Confirmed Breach"), "Severe — Hard Trigger",
  BE208&gt;=65, "Strong",
  BE208&gt;=40, "Adequate",
  BE208&gt;=20, "Weak",
  TRUE, "Insufficient Evidence"
)</f>
        <v>Insufficient Evidence</v>
      </c>
      <c r="DR208" s="5" t="str">
        <f t="array" ref="DR208">_xlfn.IFS(
  ISBLANK(CU208), "Insufficient Evidence",
  CU208&lt;=20, "Low Risk",
  CU208&lt;=50, "Moderate Risk",
  CU208&lt;=75, "High Risk",
  TRUE, "Very High Risk"
)</f>
        <v>Low Risk</v>
      </c>
      <c r="DS208" s="5" t="str">
        <f t="array" ref="DS208">_xlfn.IFS(
  ISBLANK(CE208), "Insufficient Evidence",
  AND(ISNUMBER(BW208),ISNUMBER(BV208),BW208&gt;BV208), "Overclaiming Risk",
  CE208&gt;=65, "Strong",
  CE208&gt;=40, "Adequate",
  TRUE, "Weak"
)</f>
        <v>Weak</v>
      </c>
      <c r="DT208" s="5">
        <f t="shared" si="111"/>
        <v>11.7</v>
      </c>
      <c r="DU208" s="5" t="str">
        <f t="array" ref="DU208">_xlfn.IFS(
  DV208="Upgraded to Clear", "Clear",
  DV208="Downgraded to Watchlist", "Watchlist",
  DV208="Downgraded to Exclusion", "Exclusion Risk",
  DB208="Yes — Automatic", "Exclusion Risk",
  OR(AW208="Confirmed Violation", AX208="Confirmed Breach"), "Exclusion Risk",
  OR(V208=0, ISBLANK(V208), DN208&lt;20), "Insufficient Evidence",
  AND(DT208&gt;=65, DA208="No", DB208="No"), "Clear",
  OR(DT208&gt;=40, DA208="Yes"), "Watchlist",
  TRUE, "Exclusion Risk"
)</f>
        <v>Insufficient Evidence</v>
      </c>
      <c r="DV208" s="5"/>
      <c r="DW208" s="5" t="str">
        <f t="array" ref="DW208">_xlfn.IFS(
  DU208="Exclusion Risk", "Exclude — Hard Trigger",
  DU208="Insufficient Evidence", "Watchlist — Further Evidence Needed",
  DU208="Watchlist", "Watchlist — Further Evidence Needed",
  AND(DU208="Clear", DT208&gt;=80), "Include — No Conditions",
  DU208="Clear", "Include — Monitor",
  TRUE, "Watchlist — Further Evidence Needed"
)</f>
        <v>Watchlist — Further Evidence Needed</v>
      </c>
      <c r="DX208" s="5"/>
      <c r="DY208" s="5"/>
      <c r="DZ208" s="5"/>
      <c r="EA208" s="5"/>
      <c r="EB208" s="5" t="str">
        <f t="shared" si="112"/>
        <v>MISSING — No sources reviewed</v>
      </c>
      <c r="EC208" s="5" t="str">
        <f t="shared" si="113"/>
        <v/>
      </c>
    </row>
    <row r="209" spans="1:133" ht="18" customHeight="1" x14ac:dyDescent="0.15">
      <c r="A209" s="5" t="s">
        <v>1617</v>
      </c>
      <c r="B209" s="5" t="s">
        <v>1617</v>
      </c>
      <c r="C209" s="5" t="str">
        <f>IF(ISBLANK('Universe Tracker'!D184),"",'Universe Tracker'!D184)</f>
        <v/>
      </c>
      <c r="D209" s="5"/>
      <c r="E209" s="5"/>
      <c r="F209" s="5" t="str">
        <f>IF(ISBLANK('Universe Tracker'!F184),"",'Universe Tracker'!F184)</f>
        <v/>
      </c>
      <c r="G209" s="5" t="str">
        <f>IF(ISBLANK('Universe Tracker'!G184),"",'Universe Tracker'!G184)</f>
        <v/>
      </c>
      <c r="H209" s="5"/>
      <c r="I209" s="5"/>
      <c r="J209" s="5" t="str">
        <f t="shared" si="101"/>
        <v>_</v>
      </c>
      <c r="K209" s="5"/>
      <c r="L209" s="5"/>
      <c r="M209" s="5"/>
      <c r="N209" s="5"/>
      <c r="O209" s="5"/>
      <c r="P209" s="5"/>
      <c r="Q209" s="5"/>
      <c r="R209" s="5"/>
      <c r="S209" s="5"/>
      <c r="T209" s="5"/>
      <c r="U209" s="5"/>
      <c r="V209" s="5"/>
      <c r="W209" s="5"/>
      <c r="X209" s="5"/>
      <c r="Y209" s="5" t="str">
        <f t="shared" si="102"/>
        <v>Insufficient</v>
      </c>
      <c r="Z209" s="5"/>
      <c r="AA209" s="5"/>
      <c r="AB209" s="5"/>
      <c r="AC209" s="5"/>
      <c r="AD209" s="5"/>
      <c r="AE209" s="5"/>
      <c r="AF209" s="5"/>
      <c r="AG209" s="5"/>
      <c r="AH209" s="5"/>
      <c r="AI209" s="5"/>
      <c r="AJ209" s="5"/>
      <c r="AK209" s="5"/>
      <c r="AL209" s="5"/>
      <c r="AM209" s="5"/>
      <c r="AN209" s="5"/>
      <c r="AO209" s="5"/>
      <c r="AP209" s="5"/>
      <c r="AQ209" s="5"/>
      <c r="AR209" s="40">
        <f t="array" ref="AR209">MIN(100, MAX(0,
  IFERROR(_xlfn.XLOOKUP(AJ209,'Lookup Tables'!$A$2:$A$7,'Lookup Tables'!$B$2:$B$7,0),0)
  + IF(Z209="Yes", IF(IFERROR(_xlfn.XLOOKUP(AJ209,'Lookup Tables'!$A$2:$A$7,'Lookup Tables'!$B$2:$B$7,0),0)&lt;20, 5, 0), 0)
  + _xlfn.IFS(AB209="Yes", IF(ISNUMBER(AC209)*AND(AC209&lt;=2030),15,10), AB209="Long-term Only", 5, AB209="No", 0, TRUE, 0)
  + _xlfn.IFS(AF209="Full",10, AF209="Partial",5, AF209="Scope 2 Only",3, TRUE,0)
  + _xlfn.IFS(AG209="Yes", IF(ISNUMBER(AH209)*AND(AH209&gt;=5),10,6), AG209="Partial",4, TRUE,0)
  + _xlfn.IFS(AI209="Yes",5, AI209="Partial (material categories only)",3, TRUE,0)
  + _xlfn.IFS(AL209="Yes — Detailed",10, AL209="Yes — High Level",5, TRUE,0)
  + _xlfn.IFS(AM209="Yes — Quantified",15, AM209="Yes — Directional Only",7, TRUE,0)
  + _xlfn.IFS(AP209="Formal",5, AP209="Referenced",2, TRUE,0)
  + _xlfn.IFS(AQ209="No Issues Found",5, AQ209="Concern Identified",-5, AQ209="Severe Contradiction",-15, TRUE,0)
  + _xlfn.IFS(BC209="Reasonable Assurance",5, BC209="Limited Assurance",3, TRUE,0)
  - IF(AND(Z209="Yes", AI209="No"), 10, 0)
  - IF(AND(Z209="Yes", AM209="No"), 10, 0)
))</f>
        <v>0</v>
      </c>
      <c r="AS209" s="5"/>
      <c r="AT209" s="5"/>
      <c r="AU209" s="5"/>
      <c r="AV209" s="5"/>
      <c r="AW209" s="5"/>
      <c r="AX209" s="5"/>
      <c r="AY209" s="5"/>
      <c r="AZ209" s="5"/>
      <c r="BA209" s="5"/>
      <c r="BB209" s="5"/>
      <c r="BC209" s="5"/>
      <c r="BD209" s="5"/>
      <c r="BE209" s="39">
        <f t="array" ref="BE209">MIN(100, MAX(0,
  IFERROR(_xlfn.XLOOKUP(AT209,'Lookup Tables'!$D$2:$D$6,'Lookup Tables'!$E$2:$E$6,0),0)
  + IFERROR(_xlfn.XLOOKUP(AV209,'Lookup Tables'!$G$2:$G$5,'Lookup Tables'!$H$2:$H$5,0),0)
  + IFERROR(_xlfn.XLOOKUP(AW209,'Lookup Tables'!$J$2:$J$5,'Lookup Tables'!$K$2:$K$5,0),0)
  + _xlfn.IFS(AX209="No Issues",10, AX209="Complaint Filed",3, AX209="Confirmed Breach",-15, TRUE,0)
  + IFERROR(_xlfn.XLOOKUP(AY209,'Lookup Tables'!$M$2:$M$6,'Lookup Tables'!$N$2:$N$6,0),0)
  + IFERROR(_xlfn.XLOOKUP(AZ209,'Lookup Tables'!$P$2:$P$6,'Lookup Tables'!$Q$2:$Q$6,0),0)
  + _xlfn.IFS(BA209="Formal Board Committee",5, BA209="Board Oversight Mentioned",2, TRUE,0)
  + _xlfn.IFS(BB209="Yes — Quantified Targets",5, BB209="Yes — Discretionary Only",2, TRUE,0)
  + _xlfn.IFS(BC209="Reasonable Assurance",5, BC209="Limited Assurance",3, BC209="Management Review Only",1, TRUE,0)
))</f>
        <v>0</v>
      </c>
      <c r="BF209" s="5"/>
      <c r="BG209" s="5"/>
      <c r="BH209" s="5"/>
      <c r="BI209" s="5"/>
      <c r="BJ209" s="5"/>
      <c r="BK209" s="5"/>
      <c r="BL209" s="5"/>
      <c r="BM209" s="5"/>
      <c r="BN209" s="5"/>
      <c r="BO209" s="5"/>
      <c r="BP209" s="5"/>
      <c r="BQ209" s="5"/>
      <c r="BR209" s="5"/>
      <c r="BS209" s="41">
        <f t="array" ref="BS209">MIN(100, MAX(0,
  IFERROR(_xlfn.XLOOKUP(BG209,'Lookup Tables'!$A$11:$A$16,'Lookup Tables'!$B$11:$B$16,0),0)
  + IFERROR(_xlfn.XLOOKUP(BR209,'Lookup Tables'!$M$11:$M$14,'Lookup Tables'!$N$11:$N$14,0),0)
  + IFERROR(_xlfn.XLOOKUP(BQ209,'Lookup Tables'!$J$11:$J$15,'Lookup Tables'!$K$11:$K$15,0),0)
  + IFERROR(_xlfn.XLOOKUP(BH209,'Lookup Tables'!$D$11:$D$15,'Lookup Tables'!$E$11:$E$15,0),0)
  + IFERROR(_xlfn.XLOOKUP(BJ209,'Lookup Tables'!$G$11:$G$16,'Lookup Tables'!$H$11:$H$16,0),0)
  + IFERROR(_xlfn.XLOOKUP(BN209,'Lookup Tables'!$P$11:$P$15,'Lookup Tables'!$Q$11:$Q$15,0),0)
  + _xlfn.IFS(BM209="No Evidence",10, BM209="Unknown",3, BM209="Likely",0, BM209="Confirmed",-10, TRUE,3)
  + IFERROR(_xlfn.XLOOKUP(BP209,'Lookup Tables'!$J$21:$J$24,'Lookup Tables'!$K$21:$K$24,0),0)
))</f>
        <v>3</v>
      </c>
      <c r="BT209" s="5"/>
      <c r="BU209" s="5"/>
      <c r="BV209" s="5"/>
      <c r="BW209" s="5"/>
      <c r="BX209" s="5"/>
      <c r="BY209" s="5"/>
      <c r="BZ209" s="5"/>
      <c r="CA209" s="5"/>
      <c r="CB209" s="5"/>
      <c r="CC209" s="5"/>
      <c r="CD209" s="5"/>
      <c r="CE209" s="43">
        <f t="array" ref="CE209">MIN(100, MAX(0,
  IF(ISNUMBER(BV209)*AND(BV209&gt;0), 10, 0)
  + _xlfn.IFS(BY209="Independently Verified",25, BY209="Yes",15, TRUE,0)
  + IFERROR(_xlfn.XLOOKUP(BZ209,'Lookup Tables'!$A$21:$A$24,'Lookup Tables'!$B$21:$B$24,0),0)
  + IFERROR(_xlfn.XLOOKUP(CA209,'Lookup Tables'!$D$21:$D$24,'Lookup Tables'!$E$21:$E$24,0),0)
  + _xlfn.IFS(ISNUMBER(CB209)*AND(CB209&gt;=11),15, ISNUMBER(CB209)*AND(CB209&gt;=6),10, ISNUMBER(CB209)*AND(CB209&gt;=1),5, TRUE,0)
  + IFERROR(_xlfn.XLOOKUP(CC209,'Lookup Tables'!$G$21:$G$25,'Lookup Tables'!$H$21:$H$25,0),0)
  - IF(ISNUMBER(BW209)*AND(ISNUMBER(BV209))*AND(BW209&gt;BV209), 20, 0)
  - IF(AND(BY209="Yes", ISNUMBER(BW209), BW209&gt;60), 10, 0)
))</f>
        <v>0</v>
      </c>
      <c r="CF209" s="5"/>
      <c r="CG209" s="5"/>
      <c r="CH209" s="5"/>
      <c r="CI209" s="5"/>
      <c r="CJ209" s="5"/>
      <c r="CK209" s="5"/>
      <c r="CL209" s="5"/>
      <c r="CM209" s="5"/>
      <c r="CN209" s="5"/>
      <c r="CO209" s="5"/>
      <c r="CP209" s="5"/>
      <c r="CQ209" s="5"/>
      <c r="CR209" s="5">
        <f t="shared" si="103"/>
        <v>0</v>
      </c>
      <c r="CS209" s="5">
        <f t="shared" si="104"/>
        <v>0</v>
      </c>
      <c r="CT209" s="5">
        <f t="shared" si="105"/>
        <v>0</v>
      </c>
      <c r="CU209" s="5">
        <f>MIN(100,
  CR209*15
  + CS209*6
  + CT209*3
  + IFERROR(_xlfn.XLOOKUP(CW209,'Lookup Tables'!$M$21:$M$25,'Lookup Tables'!$N$21:$N$25,0),0)
)</f>
        <v>0</v>
      </c>
      <c r="CV209" s="5" t="str">
        <f t="shared" si="106"/>
        <v>No failures</v>
      </c>
      <c r="CW209" s="5"/>
      <c r="CX209" s="5"/>
      <c r="CY209" s="5"/>
      <c r="CZ209" s="5"/>
      <c r="DA209" s="5" t="str">
        <f t="shared" si="107"/>
        <v>Yes</v>
      </c>
      <c r="DB209" s="5" t="str">
        <f t="shared" si="108"/>
        <v>No</v>
      </c>
      <c r="DC209" s="5"/>
      <c r="DD209" s="5"/>
      <c r="DE209" s="5"/>
      <c r="DF209" s="5"/>
      <c r="DG209" s="5"/>
      <c r="DH209" s="5"/>
      <c r="DI209" s="5"/>
      <c r="DJ209" s="5"/>
      <c r="DK209" s="5"/>
      <c r="DL209" s="5" t="str">
        <f t="shared" si="109"/>
        <v>Clear</v>
      </c>
      <c r="DM209" s="5" t="str">
        <f t="shared" si="110"/>
        <v>Yes</v>
      </c>
      <c r="DN209" s="5">
        <f t="array" ref="DN209">MIN(100,
  IF(ISNUMBER(V209), _xlfn.IFS(V209&gt;=3,25, V209=2,15, V209=1,5, TRUE,0), 0)
  + IFERROR(_xlfn.IFS(VALUE(LEFT(DF209,1))=5,25, VALUE(LEFT(DF209,1))=4,20, VALUE(LEFT(DF209,1))=3,15, VALUE(LEFT(DF209,1))=2,8, TRUE,0), 15)
  + IFERROR(_xlfn.IFS(VALUE(LEFT(DG209,1))=5,25, VALUE(LEFT(DG209,1))=4,20, VALUE(LEFT(DG209,1))=3,15, VALUE(LEFT(DG209,1))=2,8, TRUE,0), 15)
  + _xlfn.IFS(DH209="Fully Verified",25, DH209="Partially Verified",12, TRUE,0)
)</f>
        <v>30</v>
      </c>
      <c r="DO209" s="5" t="str">
        <f t="array" ref="DO209">_xlfn.IFS(
  ISBLANK(AR209), "Insufficient Evidence",
  AND(AR209&gt;=65, AJ209="Approved"), "Strong",
  AR209&gt;=65, "Adequate",
  AR209&gt;=40, "Adequate",
  AR209&gt;=20, "Weak",
  TRUE, "Insufficient Evidence"
)</f>
        <v>Insufficient Evidence</v>
      </c>
      <c r="DP209" s="5" t="str">
        <f t="array" ref="DP209">_xlfn.IFS(
  ISBLANK(BS209), "Insufficient Evidence",
  BS209&gt;=65, "Strong",
  BS209&gt;=40, "Adequate",
  BS209&gt;=20, "Weak",
  TRUE, "Insufficient Evidence"
)</f>
        <v>Insufficient Evidence</v>
      </c>
      <c r="DQ209" s="5" t="str">
        <f t="array" ref="DQ209">_xlfn.IFS(
  ISBLANK(BE209), "Insufficient Evidence",
  OR(AW209="Confirmed Violation", AX209="Confirmed Breach"), "Severe — Hard Trigger",
  BE209&gt;=65, "Strong",
  BE209&gt;=40, "Adequate",
  BE209&gt;=20, "Weak",
  TRUE, "Insufficient Evidence"
)</f>
        <v>Insufficient Evidence</v>
      </c>
      <c r="DR209" s="5" t="str">
        <f t="array" ref="DR209">_xlfn.IFS(
  ISBLANK(CU209), "Insufficient Evidence",
  CU209&lt;=20, "Low Risk",
  CU209&lt;=50, "Moderate Risk",
  CU209&lt;=75, "High Risk",
  TRUE, "Very High Risk"
)</f>
        <v>Low Risk</v>
      </c>
      <c r="DS209" s="5" t="str">
        <f t="array" ref="DS209">_xlfn.IFS(
  ISBLANK(CE209), "Insufficient Evidence",
  AND(ISNUMBER(BW209),ISNUMBER(BV209),BW209&gt;BV209), "Overclaiming Risk",
  CE209&gt;=65, "Strong",
  CE209&gt;=40, "Adequate",
  TRUE, "Weak"
)</f>
        <v>Weak</v>
      </c>
      <c r="DT209" s="5">
        <f t="shared" si="111"/>
        <v>11.7</v>
      </c>
      <c r="DU209" s="5" t="str">
        <f t="array" ref="DU209">_xlfn.IFS(
  DV209="Upgraded to Clear", "Clear",
  DV209="Downgraded to Watchlist", "Watchlist",
  DV209="Downgraded to Exclusion", "Exclusion Risk",
  DB209="Yes — Automatic", "Exclusion Risk",
  OR(AW209="Confirmed Violation", AX209="Confirmed Breach"), "Exclusion Risk",
  OR(V209=0, ISBLANK(V209), DN209&lt;20), "Insufficient Evidence",
  AND(DT209&gt;=65, DA209="No", DB209="No"), "Clear",
  OR(DT209&gt;=40, DA209="Yes"), "Watchlist",
  TRUE, "Exclusion Risk"
)</f>
        <v>Insufficient Evidence</v>
      </c>
      <c r="DV209" s="5"/>
      <c r="DW209" s="5" t="str">
        <f t="array" ref="DW209">_xlfn.IFS(
  DU209="Exclusion Risk", "Exclude — Hard Trigger",
  DU209="Insufficient Evidence", "Watchlist — Further Evidence Needed",
  DU209="Watchlist", "Watchlist — Further Evidence Needed",
  AND(DU209="Clear", DT209&gt;=80), "Include — No Conditions",
  DU209="Clear", "Include — Monitor",
  TRUE, "Watchlist — Further Evidence Needed"
)</f>
        <v>Watchlist — Further Evidence Needed</v>
      </c>
      <c r="DX209" s="5"/>
      <c r="DY209" s="5"/>
      <c r="DZ209" s="5"/>
      <c r="EA209" s="5"/>
      <c r="EB209" s="5" t="str">
        <f t="shared" si="112"/>
        <v>MISSING — No sources reviewed</v>
      </c>
      <c r="EC209" s="5" t="str">
        <f t="shared" si="113"/>
        <v/>
      </c>
    </row>
    <row r="210" spans="1:133" ht="18" customHeight="1" x14ac:dyDescent="0.15">
      <c r="A210" s="5" t="s">
        <v>1617</v>
      </c>
      <c r="B210" s="5" t="s">
        <v>1617</v>
      </c>
      <c r="C210" s="5" t="str">
        <f>IF(ISBLANK('Universe Tracker'!D185),"",'Universe Tracker'!D185)</f>
        <v/>
      </c>
      <c r="D210" s="5"/>
      <c r="E210" s="5"/>
      <c r="F210" s="5" t="str">
        <f>IF(ISBLANK('Universe Tracker'!F185),"",'Universe Tracker'!F185)</f>
        <v/>
      </c>
      <c r="G210" s="5" t="str">
        <f>IF(ISBLANK('Universe Tracker'!G185),"",'Universe Tracker'!G185)</f>
        <v/>
      </c>
      <c r="H210" s="5"/>
      <c r="I210" s="5"/>
      <c r="J210" s="5" t="str">
        <f t="shared" si="101"/>
        <v>_</v>
      </c>
      <c r="K210" s="5"/>
      <c r="L210" s="5"/>
      <c r="M210" s="5"/>
      <c r="N210" s="5"/>
      <c r="O210" s="5"/>
      <c r="P210" s="5"/>
      <c r="Q210" s="5"/>
      <c r="R210" s="5"/>
      <c r="S210" s="5"/>
      <c r="T210" s="5"/>
      <c r="U210" s="5"/>
      <c r="V210" s="5"/>
      <c r="W210" s="5"/>
      <c r="X210" s="5"/>
      <c r="Y210" s="5" t="str">
        <f t="shared" si="102"/>
        <v>Insufficient</v>
      </c>
      <c r="Z210" s="5"/>
      <c r="AA210" s="5"/>
      <c r="AB210" s="5"/>
      <c r="AC210" s="5"/>
      <c r="AD210" s="5"/>
      <c r="AE210" s="5"/>
      <c r="AF210" s="5"/>
      <c r="AG210" s="5"/>
      <c r="AH210" s="5"/>
      <c r="AI210" s="5"/>
      <c r="AJ210" s="5"/>
      <c r="AK210" s="5"/>
      <c r="AL210" s="5"/>
      <c r="AM210" s="5"/>
      <c r="AN210" s="5"/>
      <c r="AO210" s="5"/>
      <c r="AP210" s="5"/>
      <c r="AQ210" s="5"/>
      <c r="AR210" s="40">
        <f t="array" ref="AR210">MIN(100, MAX(0,
  IFERROR(_xlfn.XLOOKUP(AJ210,'Lookup Tables'!$A$2:$A$7,'Lookup Tables'!$B$2:$B$7,0),0)
  + IF(Z210="Yes", IF(IFERROR(_xlfn.XLOOKUP(AJ210,'Lookup Tables'!$A$2:$A$7,'Lookup Tables'!$B$2:$B$7,0),0)&lt;20, 5, 0), 0)
  + _xlfn.IFS(AB210="Yes", IF(ISNUMBER(AC210)*AND(AC210&lt;=2030),15,10), AB210="Long-term Only", 5, AB210="No", 0, TRUE, 0)
  + _xlfn.IFS(AF210="Full",10, AF210="Partial",5, AF210="Scope 2 Only",3, TRUE,0)
  + _xlfn.IFS(AG210="Yes", IF(ISNUMBER(AH210)*AND(AH210&gt;=5),10,6), AG210="Partial",4, TRUE,0)
  + _xlfn.IFS(AI210="Yes",5, AI210="Partial (material categories only)",3, TRUE,0)
  + _xlfn.IFS(AL210="Yes — Detailed",10, AL210="Yes — High Level",5, TRUE,0)
  + _xlfn.IFS(AM210="Yes — Quantified",15, AM210="Yes — Directional Only",7, TRUE,0)
  + _xlfn.IFS(AP210="Formal",5, AP210="Referenced",2, TRUE,0)
  + _xlfn.IFS(AQ210="No Issues Found",5, AQ210="Concern Identified",-5, AQ210="Severe Contradiction",-15, TRUE,0)
  + _xlfn.IFS(BC210="Reasonable Assurance",5, BC210="Limited Assurance",3, TRUE,0)
  - IF(AND(Z210="Yes", AI210="No"), 10, 0)
  - IF(AND(Z210="Yes", AM210="No"), 10, 0)
))</f>
        <v>0</v>
      </c>
      <c r="AS210" s="5"/>
      <c r="AT210" s="5"/>
      <c r="AU210" s="5"/>
      <c r="AV210" s="5"/>
      <c r="AW210" s="5"/>
      <c r="AX210" s="5"/>
      <c r="AY210" s="5"/>
      <c r="AZ210" s="5"/>
      <c r="BA210" s="5"/>
      <c r="BB210" s="5"/>
      <c r="BC210" s="5"/>
      <c r="BD210" s="5"/>
      <c r="BE210" s="39">
        <f t="array" ref="BE210">MIN(100, MAX(0,
  IFERROR(_xlfn.XLOOKUP(AT210,'Lookup Tables'!$D$2:$D$6,'Lookup Tables'!$E$2:$E$6,0),0)
  + IFERROR(_xlfn.XLOOKUP(AV210,'Lookup Tables'!$G$2:$G$5,'Lookup Tables'!$H$2:$H$5,0),0)
  + IFERROR(_xlfn.XLOOKUP(AW210,'Lookup Tables'!$J$2:$J$5,'Lookup Tables'!$K$2:$K$5,0),0)
  + _xlfn.IFS(AX210="No Issues",10, AX210="Complaint Filed",3, AX210="Confirmed Breach",-15, TRUE,0)
  + IFERROR(_xlfn.XLOOKUP(AY210,'Lookup Tables'!$M$2:$M$6,'Lookup Tables'!$N$2:$N$6,0),0)
  + IFERROR(_xlfn.XLOOKUP(AZ210,'Lookup Tables'!$P$2:$P$6,'Lookup Tables'!$Q$2:$Q$6,0),0)
  + _xlfn.IFS(BA210="Formal Board Committee",5, BA210="Board Oversight Mentioned",2, TRUE,0)
  + _xlfn.IFS(BB210="Yes — Quantified Targets",5, BB210="Yes — Discretionary Only",2, TRUE,0)
  + _xlfn.IFS(BC210="Reasonable Assurance",5, BC210="Limited Assurance",3, BC210="Management Review Only",1, TRUE,0)
))</f>
        <v>0</v>
      </c>
      <c r="BF210" s="5"/>
      <c r="BG210" s="5"/>
      <c r="BH210" s="5"/>
      <c r="BI210" s="5"/>
      <c r="BJ210" s="5"/>
      <c r="BK210" s="5"/>
      <c r="BL210" s="5"/>
      <c r="BM210" s="5"/>
      <c r="BN210" s="5"/>
      <c r="BO210" s="5"/>
      <c r="BP210" s="5"/>
      <c r="BQ210" s="5"/>
      <c r="BR210" s="5"/>
      <c r="BS210" s="41">
        <f t="array" ref="BS210">MIN(100, MAX(0,
  IFERROR(_xlfn.XLOOKUP(BG210,'Lookup Tables'!$A$11:$A$16,'Lookup Tables'!$B$11:$B$16,0),0)
  + IFERROR(_xlfn.XLOOKUP(BR210,'Lookup Tables'!$M$11:$M$14,'Lookup Tables'!$N$11:$N$14,0),0)
  + IFERROR(_xlfn.XLOOKUP(BQ210,'Lookup Tables'!$J$11:$J$15,'Lookup Tables'!$K$11:$K$15,0),0)
  + IFERROR(_xlfn.XLOOKUP(BH210,'Lookup Tables'!$D$11:$D$15,'Lookup Tables'!$E$11:$E$15,0),0)
  + IFERROR(_xlfn.XLOOKUP(BJ210,'Lookup Tables'!$G$11:$G$16,'Lookup Tables'!$H$11:$H$16,0),0)
  + IFERROR(_xlfn.XLOOKUP(BN210,'Lookup Tables'!$P$11:$P$15,'Lookup Tables'!$Q$11:$Q$15,0),0)
  + _xlfn.IFS(BM210="No Evidence",10, BM210="Unknown",3, BM210="Likely",0, BM210="Confirmed",-10, TRUE,3)
  + IFERROR(_xlfn.XLOOKUP(BP210,'Lookup Tables'!$J$21:$J$24,'Lookup Tables'!$K$21:$K$24,0),0)
))</f>
        <v>3</v>
      </c>
      <c r="BT210" s="5"/>
      <c r="BU210" s="5"/>
      <c r="BV210" s="5"/>
      <c r="BW210" s="5"/>
      <c r="BX210" s="5"/>
      <c r="BY210" s="5"/>
      <c r="BZ210" s="5"/>
      <c r="CA210" s="5"/>
      <c r="CB210" s="5"/>
      <c r="CC210" s="5"/>
      <c r="CD210" s="5"/>
      <c r="CE210" s="43">
        <f t="array" ref="CE210">MIN(100, MAX(0,
  IF(ISNUMBER(BV210)*AND(BV210&gt;0), 10, 0)
  + _xlfn.IFS(BY210="Independently Verified",25, BY210="Yes",15, TRUE,0)
  + IFERROR(_xlfn.XLOOKUP(BZ210,'Lookup Tables'!$A$21:$A$24,'Lookup Tables'!$B$21:$B$24,0),0)
  + IFERROR(_xlfn.XLOOKUP(CA210,'Lookup Tables'!$D$21:$D$24,'Lookup Tables'!$E$21:$E$24,0),0)
  + _xlfn.IFS(ISNUMBER(CB210)*AND(CB210&gt;=11),15, ISNUMBER(CB210)*AND(CB210&gt;=6),10, ISNUMBER(CB210)*AND(CB210&gt;=1),5, TRUE,0)
  + IFERROR(_xlfn.XLOOKUP(CC210,'Lookup Tables'!$G$21:$G$25,'Lookup Tables'!$H$21:$H$25,0),0)
  - IF(ISNUMBER(BW210)*AND(ISNUMBER(BV210))*AND(BW210&gt;BV210), 20, 0)
  - IF(AND(BY210="Yes", ISNUMBER(BW210), BW210&gt;60), 10, 0)
))</f>
        <v>0</v>
      </c>
      <c r="CF210" s="5"/>
      <c r="CG210" s="5"/>
      <c r="CH210" s="5"/>
      <c r="CI210" s="5"/>
      <c r="CJ210" s="5"/>
      <c r="CK210" s="5"/>
      <c r="CL210" s="5"/>
      <c r="CM210" s="5"/>
      <c r="CN210" s="5"/>
      <c r="CO210" s="5"/>
      <c r="CP210" s="5"/>
      <c r="CQ210" s="5"/>
      <c r="CR210" s="5">
        <f t="shared" si="103"/>
        <v>0</v>
      </c>
      <c r="CS210" s="5">
        <f t="shared" si="104"/>
        <v>0</v>
      </c>
      <c r="CT210" s="5">
        <f t="shared" si="105"/>
        <v>0</v>
      </c>
      <c r="CU210" s="5">
        <f>MIN(100,
  CR210*15
  + CS210*6
  + CT210*3
  + IFERROR(_xlfn.XLOOKUP(CW210,'Lookup Tables'!$M$21:$M$25,'Lookup Tables'!$N$21:$N$25,0),0)
)</f>
        <v>0</v>
      </c>
      <c r="CV210" s="5" t="str">
        <f t="shared" si="106"/>
        <v>No failures</v>
      </c>
      <c r="CW210" s="5"/>
      <c r="CX210" s="5"/>
      <c r="CY210" s="5"/>
      <c r="CZ210" s="5"/>
      <c r="DA210" s="5" t="str">
        <f t="shared" si="107"/>
        <v>Yes</v>
      </c>
      <c r="DB210" s="5" t="str">
        <f t="shared" si="108"/>
        <v>No</v>
      </c>
      <c r="DC210" s="5"/>
      <c r="DD210" s="5"/>
      <c r="DE210" s="5"/>
      <c r="DF210" s="5"/>
      <c r="DG210" s="5"/>
      <c r="DH210" s="5"/>
      <c r="DI210" s="5"/>
      <c r="DJ210" s="5"/>
      <c r="DK210" s="5"/>
      <c r="DL210" s="5" t="str">
        <f t="shared" si="109"/>
        <v>Clear</v>
      </c>
      <c r="DM210" s="5" t="str">
        <f t="shared" si="110"/>
        <v>Yes</v>
      </c>
      <c r="DN210" s="5">
        <f t="array" ref="DN210">MIN(100,
  IF(ISNUMBER(V210), _xlfn.IFS(V210&gt;=3,25, V210=2,15, V210=1,5, TRUE,0), 0)
  + IFERROR(_xlfn.IFS(VALUE(LEFT(DF210,1))=5,25, VALUE(LEFT(DF210,1))=4,20, VALUE(LEFT(DF210,1))=3,15, VALUE(LEFT(DF210,1))=2,8, TRUE,0), 15)
  + IFERROR(_xlfn.IFS(VALUE(LEFT(DG210,1))=5,25, VALUE(LEFT(DG210,1))=4,20, VALUE(LEFT(DG210,1))=3,15, VALUE(LEFT(DG210,1))=2,8, TRUE,0), 15)
  + _xlfn.IFS(DH210="Fully Verified",25, DH210="Partially Verified",12, TRUE,0)
)</f>
        <v>30</v>
      </c>
      <c r="DO210" s="5" t="str">
        <f t="array" ref="DO210">_xlfn.IFS(
  ISBLANK(AR210), "Insufficient Evidence",
  AND(AR210&gt;=65, AJ210="Approved"), "Strong",
  AR210&gt;=65, "Adequate",
  AR210&gt;=40, "Adequate",
  AR210&gt;=20, "Weak",
  TRUE, "Insufficient Evidence"
)</f>
        <v>Insufficient Evidence</v>
      </c>
      <c r="DP210" s="5" t="str">
        <f t="array" ref="DP210">_xlfn.IFS(
  ISBLANK(BS210), "Insufficient Evidence",
  BS210&gt;=65, "Strong",
  BS210&gt;=40, "Adequate",
  BS210&gt;=20, "Weak",
  TRUE, "Insufficient Evidence"
)</f>
        <v>Insufficient Evidence</v>
      </c>
      <c r="DQ210" s="5" t="str">
        <f t="array" ref="DQ210">_xlfn.IFS(
  ISBLANK(BE210), "Insufficient Evidence",
  OR(AW210="Confirmed Violation", AX210="Confirmed Breach"), "Severe — Hard Trigger",
  BE210&gt;=65, "Strong",
  BE210&gt;=40, "Adequate",
  BE210&gt;=20, "Weak",
  TRUE, "Insufficient Evidence"
)</f>
        <v>Insufficient Evidence</v>
      </c>
      <c r="DR210" s="5" t="str">
        <f t="array" ref="DR210">_xlfn.IFS(
  ISBLANK(CU210), "Insufficient Evidence",
  CU210&lt;=20, "Low Risk",
  CU210&lt;=50, "Moderate Risk",
  CU210&lt;=75, "High Risk",
  TRUE, "Very High Risk"
)</f>
        <v>Low Risk</v>
      </c>
      <c r="DS210" s="5" t="str">
        <f t="array" ref="DS210">_xlfn.IFS(
  ISBLANK(CE210), "Insufficient Evidence",
  AND(ISNUMBER(BW210),ISNUMBER(BV210),BW210&gt;BV210), "Overclaiming Risk",
  CE210&gt;=65, "Strong",
  CE210&gt;=40, "Adequate",
  TRUE, "Weak"
)</f>
        <v>Weak</v>
      </c>
      <c r="DT210" s="5">
        <f t="shared" si="111"/>
        <v>11.7</v>
      </c>
      <c r="DU210" s="5" t="str">
        <f t="array" ref="DU210">_xlfn.IFS(
  DV210="Upgraded to Clear", "Clear",
  DV210="Downgraded to Watchlist", "Watchlist",
  DV210="Downgraded to Exclusion", "Exclusion Risk",
  DB210="Yes — Automatic", "Exclusion Risk",
  OR(AW210="Confirmed Violation", AX210="Confirmed Breach"), "Exclusion Risk",
  OR(V210=0, ISBLANK(V210), DN210&lt;20), "Insufficient Evidence",
  AND(DT210&gt;=65, DA210="No", DB210="No"), "Clear",
  OR(DT210&gt;=40, DA210="Yes"), "Watchlist",
  TRUE, "Exclusion Risk"
)</f>
        <v>Insufficient Evidence</v>
      </c>
      <c r="DV210" s="5"/>
      <c r="DW210" s="5" t="str">
        <f t="array" ref="DW210">_xlfn.IFS(
  DU210="Exclusion Risk", "Exclude — Hard Trigger",
  DU210="Insufficient Evidence", "Watchlist — Further Evidence Needed",
  DU210="Watchlist", "Watchlist — Further Evidence Needed",
  AND(DU210="Clear", DT210&gt;=80), "Include — No Conditions",
  DU210="Clear", "Include — Monitor",
  TRUE, "Watchlist — Further Evidence Needed"
)</f>
        <v>Watchlist — Further Evidence Needed</v>
      </c>
      <c r="DX210" s="5"/>
      <c r="DY210" s="5"/>
      <c r="DZ210" s="5"/>
      <c r="EA210" s="5"/>
      <c r="EB210" s="5" t="str">
        <f t="shared" si="112"/>
        <v>MISSING — No sources reviewed</v>
      </c>
      <c r="EC210" s="5" t="str">
        <f t="shared" si="113"/>
        <v/>
      </c>
    </row>
    <row r="211" spans="1:133" ht="18" customHeight="1" x14ac:dyDescent="0.15">
      <c r="A211" s="5" t="s">
        <v>1617</v>
      </c>
      <c r="B211" s="5" t="s">
        <v>1617</v>
      </c>
      <c r="C211" s="5" t="str">
        <f>IF(ISBLANK('Universe Tracker'!D186),"",'Universe Tracker'!D186)</f>
        <v/>
      </c>
      <c r="D211" s="5"/>
      <c r="E211" s="5"/>
      <c r="F211" s="5" t="str">
        <f>IF(ISBLANK('Universe Tracker'!F186),"",'Universe Tracker'!F186)</f>
        <v/>
      </c>
      <c r="G211" s="5" t="str">
        <f>IF(ISBLANK('Universe Tracker'!G186),"",'Universe Tracker'!G186)</f>
        <v/>
      </c>
      <c r="H211" s="5"/>
      <c r="I211" s="5"/>
      <c r="J211" s="5" t="str">
        <f t="shared" si="101"/>
        <v>_</v>
      </c>
      <c r="K211" s="5"/>
      <c r="L211" s="5"/>
      <c r="M211" s="5"/>
      <c r="N211" s="5"/>
      <c r="O211" s="5"/>
      <c r="P211" s="5"/>
      <c r="Q211" s="5"/>
      <c r="R211" s="5"/>
      <c r="S211" s="5"/>
      <c r="T211" s="5"/>
      <c r="U211" s="5"/>
      <c r="V211" s="5"/>
      <c r="W211" s="5"/>
      <c r="X211" s="5"/>
      <c r="Y211" s="5" t="str">
        <f t="shared" si="102"/>
        <v>Insufficient</v>
      </c>
      <c r="Z211" s="5"/>
      <c r="AA211" s="5"/>
      <c r="AB211" s="5"/>
      <c r="AC211" s="5"/>
      <c r="AD211" s="5"/>
      <c r="AE211" s="5"/>
      <c r="AF211" s="5"/>
      <c r="AG211" s="5"/>
      <c r="AH211" s="5"/>
      <c r="AI211" s="5"/>
      <c r="AJ211" s="5"/>
      <c r="AK211" s="5"/>
      <c r="AL211" s="5"/>
      <c r="AM211" s="5"/>
      <c r="AN211" s="5"/>
      <c r="AO211" s="5"/>
      <c r="AP211" s="5"/>
      <c r="AQ211" s="5"/>
      <c r="AR211" s="40">
        <f t="array" ref="AR211">MIN(100, MAX(0,
  IFERROR(_xlfn.XLOOKUP(AJ211,'Lookup Tables'!$A$2:$A$7,'Lookup Tables'!$B$2:$B$7,0),0)
  + IF(Z211="Yes", IF(IFERROR(_xlfn.XLOOKUP(AJ211,'Lookup Tables'!$A$2:$A$7,'Lookup Tables'!$B$2:$B$7,0),0)&lt;20, 5, 0), 0)
  + _xlfn.IFS(AB211="Yes", IF(ISNUMBER(AC211)*AND(AC211&lt;=2030),15,10), AB211="Long-term Only", 5, AB211="No", 0, TRUE, 0)
  + _xlfn.IFS(AF211="Full",10, AF211="Partial",5, AF211="Scope 2 Only",3, TRUE,0)
  + _xlfn.IFS(AG211="Yes", IF(ISNUMBER(AH211)*AND(AH211&gt;=5),10,6), AG211="Partial",4, TRUE,0)
  + _xlfn.IFS(AI211="Yes",5, AI211="Partial (material categories only)",3, TRUE,0)
  + _xlfn.IFS(AL211="Yes — Detailed",10, AL211="Yes — High Level",5, TRUE,0)
  + _xlfn.IFS(AM211="Yes — Quantified",15, AM211="Yes — Directional Only",7, TRUE,0)
  + _xlfn.IFS(AP211="Formal",5, AP211="Referenced",2, TRUE,0)
  + _xlfn.IFS(AQ211="No Issues Found",5, AQ211="Concern Identified",-5, AQ211="Severe Contradiction",-15, TRUE,0)
  + _xlfn.IFS(BC211="Reasonable Assurance",5, BC211="Limited Assurance",3, TRUE,0)
  - IF(AND(Z211="Yes", AI211="No"), 10, 0)
  - IF(AND(Z211="Yes", AM211="No"), 10, 0)
))</f>
        <v>0</v>
      </c>
      <c r="AS211" s="5"/>
      <c r="AT211" s="5"/>
      <c r="AU211" s="5"/>
      <c r="AV211" s="5"/>
      <c r="AW211" s="5"/>
      <c r="AX211" s="5"/>
      <c r="AY211" s="5"/>
      <c r="AZ211" s="5"/>
      <c r="BA211" s="5"/>
      <c r="BB211" s="5"/>
      <c r="BC211" s="5"/>
      <c r="BD211" s="5"/>
      <c r="BE211" s="39">
        <f t="array" ref="BE211">MIN(100, MAX(0,
  IFERROR(_xlfn.XLOOKUP(AT211,'Lookup Tables'!$D$2:$D$6,'Lookup Tables'!$E$2:$E$6,0),0)
  + IFERROR(_xlfn.XLOOKUP(AV211,'Lookup Tables'!$G$2:$G$5,'Lookup Tables'!$H$2:$H$5,0),0)
  + IFERROR(_xlfn.XLOOKUP(AW211,'Lookup Tables'!$J$2:$J$5,'Lookup Tables'!$K$2:$K$5,0),0)
  + _xlfn.IFS(AX211="No Issues",10, AX211="Complaint Filed",3, AX211="Confirmed Breach",-15, TRUE,0)
  + IFERROR(_xlfn.XLOOKUP(AY211,'Lookup Tables'!$M$2:$M$6,'Lookup Tables'!$N$2:$N$6,0),0)
  + IFERROR(_xlfn.XLOOKUP(AZ211,'Lookup Tables'!$P$2:$P$6,'Lookup Tables'!$Q$2:$Q$6,0),0)
  + _xlfn.IFS(BA211="Formal Board Committee",5, BA211="Board Oversight Mentioned",2, TRUE,0)
  + _xlfn.IFS(BB211="Yes — Quantified Targets",5, BB211="Yes — Discretionary Only",2, TRUE,0)
  + _xlfn.IFS(BC211="Reasonable Assurance",5, BC211="Limited Assurance",3, BC211="Management Review Only",1, TRUE,0)
))</f>
        <v>0</v>
      </c>
      <c r="BF211" s="5"/>
      <c r="BG211" s="5"/>
      <c r="BH211" s="5"/>
      <c r="BI211" s="5"/>
      <c r="BJ211" s="5"/>
      <c r="BK211" s="5"/>
      <c r="BL211" s="5"/>
      <c r="BM211" s="5"/>
      <c r="BN211" s="5"/>
      <c r="BO211" s="5"/>
      <c r="BP211" s="5"/>
      <c r="BQ211" s="5"/>
      <c r="BR211" s="5"/>
      <c r="BS211" s="41">
        <f t="array" ref="BS211">MIN(100, MAX(0,
  IFERROR(_xlfn.XLOOKUP(BG211,'Lookup Tables'!$A$11:$A$16,'Lookup Tables'!$B$11:$B$16,0),0)
  + IFERROR(_xlfn.XLOOKUP(BR211,'Lookup Tables'!$M$11:$M$14,'Lookup Tables'!$N$11:$N$14,0),0)
  + IFERROR(_xlfn.XLOOKUP(BQ211,'Lookup Tables'!$J$11:$J$15,'Lookup Tables'!$K$11:$K$15,0),0)
  + IFERROR(_xlfn.XLOOKUP(BH211,'Lookup Tables'!$D$11:$D$15,'Lookup Tables'!$E$11:$E$15,0),0)
  + IFERROR(_xlfn.XLOOKUP(BJ211,'Lookup Tables'!$G$11:$G$16,'Lookup Tables'!$H$11:$H$16,0),0)
  + IFERROR(_xlfn.XLOOKUP(BN211,'Lookup Tables'!$P$11:$P$15,'Lookup Tables'!$Q$11:$Q$15,0),0)
  + _xlfn.IFS(BM211="No Evidence",10, BM211="Unknown",3, BM211="Likely",0, BM211="Confirmed",-10, TRUE,3)
  + IFERROR(_xlfn.XLOOKUP(BP211,'Lookup Tables'!$J$21:$J$24,'Lookup Tables'!$K$21:$K$24,0),0)
))</f>
        <v>3</v>
      </c>
      <c r="BT211" s="5"/>
      <c r="BU211" s="5"/>
      <c r="BV211" s="5"/>
      <c r="BW211" s="5"/>
      <c r="BX211" s="5"/>
      <c r="BY211" s="5"/>
      <c r="BZ211" s="5"/>
      <c r="CA211" s="5"/>
      <c r="CB211" s="5"/>
      <c r="CC211" s="5"/>
      <c r="CD211" s="5"/>
      <c r="CE211" s="43">
        <f t="array" ref="CE211">MIN(100, MAX(0,
  IF(ISNUMBER(BV211)*AND(BV211&gt;0), 10, 0)
  + _xlfn.IFS(BY211="Independently Verified",25, BY211="Yes",15, TRUE,0)
  + IFERROR(_xlfn.XLOOKUP(BZ211,'Lookup Tables'!$A$21:$A$24,'Lookup Tables'!$B$21:$B$24,0),0)
  + IFERROR(_xlfn.XLOOKUP(CA211,'Lookup Tables'!$D$21:$D$24,'Lookup Tables'!$E$21:$E$24,0),0)
  + _xlfn.IFS(ISNUMBER(CB211)*AND(CB211&gt;=11),15, ISNUMBER(CB211)*AND(CB211&gt;=6),10, ISNUMBER(CB211)*AND(CB211&gt;=1),5, TRUE,0)
  + IFERROR(_xlfn.XLOOKUP(CC211,'Lookup Tables'!$G$21:$G$25,'Lookup Tables'!$H$21:$H$25,0),0)
  - IF(ISNUMBER(BW211)*AND(ISNUMBER(BV211))*AND(BW211&gt;BV211), 20, 0)
  - IF(AND(BY211="Yes", ISNUMBER(BW211), BW211&gt;60), 10, 0)
))</f>
        <v>0</v>
      </c>
      <c r="CF211" s="5"/>
      <c r="CG211" s="5"/>
      <c r="CH211" s="5"/>
      <c r="CI211" s="5"/>
      <c r="CJ211" s="5"/>
      <c r="CK211" s="5"/>
      <c r="CL211" s="5"/>
      <c r="CM211" s="5"/>
      <c r="CN211" s="5"/>
      <c r="CO211" s="5"/>
      <c r="CP211" s="5"/>
      <c r="CQ211" s="5"/>
      <c r="CR211" s="5">
        <f t="shared" si="103"/>
        <v>0</v>
      </c>
      <c r="CS211" s="5">
        <f t="shared" si="104"/>
        <v>0</v>
      </c>
      <c r="CT211" s="5">
        <f t="shared" si="105"/>
        <v>0</v>
      </c>
      <c r="CU211" s="5">
        <f>MIN(100,
  CR211*15
  + CS211*6
  + CT211*3
  + IFERROR(_xlfn.XLOOKUP(CW211,'Lookup Tables'!$M$21:$M$25,'Lookup Tables'!$N$21:$N$25,0),0)
)</f>
        <v>0</v>
      </c>
      <c r="CV211" s="5" t="str">
        <f t="shared" si="106"/>
        <v>No failures</v>
      </c>
      <c r="CW211" s="5"/>
      <c r="CX211" s="5"/>
      <c r="CY211" s="5"/>
      <c r="CZ211" s="5"/>
      <c r="DA211" s="5" t="str">
        <f t="shared" si="107"/>
        <v>Yes</v>
      </c>
      <c r="DB211" s="5" t="str">
        <f t="shared" si="108"/>
        <v>No</v>
      </c>
      <c r="DC211" s="5"/>
      <c r="DD211" s="5"/>
      <c r="DE211" s="5"/>
      <c r="DF211" s="5"/>
      <c r="DG211" s="5"/>
      <c r="DH211" s="5"/>
      <c r="DI211" s="5"/>
      <c r="DJ211" s="5"/>
      <c r="DK211" s="5"/>
      <c r="DL211" s="5" t="str">
        <f t="shared" si="109"/>
        <v>Clear</v>
      </c>
      <c r="DM211" s="5" t="str">
        <f t="shared" si="110"/>
        <v>Yes</v>
      </c>
      <c r="DN211" s="5">
        <f t="array" ref="DN211">MIN(100,
  IF(ISNUMBER(V211), _xlfn.IFS(V211&gt;=3,25, V211=2,15, V211=1,5, TRUE,0), 0)
  + IFERROR(_xlfn.IFS(VALUE(LEFT(DF211,1))=5,25, VALUE(LEFT(DF211,1))=4,20, VALUE(LEFT(DF211,1))=3,15, VALUE(LEFT(DF211,1))=2,8, TRUE,0), 15)
  + IFERROR(_xlfn.IFS(VALUE(LEFT(DG211,1))=5,25, VALUE(LEFT(DG211,1))=4,20, VALUE(LEFT(DG211,1))=3,15, VALUE(LEFT(DG211,1))=2,8, TRUE,0), 15)
  + _xlfn.IFS(DH211="Fully Verified",25, DH211="Partially Verified",12, TRUE,0)
)</f>
        <v>30</v>
      </c>
      <c r="DO211" s="5" t="str">
        <f t="array" ref="DO211">_xlfn.IFS(
  ISBLANK(AR211), "Insufficient Evidence",
  AND(AR211&gt;=65, AJ211="Approved"), "Strong",
  AR211&gt;=65, "Adequate",
  AR211&gt;=40, "Adequate",
  AR211&gt;=20, "Weak",
  TRUE, "Insufficient Evidence"
)</f>
        <v>Insufficient Evidence</v>
      </c>
      <c r="DP211" s="5" t="str">
        <f t="array" ref="DP211">_xlfn.IFS(
  ISBLANK(BS211), "Insufficient Evidence",
  BS211&gt;=65, "Strong",
  BS211&gt;=40, "Adequate",
  BS211&gt;=20, "Weak",
  TRUE, "Insufficient Evidence"
)</f>
        <v>Insufficient Evidence</v>
      </c>
      <c r="DQ211" s="5" t="str">
        <f t="array" ref="DQ211">_xlfn.IFS(
  ISBLANK(BE211), "Insufficient Evidence",
  OR(AW211="Confirmed Violation", AX211="Confirmed Breach"), "Severe — Hard Trigger",
  BE211&gt;=65, "Strong",
  BE211&gt;=40, "Adequate",
  BE211&gt;=20, "Weak",
  TRUE, "Insufficient Evidence"
)</f>
        <v>Insufficient Evidence</v>
      </c>
      <c r="DR211" s="5" t="str">
        <f t="array" ref="DR211">_xlfn.IFS(
  ISBLANK(CU211), "Insufficient Evidence",
  CU211&lt;=20, "Low Risk",
  CU211&lt;=50, "Moderate Risk",
  CU211&lt;=75, "High Risk",
  TRUE, "Very High Risk"
)</f>
        <v>Low Risk</v>
      </c>
      <c r="DS211" s="5" t="str">
        <f t="array" ref="DS211">_xlfn.IFS(
  ISBLANK(CE211), "Insufficient Evidence",
  AND(ISNUMBER(BW211),ISNUMBER(BV211),BW211&gt;BV211), "Overclaiming Risk",
  CE211&gt;=65, "Strong",
  CE211&gt;=40, "Adequate",
  TRUE, "Weak"
)</f>
        <v>Weak</v>
      </c>
      <c r="DT211" s="5">
        <f t="shared" si="111"/>
        <v>11.7</v>
      </c>
      <c r="DU211" s="5" t="str">
        <f t="array" ref="DU211">_xlfn.IFS(
  DV211="Upgraded to Clear", "Clear",
  DV211="Downgraded to Watchlist", "Watchlist",
  DV211="Downgraded to Exclusion", "Exclusion Risk",
  DB211="Yes — Automatic", "Exclusion Risk",
  OR(AW211="Confirmed Violation", AX211="Confirmed Breach"), "Exclusion Risk",
  OR(V211=0, ISBLANK(V211), DN211&lt;20), "Insufficient Evidence",
  AND(DT211&gt;=65, DA211="No", DB211="No"), "Clear",
  OR(DT211&gt;=40, DA211="Yes"), "Watchlist",
  TRUE, "Exclusion Risk"
)</f>
        <v>Insufficient Evidence</v>
      </c>
      <c r="DV211" s="5"/>
      <c r="DW211" s="5" t="str">
        <f t="array" ref="DW211">_xlfn.IFS(
  DU211="Exclusion Risk", "Exclude — Hard Trigger",
  DU211="Insufficient Evidence", "Watchlist — Further Evidence Needed",
  DU211="Watchlist", "Watchlist — Further Evidence Needed",
  AND(DU211="Clear", DT211&gt;=80), "Include — No Conditions",
  DU211="Clear", "Include — Monitor",
  TRUE, "Watchlist — Further Evidence Needed"
)</f>
        <v>Watchlist — Further Evidence Needed</v>
      </c>
      <c r="DX211" s="5"/>
      <c r="DY211" s="5"/>
      <c r="DZ211" s="5"/>
      <c r="EA211" s="5"/>
      <c r="EB211" s="5" t="str">
        <f t="shared" si="112"/>
        <v>MISSING — No sources reviewed</v>
      </c>
      <c r="EC211" s="5" t="str">
        <f t="shared" si="113"/>
        <v/>
      </c>
    </row>
    <row r="212" spans="1:133" ht="18" customHeight="1" x14ac:dyDescent="0.15">
      <c r="A212" s="5" t="s">
        <v>1617</v>
      </c>
      <c r="B212" s="5" t="s">
        <v>1617</v>
      </c>
      <c r="C212" s="5" t="str">
        <f>IF(ISBLANK('Universe Tracker'!D187),"",'Universe Tracker'!D187)</f>
        <v/>
      </c>
      <c r="D212" s="5"/>
      <c r="E212" s="5"/>
      <c r="F212" s="5" t="str">
        <f>IF(ISBLANK('Universe Tracker'!F187),"",'Universe Tracker'!F187)</f>
        <v/>
      </c>
      <c r="G212" s="5" t="str">
        <f>IF(ISBLANK('Universe Tracker'!G187),"",'Universe Tracker'!G187)</f>
        <v/>
      </c>
      <c r="H212" s="5"/>
      <c r="I212" s="5"/>
      <c r="J212" s="5" t="str">
        <f t="shared" si="101"/>
        <v>_</v>
      </c>
      <c r="K212" s="5"/>
      <c r="L212" s="5"/>
      <c r="M212" s="5"/>
      <c r="N212" s="5"/>
      <c r="O212" s="5"/>
      <c r="P212" s="5"/>
      <c r="Q212" s="5"/>
      <c r="R212" s="5"/>
      <c r="S212" s="5"/>
      <c r="T212" s="5"/>
      <c r="U212" s="5"/>
      <c r="V212" s="5"/>
      <c r="W212" s="5"/>
      <c r="X212" s="5"/>
      <c r="Y212" s="5" t="str">
        <f t="shared" si="102"/>
        <v>Insufficient</v>
      </c>
      <c r="Z212" s="5"/>
      <c r="AA212" s="5"/>
      <c r="AB212" s="5"/>
      <c r="AC212" s="5"/>
      <c r="AD212" s="5"/>
      <c r="AE212" s="5"/>
      <c r="AF212" s="5"/>
      <c r="AG212" s="5"/>
      <c r="AH212" s="5"/>
      <c r="AI212" s="5"/>
      <c r="AJ212" s="5"/>
      <c r="AK212" s="5"/>
      <c r="AL212" s="5"/>
      <c r="AM212" s="5"/>
      <c r="AN212" s="5"/>
      <c r="AO212" s="5"/>
      <c r="AP212" s="5"/>
      <c r="AQ212" s="5"/>
      <c r="AR212" s="40">
        <f t="array" ref="AR212">MIN(100, MAX(0,
  IFERROR(_xlfn.XLOOKUP(AJ212,'Lookup Tables'!$A$2:$A$7,'Lookup Tables'!$B$2:$B$7,0),0)
  + IF(Z212="Yes", IF(IFERROR(_xlfn.XLOOKUP(AJ212,'Lookup Tables'!$A$2:$A$7,'Lookup Tables'!$B$2:$B$7,0),0)&lt;20, 5, 0), 0)
  + _xlfn.IFS(AB212="Yes", IF(ISNUMBER(AC212)*AND(AC212&lt;=2030),15,10), AB212="Long-term Only", 5, AB212="No", 0, TRUE, 0)
  + _xlfn.IFS(AF212="Full",10, AF212="Partial",5, AF212="Scope 2 Only",3, TRUE,0)
  + _xlfn.IFS(AG212="Yes", IF(ISNUMBER(AH212)*AND(AH212&gt;=5),10,6), AG212="Partial",4, TRUE,0)
  + _xlfn.IFS(AI212="Yes",5, AI212="Partial (material categories only)",3, TRUE,0)
  + _xlfn.IFS(AL212="Yes — Detailed",10, AL212="Yes — High Level",5, TRUE,0)
  + _xlfn.IFS(AM212="Yes — Quantified",15, AM212="Yes — Directional Only",7, TRUE,0)
  + _xlfn.IFS(AP212="Formal",5, AP212="Referenced",2, TRUE,0)
  + _xlfn.IFS(AQ212="No Issues Found",5, AQ212="Concern Identified",-5, AQ212="Severe Contradiction",-15, TRUE,0)
  + _xlfn.IFS(BC212="Reasonable Assurance",5, BC212="Limited Assurance",3, TRUE,0)
  - IF(AND(Z212="Yes", AI212="No"), 10, 0)
  - IF(AND(Z212="Yes", AM212="No"), 10, 0)
))</f>
        <v>0</v>
      </c>
      <c r="AS212" s="5"/>
      <c r="AT212" s="5"/>
      <c r="AU212" s="5"/>
      <c r="AV212" s="5"/>
      <c r="AW212" s="5"/>
      <c r="AX212" s="5"/>
      <c r="AY212" s="5"/>
      <c r="AZ212" s="5"/>
      <c r="BA212" s="5"/>
      <c r="BB212" s="5"/>
      <c r="BC212" s="5"/>
      <c r="BD212" s="5"/>
      <c r="BE212" s="39">
        <f t="array" ref="BE212">MIN(100, MAX(0,
  IFERROR(_xlfn.XLOOKUP(AT212,'Lookup Tables'!$D$2:$D$6,'Lookup Tables'!$E$2:$E$6,0),0)
  + IFERROR(_xlfn.XLOOKUP(AV212,'Lookup Tables'!$G$2:$G$5,'Lookup Tables'!$H$2:$H$5,0),0)
  + IFERROR(_xlfn.XLOOKUP(AW212,'Lookup Tables'!$J$2:$J$5,'Lookup Tables'!$K$2:$K$5,0),0)
  + _xlfn.IFS(AX212="No Issues",10, AX212="Complaint Filed",3, AX212="Confirmed Breach",-15, TRUE,0)
  + IFERROR(_xlfn.XLOOKUP(AY212,'Lookup Tables'!$M$2:$M$6,'Lookup Tables'!$N$2:$N$6,0),0)
  + IFERROR(_xlfn.XLOOKUP(AZ212,'Lookup Tables'!$P$2:$P$6,'Lookup Tables'!$Q$2:$Q$6,0),0)
  + _xlfn.IFS(BA212="Formal Board Committee",5, BA212="Board Oversight Mentioned",2, TRUE,0)
  + _xlfn.IFS(BB212="Yes — Quantified Targets",5, BB212="Yes — Discretionary Only",2, TRUE,0)
  + _xlfn.IFS(BC212="Reasonable Assurance",5, BC212="Limited Assurance",3, BC212="Management Review Only",1, TRUE,0)
))</f>
        <v>0</v>
      </c>
      <c r="BF212" s="5"/>
      <c r="BG212" s="5"/>
      <c r="BH212" s="5"/>
      <c r="BI212" s="5"/>
      <c r="BJ212" s="5"/>
      <c r="BK212" s="5"/>
      <c r="BL212" s="5"/>
      <c r="BM212" s="5"/>
      <c r="BN212" s="5"/>
      <c r="BO212" s="5"/>
      <c r="BP212" s="5"/>
      <c r="BQ212" s="5"/>
      <c r="BR212" s="5"/>
      <c r="BS212" s="41">
        <f t="array" ref="BS212">MIN(100, MAX(0,
  IFERROR(_xlfn.XLOOKUP(BG212,'Lookup Tables'!$A$11:$A$16,'Lookup Tables'!$B$11:$B$16,0),0)
  + IFERROR(_xlfn.XLOOKUP(BR212,'Lookup Tables'!$M$11:$M$14,'Lookup Tables'!$N$11:$N$14,0),0)
  + IFERROR(_xlfn.XLOOKUP(BQ212,'Lookup Tables'!$J$11:$J$15,'Lookup Tables'!$K$11:$K$15,0),0)
  + IFERROR(_xlfn.XLOOKUP(BH212,'Lookup Tables'!$D$11:$D$15,'Lookup Tables'!$E$11:$E$15,0),0)
  + IFERROR(_xlfn.XLOOKUP(BJ212,'Lookup Tables'!$G$11:$G$16,'Lookup Tables'!$H$11:$H$16,0),0)
  + IFERROR(_xlfn.XLOOKUP(BN212,'Lookup Tables'!$P$11:$P$15,'Lookup Tables'!$Q$11:$Q$15,0),0)
  + _xlfn.IFS(BM212="No Evidence",10, BM212="Unknown",3, BM212="Likely",0, BM212="Confirmed",-10, TRUE,3)
  + IFERROR(_xlfn.XLOOKUP(BP212,'Lookup Tables'!$J$21:$J$24,'Lookup Tables'!$K$21:$K$24,0),0)
))</f>
        <v>3</v>
      </c>
      <c r="BT212" s="5"/>
      <c r="BU212" s="5"/>
      <c r="BV212" s="5"/>
      <c r="BW212" s="5"/>
      <c r="BX212" s="5"/>
      <c r="BY212" s="5"/>
      <c r="BZ212" s="5"/>
      <c r="CA212" s="5"/>
      <c r="CB212" s="5"/>
      <c r="CC212" s="5"/>
      <c r="CD212" s="5"/>
      <c r="CE212" s="43">
        <f t="array" ref="CE212">MIN(100, MAX(0,
  IF(ISNUMBER(BV212)*AND(BV212&gt;0), 10, 0)
  + _xlfn.IFS(BY212="Independently Verified",25, BY212="Yes",15, TRUE,0)
  + IFERROR(_xlfn.XLOOKUP(BZ212,'Lookup Tables'!$A$21:$A$24,'Lookup Tables'!$B$21:$B$24,0),0)
  + IFERROR(_xlfn.XLOOKUP(CA212,'Lookup Tables'!$D$21:$D$24,'Lookup Tables'!$E$21:$E$24,0),0)
  + _xlfn.IFS(ISNUMBER(CB212)*AND(CB212&gt;=11),15, ISNUMBER(CB212)*AND(CB212&gt;=6),10, ISNUMBER(CB212)*AND(CB212&gt;=1),5, TRUE,0)
  + IFERROR(_xlfn.XLOOKUP(CC212,'Lookup Tables'!$G$21:$G$25,'Lookup Tables'!$H$21:$H$25,0),0)
  - IF(ISNUMBER(BW212)*AND(ISNUMBER(BV212))*AND(BW212&gt;BV212), 20, 0)
  - IF(AND(BY212="Yes", ISNUMBER(BW212), BW212&gt;60), 10, 0)
))</f>
        <v>0</v>
      </c>
      <c r="CF212" s="5"/>
      <c r="CG212" s="5"/>
      <c r="CH212" s="5"/>
      <c r="CI212" s="5"/>
      <c r="CJ212" s="5"/>
      <c r="CK212" s="5"/>
      <c r="CL212" s="5"/>
      <c r="CM212" s="5"/>
      <c r="CN212" s="5"/>
      <c r="CO212" s="5"/>
      <c r="CP212" s="5"/>
      <c r="CQ212" s="5"/>
      <c r="CR212" s="5">
        <f t="shared" si="103"/>
        <v>0</v>
      </c>
      <c r="CS212" s="5">
        <f t="shared" si="104"/>
        <v>0</v>
      </c>
      <c r="CT212" s="5">
        <f t="shared" si="105"/>
        <v>0</v>
      </c>
      <c r="CU212" s="5">
        <f>MIN(100,
  CR212*15
  + CS212*6
  + CT212*3
  + IFERROR(_xlfn.XLOOKUP(CW212,'Lookup Tables'!$M$21:$M$25,'Lookup Tables'!$N$21:$N$25,0),0)
)</f>
        <v>0</v>
      </c>
      <c r="CV212" s="5" t="str">
        <f t="shared" si="106"/>
        <v>No failures</v>
      </c>
      <c r="CW212" s="5"/>
      <c r="CX212" s="5"/>
      <c r="CY212" s="5"/>
      <c r="CZ212" s="5"/>
      <c r="DA212" s="5" t="str">
        <f t="shared" si="107"/>
        <v>Yes</v>
      </c>
      <c r="DB212" s="5" t="str">
        <f t="shared" si="108"/>
        <v>No</v>
      </c>
      <c r="DC212" s="5"/>
      <c r="DD212" s="5"/>
      <c r="DE212" s="5"/>
      <c r="DF212" s="5"/>
      <c r="DG212" s="5"/>
      <c r="DH212" s="5"/>
      <c r="DI212" s="5"/>
      <c r="DJ212" s="5"/>
      <c r="DK212" s="5"/>
      <c r="DL212" s="5" t="str">
        <f t="shared" si="109"/>
        <v>Clear</v>
      </c>
      <c r="DM212" s="5" t="str">
        <f t="shared" si="110"/>
        <v>Yes</v>
      </c>
      <c r="DN212" s="5">
        <f t="array" ref="DN212">MIN(100,
  IF(ISNUMBER(V212), _xlfn.IFS(V212&gt;=3,25, V212=2,15, V212=1,5, TRUE,0), 0)
  + IFERROR(_xlfn.IFS(VALUE(LEFT(DF212,1))=5,25, VALUE(LEFT(DF212,1))=4,20, VALUE(LEFT(DF212,1))=3,15, VALUE(LEFT(DF212,1))=2,8, TRUE,0), 15)
  + IFERROR(_xlfn.IFS(VALUE(LEFT(DG212,1))=5,25, VALUE(LEFT(DG212,1))=4,20, VALUE(LEFT(DG212,1))=3,15, VALUE(LEFT(DG212,1))=2,8, TRUE,0), 15)
  + _xlfn.IFS(DH212="Fully Verified",25, DH212="Partially Verified",12, TRUE,0)
)</f>
        <v>30</v>
      </c>
      <c r="DO212" s="5" t="str">
        <f t="array" ref="DO212">_xlfn.IFS(
  ISBLANK(AR212), "Insufficient Evidence",
  AND(AR212&gt;=65, AJ212="Approved"), "Strong",
  AR212&gt;=65, "Adequate",
  AR212&gt;=40, "Adequate",
  AR212&gt;=20, "Weak",
  TRUE, "Insufficient Evidence"
)</f>
        <v>Insufficient Evidence</v>
      </c>
      <c r="DP212" s="5" t="str">
        <f t="array" ref="DP212">_xlfn.IFS(
  ISBLANK(BS212), "Insufficient Evidence",
  BS212&gt;=65, "Strong",
  BS212&gt;=40, "Adequate",
  BS212&gt;=20, "Weak",
  TRUE, "Insufficient Evidence"
)</f>
        <v>Insufficient Evidence</v>
      </c>
      <c r="DQ212" s="5" t="str">
        <f t="array" ref="DQ212">_xlfn.IFS(
  ISBLANK(BE212), "Insufficient Evidence",
  OR(AW212="Confirmed Violation", AX212="Confirmed Breach"), "Severe — Hard Trigger",
  BE212&gt;=65, "Strong",
  BE212&gt;=40, "Adequate",
  BE212&gt;=20, "Weak",
  TRUE, "Insufficient Evidence"
)</f>
        <v>Insufficient Evidence</v>
      </c>
      <c r="DR212" s="5" t="str">
        <f t="array" ref="DR212">_xlfn.IFS(
  ISBLANK(CU212), "Insufficient Evidence",
  CU212&lt;=20, "Low Risk",
  CU212&lt;=50, "Moderate Risk",
  CU212&lt;=75, "High Risk",
  TRUE, "Very High Risk"
)</f>
        <v>Low Risk</v>
      </c>
      <c r="DS212" s="5" t="str">
        <f t="array" ref="DS212">_xlfn.IFS(
  ISBLANK(CE212), "Insufficient Evidence",
  AND(ISNUMBER(BW212),ISNUMBER(BV212),BW212&gt;BV212), "Overclaiming Risk",
  CE212&gt;=65, "Strong",
  CE212&gt;=40, "Adequate",
  TRUE, "Weak"
)</f>
        <v>Weak</v>
      </c>
      <c r="DT212" s="5">
        <f t="shared" si="111"/>
        <v>11.7</v>
      </c>
      <c r="DU212" s="5" t="str">
        <f t="array" ref="DU212">_xlfn.IFS(
  DV212="Upgraded to Clear", "Clear",
  DV212="Downgraded to Watchlist", "Watchlist",
  DV212="Downgraded to Exclusion", "Exclusion Risk",
  DB212="Yes — Automatic", "Exclusion Risk",
  OR(AW212="Confirmed Violation", AX212="Confirmed Breach"), "Exclusion Risk",
  OR(V212=0, ISBLANK(V212), DN212&lt;20), "Insufficient Evidence",
  AND(DT212&gt;=65, DA212="No", DB212="No"), "Clear",
  OR(DT212&gt;=40, DA212="Yes"), "Watchlist",
  TRUE, "Exclusion Risk"
)</f>
        <v>Insufficient Evidence</v>
      </c>
      <c r="DV212" s="5"/>
      <c r="DW212" s="5" t="str">
        <f t="array" ref="DW212">_xlfn.IFS(
  DU212="Exclusion Risk", "Exclude — Hard Trigger",
  DU212="Insufficient Evidence", "Watchlist — Further Evidence Needed",
  DU212="Watchlist", "Watchlist — Further Evidence Needed",
  AND(DU212="Clear", DT212&gt;=80), "Include — No Conditions",
  DU212="Clear", "Include — Monitor",
  TRUE, "Watchlist — Further Evidence Needed"
)</f>
        <v>Watchlist — Further Evidence Needed</v>
      </c>
      <c r="DX212" s="5"/>
      <c r="DY212" s="5"/>
      <c r="DZ212" s="5"/>
      <c r="EA212" s="5"/>
      <c r="EB212" s="5" t="str">
        <f t="shared" si="112"/>
        <v>MISSING — No sources reviewed</v>
      </c>
      <c r="EC212" s="5" t="str">
        <f t="shared" si="113"/>
        <v/>
      </c>
    </row>
    <row r="213" spans="1:133" ht="18" customHeight="1" x14ac:dyDescent="0.15">
      <c r="A213" s="5" t="s">
        <v>1617</v>
      </c>
      <c r="B213" s="5" t="s">
        <v>1617</v>
      </c>
      <c r="C213" s="5" t="str">
        <f>IF(ISBLANK('Universe Tracker'!D188),"",'Universe Tracker'!D188)</f>
        <v/>
      </c>
      <c r="D213" s="5"/>
      <c r="E213" s="5"/>
      <c r="F213" s="5" t="str">
        <f>IF(ISBLANK('Universe Tracker'!F188),"",'Universe Tracker'!F188)</f>
        <v/>
      </c>
      <c r="G213" s="5" t="str">
        <f>IF(ISBLANK('Universe Tracker'!G188),"",'Universe Tracker'!G188)</f>
        <v/>
      </c>
      <c r="H213" s="5"/>
      <c r="I213" s="5"/>
      <c r="J213" s="5" t="str">
        <f t="shared" si="101"/>
        <v>_</v>
      </c>
      <c r="K213" s="5"/>
      <c r="L213" s="5"/>
      <c r="M213" s="5"/>
      <c r="N213" s="5"/>
      <c r="O213" s="5"/>
      <c r="P213" s="5"/>
      <c r="Q213" s="5"/>
      <c r="R213" s="5"/>
      <c r="S213" s="5"/>
      <c r="T213" s="5"/>
      <c r="U213" s="5"/>
      <c r="V213" s="5"/>
      <c r="W213" s="5"/>
      <c r="X213" s="5"/>
      <c r="Y213" s="5" t="str">
        <f t="shared" si="102"/>
        <v>Insufficient</v>
      </c>
      <c r="Z213" s="5"/>
      <c r="AA213" s="5"/>
      <c r="AB213" s="5"/>
      <c r="AC213" s="5"/>
      <c r="AD213" s="5"/>
      <c r="AE213" s="5"/>
      <c r="AF213" s="5"/>
      <c r="AG213" s="5"/>
      <c r="AH213" s="5"/>
      <c r="AI213" s="5"/>
      <c r="AJ213" s="5"/>
      <c r="AK213" s="5"/>
      <c r="AL213" s="5"/>
      <c r="AM213" s="5"/>
      <c r="AN213" s="5"/>
      <c r="AO213" s="5"/>
      <c r="AP213" s="5"/>
      <c r="AQ213" s="5"/>
      <c r="AR213" s="40">
        <f t="array" ref="AR213">MIN(100, MAX(0,
  IFERROR(_xlfn.XLOOKUP(AJ213,'Lookup Tables'!$A$2:$A$7,'Lookup Tables'!$B$2:$B$7,0),0)
  + IF(Z213="Yes", IF(IFERROR(_xlfn.XLOOKUP(AJ213,'Lookup Tables'!$A$2:$A$7,'Lookup Tables'!$B$2:$B$7,0),0)&lt;20, 5, 0), 0)
  + _xlfn.IFS(AB213="Yes", IF(ISNUMBER(AC213)*AND(AC213&lt;=2030),15,10), AB213="Long-term Only", 5, AB213="No", 0, TRUE, 0)
  + _xlfn.IFS(AF213="Full",10, AF213="Partial",5, AF213="Scope 2 Only",3, TRUE,0)
  + _xlfn.IFS(AG213="Yes", IF(ISNUMBER(AH213)*AND(AH213&gt;=5),10,6), AG213="Partial",4, TRUE,0)
  + _xlfn.IFS(AI213="Yes",5, AI213="Partial (material categories only)",3, TRUE,0)
  + _xlfn.IFS(AL213="Yes — Detailed",10, AL213="Yes — High Level",5, TRUE,0)
  + _xlfn.IFS(AM213="Yes — Quantified",15, AM213="Yes — Directional Only",7, TRUE,0)
  + _xlfn.IFS(AP213="Formal",5, AP213="Referenced",2, TRUE,0)
  + _xlfn.IFS(AQ213="No Issues Found",5, AQ213="Concern Identified",-5, AQ213="Severe Contradiction",-15, TRUE,0)
  + _xlfn.IFS(BC213="Reasonable Assurance",5, BC213="Limited Assurance",3, TRUE,0)
  - IF(AND(Z213="Yes", AI213="No"), 10, 0)
  - IF(AND(Z213="Yes", AM213="No"), 10, 0)
))</f>
        <v>0</v>
      </c>
      <c r="AS213" s="5"/>
      <c r="AT213" s="5"/>
      <c r="AU213" s="5"/>
      <c r="AV213" s="5"/>
      <c r="AW213" s="5"/>
      <c r="AX213" s="5"/>
      <c r="AY213" s="5"/>
      <c r="AZ213" s="5"/>
      <c r="BA213" s="5"/>
      <c r="BB213" s="5"/>
      <c r="BC213" s="5"/>
      <c r="BD213" s="5"/>
      <c r="BE213" s="39">
        <f t="array" ref="BE213">MIN(100, MAX(0,
  IFERROR(_xlfn.XLOOKUP(AT213,'Lookup Tables'!$D$2:$D$6,'Lookup Tables'!$E$2:$E$6,0),0)
  + IFERROR(_xlfn.XLOOKUP(AV213,'Lookup Tables'!$G$2:$G$5,'Lookup Tables'!$H$2:$H$5,0),0)
  + IFERROR(_xlfn.XLOOKUP(AW213,'Lookup Tables'!$J$2:$J$5,'Lookup Tables'!$K$2:$K$5,0),0)
  + _xlfn.IFS(AX213="No Issues",10, AX213="Complaint Filed",3, AX213="Confirmed Breach",-15, TRUE,0)
  + IFERROR(_xlfn.XLOOKUP(AY213,'Lookup Tables'!$M$2:$M$6,'Lookup Tables'!$N$2:$N$6,0),0)
  + IFERROR(_xlfn.XLOOKUP(AZ213,'Lookup Tables'!$P$2:$P$6,'Lookup Tables'!$Q$2:$Q$6,0),0)
  + _xlfn.IFS(BA213="Formal Board Committee",5, BA213="Board Oversight Mentioned",2, TRUE,0)
  + _xlfn.IFS(BB213="Yes — Quantified Targets",5, BB213="Yes — Discretionary Only",2, TRUE,0)
  + _xlfn.IFS(BC213="Reasonable Assurance",5, BC213="Limited Assurance",3, BC213="Management Review Only",1, TRUE,0)
))</f>
        <v>0</v>
      </c>
      <c r="BF213" s="5"/>
      <c r="BG213" s="5"/>
      <c r="BH213" s="5"/>
      <c r="BI213" s="5"/>
      <c r="BJ213" s="5"/>
      <c r="BK213" s="5"/>
      <c r="BL213" s="5"/>
      <c r="BM213" s="5"/>
      <c r="BN213" s="5"/>
      <c r="BO213" s="5"/>
      <c r="BP213" s="5"/>
      <c r="BQ213" s="5"/>
      <c r="BR213" s="5"/>
      <c r="BS213" s="41">
        <f t="array" ref="BS213">MIN(100, MAX(0,
  IFERROR(_xlfn.XLOOKUP(BG213,'Lookup Tables'!$A$11:$A$16,'Lookup Tables'!$B$11:$B$16,0),0)
  + IFERROR(_xlfn.XLOOKUP(BR213,'Lookup Tables'!$M$11:$M$14,'Lookup Tables'!$N$11:$N$14,0),0)
  + IFERROR(_xlfn.XLOOKUP(BQ213,'Lookup Tables'!$J$11:$J$15,'Lookup Tables'!$K$11:$K$15,0),0)
  + IFERROR(_xlfn.XLOOKUP(BH213,'Lookup Tables'!$D$11:$D$15,'Lookup Tables'!$E$11:$E$15,0),0)
  + IFERROR(_xlfn.XLOOKUP(BJ213,'Lookup Tables'!$G$11:$G$16,'Lookup Tables'!$H$11:$H$16,0),0)
  + IFERROR(_xlfn.XLOOKUP(BN213,'Lookup Tables'!$P$11:$P$15,'Lookup Tables'!$Q$11:$Q$15,0),0)
  + _xlfn.IFS(BM213="No Evidence",10, BM213="Unknown",3, BM213="Likely",0, BM213="Confirmed",-10, TRUE,3)
  + IFERROR(_xlfn.XLOOKUP(BP213,'Lookup Tables'!$J$21:$J$24,'Lookup Tables'!$K$21:$K$24,0),0)
))</f>
        <v>3</v>
      </c>
      <c r="BT213" s="5"/>
      <c r="BU213" s="5"/>
      <c r="BV213" s="5"/>
      <c r="BW213" s="5"/>
      <c r="BX213" s="5"/>
      <c r="BY213" s="5"/>
      <c r="BZ213" s="5"/>
      <c r="CA213" s="5"/>
      <c r="CB213" s="5"/>
      <c r="CC213" s="5"/>
      <c r="CD213" s="5"/>
      <c r="CE213" s="43">
        <f t="array" ref="CE213">MIN(100, MAX(0,
  IF(ISNUMBER(BV213)*AND(BV213&gt;0), 10, 0)
  + _xlfn.IFS(BY213="Independently Verified",25, BY213="Yes",15, TRUE,0)
  + IFERROR(_xlfn.XLOOKUP(BZ213,'Lookup Tables'!$A$21:$A$24,'Lookup Tables'!$B$21:$B$24,0),0)
  + IFERROR(_xlfn.XLOOKUP(CA213,'Lookup Tables'!$D$21:$D$24,'Lookup Tables'!$E$21:$E$24,0),0)
  + _xlfn.IFS(ISNUMBER(CB213)*AND(CB213&gt;=11),15, ISNUMBER(CB213)*AND(CB213&gt;=6),10, ISNUMBER(CB213)*AND(CB213&gt;=1),5, TRUE,0)
  + IFERROR(_xlfn.XLOOKUP(CC213,'Lookup Tables'!$G$21:$G$25,'Lookup Tables'!$H$21:$H$25,0),0)
  - IF(ISNUMBER(BW213)*AND(ISNUMBER(BV213))*AND(BW213&gt;BV213), 20, 0)
  - IF(AND(BY213="Yes", ISNUMBER(BW213), BW213&gt;60), 10, 0)
))</f>
        <v>0</v>
      </c>
      <c r="CF213" s="5"/>
      <c r="CG213" s="5"/>
      <c r="CH213" s="5"/>
      <c r="CI213" s="5"/>
      <c r="CJ213" s="5"/>
      <c r="CK213" s="5"/>
      <c r="CL213" s="5"/>
      <c r="CM213" s="5"/>
      <c r="CN213" s="5"/>
      <c r="CO213" s="5"/>
      <c r="CP213" s="5"/>
      <c r="CQ213" s="5"/>
      <c r="CR213" s="5">
        <f t="shared" si="103"/>
        <v>0</v>
      </c>
      <c r="CS213" s="5">
        <f t="shared" si="104"/>
        <v>0</v>
      </c>
      <c r="CT213" s="5">
        <f t="shared" si="105"/>
        <v>0</v>
      </c>
      <c r="CU213" s="5">
        <f>MIN(100,
  CR213*15
  + CS213*6
  + CT213*3
  + IFERROR(_xlfn.XLOOKUP(CW213,'Lookup Tables'!$M$21:$M$25,'Lookup Tables'!$N$21:$N$25,0),0)
)</f>
        <v>0</v>
      </c>
      <c r="CV213" s="5" t="str">
        <f t="shared" si="106"/>
        <v>No failures</v>
      </c>
      <c r="CW213" s="5"/>
      <c r="CX213" s="5"/>
      <c r="CY213" s="5"/>
      <c r="CZ213" s="5"/>
      <c r="DA213" s="5" t="str">
        <f t="shared" si="107"/>
        <v>Yes</v>
      </c>
      <c r="DB213" s="5" t="str">
        <f t="shared" si="108"/>
        <v>No</v>
      </c>
      <c r="DC213" s="5"/>
      <c r="DD213" s="5"/>
      <c r="DE213" s="5"/>
      <c r="DF213" s="5"/>
      <c r="DG213" s="5"/>
      <c r="DH213" s="5"/>
      <c r="DI213" s="5"/>
      <c r="DJ213" s="5"/>
      <c r="DK213" s="5"/>
      <c r="DL213" s="5" t="str">
        <f t="shared" si="109"/>
        <v>Clear</v>
      </c>
      <c r="DM213" s="5" t="str">
        <f t="shared" si="110"/>
        <v>Yes</v>
      </c>
      <c r="DN213" s="5">
        <f t="array" ref="DN213">MIN(100,
  IF(ISNUMBER(V213), _xlfn.IFS(V213&gt;=3,25, V213=2,15, V213=1,5, TRUE,0), 0)
  + IFERROR(_xlfn.IFS(VALUE(LEFT(DF213,1))=5,25, VALUE(LEFT(DF213,1))=4,20, VALUE(LEFT(DF213,1))=3,15, VALUE(LEFT(DF213,1))=2,8, TRUE,0), 15)
  + IFERROR(_xlfn.IFS(VALUE(LEFT(DG213,1))=5,25, VALUE(LEFT(DG213,1))=4,20, VALUE(LEFT(DG213,1))=3,15, VALUE(LEFT(DG213,1))=2,8, TRUE,0), 15)
  + _xlfn.IFS(DH213="Fully Verified",25, DH213="Partially Verified",12, TRUE,0)
)</f>
        <v>30</v>
      </c>
      <c r="DO213" s="5" t="str">
        <f t="array" ref="DO213">_xlfn.IFS(
  ISBLANK(AR213), "Insufficient Evidence",
  AND(AR213&gt;=65, AJ213="Approved"), "Strong",
  AR213&gt;=65, "Adequate",
  AR213&gt;=40, "Adequate",
  AR213&gt;=20, "Weak",
  TRUE, "Insufficient Evidence"
)</f>
        <v>Insufficient Evidence</v>
      </c>
      <c r="DP213" s="5" t="str">
        <f t="array" ref="DP213">_xlfn.IFS(
  ISBLANK(BS213), "Insufficient Evidence",
  BS213&gt;=65, "Strong",
  BS213&gt;=40, "Adequate",
  BS213&gt;=20, "Weak",
  TRUE, "Insufficient Evidence"
)</f>
        <v>Insufficient Evidence</v>
      </c>
      <c r="DQ213" s="5" t="str">
        <f t="array" ref="DQ213">_xlfn.IFS(
  ISBLANK(BE213), "Insufficient Evidence",
  OR(AW213="Confirmed Violation", AX213="Confirmed Breach"), "Severe — Hard Trigger",
  BE213&gt;=65, "Strong",
  BE213&gt;=40, "Adequate",
  BE213&gt;=20, "Weak",
  TRUE, "Insufficient Evidence"
)</f>
        <v>Insufficient Evidence</v>
      </c>
      <c r="DR213" s="5" t="str">
        <f t="array" ref="DR213">_xlfn.IFS(
  ISBLANK(CU213), "Insufficient Evidence",
  CU213&lt;=20, "Low Risk",
  CU213&lt;=50, "Moderate Risk",
  CU213&lt;=75, "High Risk",
  TRUE, "Very High Risk"
)</f>
        <v>Low Risk</v>
      </c>
      <c r="DS213" s="5" t="str">
        <f t="array" ref="DS213">_xlfn.IFS(
  ISBLANK(CE213), "Insufficient Evidence",
  AND(ISNUMBER(BW213),ISNUMBER(BV213),BW213&gt;BV213), "Overclaiming Risk",
  CE213&gt;=65, "Strong",
  CE213&gt;=40, "Adequate",
  TRUE, "Weak"
)</f>
        <v>Weak</v>
      </c>
      <c r="DT213" s="5">
        <f t="shared" si="111"/>
        <v>11.7</v>
      </c>
      <c r="DU213" s="5" t="str">
        <f t="array" ref="DU213">_xlfn.IFS(
  DV213="Upgraded to Clear", "Clear",
  DV213="Downgraded to Watchlist", "Watchlist",
  DV213="Downgraded to Exclusion", "Exclusion Risk",
  DB213="Yes — Automatic", "Exclusion Risk",
  OR(AW213="Confirmed Violation", AX213="Confirmed Breach"), "Exclusion Risk",
  OR(V213=0, ISBLANK(V213), DN213&lt;20), "Insufficient Evidence",
  AND(DT213&gt;=65, DA213="No", DB213="No"), "Clear",
  OR(DT213&gt;=40, DA213="Yes"), "Watchlist",
  TRUE, "Exclusion Risk"
)</f>
        <v>Insufficient Evidence</v>
      </c>
      <c r="DV213" s="5"/>
      <c r="DW213" s="5" t="str">
        <f t="array" ref="DW213">_xlfn.IFS(
  DU213="Exclusion Risk", "Exclude — Hard Trigger",
  DU213="Insufficient Evidence", "Watchlist — Further Evidence Needed",
  DU213="Watchlist", "Watchlist — Further Evidence Needed",
  AND(DU213="Clear", DT213&gt;=80), "Include — No Conditions",
  DU213="Clear", "Include — Monitor",
  TRUE, "Watchlist — Further Evidence Needed"
)</f>
        <v>Watchlist — Further Evidence Needed</v>
      </c>
      <c r="DX213" s="5"/>
      <c r="DY213" s="5"/>
      <c r="DZ213" s="5"/>
      <c r="EA213" s="5"/>
      <c r="EB213" s="5" t="str">
        <f t="shared" si="112"/>
        <v>MISSING — No sources reviewed</v>
      </c>
      <c r="EC213" s="5" t="str">
        <f t="shared" si="113"/>
        <v/>
      </c>
    </row>
    <row r="214" spans="1:133" ht="18" customHeight="1" x14ac:dyDescent="0.15">
      <c r="A214" s="5" t="s">
        <v>1617</v>
      </c>
      <c r="B214" s="5" t="s">
        <v>1617</v>
      </c>
      <c r="C214" s="5" t="str">
        <f>IF(ISBLANK('Universe Tracker'!D189),"",'Universe Tracker'!D189)</f>
        <v/>
      </c>
      <c r="D214" s="5"/>
      <c r="E214" s="5"/>
      <c r="F214" s="5" t="str">
        <f>IF(ISBLANK('Universe Tracker'!F189),"",'Universe Tracker'!F189)</f>
        <v/>
      </c>
      <c r="G214" s="5" t="str">
        <f>IF(ISBLANK('Universe Tracker'!G189),"",'Universe Tracker'!G189)</f>
        <v/>
      </c>
      <c r="H214" s="5"/>
      <c r="I214" s="5"/>
      <c r="J214" s="5" t="str">
        <f t="shared" si="101"/>
        <v>_</v>
      </c>
      <c r="K214" s="5"/>
      <c r="L214" s="5"/>
      <c r="M214" s="5"/>
      <c r="N214" s="5"/>
      <c r="O214" s="5"/>
      <c r="P214" s="5"/>
      <c r="Q214" s="5"/>
      <c r="R214" s="5"/>
      <c r="S214" s="5"/>
      <c r="T214" s="5"/>
      <c r="U214" s="5"/>
      <c r="V214" s="5"/>
      <c r="W214" s="5"/>
      <c r="X214" s="5"/>
      <c r="Y214" s="5" t="str">
        <f t="shared" si="102"/>
        <v>Insufficient</v>
      </c>
      <c r="Z214" s="5"/>
      <c r="AA214" s="5"/>
      <c r="AB214" s="5"/>
      <c r="AC214" s="5"/>
      <c r="AD214" s="5"/>
      <c r="AE214" s="5"/>
      <c r="AF214" s="5"/>
      <c r="AG214" s="5"/>
      <c r="AH214" s="5"/>
      <c r="AI214" s="5"/>
      <c r="AJ214" s="5"/>
      <c r="AK214" s="5"/>
      <c r="AL214" s="5"/>
      <c r="AM214" s="5"/>
      <c r="AN214" s="5"/>
      <c r="AO214" s="5"/>
      <c r="AP214" s="5"/>
      <c r="AQ214" s="5"/>
      <c r="AR214" s="40">
        <f t="array" ref="AR214">MIN(100, MAX(0,
  IFERROR(_xlfn.XLOOKUP(AJ214,'Lookup Tables'!$A$2:$A$7,'Lookup Tables'!$B$2:$B$7,0),0)
  + IF(Z214="Yes", IF(IFERROR(_xlfn.XLOOKUP(AJ214,'Lookup Tables'!$A$2:$A$7,'Lookup Tables'!$B$2:$B$7,0),0)&lt;20, 5, 0), 0)
  + _xlfn.IFS(AB214="Yes", IF(ISNUMBER(AC214)*AND(AC214&lt;=2030),15,10), AB214="Long-term Only", 5, AB214="No", 0, TRUE, 0)
  + _xlfn.IFS(AF214="Full",10, AF214="Partial",5, AF214="Scope 2 Only",3, TRUE,0)
  + _xlfn.IFS(AG214="Yes", IF(ISNUMBER(AH214)*AND(AH214&gt;=5),10,6), AG214="Partial",4, TRUE,0)
  + _xlfn.IFS(AI214="Yes",5, AI214="Partial (material categories only)",3, TRUE,0)
  + _xlfn.IFS(AL214="Yes — Detailed",10, AL214="Yes — High Level",5, TRUE,0)
  + _xlfn.IFS(AM214="Yes — Quantified",15, AM214="Yes — Directional Only",7, TRUE,0)
  + _xlfn.IFS(AP214="Formal",5, AP214="Referenced",2, TRUE,0)
  + _xlfn.IFS(AQ214="No Issues Found",5, AQ214="Concern Identified",-5, AQ214="Severe Contradiction",-15, TRUE,0)
  + _xlfn.IFS(BC214="Reasonable Assurance",5, BC214="Limited Assurance",3, TRUE,0)
  - IF(AND(Z214="Yes", AI214="No"), 10, 0)
  - IF(AND(Z214="Yes", AM214="No"), 10, 0)
))</f>
        <v>0</v>
      </c>
      <c r="AS214" s="5"/>
      <c r="AT214" s="5"/>
      <c r="AU214" s="5"/>
      <c r="AV214" s="5"/>
      <c r="AW214" s="5"/>
      <c r="AX214" s="5"/>
      <c r="AY214" s="5"/>
      <c r="AZ214" s="5"/>
      <c r="BA214" s="5"/>
      <c r="BB214" s="5"/>
      <c r="BC214" s="5"/>
      <c r="BD214" s="5"/>
      <c r="BE214" s="39">
        <f t="array" ref="BE214">MIN(100, MAX(0,
  IFERROR(_xlfn.XLOOKUP(AT214,'Lookup Tables'!$D$2:$D$6,'Lookup Tables'!$E$2:$E$6,0),0)
  + IFERROR(_xlfn.XLOOKUP(AV214,'Lookup Tables'!$G$2:$G$5,'Lookup Tables'!$H$2:$H$5,0),0)
  + IFERROR(_xlfn.XLOOKUP(AW214,'Lookup Tables'!$J$2:$J$5,'Lookup Tables'!$K$2:$K$5,0),0)
  + _xlfn.IFS(AX214="No Issues",10, AX214="Complaint Filed",3, AX214="Confirmed Breach",-15, TRUE,0)
  + IFERROR(_xlfn.XLOOKUP(AY214,'Lookup Tables'!$M$2:$M$6,'Lookup Tables'!$N$2:$N$6,0),0)
  + IFERROR(_xlfn.XLOOKUP(AZ214,'Lookup Tables'!$P$2:$P$6,'Lookup Tables'!$Q$2:$Q$6,0),0)
  + _xlfn.IFS(BA214="Formal Board Committee",5, BA214="Board Oversight Mentioned",2, TRUE,0)
  + _xlfn.IFS(BB214="Yes — Quantified Targets",5, BB214="Yes — Discretionary Only",2, TRUE,0)
  + _xlfn.IFS(BC214="Reasonable Assurance",5, BC214="Limited Assurance",3, BC214="Management Review Only",1, TRUE,0)
))</f>
        <v>0</v>
      </c>
      <c r="BF214" s="5"/>
      <c r="BG214" s="5"/>
      <c r="BH214" s="5"/>
      <c r="BI214" s="5"/>
      <c r="BJ214" s="5"/>
      <c r="BK214" s="5"/>
      <c r="BL214" s="5"/>
      <c r="BM214" s="5"/>
      <c r="BN214" s="5"/>
      <c r="BO214" s="5"/>
      <c r="BP214" s="5"/>
      <c r="BQ214" s="5"/>
      <c r="BR214" s="5"/>
      <c r="BS214" s="41">
        <f t="array" ref="BS214">MIN(100, MAX(0,
  IFERROR(_xlfn.XLOOKUP(BG214,'Lookup Tables'!$A$11:$A$16,'Lookup Tables'!$B$11:$B$16,0),0)
  + IFERROR(_xlfn.XLOOKUP(BR214,'Lookup Tables'!$M$11:$M$14,'Lookup Tables'!$N$11:$N$14,0),0)
  + IFERROR(_xlfn.XLOOKUP(BQ214,'Lookup Tables'!$J$11:$J$15,'Lookup Tables'!$K$11:$K$15,0),0)
  + IFERROR(_xlfn.XLOOKUP(BH214,'Lookup Tables'!$D$11:$D$15,'Lookup Tables'!$E$11:$E$15,0),0)
  + IFERROR(_xlfn.XLOOKUP(BJ214,'Lookup Tables'!$G$11:$G$16,'Lookup Tables'!$H$11:$H$16,0),0)
  + IFERROR(_xlfn.XLOOKUP(BN214,'Lookup Tables'!$P$11:$P$15,'Lookup Tables'!$Q$11:$Q$15,0),0)
  + _xlfn.IFS(BM214="No Evidence",10, BM214="Unknown",3, BM214="Likely",0, BM214="Confirmed",-10, TRUE,3)
  + IFERROR(_xlfn.XLOOKUP(BP214,'Lookup Tables'!$J$21:$J$24,'Lookup Tables'!$K$21:$K$24,0),0)
))</f>
        <v>3</v>
      </c>
      <c r="BT214" s="5"/>
      <c r="BU214" s="5"/>
      <c r="BV214" s="5"/>
      <c r="BW214" s="5"/>
      <c r="BX214" s="5"/>
      <c r="BY214" s="5"/>
      <c r="BZ214" s="5"/>
      <c r="CA214" s="5"/>
      <c r="CB214" s="5"/>
      <c r="CC214" s="5"/>
      <c r="CD214" s="5"/>
      <c r="CE214" s="43">
        <f t="array" ref="CE214">MIN(100, MAX(0,
  IF(ISNUMBER(BV214)*AND(BV214&gt;0), 10, 0)
  + _xlfn.IFS(BY214="Independently Verified",25, BY214="Yes",15, TRUE,0)
  + IFERROR(_xlfn.XLOOKUP(BZ214,'Lookup Tables'!$A$21:$A$24,'Lookup Tables'!$B$21:$B$24,0),0)
  + IFERROR(_xlfn.XLOOKUP(CA214,'Lookup Tables'!$D$21:$D$24,'Lookup Tables'!$E$21:$E$24,0),0)
  + _xlfn.IFS(ISNUMBER(CB214)*AND(CB214&gt;=11),15, ISNUMBER(CB214)*AND(CB214&gt;=6),10, ISNUMBER(CB214)*AND(CB214&gt;=1),5, TRUE,0)
  + IFERROR(_xlfn.XLOOKUP(CC214,'Lookup Tables'!$G$21:$G$25,'Lookup Tables'!$H$21:$H$25,0),0)
  - IF(ISNUMBER(BW214)*AND(ISNUMBER(BV214))*AND(BW214&gt;BV214), 20, 0)
  - IF(AND(BY214="Yes", ISNUMBER(BW214), BW214&gt;60), 10, 0)
))</f>
        <v>0</v>
      </c>
      <c r="CF214" s="5"/>
      <c r="CG214" s="5"/>
      <c r="CH214" s="5"/>
      <c r="CI214" s="5"/>
      <c r="CJ214" s="5"/>
      <c r="CK214" s="5"/>
      <c r="CL214" s="5"/>
      <c r="CM214" s="5"/>
      <c r="CN214" s="5"/>
      <c r="CO214" s="5"/>
      <c r="CP214" s="5"/>
      <c r="CQ214" s="5"/>
      <c r="CR214" s="5">
        <f t="shared" si="103"/>
        <v>0</v>
      </c>
      <c r="CS214" s="5">
        <f t="shared" si="104"/>
        <v>0</v>
      </c>
      <c r="CT214" s="5">
        <f t="shared" si="105"/>
        <v>0</v>
      </c>
      <c r="CU214" s="5">
        <f>MIN(100,
  CR214*15
  + CS214*6
  + CT214*3
  + IFERROR(_xlfn.XLOOKUP(CW214,'Lookup Tables'!$M$21:$M$25,'Lookup Tables'!$N$21:$N$25,0),0)
)</f>
        <v>0</v>
      </c>
      <c r="CV214" s="5" t="str">
        <f t="shared" si="106"/>
        <v>No failures</v>
      </c>
      <c r="CW214" s="5"/>
      <c r="CX214" s="5"/>
      <c r="CY214" s="5"/>
      <c r="CZ214" s="5"/>
      <c r="DA214" s="5" t="str">
        <f t="shared" si="107"/>
        <v>Yes</v>
      </c>
      <c r="DB214" s="5" t="str">
        <f t="shared" si="108"/>
        <v>No</v>
      </c>
      <c r="DC214" s="5"/>
      <c r="DD214" s="5"/>
      <c r="DE214" s="5"/>
      <c r="DF214" s="5"/>
      <c r="DG214" s="5"/>
      <c r="DH214" s="5"/>
      <c r="DI214" s="5"/>
      <c r="DJ214" s="5"/>
      <c r="DK214" s="5"/>
      <c r="DL214" s="5" t="str">
        <f t="shared" si="109"/>
        <v>Clear</v>
      </c>
      <c r="DM214" s="5" t="str">
        <f t="shared" si="110"/>
        <v>Yes</v>
      </c>
      <c r="DN214" s="5">
        <f t="array" ref="DN214">MIN(100,
  IF(ISNUMBER(V214), _xlfn.IFS(V214&gt;=3,25, V214=2,15, V214=1,5, TRUE,0), 0)
  + IFERROR(_xlfn.IFS(VALUE(LEFT(DF214,1))=5,25, VALUE(LEFT(DF214,1))=4,20, VALUE(LEFT(DF214,1))=3,15, VALUE(LEFT(DF214,1))=2,8, TRUE,0), 15)
  + IFERROR(_xlfn.IFS(VALUE(LEFT(DG214,1))=5,25, VALUE(LEFT(DG214,1))=4,20, VALUE(LEFT(DG214,1))=3,15, VALUE(LEFT(DG214,1))=2,8, TRUE,0), 15)
  + _xlfn.IFS(DH214="Fully Verified",25, DH214="Partially Verified",12, TRUE,0)
)</f>
        <v>30</v>
      </c>
      <c r="DO214" s="5" t="str">
        <f t="array" ref="DO214">_xlfn.IFS(
  ISBLANK(AR214), "Insufficient Evidence",
  AND(AR214&gt;=65, AJ214="Approved"), "Strong",
  AR214&gt;=65, "Adequate",
  AR214&gt;=40, "Adequate",
  AR214&gt;=20, "Weak",
  TRUE, "Insufficient Evidence"
)</f>
        <v>Insufficient Evidence</v>
      </c>
      <c r="DP214" s="5" t="str">
        <f t="array" ref="DP214">_xlfn.IFS(
  ISBLANK(BS214), "Insufficient Evidence",
  BS214&gt;=65, "Strong",
  BS214&gt;=40, "Adequate",
  BS214&gt;=20, "Weak",
  TRUE, "Insufficient Evidence"
)</f>
        <v>Insufficient Evidence</v>
      </c>
      <c r="DQ214" s="5" t="str">
        <f t="array" ref="DQ214">_xlfn.IFS(
  ISBLANK(BE214), "Insufficient Evidence",
  OR(AW214="Confirmed Violation", AX214="Confirmed Breach"), "Severe — Hard Trigger",
  BE214&gt;=65, "Strong",
  BE214&gt;=40, "Adequate",
  BE214&gt;=20, "Weak",
  TRUE, "Insufficient Evidence"
)</f>
        <v>Insufficient Evidence</v>
      </c>
      <c r="DR214" s="5" t="str">
        <f t="array" ref="DR214">_xlfn.IFS(
  ISBLANK(CU214), "Insufficient Evidence",
  CU214&lt;=20, "Low Risk",
  CU214&lt;=50, "Moderate Risk",
  CU214&lt;=75, "High Risk",
  TRUE, "Very High Risk"
)</f>
        <v>Low Risk</v>
      </c>
      <c r="DS214" s="5" t="str">
        <f t="array" ref="DS214">_xlfn.IFS(
  ISBLANK(CE214), "Insufficient Evidence",
  AND(ISNUMBER(BW214),ISNUMBER(BV214),BW214&gt;BV214), "Overclaiming Risk",
  CE214&gt;=65, "Strong",
  CE214&gt;=40, "Adequate",
  TRUE, "Weak"
)</f>
        <v>Weak</v>
      </c>
      <c r="DT214" s="5">
        <f t="shared" si="111"/>
        <v>11.7</v>
      </c>
      <c r="DU214" s="5" t="str">
        <f t="array" ref="DU214">_xlfn.IFS(
  DV214="Upgraded to Clear", "Clear",
  DV214="Downgraded to Watchlist", "Watchlist",
  DV214="Downgraded to Exclusion", "Exclusion Risk",
  DB214="Yes — Automatic", "Exclusion Risk",
  OR(AW214="Confirmed Violation", AX214="Confirmed Breach"), "Exclusion Risk",
  OR(V214=0, ISBLANK(V214), DN214&lt;20), "Insufficient Evidence",
  AND(DT214&gt;=65, DA214="No", DB214="No"), "Clear",
  OR(DT214&gt;=40, DA214="Yes"), "Watchlist",
  TRUE, "Exclusion Risk"
)</f>
        <v>Insufficient Evidence</v>
      </c>
      <c r="DV214" s="5"/>
      <c r="DW214" s="5" t="str">
        <f t="array" ref="DW214">_xlfn.IFS(
  DU214="Exclusion Risk", "Exclude — Hard Trigger",
  DU214="Insufficient Evidence", "Watchlist — Further Evidence Needed",
  DU214="Watchlist", "Watchlist — Further Evidence Needed",
  AND(DU214="Clear", DT214&gt;=80), "Include — No Conditions",
  DU214="Clear", "Include — Monitor",
  TRUE, "Watchlist — Further Evidence Needed"
)</f>
        <v>Watchlist — Further Evidence Needed</v>
      </c>
      <c r="DX214" s="5"/>
      <c r="DY214" s="5"/>
      <c r="DZ214" s="5"/>
      <c r="EA214" s="5"/>
      <c r="EB214" s="5" t="str">
        <f t="shared" si="112"/>
        <v>MISSING — No sources reviewed</v>
      </c>
      <c r="EC214" s="5" t="str">
        <f t="shared" si="113"/>
        <v/>
      </c>
    </row>
    <row r="215" spans="1:133" ht="18" customHeight="1" x14ac:dyDescent="0.15">
      <c r="A215" s="5" t="s">
        <v>1617</v>
      </c>
      <c r="B215" s="5" t="s">
        <v>1617</v>
      </c>
      <c r="C215" s="5" t="str">
        <f>IF(ISBLANK('Universe Tracker'!D190),"",'Universe Tracker'!D190)</f>
        <v/>
      </c>
      <c r="D215" s="5"/>
      <c r="E215" s="5"/>
      <c r="F215" s="5" t="str">
        <f>IF(ISBLANK('Universe Tracker'!F190),"",'Universe Tracker'!F190)</f>
        <v/>
      </c>
      <c r="G215" s="5" t="str">
        <f>IF(ISBLANK('Universe Tracker'!G190),"",'Universe Tracker'!G190)</f>
        <v/>
      </c>
      <c r="H215" s="5"/>
      <c r="I215" s="5"/>
      <c r="J215" s="5" t="str">
        <f t="shared" si="101"/>
        <v>_</v>
      </c>
      <c r="K215" s="5"/>
      <c r="L215" s="5"/>
      <c r="M215" s="5"/>
      <c r="N215" s="5"/>
      <c r="O215" s="5"/>
      <c r="P215" s="5"/>
      <c r="Q215" s="5"/>
      <c r="R215" s="5"/>
      <c r="S215" s="5"/>
      <c r="T215" s="5"/>
      <c r="U215" s="5"/>
      <c r="V215" s="5"/>
      <c r="W215" s="5"/>
      <c r="X215" s="5"/>
      <c r="Y215" s="5" t="str">
        <f t="shared" si="102"/>
        <v>Insufficient</v>
      </c>
      <c r="Z215" s="5"/>
      <c r="AA215" s="5"/>
      <c r="AB215" s="5"/>
      <c r="AC215" s="5"/>
      <c r="AD215" s="5"/>
      <c r="AE215" s="5"/>
      <c r="AF215" s="5"/>
      <c r="AG215" s="5"/>
      <c r="AH215" s="5"/>
      <c r="AI215" s="5"/>
      <c r="AJ215" s="5"/>
      <c r="AK215" s="5"/>
      <c r="AL215" s="5"/>
      <c r="AM215" s="5"/>
      <c r="AN215" s="5"/>
      <c r="AO215" s="5"/>
      <c r="AP215" s="5"/>
      <c r="AQ215" s="5"/>
      <c r="AR215" s="40">
        <f t="array" ref="AR215">MIN(100, MAX(0,
  IFERROR(_xlfn.XLOOKUP(AJ215,'Lookup Tables'!$A$2:$A$7,'Lookup Tables'!$B$2:$B$7,0),0)
  + IF(Z215="Yes", IF(IFERROR(_xlfn.XLOOKUP(AJ215,'Lookup Tables'!$A$2:$A$7,'Lookup Tables'!$B$2:$B$7,0),0)&lt;20, 5, 0), 0)
  + _xlfn.IFS(AB215="Yes", IF(ISNUMBER(AC215)*AND(AC215&lt;=2030),15,10), AB215="Long-term Only", 5, AB215="No", 0, TRUE, 0)
  + _xlfn.IFS(AF215="Full",10, AF215="Partial",5, AF215="Scope 2 Only",3, TRUE,0)
  + _xlfn.IFS(AG215="Yes", IF(ISNUMBER(AH215)*AND(AH215&gt;=5),10,6), AG215="Partial",4, TRUE,0)
  + _xlfn.IFS(AI215="Yes",5, AI215="Partial (material categories only)",3, TRUE,0)
  + _xlfn.IFS(AL215="Yes — Detailed",10, AL215="Yes — High Level",5, TRUE,0)
  + _xlfn.IFS(AM215="Yes — Quantified",15, AM215="Yes — Directional Only",7, TRUE,0)
  + _xlfn.IFS(AP215="Formal",5, AP215="Referenced",2, TRUE,0)
  + _xlfn.IFS(AQ215="No Issues Found",5, AQ215="Concern Identified",-5, AQ215="Severe Contradiction",-15, TRUE,0)
  + _xlfn.IFS(BC215="Reasonable Assurance",5, BC215="Limited Assurance",3, TRUE,0)
  - IF(AND(Z215="Yes", AI215="No"), 10, 0)
  - IF(AND(Z215="Yes", AM215="No"), 10, 0)
))</f>
        <v>0</v>
      </c>
      <c r="AS215" s="5"/>
      <c r="AT215" s="5"/>
      <c r="AU215" s="5"/>
      <c r="AV215" s="5"/>
      <c r="AW215" s="5"/>
      <c r="AX215" s="5"/>
      <c r="AY215" s="5"/>
      <c r="AZ215" s="5"/>
      <c r="BA215" s="5"/>
      <c r="BB215" s="5"/>
      <c r="BC215" s="5"/>
      <c r="BD215" s="5"/>
      <c r="BE215" s="39">
        <f t="array" ref="BE215">MIN(100, MAX(0,
  IFERROR(_xlfn.XLOOKUP(AT215,'Lookup Tables'!$D$2:$D$6,'Lookup Tables'!$E$2:$E$6,0),0)
  + IFERROR(_xlfn.XLOOKUP(AV215,'Lookup Tables'!$G$2:$G$5,'Lookup Tables'!$H$2:$H$5,0),0)
  + IFERROR(_xlfn.XLOOKUP(AW215,'Lookup Tables'!$J$2:$J$5,'Lookup Tables'!$K$2:$K$5,0),0)
  + _xlfn.IFS(AX215="No Issues",10, AX215="Complaint Filed",3, AX215="Confirmed Breach",-15, TRUE,0)
  + IFERROR(_xlfn.XLOOKUP(AY215,'Lookup Tables'!$M$2:$M$6,'Lookup Tables'!$N$2:$N$6,0),0)
  + IFERROR(_xlfn.XLOOKUP(AZ215,'Lookup Tables'!$P$2:$P$6,'Lookup Tables'!$Q$2:$Q$6,0),0)
  + _xlfn.IFS(BA215="Formal Board Committee",5, BA215="Board Oversight Mentioned",2, TRUE,0)
  + _xlfn.IFS(BB215="Yes — Quantified Targets",5, BB215="Yes — Discretionary Only",2, TRUE,0)
  + _xlfn.IFS(BC215="Reasonable Assurance",5, BC215="Limited Assurance",3, BC215="Management Review Only",1, TRUE,0)
))</f>
        <v>0</v>
      </c>
      <c r="BF215" s="5"/>
      <c r="BG215" s="5"/>
      <c r="BH215" s="5"/>
      <c r="BI215" s="5"/>
      <c r="BJ215" s="5"/>
      <c r="BK215" s="5"/>
      <c r="BL215" s="5"/>
      <c r="BM215" s="5"/>
      <c r="BN215" s="5"/>
      <c r="BO215" s="5"/>
      <c r="BP215" s="5"/>
      <c r="BQ215" s="5"/>
      <c r="BR215" s="5"/>
      <c r="BS215" s="41">
        <f t="array" ref="BS215">MIN(100, MAX(0,
  IFERROR(_xlfn.XLOOKUP(BG215,'Lookup Tables'!$A$11:$A$16,'Lookup Tables'!$B$11:$B$16,0),0)
  + IFERROR(_xlfn.XLOOKUP(BR215,'Lookup Tables'!$M$11:$M$14,'Lookup Tables'!$N$11:$N$14,0),0)
  + IFERROR(_xlfn.XLOOKUP(BQ215,'Lookup Tables'!$J$11:$J$15,'Lookup Tables'!$K$11:$K$15,0),0)
  + IFERROR(_xlfn.XLOOKUP(BH215,'Lookup Tables'!$D$11:$D$15,'Lookup Tables'!$E$11:$E$15,0),0)
  + IFERROR(_xlfn.XLOOKUP(BJ215,'Lookup Tables'!$G$11:$G$16,'Lookup Tables'!$H$11:$H$16,0),0)
  + IFERROR(_xlfn.XLOOKUP(BN215,'Lookup Tables'!$P$11:$P$15,'Lookup Tables'!$Q$11:$Q$15,0),0)
  + _xlfn.IFS(BM215="No Evidence",10, BM215="Unknown",3, BM215="Likely",0, BM215="Confirmed",-10, TRUE,3)
  + IFERROR(_xlfn.XLOOKUP(BP215,'Lookup Tables'!$J$21:$J$24,'Lookup Tables'!$K$21:$K$24,0),0)
))</f>
        <v>3</v>
      </c>
      <c r="BT215" s="5"/>
      <c r="BU215" s="5"/>
      <c r="BV215" s="5"/>
      <c r="BW215" s="5"/>
      <c r="BX215" s="5"/>
      <c r="BY215" s="5"/>
      <c r="BZ215" s="5"/>
      <c r="CA215" s="5"/>
      <c r="CB215" s="5"/>
      <c r="CC215" s="5"/>
      <c r="CD215" s="5"/>
      <c r="CE215" s="43">
        <f t="array" ref="CE215">MIN(100, MAX(0,
  IF(ISNUMBER(BV215)*AND(BV215&gt;0), 10, 0)
  + _xlfn.IFS(BY215="Independently Verified",25, BY215="Yes",15, TRUE,0)
  + IFERROR(_xlfn.XLOOKUP(BZ215,'Lookup Tables'!$A$21:$A$24,'Lookup Tables'!$B$21:$B$24,0),0)
  + IFERROR(_xlfn.XLOOKUP(CA215,'Lookup Tables'!$D$21:$D$24,'Lookup Tables'!$E$21:$E$24,0),0)
  + _xlfn.IFS(ISNUMBER(CB215)*AND(CB215&gt;=11),15, ISNUMBER(CB215)*AND(CB215&gt;=6),10, ISNUMBER(CB215)*AND(CB215&gt;=1),5, TRUE,0)
  + IFERROR(_xlfn.XLOOKUP(CC215,'Lookup Tables'!$G$21:$G$25,'Lookup Tables'!$H$21:$H$25,0),0)
  - IF(ISNUMBER(BW215)*AND(ISNUMBER(BV215))*AND(BW215&gt;BV215), 20, 0)
  - IF(AND(BY215="Yes", ISNUMBER(BW215), BW215&gt;60), 10, 0)
))</f>
        <v>0</v>
      </c>
      <c r="CF215" s="5"/>
      <c r="CG215" s="5"/>
      <c r="CH215" s="5"/>
      <c r="CI215" s="5"/>
      <c r="CJ215" s="5"/>
      <c r="CK215" s="5"/>
      <c r="CL215" s="5"/>
      <c r="CM215" s="5"/>
      <c r="CN215" s="5"/>
      <c r="CO215" s="5"/>
      <c r="CP215" s="5"/>
      <c r="CQ215" s="5"/>
      <c r="CR215" s="5">
        <f t="shared" si="103"/>
        <v>0</v>
      </c>
      <c r="CS215" s="5">
        <f t="shared" si="104"/>
        <v>0</v>
      </c>
      <c r="CT215" s="5">
        <f t="shared" si="105"/>
        <v>0</v>
      </c>
      <c r="CU215" s="5">
        <f>MIN(100,
  CR215*15
  + CS215*6
  + CT215*3
  + IFERROR(_xlfn.XLOOKUP(CW215,'Lookup Tables'!$M$21:$M$25,'Lookup Tables'!$N$21:$N$25,0),0)
)</f>
        <v>0</v>
      </c>
      <c r="CV215" s="5" t="str">
        <f t="shared" si="106"/>
        <v>No failures</v>
      </c>
      <c r="CW215" s="5"/>
      <c r="CX215" s="5"/>
      <c r="CY215" s="5"/>
      <c r="CZ215" s="5"/>
      <c r="DA215" s="5" t="str">
        <f t="shared" si="107"/>
        <v>Yes</v>
      </c>
      <c r="DB215" s="5" t="str">
        <f t="shared" si="108"/>
        <v>No</v>
      </c>
      <c r="DC215" s="5"/>
      <c r="DD215" s="5"/>
      <c r="DE215" s="5"/>
      <c r="DF215" s="5"/>
      <c r="DG215" s="5"/>
      <c r="DH215" s="5"/>
      <c r="DI215" s="5"/>
      <c r="DJ215" s="5"/>
      <c r="DK215" s="5"/>
      <c r="DL215" s="5" t="str">
        <f t="shared" si="109"/>
        <v>Clear</v>
      </c>
      <c r="DM215" s="5" t="str">
        <f t="shared" si="110"/>
        <v>Yes</v>
      </c>
      <c r="DN215" s="5">
        <f t="array" ref="DN215">MIN(100,
  IF(ISNUMBER(V215), _xlfn.IFS(V215&gt;=3,25, V215=2,15, V215=1,5, TRUE,0), 0)
  + IFERROR(_xlfn.IFS(VALUE(LEFT(DF215,1))=5,25, VALUE(LEFT(DF215,1))=4,20, VALUE(LEFT(DF215,1))=3,15, VALUE(LEFT(DF215,1))=2,8, TRUE,0), 15)
  + IFERROR(_xlfn.IFS(VALUE(LEFT(DG215,1))=5,25, VALUE(LEFT(DG215,1))=4,20, VALUE(LEFT(DG215,1))=3,15, VALUE(LEFT(DG215,1))=2,8, TRUE,0), 15)
  + _xlfn.IFS(DH215="Fully Verified",25, DH215="Partially Verified",12, TRUE,0)
)</f>
        <v>30</v>
      </c>
      <c r="DO215" s="5" t="str">
        <f t="array" ref="DO215">_xlfn.IFS(
  ISBLANK(AR215), "Insufficient Evidence",
  AND(AR215&gt;=65, AJ215="Approved"), "Strong",
  AR215&gt;=65, "Adequate",
  AR215&gt;=40, "Adequate",
  AR215&gt;=20, "Weak",
  TRUE, "Insufficient Evidence"
)</f>
        <v>Insufficient Evidence</v>
      </c>
      <c r="DP215" s="5" t="str">
        <f t="array" ref="DP215">_xlfn.IFS(
  ISBLANK(BS215), "Insufficient Evidence",
  BS215&gt;=65, "Strong",
  BS215&gt;=40, "Adequate",
  BS215&gt;=20, "Weak",
  TRUE, "Insufficient Evidence"
)</f>
        <v>Insufficient Evidence</v>
      </c>
      <c r="DQ215" s="5" t="str">
        <f t="array" ref="DQ215">_xlfn.IFS(
  ISBLANK(BE215), "Insufficient Evidence",
  OR(AW215="Confirmed Violation", AX215="Confirmed Breach"), "Severe — Hard Trigger",
  BE215&gt;=65, "Strong",
  BE215&gt;=40, "Adequate",
  BE215&gt;=20, "Weak",
  TRUE, "Insufficient Evidence"
)</f>
        <v>Insufficient Evidence</v>
      </c>
      <c r="DR215" s="5" t="str">
        <f t="array" ref="DR215">_xlfn.IFS(
  ISBLANK(CU215), "Insufficient Evidence",
  CU215&lt;=20, "Low Risk",
  CU215&lt;=50, "Moderate Risk",
  CU215&lt;=75, "High Risk",
  TRUE, "Very High Risk"
)</f>
        <v>Low Risk</v>
      </c>
      <c r="DS215" s="5" t="str">
        <f t="array" ref="DS215">_xlfn.IFS(
  ISBLANK(CE215), "Insufficient Evidence",
  AND(ISNUMBER(BW215),ISNUMBER(BV215),BW215&gt;BV215), "Overclaiming Risk",
  CE215&gt;=65, "Strong",
  CE215&gt;=40, "Adequate",
  TRUE, "Weak"
)</f>
        <v>Weak</v>
      </c>
      <c r="DT215" s="5">
        <f t="shared" si="111"/>
        <v>11.7</v>
      </c>
      <c r="DU215" s="5" t="str">
        <f t="array" ref="DU215">_xlfn.IFS(
  DV215="Upgraded to Clear", "Clear",
  DV215="Downgraded to Watchlist", "Watchlist",
  DV215="Downgraded to Exclusion", "Exclusion Risk",
  DB215="Yes — Automatic", "Exclusion Risk",
  OR(AW215="Confirmed Violation", AX215="Confirmed Breach"), "Exclusion Risk",
  OR(V215=0, ISBLANK(V215), DN215&lt;20), "Insufficient Evidence",
  AND(DT215&gt;=65, DA215="No", DB215="No"), "Clear",
  OR(DT215&gt;=40, DA215="Yes"), "Watchlist",
  TRUE, "Exclusion Risk"
)</f>
        <v>Insufficient Evidence</v>
      </c>
      <c r="DV215" s="5"/>
      <c r="DW215" s="5" t="str">
        <f t="array" ref="DW215">_xlfn.IFS(
  DU215="Exclusion Risk", "Exclude — Hard Trigger",
  DU215="Insufficient Evidence", "Watchlist — Further Evidence Needed",
  DU215="Watchlist", "Watchlist — Further Evidence Needed",
  AND(DU215="Clear", DT215&gt;=80), "Include — No Conditions",
  DU215="Clear", "Include — Monitor",
  TRUE, "Watchlist — Further Evidence Needed"
)</f>
        <v>Watchlist — Further Evidence Needed</v>
      </c>
      <c r="DX215" s="5"/>
      <c r="DY215" s="5"/>
      <c r="DZ215" s="5"/>
      <c r="EA215" s="5"/>
      <c r="EB215" s="5" t="str">
        <f t="shared" si="112"/>
        <v>MISSING — No sources reviewed</v>
      </c>
      <c r="EC215" s="5" t="str">
        <f t="shared" si="113"/>
        <v/>
      </c>
    </row>
    <row r="216" spans="1:133" ht="18" customHeight="1" x14ac:dyDescent="0.15">
      <c r="A216" s="5" t="s">
        <v>1617</v>
      </c>
      <c r="B216" s="5" t="s">
        <v>1617</v>
      </c>
      <c r="C216" s="5" t="str">
        <f>IF(ISBLANK('Universe Tracker'!D191),"",'Universe Tracker'!D191)</f>
        <v/>
      </c>
      <c r="D216" s="5"/>
      <c r="E216" s="5"/>
      <c r="F216" s="5" t="str">
        <f>IF(ISBLANK('Universe Tracker'!F191),"",'Universe Tracker'!F191)</f>
        <v/>
      </c>
      <c r="G216" s="5" t="str">
        <f>IF(ISBLANK('Universe Tracker'!G191),"",'Universe Tracker'!G191)</f>
        <v/>
      </c>
      <c r="H216" s="5"/>
      <c r="I216" s="5"/>
      <c r="J216" s="5" t="str">
        <f t="shared" si="101"/>
        <v>_</v>
      </c>
      <c r="K216" s="5"/>
      <c r="L216" s="5"/>
      <c r="M216" s="5"/>
      <c r="N216" s="5"/>
      <c r="O216" s="5"/>
      <c r="P216" s="5"/>
      <c r="Q216" s="5"/>
      <c r="R216" s="5"/>
      <c r="S216" s="5"/>
      <c r="T216" s="5"/>
      <c r="U216" s="5"/>
      <c r="V216" s="5"/>
      <c r="W216" s="5"/>
      <c r="X216" s="5"/>
      <c r="Y216" s="5" t="str">
        <f t="shared" si="102"/>
        <v>Insufficient</v>
      </c>
      <c r="Z216" s="5"/>
      <c r="AA216" s="5"/>
      <c r="AB216" s="5"/>
      <c r="AC216" s="5"/>
      <c r="AD216" s="5"/>
      <c r="AE216" s="5"/>
      <c r="AF216" s="5"/>
      <c r="AG216" s="5"/>
      <c r="AH216" s="5"/>
      <c r="AI216" s="5"/>
      <c r="AJ216" s="5"/>
      <c r="AK216" s="5"/>
      <c r="AL216" s="5"/>
      <c r="AM216" s="5"/>
      <c r="AN216" s="5"/>
      <c r="AO216" s="5"/>
      <c r="AP216" s="5"/>
      <c r="AQ216" s="5"/>
      <c r="AR216" s="40">
        <f t="array" ref="AR216">MIN(100, MAX(0,
  IFERROR(_xlfn.XLOOKUP(AJ216,'Lookup Tables'!$A$2:$A$7,'Lookup Tables'!$B$2:$B$7,0),0)
  + IF(Z216="Yes", IF(IFERROR(_xlfn.XLOOKUP(AJ216,'Lookup Tables'!$A$2:$A$7,'Lookup Tables'!$B$2:$B$7,0),0)&lt;20, 5, 0), 0)
  + _xlfn.IFS(AB216="Yes", IF(ISNUMBER(AC216)*AND(AC216&lt;=2030),15,10), AB216="Long-term Only", 5, AB216="No", 0, TRUE, 0)
  + _xlfn.IFS(AF216="Full",10, AF216="Partial",5, AF216="Scope 2 Only",3, TRUE,0)
  + _xlfn.IFS(AG216="Yes", IF(ISNUMBER(AH216)*AND(AH216&gt;=5),10,6), AG216="Partial",4, TRUE,0)
  + _xlfn.IFS(AI216="Yes",5, AI216="Partial (material categories only)",3, TRUE,0)
  + _xlfn.IFS(AL216="Yes — Detailed",10, AL216="Yes — High Level",5, TRUE,0)
  + _xlfn.IFS(AM216="Yes — Quantified",15, AM216="Yes — Directional Only",7, TRUE,0)
  + _xlfn.IFS(AP216="Formal",5, AP216="Referenced",2, TRUE,0)
  + _xlfn.IFS(AQ216="No Issues Found",5, AQ216="Concern Identified",-5, AQ216="Severe Contradiction",-15, TRUE,0)
  + _xlfn.IFS(BC216="Reasonable Assurance",5, BC216="Limited Assurance",3, TRUE,0)
  - IF(AND(Z216="Yes", AI216="No"), 10, 0)
  - IF(AND(Z216="Yes", AM216="No"), 10, 0)
))</f>
        <v>0</v>
      </c>
      <c r="AS216" s="5"/>
      <c r="AT216" s="5"/>
      <c r="AU216" s="5"/>
      <c r="AV216" s="5"/>
      <c r="AW216" s="5"/>
      <c r="AX216" s="5"/>
      <c r="AY216" s="5"/>
      <c r="AZ216" s="5"/>
      <c r="BA216" s="5"/>
      <c r="BB216" s="5"/>
      <c r="BC216" s="5"/>
      <c r="BD216" s="5"/>
      <c r="BE216" s="39">
        <f t="array" ref="BE216">MIN(100, MAX(0,
  IFERROR(_xlfn.XLOOKUP(AT216,'Lookup Tables'!$D$2:$D$6,'Lookup Tables'!$E$2:$E$6,0),0)
  + IFERROR(_xlfn.XLOOKUP(AV216,'Lookup Tables'!$G$2:$G$5,'Lookup Tables'!$H$2:$H$5,0),0)
  + IFERROR(_xlfn.XLOOKUP(AW216,'Lookup Tables'!$J$2:$J$5,'Lookup Tables'!$K$2:$K$5,0),0)
  + _xlfn.IFS(AX216="No Issues",10, AX216="Complaint Filed",3, AX216="Confirmed Breach",-15, TRUE,0)
  + IFERROR(_xlfn.XLOOKUP(AY216,'Lookup Tables'!$M$2:$M$6,'Lookup Tables'!$N$2:$N$6,0),0)
  + IFERROR(_xlfn.XLOOKUP(AZ216,'Lookup Tables'!$P$2:$P$6,'Lookup Tables'!$Q$2:$Q$6,0),0)
  + _xlfn.IFS(BA216="Formal Board Committee",5, BA216="Board Oversight Mentioned",2, TRUE,0)
  + _xlfn.IFS(BB216="Yes — Quantified Targets",5, BB216="Yes — Discretionary Only",2, TRUE,0)
  + _xlfn.IFS(BC216="Reasonable Assurance",5, BC216="Limited Assurance",3, BC216="Management Review Only",1, TRUE,0)
))</f>
        <v>0</v>
      </c>
      <c r="BF216" s="5"/>
      <c r="BG216" s="5"/>
      <c r="BH216" s="5"/>
      <c r="BI216" s="5"/>
      <c r="BJ216" s="5"/>
      <c r="BK216" s="5"/>
      <c r="BL216" s="5"/>
      <c r="BM216" s="5"/>
      <c r="BN216" s="5"/>
      <c r="BO216" s="5"/>
      <c r="BP216" s="5"/>
      <c r="BQ216" s="5"/>
      <c r="BR216" s="5"/>
      <c r="BS216" s="41">
        <f t="array" ref="BS216">MIN(100, MAX(0,
  IFERROR(_xlfn.XLOOKUP(BG216,'Lookup Tables'!$A$11:$A$16,'Lookup Tables'!$B$11:$B$16,0),0)
  + IFERROR(_xlfn.XLOOKUP(BR216,'Lookup Tables'!$M$11:$M$14,'Lookup Tables'!$N$11:$N$14,0),0)
  + IFERROR(_xlfn.XLOOKUP(BQ216,'Lookup Tables'!$J$11:$J$15,'Lookup Tables'!$K$11:$K$15,0),0)
  + IFERROR(_xlfn.XLOOKUP(BH216,'Lookup Tables'!$D$11:$D$15,'Lookup Tables'!$E$11:$E$15,0),0)
  + IFERROR(_xlfn.XLOOKUP(BJ216,'Lookup Tables'!$G$11:$G$16,'Lookup Tables'!$H$11:$H$16,0),0)
  + IFERROR(_xlfn.XLOOKUP(BN216,'Lookup Tables'!$P$11:$P$15,'Lookup Tables'!$Q$11:$Q$15,0),0)
  + _xlfn.IFS(BM216="No Evidence",10, BM216="Unknown",3, BM216="Likely",0, BM216="Confirmed",-10, TRUE,3)
  + IFERROR(_xlfn.XLOOKUP(BP216,'Lookup Tables'!$J$21:$J$24,'Lookup Tables'!$K$21:$K$24,0),0)
))</f>
        <v>3</v>
      </c>
      <c r="BT216" s="5"/>
      <c r="BU216" s="5"/>
      <c r="BV216" s="5"/>
      <c r="BW216" s="5"/>
      <c r="BX216" s="5"/>
      <c r="BY216" s="5"/>
      <c r="BZ216" s="5"/>
      <c r="CA216" s="5"/>
      <c r="CB216" s="5"/>
      <c r="CC216" s="5"/>
      <c r="CD216" s="5"/>
      <c r="CE216" s="43">
        <f t="array" ref="CE216">MIN(100, MAX(0,
  IF(ISNUMBER(BV216)*AND(BV216&gt;0), 10, 0)
  + _xlfn.IFS(BY216="Independently Verified",25, BY216="Yes",15, TRUE,0)
  + IFERROR(_xlfn.XLOOKUP(BZ216,'Lookup Tables'!$A$21:$A$24,'Lookup Tables'!$B$21:$B$24,0),0)
  + IFERROR(_xlfn.XLOOKUP(CA216,'Lookup Tables'!$D$21:$D$24,'Lookup Tables'!$E$21:$E$24,0),0)
  + _xlfn.IFS(ISNUMBER(CB216)*AND(CB216&gt;=11),15, ISNUMBER(CB216)*AND(CB216&gt;=6),10, ISNUMBER(CB216)*AND(CB216&gt;=1),5, TRUE,0)
  + IFERROR(_xlfn.XLOOKUP(CC216,'Lookup Tables'!$G$21:$G$25,'Lookup Tables'!$H$21:$H$25,0),0)
  - IF(ISNUMBER(BW216)*AND(ISNUMBER(BV216))*AND(BW216&gt;BV216), 20, 0)
  - IF(AND(BY216="Yes", ISNUMBER(BW216), BW216&gt;60), 10, 0)
))</f>
        <v>0</v>
      </c>
      <c r="CF216" s="5"/>
      <c r="CG216" s="5"/>
      <c r="CH216" s="5"/>
      <c r="CI216" s="5"/>
      <c r="CJ216" s="5"/>
      <c r="CK216" s="5"/>
      <c r="CL216" s="5"/>
      <c r="CM216" s="5"/>
      <c r="CN216" s="5"/>
      <c r="CO216" s="5"/>
      <c r="CP216" s="5"/>
      <c r="CQ216" s="5"/>
      <c r="CR216" s="5">
        <f t="shared" si="103"/>
        <v>0</v>
      </c>
      <c r="CS216" s="5">
        <f t="shared" si="104"/>
        <v>0</v>
      </c>
      <c r="CT216" s="5">
        <f t="shared" si="105"/>
        <v>0</v>
      </c>
      <c r="CU216" s="5">
        <f>MIN(100,
  CR216*15
  + CS216*6
  + CT216*3
  + IFERROR(_xlfn.XLOOKUP(CW216,'Lookup Tables'!$M$21:$M$25,'Lookup Tables'!$N$21:$N$25,0),0)
)</f>
        <v>0</v>
      </c>
      <c r="CV216" s="5" t="str">
        <f t="shared" si="106"/>
        <v>No failures</v>
      </c>
      <c r="CW216" s="5"/>
      <c r="CX216" s="5"/>
      <c r="CY216" s="5"/>
      <c r="CZ216" s="5"/>
      <c r="DA216" s="5" t="str">
        <f t="shared" si="107"/>
        <v>Yes</v>
      </c>
      <c r="DB216" s="5" t="str">
        <f t="shared" si="108"/>
        <v>No</v>
      </c>
      <c r="DC216" s="5"/>
      <c r="DD216" s="5"/>
      <c r="DE216" s="5"/>
      <c r="DF216" s="5"/>
      <c r="DG216" s="5"/>
      <c r="DH216" s="5"/>
      <c r="DI216" s="5"/>
      <c r="DJ216" s="5"/>
      <c r="DK216" s="5"/>
      <c r="DL216" s="5" t="str">
        <f t="shared" si="109"/>
        <v>Clear</v>
      </c>
      <c r="DM216" s="5" t="str">
        <f t="shared" si="110"/>
        <v>Yes</v>
      </c>
      <c r="DN216" s="5">
        <f t="array" ref="DN216">MIN(100,
  IF(ISNUMBER(V216), _xlfn.IFS(V216&gt;=3,25, V216=2,15, V216=1,5, TRUE,0), 0)
  + IFERROR(_xlfn.IFS(VALUE(LEFT(DF216,1))=5,25, VALUE(LEFT(DF216,1))=4,20, VALUE(LEFT(DF216,1))=3,15, VALUE(LEFT(DF216,1))=2,8, TRUE,0), 15)
  + IFERROR(_xlfn.IFS(VALUE(LEFT(DG216,1))=5,25, VALUE(LEFT(DG216,1))=4,20, VALUE(LEFT(DG216,1))=3,15, VALUE(LEFT(DG216,1))=2,8, TRUE,0), 15)
  + _xlfn.IFS(DH216="Fully Verified",25, DH216="Partially Verified",12, TRUE,0)
)</f>
        <v>30</v>
      </c>
      <c r="DO216" s="5" t="str">
        <f t="array" ref="DO216">_xlfn.IFS(
  ISBLANK(AR216), "Insufficient Evidence",
  AND(AR216&gt;=65, AJ216="Approved"), "Strong",
  AR216&gt;=65, "Adequate",
  AR216&gt;=40, "Adequate",
  AR216&gt;=20, "Weak",
  TRUE, "Insufficient Evidence"
)</f>
        <v>Insufficient Evidence</v>
      </c>
      <c r="DP216" s="5" t="str">
        <f t="array" ref="DP216">_xlfn.IFS(
  ISBLANK(BS216), "Insufficient Evidence",
  BS216&gt;=65, "Strong",
  BS216&gt;=40, "Adequate",
  BS216&gt;=20, "Weak",
  TRUE, "Insufficient Evidence"
)</f>
        <v>Insufficient Evidence</v>
      </c>
      <c r="DQ216" s="5" t="str">
        <f t="array" ref="DQ216">_xlfn.IFS(
  ISBLANK(BE216), "Insufficient Evidence",
  OR(AW216="Confirmed Violation", AX216="Confirmed Breach"), "Severe — Hard Trigger",
  BE216&gt;=65, "Strong",
  BE216&gt;=40, "Adequate",
  BE216&gt;=20, "Weak",
  TRUE, "Insufficient Evidence"
)</f>
        <v>Insufficient Evidence</v>
      </c>
      <c r="DR216" s="5" t="str">
        <f t="array" ref="DR216">_xlfn.IFS(
  ISBLANK(CU216), "Insufficient Evidence",
  CU216&lt;=20, "Low Risk",
  CU216&lt;=50, "Moderate Risk",
  CU216&lt;=75, "High Risk",
  TRUE, "Very High Risk"
)</f>
        <v>Low Risk</v>
      </c>
      <c r="DS216" s="5" t="str">
        <f t="array" ref="DS216">_xlfn.IFS(
  ISBLANK(CE216), "Insufficient Evidence",
  AND(ISNUMBER(BW216),ISNUMBER(BV216),BW216&gt;BV216), "Overclaiming Risk",
  CE216&gt;=65, "Strong",
  CE216&gt;=40, "Adequate",
  TRUE, "Weak"
)</f>
        <v>Weak</v>
      </c>
      <c r="DT216" s="5">
        <f t="shared" si="111"/>
        <v>11.7</v>
      </c>
      <c r="DU216" s="5" t="str">
        <f t="array" ref="DU216">_xlfn.IFS(
  DV216="Upgraded to Clear", "Clear",
  DV216="Downgraded to Watchlist", "Watchlist",
  DV216="Downgraded to Exclusion", "Exclusion Risk",
  DB216="Yes — Automatic", "Exclusion Risk",
  OR(AW216="Confirmed Violation", AX216="Confirmed Breach"), "Exclusion Risk",
  OR(V216=0, ISBLANK(V216), DN216&lt;20), "Insufficient Evidence",
  AND(DT216&gt;=65, DA216="No", DB216="No"), "Clear",
  OR(DT216&gt;=40, DA216="Yes"), "Watchlist",
  TRUE, "Exclusion Risk"
)</f>
        <v>Insufficient Evidence</v>
      </c>
      <c r="DV216" s="5"/>
      <c r="DW216" s="5" t="str">
        <f t="array" ref="DW216">_xlfn.IFS(
  DU216="Exclusion Risk", "Exclude — Hard Trigger",
  DU216="Insufficient Evidence", "Watchlist — Further Evidence Needed",
  DU216="Watchlist", "Watchlist — Further Evidence Needed",
  AND(DU216="Clear", DT216&gt;=80), "Include — No Conditions",
  DU216="Clear", "Include — Monitor",
  TRUE, "Watchlist — Further Evidence Needed"
)</f>
        <v>Watchlist — Further Evidence Needed</v>
      </c>
      <c r="DX216" s="5"/>
      <c r="DY216" s="5"/>
      <c r="DZ216" s="5"/>
      <c r="EA216" s="5"/>
      <c r="EB216" s="5" t="str">
        <f t="shared" si="112"/>
        <v>MISSING — No sources reviewed</v>
      </c>
      <c r="EC216" s="5" t="str">
        <f t="shared" si="113"/>
        <v/>
      </c>
    </row>
    <row r="217" spans="1:133" ht="18" customHeight="1" x14ac:dyDescent="0.15">
      <c r="A217" s="5" t="s">
        <v>1617</v>
      </c>
      <c r="B217" s="5" t="s">
        <v>1617</v>
      </c>
      <c r="C217" s="5" t="str">
        <f>IF(ISBLANK('Universe Tracker'!D192),"",'Universe Tracker'!D192)</f>
        <v/>
      </c>
      <c r="D217" s="5"/>
      <c r="E217" s="5"/>
      <c r="F217" s="5" t="str">
        <f>IF(ISBLANK('Universe Tracker'!F192),"",'Universe Tracker'!F192)</f>
        <v/>
      </c>
      <c r="G217" s="5" t="str">
        <f>IF(ISBLANK('Universe Tracker'!G192),"",'Universe Tracker'!G192)</f>
        <v/>
      </c>
      <c r="H217" s="5"/>
      <c r="I217" s="5"/>
      <c r="J217" s="5" t="str">
        <f t="shared" si="101"/>
        <v>_</v>
      </c>
      <c r="K217" s="5"/>
      <c r="L217" s="5"/>
      <c r="M217" s="5"/>
      <c r="N217" s="5"/>
      <c r="O217" s="5"/>
      <c r="P217" s="5"/>
      <c r="Q217" s="5"/>
      <c r="R217" s="5"/>
      <c r="S217" s="5"/>
      <c r="T217" s="5"/>
      <c r="U217" s="5"/>
      <c r="V217" s="5"/>
      <c r="W217" s="5"/>
      <c r="X217" s="5"/>
      <c r="Y217" s="5" t="str">
        <f t="shared" si="102"/>
        <v>Insufficient</v>
      </c>
      <c r="Z217" s="5"/>
      <c r="AA217" s="5"/>
      <c r="AB217" s="5"/>
      <c r="AC217" s="5"/>
      <c r="AD217" s="5"/>
      <c r="AE217" s="5"/>
      <c r="AF217" s="5"/>
      <c r="AG217" s="5"/>
      <c r="AH217" s="5"/>
      <c r="AI217" s="5"/>
      <c r="AJ217" s="5"/>
      <c r="AK217" s="5"/>
      <c r="AL217" s="5"/>
      <c r="AM217" s="5"/>
      <c r="AN217" s="5"/>
      <c r="AO217" s="5"/>
      <c r="AP217" s="5"/>
      <c r="AQ217" s="5"/>
      <c r="AR217" s="40">
        <f t="array" ref="AR217">MIN(100, MAX(0,
  IFERROR(_xlfn.XLOOKUP(AJ217,'Lookup Tables'!$A$2:$A$7,'Lookup Tables'!$B$2:$B$7,0),0)
  + IF(Z217="Yes", IF(IFERROR(_xlfn.XLOOKUP(AJ217,'Lookup Tables'!$A$2:$A$7,'Lookup Tables'!$B$2:$B$7,0),0)&lt;20, 5, 0), 0)
  + _xlfn.IFS(AB217="Yes", IF(ISNUMBER(AC217)*AND(AC217&lt;=2030),15,10), AB217="Long-term Only", 5, AB217="No", 0, TRUE, 0)
  + _xlfn.IFS(AF217="Full",10, AF217="Partial",5, AF217="Scope 2 Only",3, TRUE,0)
  + _xlfn.IFS(AG217="Yes", IF(ISNUMBER(AH217)*AND(AH217&gt;=5),10,6), AG217="Partial",4, TRUE,0)
  + _xlfn.IFS(AI217="Yes",5, AI217="Partial (material categories only)",3, TRUE,0)
  + _xlfn.IFS(AL217="Yes — Detailed",10, AL217="Yes — High Level",5, TRUE,0)
  + _xlfn.IFS(AM217="Yes — Quantified",15, AM217="Yes — Directional Only",7, TRUE,0)
  + _xlfn.IFS(AP217="Formal",5, AP217="Referenced",2, TRUE,0)
  + _xlfn.IFS(AQ217="No Issues Found",5, AQ217="Concern Identified",-5, AQ217="Severe Contradiction",-15, TRUE,0)
  + _xlfn.IFS(BC217="Reasonable Assurance",5, BC217="Limited Assurance",3, TRUE,0)
  - IF(AND(Z217="Yes", AI217="No"), 10, 0)
  - IF(AND(Z217="Yes", AM217="No"), 10, 0)
))</f>
        <v>0</v>
      </c>
      <c r="AS217" s="5"/>
      <c r="AT217" s="5"/>
      <c r="AU217" s="5"/>
      <c r="AV217" s="5"/>
      <c r="AW217" s="5"/>
      <c r="AX217" s="5"/>
      <c r="AY217" s="5"/>
      <c r="AZ217" s="5"/>
      <c r="BA217" s="5"/>
      <c r="BB217" s="5"/>
      <c r="BC217" s="5"/>
      <c r="BD217" s="5"/>
      <c r="BE217" s="39">
        <f t="array" ref="BE217">MIN(100, MAX(0,
  IFERROR(_xlfn.XLOOKUP(AT217,'Lookup Tables'!$D$2:$D$6,'Lookup Tables'!$E$2:$E$6,0),0)
  + IFERROR(_xlfn.XLOOKUP(AV217,'Lookup Tables'!$G$2:$G$5,'Lookup Tables'!$H$2:$H$5,0),0)
  + IFERROR(_xlfn.XLOOKUP(AW217,'Lookup Tables'!$J$2:$J$5,'Lookup Tables'!$K$2:$K$5,0),0)
  + _xlfn.IFS(AX217="No Issues",10, AX217="Complaint Filed",3, AX217="Confirmed Breach",-15, TRUE,0)
  + IFERROR(_xlfn.XLOOKUP(AY217,'Lookup Tables'!$M$2:$M$6,'Lookup Tables'!$N$2:$N$6,0),0)
  + IFERROR(_xlfn.XLOOKUP(AZ217,'Lookup Tables'!$P$2:$P$6,'Lookup Tables'!$Q$2:$Q$6,0),0)
  + _xlfn.IFS(BA217="Formal Board Committee",5, BA217="Board Oversight Mentioned",2, TRUE,0)
  + _xlfn.IFS(BB217="Yes — Quantified Targets",5, BB217="Yes — Discretionary Only",2, TRUE,0)
  + _xlfn.IFS(BC217="Reasonable Assurance",5, BC217="Limited Assurance",3, BC217="Management Review Only",1, TRUE,0)
))</f>
        <v>0</v>
      </c>
      <c r="BF217" s="5"/>
      <c r="BG217" s="5"/>
      <c r="BH217" s="5"/>
      <c r="BI217" s="5"/>
      <c r="BJ217" s="5"/>
      <c r="BK217" s="5"/>
      <c r="BL217" s="5"/>
      <c r="BM217" s="5"/>
      <c r="BN217" s="5"/>
      <c r="BO217" s="5"/>
      <c r="BP217" s="5"/>
      <c r="BQ217" s="5"/>
      <c r="BR217" s="5"/>
      <c r="BS217" s="41">
        <f t="array" ref="BS217">MIN(100, MAX(0,
  IFERROR(_xlfn.XLOOKUP(BG217,'Lookup Tables'!$A$11:$A$16,'Lookup Tables'!$B$11:$B$16,0),0)
  + IFERROR(_xlfn.XLOOKUP(BR217,'Lookup Tables'!$M$11:$M$14,'Lookup Tables'!$N$11:$N$14,0),0)
  + IFERROR(_xlfn.XLOOKUP(BQ217,'Lookup Tables'!$J$11:$J$15,'Lookup Tables'!$K$11:$K$15,0),0)
  + IFERROR(_xlfn.XLOOKUP(BH217,'Lookup Tables'!$D$11:$D$15,'Lookup Tables'!$E$11:$E$15,0),0)
  + IFERROR(_xlfn.XLOOKUP(BJ217,'Lookup Tables'!$G$11:$G$16,'Lookup Tables'!$H$11:$H$16,0),0)
  + IFERROR(_xlfn.XLOOKUP(BN217,'Lookup Tables'!$P$11:$P$15,'Lookup Tables'!$Q$11:$Q$15,0),0)
  + _xlfn.IFS(BM217="No Evidence",10, BM217="Unknown",3, BM217="Likely",0, BM217="Confirmed",-10, TRUE,3)
  + IFERROR(_xlfn.XLOOKUP(BP217,'Lookup Tables'!$J$21:$J$24,'Lookup Tables'!$K$21:$K$24,0),0)
))</f>
        <v>3</v>
      </c>
      <c r="BT217" s="5"/>
      <c r="BU217" s="5"/>
      <c r="BV217" s="5"/>
      <c r="BW217" s="5"/>
      <c r="BX217" s="5"/>
      <c r="BY217" s="5"/>
      <c r="BZ217" s="5"/>
      <c r="CA217" s="5"/>
      <c r="CB217" s="5"/>
      <c r="CC217" s="5"/>
      <c r="CD217" s="5"/>
      <c r="CE217" s="43">
        <f t="array" ref="CE217">MIN(100, MAX(0,
  IF(ISNUMBER(BV217)*AND(BV217&gt;0), 10, 0)
  + _xlfn.IFS(BY217="Independently Verified",25, BY217="Yes",15, TRUE,0)
  + IFERROR(_xlfn.XLOOKUP(BZ217,'Lookup Tables'!$A$21:$A$24,'Lookup Tables'!$B$21:$B$24,0),0)
  + IFERROR(_xlfn.XLOOKUP(CA217,'Lookup Tables'!$D$21:$D$24,'Lookup Tables'!$E$21:$E$24,0),0)
  + _xlfn.IFS(ISNUMBER(CB217)*AND(CB217&gt;=11),15, ISNUMBER(CB217)*AND(CB217&gt;=6),10, ISNUMBER(CB217)*AND(CB217&gt;=1),5, TRUE,0)
  + IFERROR(_xlfn.XLOOKUP(CC217,'Lookup Tables'!$G$21:$G$25,'Lookup Tables'!$H$21:$H$25,0),0)
  - IF(ISNUMBER(BW217)*AND(ISNUMBER(BV217))*AND(BW217&gt;BV217), 20, 0)
  - IF(AND(BY217="Yes", ISNUMBER(BW217), BW217&gt;60), 10, 0)
))</f>
        <v>0</v>
      </c>
      <c r="CF217" s="5"/>
      <c r="CG217" s="5"/>
      <c r="CH217" s="5"/>
      <c r="CI217" s="5"/>
      <c r="CJ217" s="5"/>
      <c r="CK217" s="5"/>
      <c r="CL217" s="5"/>
      <c r="CM217" s="5"/>
      <c r="CN217" s="5"/>
      <c r="CO217" s="5"/>
      <c r="CP217" s="5"/>
      <c r="CQ217" s="5"/>
      <c r="CR217" s="5">
        <f t="shared" si="103"/>
        <v>0</v>
      </c>
      <c r="CS217" s="5">
        <f t="shared" si="104"/>
        <v>0</v>
      </c>
      <c r="CT217" s="5">
        <f t="shared" si="105"/>
        <v>0</v>
      </c>
      <c r="CU217" s="5">
        <f>MIN(100,
  CR217*15
  + CS217*6
  + CT217*3
  + IFERROR(_xlfn.XLOOKUP(CW217,'Lookup Tables'!$M$21:$M$25,'Lookup Tables'!$N$21:$N$25,0),0)
)</f>
        <v>0</v>
      </c>
      <c r="CV217" s="5" t="str">
        <f t="shared" si="106"/>
        <v>No failures</v>
      </c>
      <c r="CW217" s="5"/>
      <c r="CX217" s="5"/>
      <c r="CY217" s="5"/>
      <c r="CZ217" s="5"/>
      <c r="DA217" s="5" t="str">
        <f t="shared" si="107"/>
        <v>Yes</v>
      </c>
      <c r="DB217" s="5" t="str">
        <f t="shared" si="108"/>
        <v>No</v>
      </c>
      <c r="DC217" s="5"/>
      <c r="DD217" s="5"/>
      <c r="DE217" s="5"/>
      <c r="DF217" s="5"/>
      <c r="DG217" s="5"/>
      <c r="DH217" s="5"/>
      <c r="DI217" s="5"/>
      <c r="DJ217" s="5"/>
      <c r="DK217" s="5"/>
      <c r="DL217" s="5" t="str">
        <f t="shared" si="109"/>
        <v>Clear</v>
      </c>
      <c r="DM217" s="5" t="str">
        <f t="shared" si="110"/>
        <v>Yes</v>
      </c>
      <c r="DN217" s="5">
        <f t="array" ref="DN217">MIN(100,
  IF(ISNUMBER(V217), _xlfn.IFS(V217&gt;=3,25, V217=2,15, V217=1,5, TRUE,0), 0)
  + IFERROR(_xlfn.IFS(VALUE(LEFT(DF217,1))=5,25, VALUE(LEFT(DF217,1))=4,20, VALUE(LEFT(DF217,1))=3,15, VALUE(LEFT(DF217,1))=2,8, TRUE,0), 15)
  + IFERROR(_xlfn.IFS(VALUE(LEFT(DG217,1))=5,25, VALUE(LEFT(DG217,1))=4,20, VALUE(LEFT(DG217,1))=3,15, VALUE(LEFT(DG217,1))=2,8, TRUE,0), 15)
  + _xlfn.IFS(DH217="Fully Verified",25, DH217="Partially Verified",12, TRUE,0)
)</f>
        <v>30</v>
      </c>
      <c r="DO217" s="5" t="str">
        <f t="array" ref="DO217">_xlfn.IFS(
  ISBLANK(AR217), "Insufficient Evidence",
  AND(AR217&gt;=65, AJ217="Approved"), "Strong",
  AR217&gt;=65, "Adequate",
  AR217&gt;=40, "Adequate",
  AR217&gt;=20, "Weak",
  TRUE, "Insufficient Evidence"
)</f>
        <v>Insufficient Evidence</v>
      </c>
      <c r="DP217" s="5" t="str">
        <f t="array" ref="DP217">_xlfn.IFS(
  ISBLANK(BS217), "Insufficient Evidence",
  BS217&gt;=65, "Strong",
  BS217&gt;=40, "Adequate",
  BS217&gt;=20, "Weak",
  TRUE, "Insufficient Evidence"
)</f>
        <v>Insufficient Evidence</v>
      </c>
      <c r="DQ217" s="5" t="str">
        <f t="array" ref="DQ217">_xlfn.IFS(
  ISBLANK(BE217), "Insufficient Evidence",
  OR(AW217="Confirmed Violation", AX217="Confirmed Breach"), "Severe — Hard Trigger",
  BE217&gt;=65, "Strong",
  BE217&gt;=40, "Adequate",
  BE217&gt;=20, "Weak",
  TRUE, "Insufficient Evidence"
)</f>
        <v>Insufficient Evidence</v>
      </c>
      <c r="DR217" s="5" t="str">
        <f t="array" ref="DR217">_xlfn.IFS(
  ISBLANK(CU217), "Insufficient Evidence",
  CU217&lt;=20, "Low Risk",
  CU217&lt;=50, "Moderate Risk",
  CU217&lt;=75, "High Risk",
  TRUE, "Very High Risk"
)</f>
        <v>Low Risk</v>
      </c>
      <c r="DS217" s="5" t="str">
        <f t="array" ref="DS217">_xlfn.IFS(
  ISBLANK(CE217), "Insufficient Evidence",
  AND(ISNUMBER(BW217),ISNUMBER(BV217),BW217&gt;BV217), "Overclaiming Risk",
  CE217&gt;=65, "Strong",
  CE217&gt;=40, "Adequate",
  TRUE, "Weak"
)</f>
        <v>Weak</v>
      </c>
      <c r="DT217" s="5">
        <f t="shared" si="111"/>
        <v>11.7</v>
      </c>
      <c r="DU217" s="5" t="str">
        <f t="array" ref="DU217">_xlfn.IFS(
  DV217="Upgraded to Clear", "Clear",
  DV217="Downgraded to Watchlist", "Watchlist",
  DV217="Downgraded to Exclusion", "Exclusion Risk",
  DB217="Yes — Automatic", "Exclusion Risk",
  OR(AW217="Confirmed Violation", AX217="Confirmed Breach"), "Exclusion Risk",
  OR(V217=0, ISBLANK(V217), DN217&lt;20), "Insufficient Evidence",
  AND(DT217&gt;=65, DA217="No", DB217="No"), "Clear",
  OR(DT217&gt;=40, DA217="Yes"), "Watchlist",
  TRUE, "Exclusion Risk"
)</f>
        <v>Insufficient Evidence</v>
      </c>
      <c r="DV217" s="5"/>
      <c r="DW217" s="5" t="str">
        <f t="array" ref="DW217">_xlfn.IFS(
  DU217="Exclusion Risk", "Exclude — Hard Trigger",
  DU217="Insufficient Evidence", "Watchlist — Further Evidence Needed",
  DU217="Watchlist", "Watchlist — Further Evidence Needed",
  AND(DU217="Clear", DT217&gt;=80), "Include — No Conditions",
  DU217="Clear", "Include — Monitor",
  TRUE, "Watchlist — Further Evidence Needed"
)</f>
        <v>Watchlist — Further Evidence Needed</v>
      </c>
      <c r="DX217" s="5"/>
      <c r="DY217" s="5"/>
      <c r="DZ217" s="5"/>
      <c r="EA217" s="5"/>
      <c r="EB217" s="5" t="str">
        <f t="shared" si="112"/>
        <v>MISSING — No sources reviewed</v>
      </c>
      <c r="EC217" s="5" t="str">
        <f t="shared" si="113"/>
        <v/>
      </c>
    </row>
    <row r="218" spans="1:133" ht="18" customHeight="1" x14ac:dyDescent="0.15">
      <c r="A218" s="5" t="s">
        <v>1617</v>
      </c>
      <c r="B218" s="5" t="s">
        <v>1617</v>
      </c>
      <c r="C218" s="5" t="str">
        <f>IF(ISBLANK('Universe Tracker'!D193),"",'Universe Tracker'!D193)</f>
        <v/>
      </c>
      <c r="D218" s="5"/>
      <c r="E218" s="5"/>
      <c r="F218" s="5" t="str">
        <f>IF(ISBLANK('Universe Tracker'!F193),"",'Universe Tracker'!F193)</f>
        <v/>
      </c>
      <c r="G218" s="5" t="str">
        <f>IF(ISBLANK('Universe Tracker'!G193),"",'Universe Tracker'!G193)</f>
        <v/>
      </c>
      <c r="H218" s="5"/>
      <c r="I218" s="5"/>
      <c r="J218" s="5" t="str">
        <f t="shared" si="101"/>
        <v>_</v>
      </c>
      <c r="K218" s="5"/>
      <c r="L218" s="5"/>
      <c r="M218" s="5"/>
      <c r="N218" s="5"/>
      <c r="O218" s="5"/>
      <c r="P218" s="5"/>
      <c r="Q218" s="5"/>
      <c r="R218" s="5"/>
      <c r="S218" s="5"/>
      <c r="T218" s="5"/>
      <c r="U218" s="5"/>
      <c r="V218" s="5"/>
      <c r="W218" s="5"/>
      <c r="X218" s="5"/>
      <c r="Y218" s="5" t="str">
        <f t="shared" si="102"/>
        <v>Insufficient</v>
      </c>
      <c r="Z218" s="5"/>
      <c r="AA218" s="5"/>
      <c r="AB218" s="5"/>
      <c r="AC218" s="5"/>
      <c r="AD218" s="5"/>
      <c r="AE218" s="5"/>
      <c r="AF218" s="5"/>
      <c r="AG218" s="5"/>
      <c r="AH218" s="5"/>
      <c r="AI218" s="5"/>
      <c r="AJ218" s="5"/>
      <c r="AK218" s="5"/>
      <c r="AL218" s="5"/>
      <c r="AM218" s="5"/>
      <c r="AN218" s="5"/>
      <c r="AO218" s="5"/>
      <c r="AP218" s="5"/>
      <c r="AQ218" s="5"/>
      <c r="AR218" s="40">
        <f t="array" ref="AR218">MIN(100, MAX(0,
  IFERROR(_xlfn.XLOOKUP(AJ218,'Lookup Tables'!$A$2:$A$7,'Lookup Tables'!$B$2:$B$7,0),0)
  + IF(Z218="Yes", IF(IFERROR(_xlfn.XLOOKUP(AJ218,'Lookup Tables'!$A$2:$A$7,'Lookup Tables'!$B$2:$B$7,0),0)&lt;20, 5, 0), 0)
  + _xlfn.IFS(AB218="Yes", IF(ISNUMBER(AC218)*AND(AC218&lt;=2030),15,10), AB218="Long-term Only", 5, AB218="No", 0, TRUE, 0)
  + _xlfn.IFS(AF218="Full",10, AF218="Partial",5, AF218="Scope 2 Only",3, TRUE,0)
  + _xlfn.IFS(AG218="Yes", IF(ISNUMBER(AH218)*AND(AH218&gt;=5),10,6), AG218="Partial",4, TRUE,0)
  + _xlfn.IFS(AI218="Yes",5, AI218="Partial (material categories only)",3, TRUE,0)
  + _xlfn.IFS(AL218="Yes — Detailed",10, AL218="Yes — High Level",5, TRUE,0)
  + _xlfn.IFS(AM218="Yes — Quantified",15, AM218="Yes — Directional Only",7, TRUE,0)
  + _xlfn.IFS(AP218="Formal",5, AP218="Referenced",2, TRUE,0)
  + _xlfn.IFS(AQ218="No Issues Found",5, AQ218="Concern Identified",-5, AQ218="Severe Contradiction",-15, TRUE,0)
  + _xlfn.IFS(BC218="Reasonable Assurance",5, BC218="Limited Assurance",3, TRUE,0)
  - IF(AND(Z218="Yes", AI218="No"), 10, 0)
  - IF(AND(Z218="Yes", AM218="No"), 10, 0)
))</f>
        <v>0</v>
      </c>
      <c r="AS218" s="5"/>
      <c r="AT218" s="5"/>
      <c r="AU218" s="5"/>
      <c r="AV218" s="5"/>
      <c r="AW218" s="5"/>
      <c r="AX218" s="5"/>
      <c r="AY218" s="5"/>
      <c r="AZ218" s="5"/>
      <c r="BA218" s="5"/>
      <c r="BB218" s="5"/>
      <c r="BC218" s="5"/>
      <c r="BD218" s="5"/>
      <c r="BE218" s="39">
        <f t="array" ref="BE218">MIN(100, MAX(0,
  IFERROR(_xlfn.XLOOKUP(AT218,'Lookup Tables'!$D$2:$D$6,'Lookup Tables'!$E$2:$E$6,0),0)
  + IFERROR(_xlfn.XLOOKUP(AV218,'Lookup Tables'!$G$2:$G$5,'Lookup Tables'!$H$2:$H$5,0),0)
  + IFERROR(_xlfn.XLOOKUP(AW218,'Lookup Tables'!$J$2:$J$5,'Lookup Tables'!$K$2:$K$5,0),0)
  + _xlfn.IFS(AX218="No Issues",10, AX218="Complaint Filed",3, AX218="Confirmed Breach",-15, TRUE,0)
  + IFERROR(_xlfn.XLOOKUP(AY218,'Lookup Tables'!$M$2:$M$6,'Lookup Tables'!$N$2:$N$6,0),0)
  + IFERROR(_xlfn.XLOOKUP(AZ218,'Lookup Tables'!$P$2:$P$6,'Lookup Tables'!$Q$2:$Q$6,0),0)
  + _xlfn.IFS(BA218="Formal Board Committee",5, BA218="Board Oversight Mentioned",2, TRUE,0)
  + _xlfn.IFS(BB218="Yes — Quantified Targets",5, BB218="Yes — Discretionary Only",2, TRUE,0)
  + _xlfn.IFS(BC218="Reasonable Assurance",5, BC218="Limited Assurance",3, BC218="Management Review Only",1, TRUE,0)
))</f>
        <v>0</v>
      </c>
      <c r="BF218" s="5"/>
      <c r="BG218" s="5"/>
      <c r="BH218" s="5"/>
      <c r="BI218" s="5"/>
      <c r="BJ218" s="5"/>
      <c r="BK218" s="5"/>
      <c r="BL218" s="5"/>
      <c r="BM218" s="5"/>
      <c r="BN218" s="5"/>
      <c r="BO218" s="5"/>
      <c r="BP218" s="5"/>
      <c r="BQ218" s="5"/>
      <c r="BR218" s="5"/>
      <c r="BS218" s="41">
        <f t="array" ref="BS218">MIN(100, MAX(0,
  IFERROR(_xlfn.XLOOKUP(BG218,'Lookup Tables'!$A$11:$A$16,'Lookup Tables'!$B$11:$B$16,0),0)
  + IFERROR(_xlfn.XLOOKUP(BR218,'Lookup Tables'!$M$11:$M$14,'Lookup Tables'!$N$11:$N$14,0),0)
  + IFERROR(_xlfn.XLOOKUP(BQ218,'Lookup Tables'!$J$11:$J$15,'Lookup Tables'!$K$11:$K$15,0),0)
  + IFERROR(_xlfn.XLOOKUP(BH218,'Lookup Tables'!$D$11:$D$15,'Lookup Tables'!$E$11:$E$15,0),0)
  + IFERROR(_xlfn.XLOOKUP(BJ218,'Lookup Tables'!$G$11:$G$16,'Lookup Tables'!$H$11:$H$16,0),0)
  + IFERROR(_xlfn.XLOOKUP(BN218,'Lookup Tables'!$P$11:$P$15,'Lookup Tables'!$Q$11:$Q$15,0),0)
  + _xlfn.IFS(BM218="No Evidence",10, BM218="Unknown",3, BM218="Likely",0, BM218="Confirmed",-10, TRUE,3)
  + IFERROR(_xlfn.XLOOKUP(BP218,'Lookup Tables'!$J$21:$J$24,'Lookup Tables'!$K$21:$K$24,0),0)
))</f>
        <v>3</v>
      </c>
      <c r="BT218" s="5"/>
      <c r="BU218" s="5"/>
      <c r="BV218" s="5"/>
      <c r="BW218" s="5"/>
      <c r="BX218" s="5"/>
      <c r="BY218" s="5"/>
      <c r="BZ218" s="5"/>
      <c r="CA218" s="5"/>
      <c r="CB218" s="5"/>
      <c r="CC218" s="5"/>
      <c r="CD218" s="5"/>
      <c r="CE218" s="43">
        <f t="array" ref="CE218">MIN(100, MAX(0,
  IF(ISNUMBER(BV218)*AND(BV218&gt;0), 10, 0)
  + _xlfn.IFS(BY218="Independently Verified",25, BY218="Yes",15, TRUE,0)
  + IFERROR(_xlfn.XLOOKUP(BZ218,'Lookup Tables'!$A$21:$A$24,'Lookup Tables'!$B$21:$B$24,0),0)
  + IFERROR(_xlfn.XLOOKUP(CA218,'Lookup Tables'!$D$21:$D$24,'Lookup Tables'!$E$21:$E$24,0),0)
  + _xlfn.IFS(ISNUMBER(CB218)*AND(CB218&gt;=11),15, ISNUMBER(CB218)*AND(CB218&gt;=6),10, ISNUMBER(CB218)*AND(CB218&gt;=1),5, TRUE,0)
  + IFERROR(_xlfn.XLOOKUP(CC218,'Lookup Tables'!$G$21:$G$25,'Lookup Tables'!$H$21:$H$25,0),0)
  - IF(ISNUMBER(BW218)*AND(ISNUMBER(BV218))*AND(BW218&gt;BV218), 20, 0)
  - IF(AND(BY218="Yes", ISNUMBER(BW218), BW218&gt;60), 10, 0)
))</f>
        <v>0</v>
      </c>
      <c r="CF218" s="5"/>
      <c r="CG218" s="5"/>
      <c r="CH218" s="5"/>
      <c r="CI218" s="5"/>
      <c r="CJ218" s="5"/>
      <c r="CK218" s="5"/>
      <c r="CL218" s="5"/>
      <c r="CM218" s="5"/>
      <c r="CN218" s="5"/>
      <c r="CO218" s="5"/>
      <c r="CP218" s="5"/>
      <c r="CQ218" s="5"/>
      <c r="CR218" s="5">
        <f t="shared" si="103"/>
        <v>0</v>
      </c>
      <c r="CS218" s="5">
        <f t="shared" si="104"/>
        <v>0</v>
      </c>
      <c r="CT218" s="5">
        <f t="shared" si="105"/>
        <v>0</v>
      </c>
      <c r="CU218" s="5">
        <f>MIN(100,
  CR218*15
  + CS218*6
  + CT218*3
  + IFERROR(_xlfn.XLOOKUP(CW218,'Lookup Tables'!$M$21:$M$25,'Lookup Tables'!$N$21:$N$25,0),0)
)</f>
        <v>0</v>
      </c>
      <c r="CV218" s="5" t="str">
        <f t="shared" si="106"/>
        <v>No failures</v>
      </c>
      <c r="CW218" s="5"/>
      <c r="CX218" s="5"/>
      <c r="CY218" s="5"/>
      <c r="CZ218" s="5"/>
      <c r="DA218" s="5" t="str">
        <f t="shared" si="107"/>
        <v>Yes</v>
      </c>
      <c r="DB218" s="5" t="str">
        <f t="shared" si="108"/>
        <v>No</v>
      </c>
      <c r="DC218" s="5"/>
      <c r="DD218" s="5"/>
      <c r="DE218" s="5"/>
      <c r="DF218" s="5"/>
      <c r="DG218" s="5"/>
      <c r="DH218" s="5"/>
      <c r="DI218" s="5"/>
      <c r="DJ218" s="5"/>
      <c r="DK218" s="5"/>
      <c r="DL218" s="5" t="str">
        <f t="shared" si="109"/>
        <v>Clear</v>
      </c>
      <c r="DM218" s="5" t="str">
        <f t="shared" si="110"/>
        <v>Yes</v>
      </c>
      <c r="DN218" s="5">
        <f t="array" ref="DN218">MIN(100,
  IF(ISNUMBER(V218), _xlfn.IFS(V218&gt;=3,25, V218=2,15, V218=1,5, TRUE,0), 0)
  + IFERROR(_xlfn.IFS(VALUE(LEFT(DF218,1))=5,25, VALUE(LEFT(DF218,1))=4,20, VALUE(LEFT(DF218,1))=3,15, VALUE(LEFT(DF218,1))=2,8, TRUE,0), 15)
  + IFERROR(_xlfn.IFS(VALUE(LEFT(DG218,1))=5,25, VALUE(LEFT(DG218,1))=4,20, VALUE(LEFT(DG218,1))=3,15, VALUE(LEFT(DG218,1))=2,8, TRUE,0), 15)
  + _xlfn.IFS(DH218="Fully Verified",25, DH218="Partially Verified",12, TRUE,0)
)</f>
        <v>30</v>
      </c>
      <c r="DO218" s="5" t="str">
        <f t="array" ref="DO218">_xlfn.IFS(
  ISBLANK(AR218), "Insufficient Evidence",
  AND(AR218&gt;=65, AJ218="Approved"), "Strong",
  AR218&gt;=65, "Adequate",
  AR218&gt;=40, "Adequate",
  AR218&gt;=20, "Weak",
  TRUE, "Insufficient Evidence"
)</f>
        <v>Insufficient Evidence</v>
      </c>
      <c r="DP218" s="5" t="str">
        <f t="array" ref="DP218">_xlfn.IFS(
  ISBLANK(BS218), "Insufficient Evidence",
  BS218&gt;=65, "Strong",
  BS218&gt;=40, "Adequate",
  BS218&gt;=20, "Weak",
  TRUE, "Insufficient Evidence"
)</f>
        <v>Insufficient Evidence</v>
      </c>
      <c r="DQ218" s="5" t="str">
        <f t="array" ref="DQ218">_xlfn.IFS(
  ISBLANK(BE218), "Insufficient Evidence",
  OR(AW218="Confirmed Violation", AX218="Confirmed Breach"), "Severe — Hard Trigger",
  BE218&gt;=65, "Strong",
  BE218&gt;=40, "Adequate",
  BE218&gt;=20, "Weak",
  TRUE, "Insufficient Evidence"
)</f>
        <v>Insufficient Evidence</v>
      </c>
      <c r="DR218" s="5" t="str">
        <f t="array" ref="DR218">_xlfn.IFS(
  ISBLANK(CU218), "Insufficient Evidence",
  CU218&lt;=20, "Low Risk",
  CU218&lt;=50, "Moderate Risk",
  CU218&lt;=75, "High Risk",
  TRUE, "Very High Risk"
)</f>
        <v>Low Risk</v>
      </c>
      <c r="DS218" s="5" t="str">
        <f t="array" ref="DS218">_xlfn.IFS(
  ISBLANK(CE218), "Insufficient Evidence",
  AND(ISNUMBER(BW218),ISNUMBER(BV218),BW218&gt;BV218), "Overclaiming Risk",
  CE218&gt;=65, "Strong",
  CE218&gt;=40, "Adequate",
  TRUE, "Weak"
)</f>
        <v>Weak</v>
      </c>
      <c r="DT218" s="5">
        <f t="shared" si="111"/>
        <v>11.7</v>
      </c>
      <c r="DU218" s="5" t="str">
        <f t="array" ref="DU218">_xlfn.IFS(
  DV218="Upgraded to Clear", "Clear",
  DV218="Downgraded to Watchlist", "Watchlist",
  DV218="Downgraded to Exclusion", "Exclusion Risk",
  DB218="Yes — Automatic", "Exclusion Risk",
  OR(AW218="Confirmed Violation", AX218="Confirmed Breach"), "Exclusion Risk",
  OR(V218=0, ISBLANK(V218), DN218&lt;20), "Insufficient Evidence",
  AND(DT218&gt;=65, DA218="No", DB218="No"), "Clear",
  OR(DT218&gt;=40, DA218="Yes"), "Watchlist",
  TRUE, "Exclusion Risk"
)</f>
        <v>Insufficient Evidence</v>
      </c>
      <c r="DV218" s="5"/>
      <c r="DW218" s="5" t="str">
        <f t="array" ref="DW218">_xlfn.IFS(
  DU218="Exclusion Risk", "Exclude — Hard Trigger",
  DU218="Insufficient Evidence", "Watchlist — Further Evidence Needed",
  DU218="Watchlist", "Watchlist — Further Evidence Needed",
  AND(DU218="Clear", DT218&gt;=80), "Include — No Conditions",
  DU218="Clear", "Include — Monitor",
  TRUE, "Watchlist — Further Evidence Needed"
)</f>
        <v>Watchlist — Further Evidence Needed</v>
      </c>
      <c r="DX218" s="5"/>
      <c r="DY218" s="5"/>
      <c r="DZ218" s="5"/>
      <c r="EA218" s="5"/>
      <c r="EB218" s="5" t="str">
        <f t="shared" si="112"/>
        <v>MISSING — No sources reviewed</v>
      </c>
      <c r="EC218" s="5" t="str">
        <f t="shared" si="113"/>
        <v/>
      </c>
    </row>
    <row r="219" spans="1:133" ht="18" customHeight="1" x14ac:dyDescent="0.15">
      <c r="A219" s="5" t="s">
        <v>1617</v>
      </c>
      <c r="B219" s="5" t="s">
        <v>1617</v>
      </c>
      <c r="C219" s="5" t="str">
        <f>IF(ISBLANK('Universe Tracker'!D194),"",'Universe Tracker'!D194)</f>
        <v/>
      </c>
      <c r="D219" s="5"/>
      <c r="E219" s="5"/>
      <c r="F219" s="5" t="str">
        <f>IF(ISBLANK('Universe Tracker'!F194),"",'Universe Tracker'!F194)</f>
        <v/>
      </c>
      <c r="G219" s="5" t="str">
        <f>IF(ISBLANK('Universe Tracker'!G194),"",'Universe Tracker'!G194)</f>
        <v/>
      </c>
      <c r="H219" s="5"/>
      <c r="I219" s="5"/>
      <c r="J219" s="5" t="str">
        <f t="shared" si="101"/>
        <v>_</v>
      </c>
      <c r="K219" s="5"/>
      <c r="L219" s="5"/>
      <c r="M219" s="5"/>
      <c r="N219" s="5"/>
      <c r="O219" s="5"/>
      <c r="P219" s="5"/>
      <c r="Q219" s="5"/>
      <c r="R219" s="5"/>
      <c r="S219" s="5"/>
      <c r="T219" s="5"/>
      <c r="U219" s="5"/>
      <c r="V219" s="5"/>
      <c r="W219" s="5"/>
      <c r="X219" s="5"/>
      <c r="Y219" s="5" t="str">
        <f t="shared" si="102"/>
        <v>Insufficient</v>
      </c>
      <c r="Z219" s="5"/>
      <c r="AA219" s="5"/>
      <c r="AB219" s="5"/>
      <c r="AC219" s="5"/>
      <c r="AD219" s="5"/>
      <c r="AE219" s="5"/>
      <c r="AF219" s="5"/>
      <c r="AG219" s="5"/>
      <c r="AH219" s="5"/>
      <c r="AI219" s="5"/>
      <c r="AJ219" s="5"/>
      <c r="AK219" s="5"/>
      <c r="AL219" s="5"/>
      <c r="AM219" s="5"/>
      <c r="AN219" s="5"/>
      <c r="AO219" s="5"/>
      <c r="AP219" s="5"/>
      <c r="AQ219" s="5"/>
      <c r="AR219" s="40">
        <f t="array" ref="AR219">MIN(100, MAX(0,
  IFERROR(_xlfn.XLOOKUP(AJ219,'Lookup Tables'!$A$2:$A$7,'Lookup Tables'!$B$2:$B$7,0),0)
  + IF(Z219="Yes", IF(IFERROR(_xlfn.XLOOKUP(AJ219,'Lookup Tables'!$A$2:$A$7,'Lookup Tables'!$B$2:$B$7,0),0)&lt;20, 5, 0), 0)
  + _xlfn.IFS(AB219="Yes", IF(ISNUMBER(AC219)*AND(AC219&lt;=2030),15,10), AB219="Long-term Only", 5, AB219="No", 0, TRUE, 0)
  + _xlfn.IFS(AF219="Full",10, AF219="Partial",5, AF219="Scope 2 Only",3, TRUE,0)
  + _xlfn.IFS(AG219="Yes", IF(ISNUMBER(AH219)*AND(AH219&gt;=5),10,6), AG219="Partial",4, TRUE,0)
  + _xlfn.IFS(AI219="Yes",5, AI219="Partial (material categories only)",3, TRUE,0)
  + _xlfn.IFS(AL219="Yes — Detailed",10, AL219="Yes — High Level",5, TRUE,0)
  + _xlfn.IFS(AM219="Yes — Quantified",15, AM219="Yes — Directional Only",7, TRUE,0)
  + _xlfn.IFS(AP219="Formal",5, AP219="Referenced",2, TRUE,0)
  + _xlfn.IFS(AQ219="No Issues Found",5, AQ219="Concern Identified",-5, AQ219="Severe Contradiction",-15, TRUE,0)
  + _xlfn.IFS(BC219="Reasonable Assurance",5, BC219="Limited Assurance",3, TRUE,0)
  - IF(AND(Z219="Yes", AI219="No"), 10, 0)
  - IF(AND(Z219="Yes", AM219="No"), 10, 0)
))</f>
        <v>0</v>
      </c>
      <c r="AS219" s="5"/>
      <c r="AT219" s="5"/>
      <c r="AU219" s="5"/>
      <c r="AV219" s="5"/>
      <c r="AW219" s="5"/>
      <c r="AX219" s="5"/>
      <c r="AY219" s="5"/>
      <c r="AZ219" s="5"/>
      <c r="BA219" s="5"/>
      <c r="BB219" s="5"/>
      <c r="BC219" s="5"/>
      <c r="BD219" s="5"/>
      <c r="BE219" s="39">
        <f t="array" ref="BE219">MIN(100, MAX(0,
  IFERROR(_xlfn.XLOOKUP(AT219,'Lookup Tables'!$D$2:$D$6,'Lookup Tables'!$E$2:$E$6,0),0)
  + IFERROR(_xlfn.XLOOKUP(AV219,'Lookup Tables'!$G$2:$G$5,'Lookup Tables'!$H$2:$H$5,0),0)
  + IFERROR(_xlfn.XLOOKUP(AW219,'Lookup Tables'!$J$2:$J$5,'Lookup Tables'!$K$2:$K$5,0),0)
  + _xlfn.IFS(AX219="No Issues",10, AX219="Complaint Filed",3, AX219="Confirmed Breach",-15, TRUE,0)
  + IFERROR(_xlfn.XLOOKUP(AY219,'Lookup Tables'!$M$2:$M$6,'Lookup Tables'!$N$2:$N$6,0),0)
  + IFERROR(_xlfn.XLOOKUP(AZ219,'Lookup Tables'!$P$2:$P$6,'Lookup Tables'!$Q$2:$Q$6,0),0)
  + _xlfn.IFS(BA219="Formal Board Committee",5, BA219="Board Oversight Mentioned",2, TRUE,0)
  + _xlfn.IFS(BB219="Yes — Quantified Targets",5, BB219="Yes — Discretionary Only",2, TRUE,0)
  + _xlfn.IFS(BC219="Reasonable Assurance",5, BC219="Limited Assurance",3, BC219="Management Review Only",1, TRUE,0)
))</f>
        <v>0</v>
      </c>
      <c r="BF219" s="5"/>
      <c r="BG219" s="5"/>
      <c r="BH219" s="5"/>
      <c r="BI219" s="5"/>
      <c r="BJ219" s="5"/>
      <c r="BK219" s="5"/>
      <c r="BL219" s="5"/>
      <c r="BM219" s="5"/>
      <c r="BN219" s="5"/>
      <c r="BO219" s="5"/>
      <c r="BP219" s="5"/>
      <c r="BQ219" s="5"/>
      <c r="BR219" s="5"/>
      <c r="BS219" s="41">
        <f t="array" ref="BS219">MIN(100, MAX(0,
  IFERROR(_xlfn.XLOOKUP(BG219,'Lookup Tables'!$A$11:$A$16,'Lookup Tables'!$B$11:$B$16,0),0)
  + IFERROR(_xlfn.XLOOKUP(BR219,'Lookup Tables'!$M$11:$M$14,'Lookup Tables'!$N$11:$N$14,0),0)
  + IFERROR(_xlfn.XLOOKUP(BQ219,'Lookup Tables'!$J$11:$J$15,'Lookup Tables'!$K$11:$K$15,0),0)
  + IFERROR(_xlfn.XLOOKUP(BH219,'Lookup Tables'!$D$11:$D$15,'Lookup Tables'!$E$11:$E$15,0),0)
  + IFERROR(_xlfn.XLOOKUP(BJ219,'Lookup Tables'!$G$11:$G$16,'Lookup Tables'!$H$11:$H$16,0),0)
  + IFERROR(_xlfn.XLOOKUP(BN219,'Lookup Tables'!$P$11:$P$15,'Lookup Tables'!$Q$11:$Q$15,0),0)
  + _xlfn.IFS(BM219="No Evidence",10, BM219="Unknown",3, BM219="Likely",0, BM219="Confirmed",-10, TRUE,3)
  + IFERROR(_xlfn.XLOOKUP(BP219,'Lookup Tables'!$J$21:$J$24,'Lookup Tables'!$K$21:$K$24,0),0)
))</f>
        <v>3</v>
      </c>
      <c r="BT219" s="5"/>
      <c r="BU219" s="5"/>
      <c r="BV219" s="5"/>
      <c r="BW219" s="5"/>
      <c r="BX219" s="5"/>
      <c r="BY219" s="5"/>
      <c r="BZ219" s="5"/>
      <c r="CA219" s="5"/>
      <c r="CB219" s="5"/>
      <c r="CC219" s="5"/>
      <c r="CD219" s="5"/>
      <c r="CE219" s="43">
        <f t="array" ref="CE219">MIN(100, MAX(0,
  IF(ISNUMBER(BV219)*AND(BV219&gt;0), 10, 0)
  + _xlfn.IFS(BY219="Independently Verified",25, BY219="Yes",15, TRUE,0)
  + IFERROR(_xlfn.XLOOKUP(BZ219,'Lookup Tables'!$A$21:$A$24,'Lookup Tables'!$B$21:$B$24,0),0)
  + IFERROR(_xlfn.XLOOKUP(CA219,'Lookup Tables'!$D$21:$D$24,'Lookup Tables'!$E$21:$E$24,0),0)
  + _xlfn.IFS(ISNUMBER(CB219)*AND(CB219&gt;=11),15, ISNUMBER(CB219)*AND(CB219&gt;=6),10, ISNUMBER(CB219)*AND(CB219&gt;=1),5, TRUE,0)
  + IFERROR(_xlfn.XLOOKUP(CC219,'Lookup Tables'!$G$21:$G$25,'Lookup Tables'!$H$21:$H$25,0),0)
  - IF(ISNUMBER(BW219)*AND(ISNUMBER(BV219))*AND(BW219&gt;BV219), 20, 0)
  - IF(AND(BY219="Yes", ISNUMBER(BW219), BW219&gt;60), 10, 0)
))</f>
        <v>0</v>
      </c>
      <c r="CF219" s="5"/>
      <c r="CG219" s="5"/>
      <c r="CH219" s="5"/>
      <c r="CI219" s="5"/>
      <c r="CJ219" s="5"/>
      <c r="CK219" s="5"/>
      <c r="CL219" s="5"/>
      <c r="CM219" s="5"/>
      <c r="CN219" s="5"/>
      <c r="CO219" s="5"/>
      <c r="CP219" s="5"/>
      <c r="CQ219" s="5"/>
      <c r="CR219" s="5">
        <f t="shared" si="103"/>
        <v>0</v>
      </c>
      <c r="CS219" s="5">
        <f t="shared" si="104"/>
        <v>0</v>
      </c>
      <c r="CT219" s="5">
        <f t="shared" si="105"/>
        <v>0</v>
      </c>
      <c r="CU219" s="5">
        <f>MIN(100,
  CR219*15
  + CS219*6
  + CT219*3
  + IFERROR(_xlfn.XLOOKUP(CW219,'Lookup Tables'!$M$21:$M$25,'Lookup Tables'!$N$21:$N$25,0),0)
)</f>
        <v>0</v>
      </c>
      <c r="CV219" s="5" t="str">
        <f t="shared" si="106"/>
        <v>No failures</v>
      </c>
      <c r="CW219" s="5"/>
      <c r="CX219" s="5"/>
      <c r="CY219" s="5"/>
      <c r="CZ219" s="5"/>
      <c r="DA219" s="5" t="str">
        <f t="shared" si="107"/>
        <v>Yes</v>
      </c>
      <c r="DB219" s="5" t="str">
        <f t="shared" si="108"/>
        <v>No</v>
      </c>
      <c r="DC219" s="5"/>
      <c r="DD219" s="5"/>
      <c r="DE219" s="5"/>
      <c r="DF219" s="5"/>
      <c r="DG219" s="5"/>
      <c r="DH219" s="5"/>
      <c r="DI219" s="5"/>
      <c r="DJ219" s="5"/>
      <c r="DK219" s="5"/>
      <c r="DL219" s="5" t="str">
        <f t="shared" si="109"/>
        <v>Clear</v>
      </c>
      <c r="DM219" s="5" t="str">
        <f t="shared" si="110"/>
        <v>Yes</v>
      </c>
      <c r="DN219" s="5">
        <f t="array" ref="DN219">MIN(100,
  IF(ISNUMBER(V219), _xlfn.IFS(V219&gt;=3,25, V219=2,15, V219=1,5, TRUE,0), 0)
  + IFERROR(_xlfn.IFS(VALUE(LEFT(DF219,1))=5,25, VALUE(LEFT(DF219,1))=4,20, VALUE(LEFT(DF219,1))=3,15, VALUE(LEFT(DF219,1))=2,8, TRUE,0), 15)
  + IFERROR(_xlfn.IFS(VALUE(LEFT(DG219,1))=5,25, VALUE(LEFT(DG219,1))=4,20, VALUE(LEFT(DG219,1))=3,15, VALUE(LEFT(DG219,1))=2,8, TRUE,0), 15)
  + _xlfn.IFS(DH219="Fully Verified",25, DH219="Partially Verified",12, TRUE,0)
)</f>
        <v>30</v>
      </c>
      <c r="DO219" s="5" t="str">
        <f t="array" ref="DO219">_xlfn.IFS(
  ISBLANK(AR219), "Insufficient Evidence",
  AND(AR219&gt;=65, AJ219="Approved"), "Strong",
  AR219&gt;=65, "Adequate",
  AR219&gt;=40, "Adequate",
  AR219&gt;=20, "Weak",
  TRUE, "Insufficient Evidence"
)</f>
        <v>Insufficient Evidence</v>
      </c>
      <c r="DP219" s="5" t="str">
        <f t="array" ref="DP219">_xlfn.IFS(
  ISBLANK(BS219), "Insufficient Evidence",
  BS219&gt;=65, "Strong",
  BS219&gt;=40, "Adequate",
  BS219&gt;=20, "Weak",
  TRUE, "Insufficient Evidence"
)</f>
        <v>Insufficient Evidence</v>
      </c>
      <c r="DQ219" s="5" t="str">
        <f t="array" ref="DQ219">_xlfn.IFS(
  ISBLANK(BE219), "Insufficient Evidence",
  OR(AW219="Confirmed Violation", AX219="Confirmed Breach"), "Severe — Hard Trigger",
  BE219&gt;=65, "Strong",
  BE219&gt;=40, "Adequate",
  BE219&gt;=20, "Weak",
  TRUE, "Insufficient Evidence"
)</f>
        <v>Insufficient Evidence</v>
      </c>
      <c r="DR219" s="5" t="str">
        <f t="array" ref="DR219">_xlfn.IFS(
  ISBLANK(CU219), "Insufficient Evidence",
  CU219&lt;=20, "Low Risk",
  CU219&lt;=50, "Moderate Risk",
  CU219&lt;=75, "High Risk",
  TRUE, "Very High Risk"
)</f>
        <v>Low Risk</v>
      </c>
      <c r="DS219" s="5" t="str">
        <f t="array" ref="DS219">_xlfn.IFS(
  ISBLANK(CE219), "Insufficient Evidence",
  AND(ISNUMBER(BW219),ISNUMBER(BV219),BW219&gt;BV219), "Overclaiming Risk",
  CE219&gt;=65, "Strong",
  CE219&gt;=40, "Adequate",
  TRUE, "Weak"
)</f>
        <v>Weak</v>
      </c>
      <c r="DT219" s="5">
        <f t="shared" si="111"/>
        <v>11.7</v>
      </c>
      <c r="DU219" s="5" t="str">
        <f t="array" ref="DU219">_xlfn.IFS(
  DV219="Upgraded to Clear", "Clear",
  DV219="Downgraded to Watchlist", "Watchlist",
  DV219="Downgraded to Exclusion", "Exclusion Risk",
  DB219="Yes — Automatic", "Exclusion Risk",
  OR(AW219="Confirmed Violation", AX219="Confirmed Breach"), "Exclusion Risk",
  OR(V219=0, ISBLANK(V219), DN219&lt;20), "Insufficient Evidence",
  AND(DT219&gt;=65, DA219="No", DB219="No"), "Clear",
  OR(DT219&gt;=40, DA219="Yes"), "Watchlist",
  TRUE, "Exclusion Risk"
)</f>
        <v>Insufficient Evidence</v>
      </c>
      <c r="DV219" s="5"/>
      <c r="DW219" s="5" t="str">
        <f t="array" ref="DW219">_xlfn.IFS(
  DU219="Exclusion Risk", "Exclude — Hard Trigger",
  DU219="Insufficient Evidence", "Watchlist — Further Evidence Needed",
  DU219="Watchlist", "Watchlist — Further Evidence Needed",
  AND(DU219="Clear", DT219&gt;=80), "Include — No Conditions",
  DU219="Clear", "Include — Monitor",
  TRUE, "Watchlist — Further Evidence Needed"
)</f>
        <v>Watchlist — Further Evidence Needed</v>
      </c>
      <c r="DX219" s="5"/>
      <c r="DY219" s="5"/>
      <c r="DZ219" s="5"/>
      <c r="EA219" s="5"/>
      <c r="EB219" s="5" t="str">
        <f t="shared" si="112"/>
        <v>MISSING — No sources reviewed</v>
      </c>
      <c r="EC219" s="5" t="str">
        <f t="shared" si="113"/>
        <v/>
      </c>
    </row>
    <row r="220" spans="1:133" ht="18" customHeight="1" x14ac:dyDescent="0.15">
      <c r="A220" s="5" t="s">
        <v>1617</v>
      </c>
      <c r="B220" s="5" t="s">
        <v>1617</v>
      </c>
      <c r="C220" s="5" t="str">
        <f>IF(ISBLANK('Universe Tracker'!D195),"",'Universe Tracker'!D195)</f>
        <v/>
      </c>
      <c r="D220" s="5"/>
      <c r="E220" s="5"/>
      <c r="F220" s="5" t="str">
        <f>IF(ISBLANK('Universe Tracker'!F195),"",'Universe Tracker'!F195)</f>
        <v/>
      </c>
      <c r="G220" s="5" t="str">
        <f>IF(ISBLANK('Universe Tracker'!G195),"",'Universe Tracker'!G195)</f>
        <v/>
      </c>
      <c r="H220" s="5"/>
      <c r="I220" s="5"/>
      <c r="J220" s="5" t="str">
        <f t="shared" si="101"/>
        <v>_</v>
      </c>
      <c r="K220" s="5"/>
      <c r="L220" s="5"/>
      <c r="M220" s="5"/>
      <c r="N220" s="5"/>
      <c r="O220" s="5"/>
      <c r="P220" s="5"/>
      <c r="Q220" s="5"/>
      <c r="R220" s="5"/>
      <c r="S220" s="5"/>
      <c r="T220" s="5"/>
      <c r="U220" s="5"/>
      <c r="V220" s="5"/>
      <c r="W220" s="5"/>
      <c r="X220" s="5"/>
      <c r="Y220" s="5" t="str">
        <f t="shared" si="102"/>
        <v>Insufficient</v>
      </c>
      <c r="Z220" s="5"/>
      <c r="AA220" s="5"/>
      <c r="AB220" s="5"/>
      <c r="AC220" s="5"/>
      <c r="AD220" s="5"/>
      <c r="AE220" s="5"/>
      <c r="AF220" s="5"/>
      <c r="AG220" s="5"/>
      <c r="AH220" s="5"/>
      <c r="AI220" s="5"/>
      <c r="AJ220" s="5"/>
      <c r="AK220" s="5"/>
      <c r="AL220" s="5"/>
      <c r="AM220" s="5"/>
      <c r="AN220" s="5"/>
      <c r="AO220" s="5"/>
      <c r="AP220" s="5"/>
      <c r="AQ220" s="5"/>
      <c r="AR220" s="40">
        <f t="array" ref="AR220">MIN(100, MAX(0,
  IFERROR(_xlfn.XLOOKUP(AJ220,'Lookup Tables'!$A$2:$A$7,'Lookup Tables'!$B$2:$B$7,0),0)
  + IF(Z220="Yes", IF(IFERROR(_xlfn.XLOOKUP(AJ220,'Lookup Tables'!$A$2:$A$7,'Lookup Tables'!$B$2:$B$7,0),0)&lt;20, 5, 0), 0)
  + _xlfn.IFS(AB220="Yes", IF(ISNUMBER(AC220)*AND(AC220&lt;=2030),15,10), AB220="Long-term Only", 5, AB220="No", 0, TRUE, 0)
  + _xlfn.IFS(AF220="Full",10, AF220="Partial",5, AF220="Scope 2 Only",3, TRUE,0)
  + _xlfn.IFS(AG220="Yes", IF(ISNUMBER(AH220)*AND(AH220&gt;=5),10,6), AG220="Partial",4, TRUE,0)
  + _xlfn.IFS(AI220="Yes",5, AI220="Partial (material categories only)",3, TRUE,0)
  + _xlfn.IFS(AL220="Yes — Detailed",10, AL220="Yes — High Level",5, TRUE,0)
  + _xlfn.IFS(AM220="Yes — Quantified",15, AM220="Yes — Directional Only",7, TRUE,0)
  + _xlfn.IFS(AP220="Formal",5, AP220="Referenced",2, TRUE,0)
  + _xlfn.IFS(AQ220="No Issues Found",5, AQ220="Concern Identified",-5, AQ220="Severe Contradiction",-15, TRUE,0)
  + _xlfn.IFS(BC220="Reasonable Assurance",5, BC220="Limited Assurance",3, TRUE,0)
  - IF(AND(Z220="Yes", AI220="No"), 10, 0)
  - IF(AND(Z220="Yes", AM220="No"), 10, 0)
))</f>
        <v>0</v>
      </c>
      <c r="AS220" s="5"/>
      <c r="AT220" s="5"/>
      <c r="AU220" s="5"/>
      <c r="AV220" s="5"/>
      <c r="AW220" s="5"/>
      <c r="AX220" s="5"/>
      <c r="AY220" s="5"/>
      <c r="AZ220" s="5"/>
      <c r="BA220" s="5"/>
      <c r="BB220" s="5"/>
      <c r="BC220" s="5"/>
      <c r="BD220" s="5"/>
      <c r="BE220" s="39">
        <f t="array" ref="BE220">MIN(100, MAX(0,
  IFERROR(_xlfn.XLOOKUP(AT220,'Lookup Tables'!$D$2:$D$6,'Lookup Tables'!$E$2:$E$6,0),0)
  + IFERROR(_xlfn.XLOOKUP(AV220,'Lookup Tables'!$G$2:$G$5,'Lookup Tables'!$H$2:$H$5,0),0)
  + IFERROR(_xlfn.XLOOKUP(AW220,'Lookup Tables'!$J$2:$J$5,'Lookup Tables'!$K$2:$K$5,0),0)
  + _xlfn.IFS(AX220="No Issues",10, AX220="Complaint Filed",3, AX220="Confirmed Breach",-15, TRUE,0)
  + IFERROR(_xlfn.XLOOKUP(AY220,'Lookup Tables'!$M$2:$M$6,'Lookup Tables'!$N$2:$N$6,0),0)
  + IFERROR(_xlfn.XLOOKUP(AZ220,'Lookup Tables'!$P$2:$P$6,'Lookup Tables'!$Q$2:$Q$6,0),0)
  + _xlfn.IFS(BA220="Formal Board Committee",5, BA220="Board Oversight Mentioned",2, TRUE,0)
  + _xlfn.IFS(BB220="Yes — Quantified Targets",5, BB220="Yes — Discretionary Only",2, TRUE,0)
  + _xlfn.IFS(BC220="Reasonable Assurance",5, BC220="Limited Assurance",3, BC220="Management Review Only",1, TRUE,0)
))</f>
        <v>0</v>
      </c>
      <c r="BF220" s="5"/>
      <c r="BG220" s="5"/>
      <c r="BH220" s="5"/>
      <c r="BI220" s="5"/>
      <c r="BJ220" s="5"/>
      <c r="BK220" s="5"/>
      <c r="BL220" s="5"/>
      <c r="BM220" s="5"/>
      <c r="BN220" s="5"/>
      <c r="BO220" s="5"/>
      <c r="BP220" s="5"/>
      <c r="BQ220" s="5"/>
      <c r="BR220" s="5"/>
      <c r="BS220" s="41">
        <f t="array" ref="BS220">MIN(100, MAX(0,
  IFERROR(_xlfn.XLOOKUP(BG220,'Lookup Tables'!$A$11:$A$16,'Lookup Tables'!$B$11:$B$16,0),0)
  + IFERROR(_xlfn.XLOOKUP(BR220,'Lookup Tables'!$M$11:$M$14,'Lookup Tables'!$N$11:$N$14,0),0)
  + IFERROR(_xlfn.XLOOKUP(BQ220,'Lookup Tables'!$J$11:$J$15,'Lookup Tables'!$K$11:$K$15,0),0)
  + IFERROR(_xlfn.XLOOKUP(BH220,'Lookup Tables'!$D$11:$D$15,'Lookup Tables'!$E$11:$E$15,0),0)
  + IFERROR(_xlfn.XLOOKUP(BJ220,'Lookup Tables'!$G$11:$G$16,'Lookup Tables'!$H$11:$H$16,0),0)
  + IFERROR(_xlfn.XLOOKUP(BN220,'Lookup Tables'!$P$11:$P$15,'Lookup Tables'!$Q$11:$Q$15,0),0)
  + _xlfn.IFS(BM220="No Evidence",10, BM220="Unknown",3, BM220="Likely",0, BM220="Confirmed",-10, TRUE,3)
  + IFERROR(_xlfn.XLOOKUP(BP220,'Lookup Tables'!$J$21:$J$24,'Lookup Tables'!$K$21:$K$24,0),0)
))</f>
        <v>3</v>
      </c>
      <c r="BT220" s="5"/>
      <c r="BU220" s="5"/>
      <c r="BV220" s="5"/>
      <c r="BW220" s="5"/>
      <c r="BX220" s="5"/>
      <c r="BY220" s="5"/>
      <c r="BZ220" s="5"/>
      <c r="CA220" s="5"/>
      <c r="CB220" s="5"/>
      <c r="CC220" s="5"/>
      <c r="CD220" s="5"/>
      <c r="CE220" s="43">
        <f t="array" ref="CE220">MIN(100, MAX(0,
  IF(ISNUMBER(BV220)*AND(BV220&gt;0), 10, 0)
  + _xlfn.IFS(BY220="Independently Verified",25, BY220="Yes",15, TRUE,0)
  + IFERROR(_xlfn.XLOOKUP(BZ220,'Lookup Tables'!$A$21:$A$24,'Lookup Tables'!$B$21:$B$24,0),0)
  + IFERROR(_xlfn.XLOOKUP(CA220,'Lookup Tables'!$D$21:$D$24,'Lookup Tables'!$E$21:$E$24,0),0)
  + _xlfn.IFS(ISNUMBER(CB220)*AND(CB220&gt;=11),15, ISNUMBER(CB220)*AND(CB220&gt;=6),10, ISNUMBER(CB220)*AND(CB220&gt;=1),5, TRUE,0)
  + IFERROR(_xlfn.XLOOKUP(CC220,'Lookup Tables'!$G$21:$G$25,'Lookup Tables'!$H$21:$H$25,0),0)
  - IF(ISNUMBER(BW220)*AND(ISNUMBER(BV220))*AND(BW220&gt;BV220), 20, 0)
  - IF(AND(BY220="Yes", ISNUMBER(BW220), BW220&gt;60), 10, 0)
))</f>
        <v>0</v>
      </c>
      <c r="CF220" s="5"/>
      <c r="CG220" s="5"/>
      <c r="CH220" s="5"/>
      <c r="CI220" s="5"/>
      <c r="CJ220" s="5"/>
      <c r="CK220" s="5"/>
      <c r="CL220" s="5"/>
      <c r="CM220" s="5"/>
      <c r="CN220" s="5"/>
      <c r="CO220" s="5"/>
      <c r="CP220" s="5"/>
      <c r="CQ220" s="5"/>
      <c r="CR220" s="5">
        <f t="shared" si="103"/>
        <v>0</v>
      </c>
      <c r="CS220" s="5">
        <f t="shared" si="104"/>
        <v>0</v>
      </c>
      <c r="CT220" s="5">
        <f t="shared" si="105"/>
        <v>0</v>
      </c>
      <c r="CU220" s="5">
        <f>MIN(100,
  CR220*15
  + CS220*6
  + CT220*3
  + IFERROR(_xlfn.XLOOKUP(CW220,'Lookup Tables'!$M$21:$M$25,'Lookup Tables'!$N$21:$N$25,0),0)
)</f>
        <v>0</v>
      </c>
      <c r="CV220" s="5" t="str">
        <f t="shared" si="106"/>
        <v>No failures</v>
      </c>
      <c r="CW220" s="5"/>
      <c r="CX220" s="5"/>
      <c r="CY220" s="5"/>
      <c r="CZ220" s="5"/>
      <c r="DA220" s="5" t="str">
        <f t="shared" si="107"/>
        <v>Yes</v>
      </c>
      <c r="DB220" s="5" t="str">
        <f t="shared" si="108"/>
        <v>No</v>
      </c>
      <c r="DC220" s="5"/>
      <c r="DD220" s="5"/>
      <c r="DE220" s="5"/>
      <c r="DF220" s="5"/>
      <c r="DG220" s="5"/>
      <c r="DH220" s="5"/>
      <c r="DI220" s="5"/>
      <c r="DJ220" s="5"/>
      <c r="DK220" s="5"/>
      <c r="DL220" s="5" t="str">
        <f t="shared" si="109"/>
        <v>Clear</v>
      </c>
      <c r="DM220" s="5" t="str">
        <f t="shared" si="110"/>
        <v>Yes</v>
      </c>
      <c r="DN220" s="5">
        <f t="array" ref="DN220">MIN(100,
  IF(ISNUMBER(V220), _xlfn.IFS(V220&gt;=3,25, V220=2,15, V220=1,5, TRUE,0), 0)
  + IFERROR(_xlfn.IFS(VALUE(LEFT(DF220,1))=5,25, VALUE(LEFT(DF220,1))=4,20, VALUE(LEFT(DF220,1))=3,15, VALUE(LEFT(DF220,1))=2,8, TRUE,0), 15)
  + IFERROR(_xlfn.IFS(VALUE(LEFT(DG220,1))=5,25, VALUE(LEFT(DG220,1))=4,20, VALUE(LEFT(DG220,1))=3,15, VALUE(LEFT(DG220,1))=2,8, TRUE,0), 15)
  + _xlfn.IFS(DH220="Fully Verified",25, DH220="Partially Verified",12, TRUE,0)
)</f>
        <v>30</v>
      </c>
      <c r="DO220" s="5" t="str">
        <f t="array" ref="DO220">_xlfn.IFS(
  ISBLANK(AR220), "Insufficient Evidence",
  AND(AR220&gt;=65, AJ220="Approved"), "Strong",
  AR220&gt;=65, "Adequate",
  AR220&gt;=40, "Adequate",
  AR220&gt;=20, "Weak",
  TRUE, "Insufficient Evidence"
)</f>
        <v>Insufficient Evidence</v>
      </c>
      <c r="DP220" s="5" t="str">
        <f t="array" ref="DP220">_xlfn.IFS(
  ISBLANK(BS220), "Insufficient Evidence",
  BS220&gt;=65, "Strong",
  BS220&gt;=40, "Adequate",
  BS220&gt;=20, "Weak",
  TRUE, "Insufficient Evidence"
)</f>
        <v>Insufficient Evidence</v>
      </c>
      <c r="DQ220" s="5" t="str">
        <f t="array" ref="DQ220">_xlfn.IFS(
  ISBLANK(BE220), "Insufficient Evidence",
  OR(AW220="Confirmed Violation", AX220="Confirmed Breach"), "Severe — Hard Trigger",
  BE220&gt;=65, "Strong",
  BE220&gt;=40, "Adequate",
  BE220&gt;=20, "Weak",
  TRUE, "Insufficient Evidence"
)</f>
        <v>Insufficient Evidence</v>
      </c>
      <c r="DR220" s="5" t="str">
        <f t="array" ref="DR220">_xlfn.IFS(
  ISBLANK(CU220), "Insufficient Evidence",
  CU220&lt;=20, "Low Risk",
  CU220&lt;=50, "Moderate Risk",
  CU220&lt;=75, "High Risk",
  TRUE, "Very High Risk"
)</f>
        <v>Low Risk</v>
      </c>
      <c r="DS220" s="5" t="str">
        <f t="array" ref="DS220">_xlfn.IFS(
  ISBLANK(CE220), "Insufficient Evidence",
  AND(ISNUMBER(BW220),ISNUMBER(BV220),BW220&gt;BV220), "Overclaiming Risk",
  CE220&gt;=65, "Strong",
  CE220&gt;=40, "Adequate",
  TRUE, "Weak"
)</f>
        <v>Weak</v>
      </c>
      <c r="DT220" s="5">
        <f t="shared" si="111"/>
        <v>11.7</v>
      </c>
      <c r="DU220" s="5" t="str">
        <f t="array" ref="DU220">_xlfn.IFS(
  DV220="Upgraded to Clear", "Clear",
  DV220="Downgraded to Watchlist", "Watchlist",
  DV220="Downgraded to Exclusion", "Exclusion Risk",
  DB220="Yes — Automatic", "Exclusion Risk",
  OR(AW220="Confirmed Violation", AX220="Confirmed Breach"), "Exclusion Risk",
  OR(V220=0, ISBLANK(V220), DN220&lt;20), "Insufficient Evidence",
  AND(DT220&gt;=65, DA220="No", DB220="No"), "Clear",
  OR(DT220&gt;=40, DA220="Yes"), "Watchlist",
  TRUE, "Exclusion Risk"
)</f>
        <v>Insufficient Evidence</v>
      </c>
      <c r="DV220" s="5"/>
      <c r="DW220" s="5" t="str">
        <f t="array" ref="DW220">_xlfn.IFS(
  DU220="Exclusion Risk", "Exclude — Hard Trigger",
  DU220="Insufficient Evidence", "Watchlist — Further Evidence Needed",
  DU220="Watchlist", "Watchlist — Further Evidence Needed",
  AND(DU220="Clear", DT220&gt;=80), "Include — No Conditions",
  DU220="Clear", "Include — Monitor",
  TRUE, "Watchlist — Further Evidence Needed"
)</f>
        <v>Watchlist — Further Evidence Needed</v>
      </c>
      <c r="DX220" s="5"/>
      <c r="DY220" s="5"/>
      <c r="DZ220" s="5"/>
      <c r="EA220" s="5"/>
      <c r="EB220" s="5" t="str">
        <f t="shared" si="112"/>
        <v>MISSING — No sources reviewed</v>
      </c>
      <c r="EC220" s="5" t="str">
        <f t="shared" si="113"/>
        <v/>
      </c>
    </row>
  </sheetData>
  <mergeCells count="11">
    <mergeCell ref="A2:J2"/>
    <mergeCell ref="DC2:DN2"/>
    <mergeCell ref="BG2:BT2"/>
    <mergeCell ref="A1:EF1"/>
    <mergeCell ref="AT2:BF2"/>
    <mergeCell ref="EB2:EF2"/>
    <mergeCell ref="K2:Y2"/>
    <mergeCell ref="CG2:DB2"/>
    <mergeCell ref="DO2:EA2"/>
    <mergeCell ref="Z2:AS2"/>
    <mergeCell ref="BU2:CF2"/>
  </mergeCells>
  <conditionalFormatting sqref="A7:EC77">
    <cfRule type="expression" dxfId="329" priority="131" stopIfTrue="1">
      <formula>$DU7="Insufficient Evidence"</formula>
    </cfRule>
    <cfRule type="expression" dxfId="328" priority="132">
      <formula>$DU7="Clear"</formula>
    </cfRule>
    <cfRule type="expression" dxfId="327" priority="133" stopIfTrue="1">
      <formula>$DU7="Watchlist"</formula>
    </cfRule>
    <cfRule type="expression" dxfId="326" priority="134" stopIfTrue="1">
      <formula>$DU17="Exclusion Risk"</formula>
    </cfRule>
  </conditionalFormatting>
  <conditionalFormatting sqref="AR7:AR220">
    <cfRule type="expression" dxfId="325" priority="124" stopIfTrue="1">
      <formula>AND(ISNUMBER(AR7), AR7&lt;40)</formula>
    </cfRule>
  </conditionalFormatting>
  <conditionalFormatting sqref="AW7:AX220">
    <cfRule type="expression" dxfId="324" priority="126" stopIfTrue="1">
      <formula>OR(AW7="Confirmed Violation", AX7="Confirmed Breach")</formula>
    </cfRule>
  </conditionalFormatting>
  <conditionalFormatting sqref="BP7:BP220">
    <cfRule type="expression" dxfId="323" priority="125" stopIfTrue="1">
      <formula>BP7="Critical"</formula>
    </cfRule>
  </conditionalFormatting>
  <conditionalFormatting sqref="CE7:CE220">
    <cfRule type="expression" dxfId="322" priority="121">
      <formula>AND(ISNUMBER(BW7), ISNUMBER(BV7), BW7&gt;BV7)</formula>
    </cfRule>
  </conditionalFormatting>
  <conditionalFormatting sqref="CJ7:CQ220">
    <cfRule type="expression" dxfId="321" priority="129" stopIfTrue="1">
      <formula>CJ7="PARTIAL"</formula>
    </cfRule>
    <cfRule type="expression" dxfId="320" priority="130" stopIfTrue="1">
      <formula>CJ7="FAIL"</formula>
    </cfRule>
  </conditionalFormatting>
  <conditionalFormatting sqref="CW7:CW220">
    <cfRule type="expression" dxfId="319" priority="128" stopIfTrue="1">
      <formula>CW7="Severe"</formula>
    </cfRule>
  </conditionalFormatting>
  <conditionalFormatting sqref="DB7:DB220">
    <cfRule type="expression" dxfId="318" priority="127" stopIfTrue="1">
      <formula>OR(DB7="Yes — Automatic", DB7="Yes — Requires Captain Confirmation")</formula>
    </cfRule>
  </conditionalFormatting>
  <conditionalFormatting sqref="DH7:DH220">
    <cfRule type="expression" dxfId="317" priority="122" stopIfTrue="1">
      <formula>DH7="Unverified"</formula>
    </cfRule>
  </conditionalFormatting>
  <conditionalFormatting sqref="DN7:DN220">
    <cfRule type="expression" dxfId="316" priority="123" stopIfTrue="1">
      <formula>AND(ISNUMBER(DN7), DN7&lt;25)</formula>
    </cfRule>
  </conditionalFormatting>
  <conditionalFormatting sqref="A88:EC96">
    <cfRule type="expression" dxfId="307" priority="109" stopIfTrue="1">
      <formula>$DU88="Insufficient Evidence"</formula>
    </cfRule>
    <cfRule type="expression" dxfId="306" priority="110">
      <formula>$DU88="Clear"</formula>
    </cfRule>
    <cfRule type="expression" dxfId="305" priority="111" stopIfTrue="1">
      <formula>$DU88="Watchlist"</formula>
    </cfRule>
    <cfRule type="expression" dxfId="304" priority="112" stopIfTrue="1">
      <formula>$DU98="Exclusion Risk"</formula>
    </cfRule>
  </conditionalFormatting>
  <conditionalFormatting sqref="A98:EC98">
    <cfRule type="expression" dxfId="303" priority="113" stopIfTrue="1">
      <formula>$DU98="Insufficient Evidence"</formula>
    </cfRule>
    <cfRule type="expression" dxfId="302" priority="114">
      <formula>$DU98="Clear"</formula>
    </cfRule>
    <cfRule type="expression" dxfId="301" priority="115" stopIfTrue="1">
      <formula>$DU98="Watchlist"</formula>
    </cfRule>
    <cfRule type="expression" dxfId="300" priority="116" stopIfTrue="1">
      <formula>$DU107="Exclusion Risk"</formula>
    </cfRule>
  </conditionalFormatting>
  <conditionalFormatting sqref="A97:EC97">
    <cfRule type="expression" dxfId="299" priority="117" stopIfTrue="1">
      <formula>$DU97="Insufficient Evidence"</formula>
    </cfRule>
    <cfRule type="expression" dxfId="298" priority="118">
      <formula>$DU97="Clear"</formula>
    </cfRule>
    <cfRule type="expression" dxfId="297" priority="119" stopIfTrue="1">
      <formula>$DU97="Watchlist"</formula>
    </cfRule>
    <cfRule type="expression" dxfId="296" priority="120" stopIfTrue="1">
      <formula>#REF!="Exclusion Risk"</formula>
    </cfRule>
  </conditionalFormatting>
  <conditionalFormatting sqref="A78:EC85">
    <cfRule type="expression" dxfId="207" priority="603" stopIfTrue="1">
      <formula>$DU78="Insufficient Evidence"</formula>
    </cfRule>
    <cfRule type="expression" dxfId="206" priority="604">
      <formula>$DU78="Clear"</formula>
    </cfRule>
    <cfRule type="expression" dxfId="205" priority="605" stopIfTrue="1">
      <formula>$DU78="Watchlist"</formula>
    </cfRule>
    <cfRule type="expression" dxfId="204" priority="606" stopIfTrue="1">
      <formula>$DU173="Exclusion Risk"</formula>
    </cfRule>
  </conditionalFormatting>
  <conditionalFormatting sqref="A99:EC106">
    <cfRule type="expression" dxfId="127" priority="955" stopIfTrue="1">
      <formula>$DU99="Insufficient Evidence"</formula>
    </cfRule>
    <cfRule type="expression" dxfId="126" priority="956">
      <formula>$DU99="Clear"</formula>
    </cfRule>
    <cfRule type="expression" dxfId="125" priority="957" stopIfTrue="1">
      <formula>$DU99="Watchlist"</formula>
    </cfRule>
    <cfRule type="expression" dxfId="124" priority="958" stopIfTrue="1">
      <formula>$DU172="Exclusion Risk"</formula>
    </cfRule>
  </conditionalFormatting>
  <conditionalFormatting sqref="A86:EC87">
    <cfRule type="expression" dxfId="123" priority="967" stopIfTrue="1">
      <formula>$DU86="Insufficient Evidence"</formula>
    </cfRule>
    <cfRule type="expression" dxfId="122" priority="968">
      <formula>$DU86="Clear"</formula>
    </cfRule>
    <cfRule type="expression" dxfId="121" priority="969" stopIfTrue="1">
      <formula>$DU86="Watchlist"</formula>
    </cfRule>
    <cfRule type="expression" dxfId="120" priority="970" stopIfTrue="1">
      <formula>$DU203="Exclusion Risk"</formula>
    </cfRule>
  </conditionalFormatting>
  <conditionalFormatting sqref="D107:EC220">
    <cfRule type="expression" dxfId="7" priority="5" stopIfTrue="1">
      <formula>$DU107="Insufficient Evidence"</formula>
    </cfRule>
    <cfRule type="expression" dxfId="6" priority="6">
      <formula>$DU107="Clear"</formula>
    </cfRule>
    <cfRule type="expression" dxfId="5" priority="7" stopIfTrue="1">
      <formula>$DU107="Watchlist"</formula>
    </cfRule>
    <cfRule type="expression" dxfId="4" priority="8" stopIfTrue="1">
      <formula>$DU180="Exclusion Risk"</formula>
    </cfRule>
  </conditionalFormatting>
  <conditionalFormatting sqref="A107:C220">
    <cfRule type="expression" dxfId="3" priority="1" stopIfTrue="1">
      <formula>$DU107="Insufficient Evidence"</formula>
    </cfRule>
    <cfRule type="expression" dxfId="2" priority="2">
      <formula>$DU107="Clear"</formula>
    </cfRule>
    <cfRule type="expression" dxfId="1" priority="3" stopIfTrue="1">
      <formula>$DU107="Watchlist"</formula>
    </cfRule>
    <cfRule type="expression" dxfId="0" priority="4" stopIfTrue="1">
      <formula>$DU180="Exclusion Risk"</formula>
    </cfRule>
  </conditionalFormatting>
  <dataValidations disablePrompts="1" count="59">
    <dataValidation type="list" allowBlank="1" sqref="H6:H220" xr:uid="{00000000-0002-0000-0100-000000000000}">
      <formula1>"In Universe,Pending,Removed"</formula1>
      <formula2>0</formula2>
    </dataValidation>
    <dataValidation type="list" allowBlank="1" sqref="I6:I220" xr:uid="{00000000-0002-0000-0100-000001000000}">
      <formula1>"Deep Review,Light Screen,Pending"</formula1>
      <formula2>0</formula2>
    </dataValidation>
    <dataValidation type="list" allowBlank="1" sqref="K6:K220" xr:uid="{00000000-0002-0000-0100-000002000000}">
      <formula1>"Yes,No,Partial (ESG section only)"</formula1>
      <formula2>0</formula2>
    </dataValidation>
    <dataValidation type="list" allowBlank="1" sqref="L6:L220 O6:O220 R6:U220 DA6:DA220 DM6:DM220" xr:uid="{00000000-0002-0000-0100-000003000000}">
      <formula1>"Yes,No"</formula1>
      <formula2>0</formula2>
    </dataValidation>
    <dataValidation type="list" allowBlank="1" sqref="M6:M220" xr:uid="{00000000-0002-0000-0100-000004000000}">
      <formula1>"Yes,Embedded in AR,No"</formula1>
      <formula2>0</formula2>
    </dataValidation>
    <dataValidation type="list" allowBlank="1" sqref="N6:N220" xr:uid="{00000000-0002-0000-0100-000005000000}">
      <formula1>"Yes,Partial,No,Not Yet Required"</formula1>
      <formula2>0</formula2>
    </dataValidation>
    <dataValidation type="list" allowBlank="1" sqref="P6:P220" xr:uid="{00000000-0002-0000-0100-000006000000}">
      <formula1>"Yes,No,Company Not Rated"</formula1>
      <formula2>0</formula2>
    </dataValidation>
    <dataValidation type="list" allowBlank="1" sqref="Q6:Q220" xr:uid="{00000000-0002-0000-0100-000007000000}">
      <formula1>"Yes,No,Company Not In Scope"</formula1>
      <formula2>0</formula2>
    </dataValidation>
    <dataValidation type="list" allowBlank="1" sqref="Y6:Y220" xr:uid="{00000000-0002-0000-0100-000008000000}">
      <formula1>"Sufficient,Thin,Insufficient"</formula1>
      <formula2>0</formula2>
    </dataValidation>
    <dataValidation type="list" allowBlank="1" sqref="Z6:Z220" xr:uid="{00000000-0002-0000-0100-000009000000}">
      <formula1>"Yes,No,Carbon Neutral Only (not net-zero)"</formula1>
      <formula2>0</formula2>
    </dataValidation>
    <dataValidation type="list" allowBlank="1" sqref="AB6:AB220" xr:uid="{00000000-0002-0000-0100-00000A000000}">
      <formula1>"Yes,No,Long-term Only"</formula1>
      <formula2>0</formula2>
    </dataValidation>
    <dataValidation type="list" allowBlank="1" sqref="AF6:AF220" xr:uid="{00000000-0002-0000-0100-00000B000000}">
      <formula1>"Full,Partial,Scope 2 Only,No"</formula1>
      <formula2>0</formula2>
    </dataValidation>
    <dataValidation type="list" allowBlank="1" sqref="AG6:AG220" xr:uid="{00000000-0002-0000-0100-00000C000000}">
      <formula1>"Yes,Partial,No"</formula1>
      <formula2>0</formula2>
    </dataValidation>
    <dataValidation type="list" allowBlank="1" sqref="AI6:AI220" xr:uid="{00000000-0002-0000-0100-00000D000000}">
      <formula1>"Yes,Partial (material categories only),No"</formula1>
      <formula2>0</formula2>
    </dataValidation>
    <dataValidation type="list" allowBlank="1" sqref="AJ6:AJ220" xr:uid="{00000000-0002-0000-0100-00000E000000}">
      <formula1>"Committed,Targets Submitted,Approved,Achieved,No Commitment,Commitment Lapsed"</formula1>
      <formula2>0</formula2>
    </dataValidation>
    <dataValidation type="list" allowBlank="1" sqref="AL6:AL220" xr:uid="{00000000-0002-0000-0100-00000F000000}">
      <formula1>"Yes — Detailed,Yes — High Level,No"</formula1>
      <formula2>0</formula2>
    </dataValidation>
    <dataValidation type="list" allowBlank="1" sqref="AM6:AM220" xr:uid="{00000000-0002-0000-0100-000010000000}">
      <formula1>"Yes — Quantified,Yes — Directional Only,No"</formula1>
      <formula2>0</formula2>
    </dataValidation>
    <dataValidation type="list" allowBlank="1" sqref="AP6:AP220" xr:uid="{00000000-0002-0000-0100-000011000000}">
      <formula1>"Formal,Referenced,Absent"</formula1>
      <formula2>0</formula2>
    </dataValidation>
    <dataValidation type="list" allowBlank="1" sqref="AQ6:AQ220" xr:uid="{00000000-0002-0000-0100-000012000000}">
      <formula1>"No Issues Found,Concern Identified,Severe Contradiction"</formula1>
      <formula2>0</formula2>
    </dataValidation>
    <dataValidation type="list" allowBlank="1" sqref="AS6:AS220 AZ6:AZ220" xr:uid="{00000000-0002-0000-0100-000013000000}">
      <formula1>"None,Minor,Material,Severe"</formula1>
      <formula2>0</formula2>
    </dataValidation>
    <dataValidation type="list" allowBlank="1" sqref="AT6:AT220" xr:uid="{00000000-0002-0000-0100-000014000000}">
      <formula1>"Formal Policy with Grievance Mechanism,Policy Exists — Limited Scope,Mention Only,Absent"</formula1>
      <formula2>0</formula2>
    </dataValidation>
    <dataValidation type="list" allowBlank="1" sqref="AV6:AV220" xr:uid="{00000000-0002-0000-0100-000015000000}">
      <formula1>"Signatory — Active,Signatory — COP Overdue,Non-Signatory"</formula1>
      <formula2>0</formula2>
    </dataValidation>
    <dataValidation type="list" allowBlank="1" sqref="AW6:AW220" xr:uid="{00000000-0002-0000-0100-000016000000}">
      <formula1>"No Issues,Concern Flagged,Confirmed Violation"</formula1>
      <formula2>0</formula2>
    </dataValidation>
    <dataValidation type="list" allowBlank="1" sqref="AX6:AX220" xr:uid="{00000000-0002-0000-0100-000017000000}">
      <formula1>"No Issues,Complaint Filed,Confirmed Breach"</formula1>
      <formula2>0</formula2>
    </dataValidation>
    <dataValidation type="list" allowBlank="1" sqref="AY6:AY220" xr:uid="{00000000-0002-0000-0100-000018000000}">
      <formula1>"Full HRDD Process,Audit Programme Only,Policy Without Process,Absent"</formula1>
      <formula2>0</formula2>
    </dataValidation>
    <dataValidation type="list" allowBlank="1" sqref="BA6:BA220" xr:uid="{00000000-0002-0000-0100-000019000000}">
      <formula1>"Formal Board Committee,Board Oversight Mentioned,No Evidence"</formula1>
      <formula2>0</formula2>
    </dataValidation>
    <dataValidation type="list" allowBlank="1" sqref="BB6:BB220" xr:uid="{00000000-0002-0000-0100-00001A000000}">
      <formula1>"Yes — Quantified Targets,Yes — Discretionary Only,No"</formula1>
      <formula2>0</formula2>
    </dataValidation>
    <dataValidation type="list" allowBlank="1" sqref="BC6:BC220" xr:uid="{00000000-0002-0000-0100-00001B000000}">
      <formula1>"Reasonable Assurance,Limited Assurance,Management Review Only,None"</formula1>
      <formula2>0</formula2>
    </dataValidation>
    <dataValidation type="list" allowBlank="1" sqref="BF6:BF220" xr:uid="{00000000-0002-0000-0100-00001C000000}">
      <formula1>"None,Minor,Material,Severe — Exclusion Trigger"</formula1>
      <formula2>0</formula2>
    </dataValidation>
    <dataValidation type="list" allowBlank="1" sqref="BG6:BG220" xr:uid="{00000000-0002-0000-0100-00001D000000}">
      <formula1>"Formal Policy,Referenced in ESG Report,TNFD Aligned,Mention Only,Absent"</formula1>
      <formula2>0</formula2>
    </dataValidation>
    <dataValidation type="list" allowBlank="1" sqref="BH6:BI220" xr:uid="{00000000-0002-0000-0100-00001E000000}">
      <formula1>"Very High,High,Medium,Low,Not Assessed"</formula1>
      <formula2>0</formula2>
    </dataValidation>
    <dataValidation type="list" allowBlank="1" sqref="BJ6:BJ220" xr:uid="{00000000-0002-0000-0100-00001F000000}">
      <formula1>"Extremely High,High,Medium-High,Low-Medium,Low,Not Assessed"</formula1>
      <formula2>0</formula2>
    </dataValidation>
    <dataValidation type="list" allowBlank="1" sqref="BK6:BL220" xr:uid="{00000000-0002-0000-0100-000020000000}">
      <formula1>"High,Medium,Low,Not Applicable"</formula1>
      <formula2>0</formula2>
    </dataValidation>
    <dataValidation type="list" allowBlank="1" sqref="BM6:BM220" xr:uid="{00000000-0002-0000-0100-000021000000}">
      <formula1>"Confirmed,Likely,No Evidence,Unknown"</formula1>
      <formula2>0</formula2>
    </dataValidation>
    <dataValidation type="list" allowBlank="1" sqref="BN6:BN220" xr:uid="{00000000-0002-0000-0100-000022000000}">
      <formula1>"Disclosed and Quantified,Referenced but Not Quantified,Not Disclosed,Not Applicable"</formula1>
      <formula2>0</formula2>
    </dataValidation>
    <dataValidation type="list" allowBlank="1" sqref="BP6:BP220" xr:uid="{00000000-0002-0000-0100-000023000000}">
      <formula1>"Critical,High,Moderate,Low"</formula1>
      <formula2>0</formula2>
    </dataValidation>
    <dataValidation type="list" allowBlank="1" sqref="BQ6:BQ220" xr:uid="{00000000-0002-0000-0100-000024000000}">
      <formula1>"Full Hierarchy Applied,Partial,Offset Only,No Evidence"</formula1>
      <formula2>0</formula2>
    </dataValidation>
    <dataValidation type="list" allowBlank="1" sqref="BR6:BR220" xr:uid="{00000000-0002-0000-0100-000025000000}">
      <formula1>"Aligned,Partial,None"</formula1>
      <formula2>0</formula2>
    </dataValidation>
    <dataValidation type="list" allowBlank="1" sqref="BT6:BT220" xr:uid="{00000000-0002-0000-0100-000026000000}">
      <formula1>"None,Minor,Material,High — Monitoring Required"</formula1>
      <formula2>0</formula2>
    </dataValidation>
    <dataValidation type="list" allowBlank="1" sqref="BU6:BU220" xr:uid="{00000000-0002-0000-0100-000027000000}">
      <formula1>"Company Disclosure,Bloomberg CSV,Estimated,Not Available"</formula1>
      <formula2>0</formula2>
    </dataValidation>
    <dataValidation type="list" allowBlank="1" sqref="BY6:BY220" xr:uid="{00000000-0002-0000-0100-000028000000}">
      <formula1>"Yes,Independently Verified,Not Available"</formula1>
      <formula2>0</formula2>
    </dataValidation>
    <dataValidation type="list" allowBlank="1" sqref="BZ6:BZ220" xr:uid="{00000000-0002-0000-0100-000029000000}">
      <formula1>"Explicit DNSH Assessment,Referenced,Not Disclosed"</formula1>
      <formula2>0</formula2>
    </dataValidation>
    <dataValidation type="list" allowBlank="1" sqref="CA6:CA220" xr:uid="{00000000-0002-0000-0100-00002A000000}">
      <formula1>"Explicit,Referenced,Absent"</formula1>
      <formula2>0</formula2>
    </dataValidation>
    <dataValidation type="list" allowBlank="1" sqref="CC6:CC220" xr:uid="{00000000-0002-0000-0100-00002B000000}">
      <formula1>"Full,Substantial,Basic,None"</formula1>
      <formula2>0</formula2>
    </dataValidation>
    <dataValidation type="list" allowBlank="1" sqref="CD6:CD220" xr:uid="{00000000-0002-0000-0100-00002C000000}">
      <formula1>"Article 9,Article 8,Article 6,Not Applicable"</formula1>
      <formula2>0</formula2>
    </dataValidation>
    <dataValidation type="list" allowBlank="1" sqref="CF6:CF220" xr:uid="{00000000-0002-0000-0100-00002D000000}">
      <formula1>"None,Minor,Material — Overclaiming Risk"</formula1>
      <formula2>0</formula2>
    </dataValidation>
    <dataValidation type="list" allowBlank="1" sqref="CJ6:CQ220" xr:uid="{00000000-0002-0000-0100-00002E000000}">
      <formula1>"PASS,PARTIAL,FAIL,MISSING"</formula1>
      <formula2>0</formula2>
    </dataValidation>
    <dataValidation type="list" allowBlank="1" sqref="CW6:CW220" xr:uid="{00000000-0002-0000-0100-00002F000000}">
      <formula1>"None,Minor,Moderate,Material,Severe"</formula1>
      <formula2>0</formula2>
    </dataValidation>
    <dataValidation type="list" allowBlank="1" sqref="DB6:DB220" xr:uid="{00000000-0002-0000-0100-000030000000}">
      <formula1>"Yes — Automatic,Yes — Requires Captain Confirmation,No"</formula1>
      <formula2>0</formula2>
    </dataValidation>
    <dataValidation type="list" allowBlank="1" sqref="DF6:DG220" xr:uid="{00000000-0002-0000-0100-000031000000}">
      <formula1>"1 — Very Low,2 — Low,3 — Medium,4 — High,5 — Very High"</formula1>
      <formula2>0</formula2>
    </dataValidation>
    <dataValidation type="list" allowBlank="1" sqref="DH6:DH220" xr:uid="{00000000-0002-0000-0100-000032000000}">
      <formula1>"Fully Verified,Partially Verified,Unverified"</formula1>
      <formula2>0</formula2>
    </dataValidation>
    <dataValidation type="list" allowBlank="1" sqref="DL6:DL220" xr:uid="{00000000-0002-0000-0100-000033000000}">
      <formula1>"Flagged,Clear"</formula1>
      <formula2>0</formula2>
    </dataValidation>
    <dataValidation type="list" allowBlank="1" sqref="DS6:DS220 DO6:DQ220" xr:uid="{00000000-0002-0000-0100-000034000000}">
      <formula1>"Strong,Adequate,Weak,Insufficient Evidence"</formula1>
      <formula2>0</formula2>
    </dataValidation>
    <dataValidation type="list" allowBlank="1" sqref="DR6:DR220" xr:uid="{00000000-0002-0000-0100-000035000000}">
      <formula1>"Low Risk,Moderate Risk,High Risk,Insufficient Evidence"</formula1>
      <formula2>0</formula2>
    </dataValidation>
    <dataValidation type="list" allowBlank="1" sqref="DU6:DU220" xr:uid="{00000000-0002-0000-0100-000036000000}">
      <formula1>"Clear,Watchlist,Exclusion Risk,Insufficient Evidence"</formula1>
      <formula2>0</formula2>
    </dataValidation>
    <dataValidation type="list" allowBlank="1" sqref="DV6:DV220" xr:uid="{00000000-0002-0000-0100-000037000000}">
      <formula1>"No Override,Upgraded to Clear,Downgraded to Watchlist,Downgraded to Exclusion"</formula1>
      <formula2>0</formula2>
    </dataValidation>
    <dataValidation type="list" allowBlank="1" sqref="DW6:DW220" xr:uid="{00000000-0002-0000-0100-000038000000}">
      <formula1>"Include — No Conditions,Include — Monitor,Watchlist — Further Evidence Needed,Exclude — Hard Trigger,Exclude — Judgement"</formula1>
      <formula2>0</formula2>
    </dataValidation>
    <dataValidation type="list" allowBlank="1" sqref="DZ6:DZ220" xr:uid="{00000000-0002-0000-0100-000039000000}">
      <formula1>"ESG Specialist,Captain,Pipeline Operator,All"</formula1>
      <formula2>0</formula2>
    </dataValidation>
    <dataValidation type="list" allowBlank="1" sqref="EA6:EA220" xr:uid="{00000000-0002-0000-0100-00003A000000}">
      <formula1>"Pending,Sent,Acknowledged"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9"/>
  <sheetViews>
    <sheetView showGridLines="0" zoomScaleNormal="100" workbookViewId="0">
      <pane xSplit="2" ySplit="2" topLeftCell="C3" activePane="bottomRight" state="frozen"/>
      <selection pane="topRight" activeCell="C1" sqref="C1"/>
      <selection pane="bottomLeft" activeCell="A3" sqref="A3"/>
      <selection pane="bottomRight" activeCell="A169" sqref="A3:A169"/>
    </sheetView>
  </sheetViews>
  <sheetFormatPr baseColWidth="10" defaultColWidth="8.6640625" defaultRowHeight="14" x14ac:dyDescent="0.15"/>
  <cols>
    <col min="1" max="1" width="20" style="1" customWidth="1"/>
    <col min="2" max="2" width="28" style="1" customWidth="1"/>
    <col min="3" max="3" width="12" style="1" customWidth="1"/>
    <col min="4" max="4" width="16" style="1" customWidth="1"/>
    <col min="5" max="7" width="22" style="1" customWidth="1"/>
    <col min="8" max="8" width="18" style="1" customWidth="1"/>
    <col min="9" max="9" width="20" style="1" customWidth="1"/>
    <col min="10" max="10" width="18" style="1" customWidth="1"/>
    <col min="11" max="11" width="16" style="1" customWidth="1"/>
    <col min="12" max="12" width="22" style="1" customWidth="1"/>
    <col min="13" max="13" width="28" style="1" customWidth="1"/>
    <col min="14" max="14" width="24" style="1" customWidth="1"/>
    <col min="15" max="15" width="32" style="1" customWidth="1"/>
    <col min="16" max="16" width="8.6640625" style="1" customWidth="1"/>
    <col min="17" max="16384" width="8.6640625" style="1"/>
  </cols>
  <sheetData>
    <row r="1" spans="1:15" ht="27.75" customHeight="1" x14ac:dyDescent="0.15">
      <c r="A1" s="56" t="s">
        <v>272</v>
      </c>
      <c r="B1" s="57"/>
      <c r="C1" s="57"/>
      <c r="D1" s="57"/>
      <c r="E1" s="57"/>
      <c r="F1" s="57"/>
      <c r="G1" s="57"/>
      <c r="H1" s="57"/>
      <c r="I1" s="57"/>
      <c r="J1" s="57"/>
      <c r="K1" s="57"/>
      <c r="L1" s="57"/>
      <c r="M1" s="57"/>
      <c r="N1" s="57"/>
      <c r="O1" s="57"/>
    </row>
    <row r="2" spans="1:15" ht="36" customHeight="1" x14ac:dyDescent="0.15">
      <c r="A2" s="16" t="s">
        <v>122</v>
      </c>
      <c r="B2" s="16" t="s">
        <v>113</v>
      </c>
      <c r="C2" s="16" t="s">
        <v>114</v>
      </c>
      <c r="D2" s="16" t="s">
        <v>115</v>
      </c>
      <c r="E2" s="16" t="s">
        <v>116</v>
      </c>
      <c r="F2" s="16" t="s">
        <v>118</v>
      </c>
      <c r="G2" s="16" t="s">
        <v>119</v>
      </c>
      <c r="H2" s="16" t="s">
        <v>273</v>
      </c>
      <c r="I2" s="16" t="s">
        <v>274</v>
      </c>
      <c r="J2" s="16" t="s">
        <v>121</v>
      </c>
      <c r="K2" s="16" t="s">
        <v>275</v>
      </c>
      <c r="L2" s="16" t="s">
        <v>276</v>
      </c>
      <c r="M2" s="16" t="s">
        <v>277</v>
      </c>
      <c r="N2" s="16" t="s">
        <v>278</v>
      </c>
      <c r="O2" s="16" t="s">
        <v>279</v>
      </c>
    </row>
    <row r="3" spans="1:15" ht="15.75" customHeight="1" x14ac:dyDescent="0.15">
      <c r="A3" s="18" t="s">
        <v>280</v>
      </c>
      <c r="B3" s="18" t="s">
        <v>281</v>
      </c>
      <c r="C3" s="18" t="s">
        <v>282</v>
      </c>
      <c r="D3" s="18" t="s">
        <v>283</v>
      </c>
      <c r="E3" s="18" t="s">
        <v>284</v>
      </c>
      <c r="F3" s="18" t="s">
        <v>285</v>
      </c>
      <c r="G3" s="18" t="s">
        <v>286</v>
      </c>
      <c r="H3" s="18"/>
      <c r="I3" s="18"/>
      <c r="J3" s="18" t="s">
        <v>249</v>
      </c>
      <c r="K3" s="18"/>
      <c r="L3" s="18"/>
      <c r="M3" s="18" t="s">
        <v>287</v>
      </c>
      <c r="N3" s="18"/>
      <c r="O3" s="18"/>
    </row>
    <row r="4" spans="1:15" ht="15.75" customHeight="1" x14ac:dyDescent="0.15">
      <c r="A4" s="19" t="s">
        <v>288</v>
      </c>
      <c r="B4" s="19" t="s">
        <v>289</v>
      </c>
      <c r="C4" s="19" t="s">
        <v>290</v>
      </c>
      <c r="D4" s="19" t="s">
        <v>291</v>
      </c>
      <c r="E4" s="19" t="s">
        <v>284</v>
      </c>
      <c r="F4" s="19" t="s">
        <v>292</v>
      </c>
      <c r="G4" s="19" t="s">
        <v>293</v>
      </c>
      <c r="H4" s="19"/>
      <c r="I4" s="19"/>
      <c r="J4" s="19" t="s">
        <v>249</v>
      </c>
      <c r="K4" s="19"/>
      <c r="L4" s="19"/>
      <c r="M4" s="19" t="s">
        <v>287</v>
      </c>
      <c r="N4" s="19"/>
      <c r="O4" s="19"/>
    </row>
    <row r="5" spans="1:15" ht="15.75" customHeight="1" x14ac:dyDescent="0.15">
      <c r="A5" s="18" t="s">
        <v>294</v>
      </c>
      <c r="B5" s="18" t="s">
        <v>295</v>
      </c>
      <c r="C5" s="18" t="s">
        <v>296</v>
      </c>
      <c r="D5" s="18" t="s">
        <v>297</v>
      </c>
      <c r="E5" s="18" t="s">
        <v>284</v>
      </c>
      <c r="F5" s="18" t="s">
        <v>298</v>
      </c>
      <c r="G5" s="18" t="s">
        <v>298</v>
      </c>
      <c r="H5" s="18"/>
      <c r="I5" s="18"/>
      <c r="J5" s="18" t="s">
        <v>249</v>
      </c>
      <c r="K5" s="18"/>
      <c r="L5" s="18"/>
      <c r="M5" s="18" t="s">
        <v>287</v>
      </c>
      <c r="N5" s="18"/>
      <c r="O5" s="18"/>
    </row>
    <row r="6" spans="1:15" ht="15.75" customHeight="1" x14ac:dyDescent="0.15">
      <c r="A6" s="19" t="s">
        <v>299</v>
      </c>
      <c r="B6" s="19" t="s">
        <v>300</v>
      </c>
      <c r="C6" s="19" t="s">
        <v>301</v>
      </c>
      <c r="D6" s="19" t="s">
        <v>302</v>
      </c>
      <c r="E6" s="19" t="s">
        <v>284</v>
      </c>
      <c r="F6" s="19" t="s">
        <v>303</v>
      </c>
      <c r="G6" s="19" t="s">
        <v>303</v>
      </c>
      <c r="H6" s="19"/>
      <c r="I6" s="19"/>
      <c r="J6" s="19" t="s">
        <v>249</v>
      </c>
      <c r="K6" s="19"/>
      <c r="L6" s="19"/>
      <c r="M6" s="19" t="s">
        <v>287</v>
      </c>
      <c r="N6" s="19"/>
      <c r="O6" s="19"/>
    </row>
    <row r="7" spans="1:15" ht="15.75" customHeight="1" x14ac:dyDescent="0.15">
      <c r="A7" s="18" t="s">
        <v>304</v>
      </c>
      <c r="B7" s="18" t="s">
        <v>305</v>
      </c>
      <c r="C7" s="18" t="s">
        <v>306</v>
      </c>
      <c r="D7" s="18" t="s">
        <v>307</v>
      </c>
      <c r="E7" s="18" t="s">
        <v>284</v>
      </c>
      <c r="F7" s="18" t="s">
        <v>303</v>
      </c>
      <c r="G7" s="18" t="s">
        <v>303</v>
      </c>
      <c r="H7" s="18"/>
      <c r="I7" s="18"/>
      <c r="J7" s="18" t="s">
        <v>249</v>
      </c>
      <c r="K7" s="18"/>
      <c r="L7" s="18"/>
      <c r="M7" s="18" t="s">
        <v>287</v>
      </c>
      <c r="N7" s="18"/>
      <c r="O7" s="18"/>
    </row>
    <row r="8" spans="1:15" ht="15.75" customHeight="1" x14ac:dyDescent="0.15">
      <c r="A8" s="19" t="s">
        <v>308</v>
      </c>
      <c r="B8" s="19" t="s">
        <v>309</v>
      </c>
      <c r="C8" s="19" t="s">
        <v>310</v>
      </c>
      <c r="D8" s="19" t="s">
        <v>311</v>
      </c>
      <c r="E8" s="19" t="s">
        <v>284</v>
      </c>
      <c r="F8" s="19" t="s">
        <v>312</v>
      </c>
      <c r="G8" s="19" t="s">
        <v>313</v>
      </c>
      <c r="H8" s="19"/>
      <c r="I8" s="19"/>
      <c r="J8" s="19" t="s">
        <v>249</v>
      </c>
      <c r="K8" s="19"/>
      <c r="L8" s="19"/>
      <c r="M8" s="19" t="s">
        <v>287</v>
      </c>
      <c r="N8" s="19"/>
      <c r="O8" s="19"/>
    </row>
    <row r="9" spans="1:15" ht="15.75" customHeight="1" x14ac:dyDescent="0.15">
      <c r="A9" s="18" t="s">
        <v>314</v>
      </c>
      <c r="B9" s="18" t="s">
        <v>315</v>
      </c>
      <c r="C9" s="18" t="s">
        <v>316</v>
      </c>
      <c r="D9" s="18" t="s">
        <v>317</v>
      </c>
      <c r="E9" s="18" t="s">
        <v>284</v>
      </c>
      <c r="F9" s="18" t="s">
        <v>318</v>
      </c>
      <c r="G9" s="18" t="s">
        <v>318</v>
      </c>
      <c r="H9" s="18"/>
      <c r="I9" s="18"/>
      <c r="J9" s="18" t="s">
        <v>249</v>
      </c>
      <c r="K9" s="18"/>
      <c r="L9" s="18"/>
      <c r="M9" s="18" t="s">
        <v>287</v>
      </c>
      <c r="N9" s="18"/>
      <c r="O9" s="18"/>
    </row>
    <row r="10" spans="1:15" ht="15.75" customHeight="1" x14ac:dyDescent="0.15">
      <c r="A10" s="19" t="s">
        <v>319</v>
      </c>
      <c r="B10" s="19" t="s">
        <v>320</v>
      </c>
      <c r="C10" s="19" t="s">
        <v>321</v>
      </c>
      <c r="D10" s="19" t="s">
        <v>322</v>
      </c>
      <c r="E10" s="19" t="s">
        <v>284</v>
      </c>
      <c r="F10" s="19" t="s">
        <v>298</v>
      </c>
      <c r="G10" s="19" t="s">
        <v>298</v>
      </c>
      <c r="H10" s="19"/>
      <c r="I10" s="19"/>
      <c r="J10" s="19" t="s">
        <v>249</v>
      </c>
      <c r="K10" s="19"/>
      <c r="L10" s="19"/>
      <c r="M10" s="19" t="s">
        <v>287</v>
      </c>
      <c r="N10" s="19"/>
      <c r="O10" s="19"/>
    </row>
    <row r="11" spans="1:15" ht="15.75" customHeight="1" x14ac:dyDescent="0.15">
      <c r="A11" s="18" t="s">
        <v>323</v>
      </c>
      <c r="B11" s="18" t="s">
        <v>324</v>
      </c>
      <c r="C11" s="18" t="s">
        <v>325</v>
      </c>
      <c r="D11" s="18" t="s">
        <v>326</v>
      </c>
      <c r="E11" s="18" t="s">
        <v>284</v>
      </c>
      <c r="F11" s="18" t="s">
        <v>327</v>
      </c>
      <c r="G11" s="18" t="s">
        <v>328</v>
      </c>
      <c r="H11" s="18"/>
      <c r="I11" s="18"/>
      <c r="J11" s="18" t="s">
        <v>249</v>
      </c>
      <c r="K11" s="18"/>
      <c r="L11" s="18"/>
      <c r="M11" s="18" t="s">
        <v>287</v>
      </c>
      <c r="N11" s="18"/>
      <c r="O11" s="18"/>
    </row>
    <row r="12" spans="1:15" ht="15.75" customHeight="1" x14ac:dyDescent="0.15">
      <c r="A12" s="19" t="s">
        <v>329</v>
      </c>
      <c r="B12" s="19" t="s">
        <v>330</v>
      </c>
      <c r="C12" s="19" t="s">
        <v>331</v>
      </c>
      <c r="D12" s="19" t="s">
        <v>332</v>
      </c>
      <c r="E12" s="19" t="s">
        <v>284</v>
      </c>
      <c r="F12" s="19" t="s">
        <v>312</v>
      </c>
      <c r="G12" s="19" t="s">
        <v>333</v>
      </c>
      <c r="H12" s="19"/>
      <c r="I12" s="19"/>
      <c r="J12" s="19" t="s">
        <v>249</v>
      </c>
      <c r="K12" s="19"/>
      <c r="L12" s="19"/>
      <c r="M12" s="19" t="s">
        <v>287</v>
      </c>
      <c r="N12" s="19"/>
      <c r="O12" s="19"/>
    </row>
    <row r="13" spans="1:15" ht="15.75" customHeight="1" x14ac:dyDescent="0.15">
      <c r="A13" s="18" t="s">
        <v>334</v>
      </c>
      <c r="B13" s="18" t="s">
        <v>335</v>
      </c>
      <c r="C13" s="18" t="s">
        <v>336</v>
      </c>
      <c r="D13" s="18" t="s">
        <v>337</v>
      </c>
      <c r="E13" s="18" t="s">
        <v>284</v>
      </c>
      <c r="F13" s="18" t="s">
        <v>327</v>
      </c>
      <c r="G13" s="18" t="s">
        <v>328</v>
      </c>
      <c r="H13" s="18"/>
      <c r="I13" s="18"/>
      <c r="J13" s="18" t="s">
        <v>249</v>
      </c>
      <c r="K13" s="18"/>
      <c r="L13" s="18"/>
      <c r="M13" s="18" t="s">
        <v>287</v>
      </c>
      <c r="N13" s="18"/>
      <c r="O13" s="18"/>
    </row>
    <row r="14" spans="1:15" ht="15.75" customHeight="1" x14ac:dyDescent="0.15">
      <c r="A14" s="19" t="s">
        <v>338</v>
      </c>
      <c r="B14" s="19" t="s">
        <v>339</v>
      </c>
      <c r="C14" s="19" t="s">
        <v>340</v>
      </c>
      <c r="D14" s="19" t="s">
        <v>341</v>
      </c>
      <c r="E14" s="19" t="s">
        <v>284</v>
      </c>
      <c r="F14" s="19" t="s">
        <v>285</v>
      </c>
      <c r="G14" s="19" t="s">
        <v>342</v>
      </c>
      <c r="H14" s="19"/>
      <c r="I14" s="19"/>
      <c r="J14" s="19" t="s">
        <v>249</v>
      </c>
      <c r="K14" s="19"/>
      <c r="L14" s="19"/>
      <c r="M14" s="19" t="s">
        <v>287</v>
      </c>
      <c r="N14" s="19"/>
      <c r="O14" s="19"/>
    </row>
    <row r="15" spans="1:15" ht="15.75" customHeight="1" x14ac:dyDescent="0.15">
      <c r="A15" s="18" t="s">
        <v>343</v>
      </c>
      <c r="B15" s="18" t="s">
        <v>344</v>
      </c>
      <c r="C15" s="18" t="s">
        <v>345</v>
      </c>
      <c r="D15" s="18" t="s">
        <v>346</v>
      </c>
      <c r="E15" s="18" t="s">
        <v>284</v>
      </c>
      <c r="F15" s="18" t="s">
        <v>327</v>
      </c>
      <c r="G15" s="18" t="s">
        <v>347</v>
      </c>
      <c r="H15" s="18"/>
      <c r="I15" s="18"/>
      <c r="J15" s="18" t="s">
        <v>249</v>
      </c>
      <c r="K15" s="18"/>
      <c r="L15" s="18"/>
      <c r="M15" s="18" t="s">
        <v>287</v>
      </c>
      <c r="N15" s="18"/>
      <c r="O15" s="18"/>
    </row>
    <row r="16" spans="1:15" ht="15.75" customHeight="1" x14ac:dyDescent="0.15">
      <c r="A16" s="19" t="s">
        <v>348</v>
      </c>
      <c r="B16" s="19" t="s">
        <v>349</v>
      </c>
      <c r="C16" s="19" t="s">
        <v>350</v>
      </c>
      <c r="D16" s="19" t="s">
        <v>351</v>
      </c>
      <c r="E16" s="19" t="s">
        <v>284</v>
      </c>
      <c r="F16" s="19" t="s">
        <v>327</v>
      </c>
      <c r="G16" s="19" t="s">
        <v>328</v>
      </c>
      <c r="H16" s="19"/>
      <c r="I16" s="19"/>
      <c r="J16" s="19" t="s">
        <v>249</v>
      </c>
      <c r="K16" s="19"/>
      <c r="L16" s="19"/>
      <c r="M16" s="19" t="s">
        <v>287</v>
      </c>
      <c r="N16" s="19"/>
      <c r="O16" s="19"/>
    </row>
    <row r="17" spans="1:15" ht="15.75" customHeight="1" x14ac:dyDescent="0.15">
      <c r="A17" s="18" t="s">
        <v>352</v>
      </c>
      <c r="B17" s="18" t="s">
        <v>353</v>
      </c>
      <c r="C17" s="18" t="s">
        <v>354</v>
      </c>
      <c r="D17" s="18" t="s">
        <v>355</v>
      </c>
      <c r="E17" s="18" t="s">
        <v>284</v>
      </c>
      <c r="F17" s="18" t="s">
        <v>312</v>
      </c>
      <c r="G17" s="18" t="s">
        <v>333</v>
      </c>
      <c r="H17" s="18"/>
      <c r="I17" s="18"/>
      <c r="J17" s="18" t="s">
        <v>249</v>
      </c>
      <c r="K17" s="18"/>
      <c r="L17" s="18"/>
      <c r="M17" s="18" t="s">
        <v>287</v>
      </c>
      <c r="N17" s="18"/>
      <c r="O17" s="18"/>
    </row>
    <row r="18" spans="1:15" ht="15.75" customHeight="1" x14ac:dyDescent="0.15">
      <c r="A18" s="19" t="s">
        <v>356</v>
      </c>
      <c r="B18" s="19" t="s">
        <v>357</v>
      </c>
      <c r="C18" s="19" t="s">
        <v>358</v>
      </c>
      <c r="D18" s="19" t="s">
        <v>359</v>
      </c>
      <c r="E18" s="19" t="s">
        <v>284</v>
      </c>
      <c r="F18" s="19" t="s">
        <v>327</v>
      </c>
      <c r="G18" s="19" t="s">
        <v>347</v>
      </c>
      <c r="H18" s="19"/>
      <c r="I18" s="19"/>
      <c r="J18" s="19" t="s">
        <v>360</v>
      </c>
      <c r="K18" s="19"/>
      <c r="L18" s="19"/>
      <c r="M18" s="19" t="s">
        <v>287</v>
      </c>
      <c r="N18" s="19"/>
      <c r="O18" s="19"/>
    </row>
    <row r="19" spans="1:15" ht="15.75" customHeight="1" x14ac:dyDescent="0.15">
      <c r="A19" s="18" t="s">
        <v>361</v>
      </c>
      <c r="B19" s="18" t="s">
        <v>362</v>
      </c>
      <c r="C19" s="18" t="s">
        <v>363</v>
      </c>
      <c r="D19" s="18" t="s">
        <v>364</v>
      </c>
      <c r="E19" s="18" t="s">
        <v>284</v>
      </c>
      <c r="F19" s="18" t="s">
        <v>327</v>
      </c>
      <c r="G19" s="18" t="s">
        <v>365</v>
      </c>
      <c r="H19" s="18"/>
      <c r="I19" s="18"/>
      <c r="J19" s="18" t="s">
        <v>360</v>
      </c>
      <c r="K19" s="18"/>
      <c r="L19" s="18"/>
      <c r="M19" s="18" t="s">
        <v>287</v>
      </c>
      <c r="N19" s="18"/>
      <c r="O19" s="18"/>
    </row>
    <row r="20" spans="1:15" ht="15.75" customHeight="1" x14ac:dyDescent="0.15">
      <c r="A20" s="19" t="s">
        <v>366</v>
      </c>
      <c r="B20" s="19" t="s">
        <v>367</v>
      </c>
      <c r="C20" s="19" t="s">
        <v>368</v>
      </c>
      <c r="D20" s="19" t="s">
        <v>369</v>
      </c>
      <c r="E20" s="19" t="s">
        <v>284</v>
      </c>
      <c r="F20" s="19" t="s">
        <v>298</v>
      </c>
      <c r="G20" s="19" t="s">
        <v>298</v>
      </c>
      <c r="H20" s="19"/>
      <c r="I20" s="19"/>
      <c r="J20" s="19" t="s">
        <v>360</v>
      </c>
      <c r="K20" s="19"/>
      <c r="L20" s="19"/>
      <c r="M20" s="19" t="s">
        <v>287</v>
      </c>
      <c r="N20" s="19"/>
      <c r="O20" s="19"/>
    </row>
    <row r="21" spans="1:15" ht="15.75" customHeight="1" x14ac:dyDescent="0.15">
      <c r="A21" s="18" t="s">
        <v>370</v>
      </c>
      <c r="B21" s="18" t="s">
        <v>371</v>
      </c>
      <c r="C21" s="18" t="s">
        <v>372</v>
      </c>
      <c r="D21" s="18" t="s">
        <v>373</v>
      </c>
      <c r="E21" s="18" t="s">
        <v>284</v>
      </c>
      <c r="F21" s="18" t="s">
        <v>327</v>
      </c>
      <c r="G21" s="18" t="s">
        <v>365</v>
      </c>
      <c r="H21" s="18"/>
      <c r="I21" s="18"/>
      <c r="J21" s="18" t="s">
        <v>360</v>
      </c>
      <c r="K21" s="18"/>
      <c r="L21" s="18"/>
      <c r="M21" s="18" t="s">
        <v>287</v>
      </c>
      <c r="N21" s="18"/>
      <c r="O21" s="18"/>
    </row>
    <row r="22" spans="1:15" ht="15.75" customHeight="1" x14ac:dyDescent="0.15">
      <c r="A22" s="19" t="s">
        <v>374</v>
      </c>
      <c r="B22" s="19" t="s">
        <v>375</v>
      </c>
      <c r="C22" s="19" t="s">
        <v>376</v>
      </c>
      <c r="D22" s="19" t="s">
        <v>377</v>
      </c>
      <c r="E22" s="19" t="s">
        <v>284</v>
      </c>
      <c r="F22" s="19" t="s">
        <v>318</v>
      </c>
      <c r="G22" s="19" t="s">
        <v>318</v>
      </c>
      <c r="H22" s="19"/>
      <c r="I22" s="19"/>
      <c r="J22" s="19" t="s">
        <v>360</v>
      </c>
      <c r="K22" s="19"/>
      <c r="L22" s="19"/>
      <c r="M22" s="19" t="s">
        <v>287</v>
      </c>
      <c r="N22" s="19"/>
      <c r="O22" s="19"/>
    </row>
    <row r="23" spans="1:15" ht="15.75" customHeight="1" x14ac:dyDescent="0.15">
      <c r="A23" s="18" t="s">
        <v>378</v>
      </c>
      <c r="B23" s="18" t="s">
        <v>379</v>
      </c>
      <c r="C23" s="18" t="s">
        <v>380</v>
      </c>
      <c r="D23" s="18" t="s">
        <v>381</v>
      </c>
      <c r="E23" s="18" t="s">
        <v>284</v>
      </c>
      <c r="F23" s="18" t="s">
        <v>312</v>
      </c>
      <c r="G23" s="18" t="s">
        <v>313</v>
      </c>
      <c r="H23" s="18"/>
      <c r="I23" s="18"/>
      <c r="J23" s="18" t="s">
        <v>360</v>
      </c>
      <c r="K23" s="18"/>
      <c r="L23" s="18"/>
      <c r="M23" s="18" t="s">
        <v>287</v>
      </c>
      <c r="N23" s="18"/>
      <c r="O23" s="18"/>
    </row>
    <row r="24" spans="1:15" ht="15.75" customHeight="1" x14ac:dyDescent="0.15">
      <c r="A24" s="19" t="s">
        <v>382</v>
      </c>
      <c r="B24" s="19" t="s">
        <v>383</v>
      </c>
      <c r="C24" s="19" t="s">
        <v>384</v>
      </c>
      <c r="D24" s="19" t="s">
        <v>385</v>
      </c>
      <c r="E24" s="19" t="s">
        <v>284</v>
      </c>
      <c r="F24" s="19" t="s">
        <v>318</v>
      </c>
      <c r="G24" s="19" t="s">
        <v>318</v>
      </c>
      <c r="H24" s="19"/>
      <c r="I24" s="19"/>
      <c r="J24" s="19" t="s">
        <v>360</v>
      </c>
      <c r="K24" s="19"/>
      <c r="L24" s="19"/>
      <c r="M24" s="19" t="s">
        <v>287</v>
      </c>
      <c r="N24" s="19"/>
      <c r="O24" s="19"/>
    </row>
    <row r="25" spans="1:15" ht="15.75" customHeight="1" x14ac:dyDescent="0.15">
      <c r="A25" s="18" t="s">
        <v>386</v>
      </c>
      <c r="B25" s="18" t="s">
        <v>387</v>
      </c>
      <c r="C25" s="18" t="s">
        <v>388</v>
      </c>
      <c r="D25" s="18" t="s">
        <v>389</v>
      </c>
      <c r="E25" s="18" t="s">
        <v>284</v>
      </c>
      <c r="F25" s="18" t="s">
        <v>318</v>
      </c>
      <c r="G25" s="18" t="s">
        <v>318</v>
      </c>
      <c r="H25" s="18"/>
      <c r="I25" s="18"/>
      <c r="J25" s="18" t="s">
        <v>360</v>
      </c>
      <c r="K25" s="18"/>
      <c r="L25" s="18"/>
      <c r="M25" s="18" t="s">
        <v>287</v>
      </c>
      <c r="N25" s="18"/>
      <c r="O25" s="18"/>
    </row>
    <row r="26" spans="1:15" ht="15.75" customHeight="1" x14ac:dyDescent="0.15">
      <c r="A26" s="19" t="s">
        <v>390</v>
      </c>
      <c r="B26" s="19" t="s">
        <v>391</v>
      </c>
      <c r="C26" s="19" t="s">
        <v>392</v>
      </c>
      <c r="D26" s="19" t="s">
        <v>393</v>
      </c>
      <c r="E26" s="19" t="s">
        <v>284</v>
      </c>
      <c r="F26" s="19" t="s">
        <v>292</v>
      </c>
      <c r="G26" s="19" t="s">
        <v>293</v>
      </c>
      <c r="H26" s="19"/>
      <c r="I26" s="19"/>
      <c r="J26" s="19" t="s">
        <v>360</v>
      </c>
      <c r="K26" s="19"/>
      <c r="L26" s="19"/>
      <c r="M26" s="19" t="s">
        <v>287</v>
      </c>
      <c r="N26" s="19"/>
      <c r="O26" s="19"/>
    </row>
    <row r="27" spans="1:15" ht="15.75" customHeight="1" x14ac:dyDescent="0.15">
      <c r="A27" s="18" t="s">
        <v>394</v>
      </c>
      <c r="B27" s="18" t="s">
        <v>395</v>
      </c>
      <c r="C27" s="18" t="s">
        <v>396</v>
      </c>
      <c r="D27" s="18" t="s">
        <v>397</v>
      </c>
      <c r="E27" s="18" t="s">
        <v>284</v>
      </c>
      <c r="F27" s="18" t="s">
        <v>303</v>
      </c>
      <c r="G27" s="18" t="s">
        <v>303</v>
      </c>
      <c r="H27" s="18"/>
      <c r="I27" s="18"/>
      <c r="J27" s="18" t="s">
        <v>360</v>
      </c>
      <c r="K27" s="18"/>
      <c r="L27" s="18"/>
      <c r="M27" s="18" t="s">
        <v>287</v>
      </c>
      <c r="N27" s="18"/>
      <c r="O27" s="18"/>
    </row>
    <row r="28" spans="1:15" ht="15.75" customHeight="1" x14ac:dyDescent="0.15">
      <c r="A28" s="19" t="s">
        <v>398</v>
      </c>
      <c r="B28" s="19" t="s">
        <v>399</v>
      </c>
      <c r="C28" s="19" t="s">
        <v>400</v>
      </c>
      <c r="D28" s="19" t="s">
        <v>401</v>
      </c>
      <c r="E28" s="19" t="s">
        <v>284</v>
      </c>
      <c r="F28" s="19" t="s">
        <v>292</v>
      </c>
      <c r="G28" s="19" t="s">
        <v>293</v>
      </c>
      <c r="H28" s="19"/>
      <c r="I28" s="19"/>
      <c r="J28" s="19" t="s">
        <v>360</v>
      </c>
      <c r="K28" s="19"/>
      <c r="L28" s="19"/>
      <c r="M28" s="19" t="s">
        <v>287</v>
      </c>
      <c r="N28" s="19"/>
      <c r="O28" s="19"/>
    </row>
    <row r="29" spans="1:15" ht="15.75" customHeight="1" x14ac:dyDescent="0.15">
      <c r="A29" s="18" t="s">
        <v>402</v>
      </c>
      <c r="B29" s="18" t="s">
        <v>403</v>
      </c>
      <c r="C29" s="18" t="s">
        <v>404</v>
      </c>
      <c r="D29" s="18" t="s">
        <v>405</v>
      </c>
      <c r="E29" s="18" t="s">
        <v>284</v>
      </c>
      <c r="F29" s="18" t="s">
        <v>285</v>
      </c>
      <c r="G29" s="18" t="s">
        <v>406</v>
      </c>
      <c r="H29" s="18"/>
      <c r="I29" s="18"/>
      <c r="J29" s="18" t="s">
        <v>360</v>
      </c>
      <c r="K29" s="18"/>
      <c r="L29" s="18"/>
      <c r="M29" s="18" t="s">
        <v>287</v>
      </c>
      <c r="N29" s="18"/>
      <c r="O29" s="18"/>
    </row>
    <row r="30" spans="1:15" ht="15.75" customHeight="1" x14ac:dyDescent="0.15">
      <c r="A30" s="19" t="s">
        <v>407</v>
      </c>
      <c r="B30" s="19" t="s">
        <v>408</v>
      </c>
      <c r="C30" s="19" t="s">
        <v>409</v>
      </c>
      <c r="D30" s="19" t="s">
        <v>410</v>
      </c>
      <c r="E30" s="19" t="s">
        <v>284</v>
      </c>
      <c r="F30" s="19" t="s">
        <v>327</v>
      </c>
      <c r="G30" s="19" t="s">
        <v>328</v>
      </c>
      <c r="H30" s="19"/>
      <c r="I30" s="19"/>
      <c r="J30" s="19" t="s">
        <v>360</v>
      </c>
      <c r="K30" s="19"/>
      <c r="L30" s="19"/>
      <c r="M30" s="19" t="s">
        <v>287</v>
      </c>
      <c r="N30" s="19"/>
      <c r="O30" s="19"/>
    </row>
    <row r="31" spans="1:15" ht="15.75" customHeight="1" x14ac:dyDescent="0.15">
      <c r="A31" s="18" t="s">
        <v>411</v>
      </c>
      <c r="B31" s="18" t="s">
        <v>412</v>
      </c>
      <c r="C31" s="18" t="s">
        <v>413</v>
      </c>
      <c r="D31" s="18" t="s">
        <v>414</v>
      </c>
      <c r="E31" s="18" t="s">
        <v>284</v>
      </c>
      <c r="F31" s="18" t="s">
        <v>327</v>
      </c>
      <c r="G31" s="18" t="s">
        <v>347</v>
      </c>
      <c r="H31" s="18"/>
      <c r="I31" s="18"/>
      <c r="J31" s="18" t="s">
        <v>360</v>
      </c>
      <c r="K31" s="18"/>
      <c r="L31" s="18"/>
      <c r="M31" s="18" t="s">
        <v>287</v>
      </c>
      <c r="N31" s="18"/>
      <c r="O31" s="18"/>
    </row>
    <row r="32" spans="1:15" ht="15.75" customHeight="1" x14ac:dyDescent="0.15">
      <c r="A32" s="19" t="s">
        <v>415</v>
      </c>
      <c r="B32" s="19" t="s">
        <v>416</v>
      </c>
      <c r="C32" s="19" t="s">
        <v>417</v>
      </c>
      <c r="D32" s="19" t="s">
        <v>418</v>
      </c>
      <c r="E32" s="19" t="s">
        <v>284</v>
      </c>
      <c r="F32" s="19" t="s">
        <v>327</v>
      </c>
      <c r="G32" s="19" t="s">
        <v>365</v>
      </c>
      <c r="H32" s="19"/>
      <c r="I32" s="19"/>
      <c r="J32" s="19" t="s">
        <v>360</v>
      </c>
      <c r="K32" s="19"/>
      <c r="L32" s="19"/>
      <c r="M32" s="19" t="s">
        <v>287</v>
      </c>
      <c r="N32" s="19"/>
      <c r="O32" s="19"/>
    </row>
    <row r="33" spans="1:15" ht="15.75" customHeight="1" x14ac:dyDescent="0.15">
      <c r="A33" s="18" t="s">
        <v>419</v>
      </c>
      <c r="B33" s="18" t="s">
        <v>420</v>
      </c>
      <c r="C33" s="18" t="s">
        <v>421</v>
      </c>
      <c r="D33" s="18" t="s">
        <v>422</v>
      </c>
      <c r="E33" s="18" t="s">
        <v>284</v>
      </c>
      <c r="F33" s="18" t="s">
        <v>292</v>
      </c>
      <c r="G33" s="18" t="s">
        <v>293</v>
      </c>
      <c r="H33" s="18"/>
      <c r="I33" s="18"/>
      <c r="J33" s="18" t="s">
        <v>360</v>
      </c>
      <c r="K33" s="18"/>
      <c r="L33" s="18"/>
      <c r="M33" s="18" t="s">
        <v>287</v>
      </c>
      <c r="N33" s="18"/>
      <c r="O33" s="18"/>
    </row>
    <row r="34" spans="1:15" ht="15.75" customHeight="1" x14ac:dyDescent="0.15">
      <c r="A34" s="19" t="s">
        <v>423</v>
      </c>
      <c r="B34" s="19" t="s">
        <v>424</v>
      </c>
      <c r="C34" s="19" t="s">
        <v>425</v>
      </c>
      <c r="D34" s="19" t="s">
        <v>426</v>
      </c>
      <c r="E34" s="19" t="s">
        <v>284</v>
      </c>
      <c r="F34" s="19" t="s">
        <v>327</v>
      </c>
      <c r="G34" s="19" t="s">
        <v>328</v>
      </c>
      <c r="H34" s="19"/>
      <c r="I34" s="19"/>
      <c r="J34" s="19" t="s">
        <v>360</v>
      </c>
      <c r="K34" s="19"/>
      <c r="L34" s="19"/>
      <c r="M34" s="19" t="s">
        <v>287</v>
      </c>
      <c r="N34" s="19"/>
      <c r="O34" s="19"/>
    </row>
    <row r="35" spans="1:15" ht="15.75" customHeight="1" x14ac:dyDescent="0.15">
      <c r="A35" s="18" t="s">
        <v>427</v>
      </c>
      <c r="B35" s="18" t="s">
        <v>428</v>
      </c>
      <c r="C35" s="18" t="s">
        <v>429</v>
      </c>
      <c r="D35" s="18" t="s">
        <v>430</v>
      </c>
      <c r="E35" s="18" t="s">
        <v>284</v>
      </c>
      <c r="F35" s="18" t="s">
        <v>312</v>
      </c>
      <c r="G35" s="18" t="s">
        <v>333</v>
      </c>
      <c r="H35" s="18"/>
      <c r="I35" s="18"/>
      <c r="J35" s="18" t="s">
        <v>360</v>
      </c>
      <c r="K35" s="18"/>
      <c r="L35" s="18"/>
      <c r="M35" s="18" t="s">
        <v>287</v>
      </c>
      <c r="N35" s="18"/>
      <c r="O35" s="18"/>
    </row>
    <row r="36" spans="1:15" ht="15.75" customHeight="1" x14ac:dyDescent="0.15">
      <c r="A36" s="19" t="s">
        <v>431</v>
      </c>
      <c r="B36" s="19" t="s">
        <v>432</v>
      </c>
      <c r="C36" s="19" t="s">
        <v>433</v>
      </c>
      <c r="D36" s="19" t="s">
        <v>434</v>
      </c>
      <c r="E36" s="19" t="s">
        <v>284</v>
      </c>
      <c r="F36" s="19" t="s">
        <v>327</v>
      </c>
      <c r="G36" s="19" t="s">
        <v>328</v>
      </c>
      <c r="H36" s="19"/>
      <c r="I36" s="19"/>
      <c r="J36" s="19" t="s">
        <v>360</v>
      </c>
      <c r="K36" s="19"/>
      <c r="L36" s="19"/>
      <c r="M36" s="19" t="s">
        <v>287</v>
      </c>
      <c r="N36" s="19"/>
      <c r="O36" s="19"/>
    </row>
    <row r="37" spans="1:15" ht="15.75" customHeight="1" x14ac:dyDescent="0.15">
      <c r="A37" s="18" t="s">
        <v>435</v>
      </c>
      <c r="B37" s="18" t="s">
        <v>436</v>
      </c>
      <c r="C37" s="18" t="s">
        <v>437</v>
      </c>
      <c r="D37" s="18" t="s">
        <v>438</v>
      </c>
      <c r="E37" s="18" t="s">
        <v>284</v>
      </c>
      <c r="F37" s="18" t="s">
        <v>327</v>
      </c>
      <c r="G37" s="18" t="s">
        <v>328</v>
      </c>
      <c r="H37" s="18"/>
      <c r="I37" s="18"/>
      <c r="J37" s="18" t="s">
        <v>360</v>
      </c>
      <c r="K37" s="18"/>
      <c r="L37" s="18"/>
      <c r="M37" s="18" t="s">
        <v>287</v>
      </c>
      <c r="N37" s="18"/>
      <c r="O37" s="18"/>
    </row>
    <row r="38" spans="1:15" ht="15.75" customHeight="1" x14ac:dyDescent="0.15">
      <c r="A38" s="19" t="s">
        <v>439</v>
      </c>
      <c r="B38" s="19" t="s">
        <v>440</v>
      </c>
      <c r="C38" s="19" t="s">
        <v>441</v>
      </c>
      <c r="D38" s="19" t="s">
        <v>442</v>
      </c>
      <c r="E38" s="19" t="s">
        <v>284</v>
      </c>
      <c r="F38" s="19" t="s">
        <v>327</v>
      </c>
      <c r="G38" s="19" t="s">
        <v>347</v>
      </c>
      <c r="H38" s="19"/>
      <c r="I38" s="19"/>
      <c r="J38" s="19" t="s">
        <v>360</v>
      </c>
      <c r="K38" s="19"/>
      <c r="L38" s="19"/>
      <c r="M38" s="19" t="s">
        <v>287</v>
      </c>
      <c r="N38" s="19"/>
      <c r="O38" s="19"/>
    </row>
    <row r="39" spans="1:15" ht="15.75" customHeight="1" x14ac:dyDescent="0.15">
      <c r="A39" s="18" t="s">
        <v>443</v>
      </c>
      <c r="B39" s="18" t="s">
        <v>444</v>
      </c>
      <c r="C39" s="18" t="s">
        <v>445</v>
      </c>
      <c r="D39" s="18" t="s">
        <v>446</v>
      </c>
      <c r="E39" s="18" t="s">
        <v>284</v>
      </c>
      <c r="F39" s="18" t="s">
        <v>327</v>
      </c>
      <c r="G39" s="18" t="s">
        <v>328</v>
      </c>
      <c r="H39" s="18"/>
      <c r="I39" s="18"/>
      <c r="J39" s="18" t="s">
        <v>360</v>
      </c>
      <c r="K39" s="18"/>
      <c r="L39" s="18"/>
      <c r="M39" s="18" t="s">
        <v>287</v>
      </c>
      <c r="N39" s="18"/>
      <c r="O39" s="18"/>
    </row>
    <row r="40" spans="1:15" ht="15.75" customHeight="1" x14ac:dyDescent="0.15">
      <c r="A40" s="19" t="s">
        <v>447</v>
      </c>
      <c r="B40" s="19" t="s">
        <v>448</v>
      </c>
      <c r="C40" s="19" t="s">
        <v>449</v>
      </c>
      <c r="D40" s="19" t="s">
        <v>450</v>
      </c>
      <c r="E40" s="19" t="s">
        <v>284</v>
      </c>
      <c r="F40" s="19" t="s">
        <v>327</v>
      </c>
      <c r="G40" s="19" t="s">
        <v>328</v>
      </c>
      <c r="H40" s="19"/>
      <c r="I40" s="19"/>
      <c r="J40" s="19" t="s">
        <v>360</v>
      </c>
      <c r="K40" s="19"/>
      <c r="L40" s="19"/>
      <c r="M40" s="19" t="s">
        <v>287</v>
      </c>
      <c r="N40" s="19"/>
      <c r="O40" s="19"/>
    </row>
    <row r="41" spans="1:15" ht="15.75" customHeight="1" x14ac:dyDescent="0.15">
      <c r="A41" s="18" t="s">
        <v>451</v>
      </c>
      <c r="B41" s="18" t="s">
        <v>452</v>
      </c>
      <c r="C41" s="18" t="s">
        <v>453</v>
      </c>
      <c r="D41" s="18" t="s">
        <v>454</v>
      </c>
      <c r="E41" s="18" t="s">
        <v>284</v>
      </c>
      <c r="F41" s="18" t="s">
        <v>312</v>
      </c>
      <c r="G41" s="18" t="s">
        <v>333</v>
      </c>
      <c r="H41" s="18"/>
      <c r="I41" s="18"/>
      <c r="J41" s="18" t="s">
        <v>360</v>
      </c>
      <c r="K41" s="18"/>
      <c r="L41" s="18"/>
      <c r="M41" s="18" t="s">
        <v>287</v>
      </c>
      <c r="N41" s="18"/>
      <c r="O41" s="18"/>
    </row>
    <row r="42" spans="1:15" ht="15.75" customHeight="1" x14ac:dyDescent="0.15">
      <c r="A42" s="19" t="s">
        <v>455</v>
      </c>
      <c r="B42" s="19" t="s">
        <v>456</v>
      </c>
      <c r="C42" s="19" t="s">
        <v>457</v>
      </c>
      <c r="D42" s="19" t="s">
        <v>458</v>
      </c>
      <c r="E42" s="19" t="s">
        <v>284</v>
      </c>
      <c r="F42" s="19" t="s">
        <v>327</v>
      </c>
      <c r="G42" s="19" t="s">
        <v>328</v>
      </c>
      <c r="H42" s="19"/>
      <c r="I42" s="19"/>
      <c r="J42" s="19" t="s">
        <v>360</v>
      </c>
      <c r="K42" s="19"/>
      <c r="L42" s="19"/>
      <c r="M42" s="19" t="s">
        <v>287</v>
      </c>
      <c r="N42" s="19"/>
      <c r="O42" s="19"/>
    </row>
    <row r="43" spans="1:15" ht="15.75" customHeight="1" x14ac:dyDescent="0.15">
      <c r="A43" s="18" t="s">
        <v>459</v>
      </c>
      <c r="B43" s="18" t="s">
        <v>460</v>
      </c>
      <c r="C43" s="18" t="s">
        <v>461</v>
      </c>
      <c r="D43" s="18" t="s">
        <v>462</v>
      </c>
      <c r="E43" s="18" t="s">
        <v>284</v>
      </c>
      <c r="F43" s="18" t="s">
        <v>327</v>
      </c>
      <c r="G43" s="18" t="s">
        <v>365</v>
      </c>
      <c r="H43" s="18"/>
      <c r="I43" s="18"/>
      <c r="J43" s="18" t="s">
        <v>360</v>
      </c>
      <c r="K43" s="18"/>
      <c r="L43" s="18"/>
      <c r="M43" s="18" t="s">
        <v>287</v>
      </c>
      <c r="N43" s="18"/>
      <c r="O43" s="18"/>
    </row>
    <row r="44" spans="1:15" ht="15.75" customHeight="1" x14ac:dyDescent="0.15">
      <c r="A44" s="19" t="s">
        <v>463</v>
      </c>
      <c r="B44" s="19" t="s">
        <v>464</v>
      </c>
      <c r="C44" s="19" t="s">
        <v>465</v>
      </c>
      <c r="D44" s="19" t="s">
        <v>466</v>
      </c>
      <c r="E44" s="19" t="s">
        <v>284</v>
      </c>
      <c r="F44" s="19" t="s">
        <v>312</v>
      </c>
      <c r="G44" s="19" t="s">
        <v>333</v>
      </c>
      <c r="H44" s="19"/>
      <c r="I44" s="19"/>
      <c r="J44" s="19" t="s">
        <v>360</v>
      </c>
      <c r="K44" s="19"/>
      <c r="L44" s="19"/>
      <c r="M44" s="19" t="s">
        <v>287</v>
      </c>
      <c r="N44" s="19"/>
      <c r="O44" s="19"/>
    </row>
    <row r="45" spans="1:15" ht="15.75" customHeight="1" x14ac:dyDescent="0.15">
      <c r="A45" s="18" t="s">
        <v>467</v>
      </c>
      <c r="B45" s="18" t="s">
        <v>468</v>
      </c>
      <c r="C45" s="18" t="s">
        <v>469</v>
      </c>
      <c r="D45" s="18" t="s">
        <v>470</v>
      </c>
      <c r="E45" s="18" t="s">
        <v>284</v>
      </c>
      <c r="F45" s="18" t="s">
        <v>292</v>
      </c>
      <c r="G45" s="18" t="s">
        <v>293</v>
      </c>
      <c r="H45" s="18"/>
      <c r="I45" s="18"/>
      <c r="J45" s="18" t="s">
        <v>360</v>
      </c>
      <c r="K45" s="18"/>
      <c r="L45" s="18"/>
      <c r="M45" s="18" t="s">
        <v>287</v>
      </c>
      <c r="N45" s="18"/>
      <c r="O45" s="18"/>
    </row>
    <row r="46" spans="1:15" ht="15.75" customHeight="1" x14ac:dyDescent="0.15">
      <c r="A46" s="19" t="s">
        <v>471</v>
      </c>
      <c r="B46" s="19" t="s">
        <v>472</v>
      </c>
      <c r="C46" s="19" t="s">
        <v>473</v>
      </c>
      <c r="D46" s="19" t="s">
        <v>474</v>
      </c>
      <c r="E46" s="19" t="s">
        <v>284</v>
      </c>
      <c r="F46" s="19" t="s">
        <v>312</v>
      </c>
      <c r="G46" s="19" t="s">
        <v>333</v>
      </c>
      <c r="H46" s="19"/>
      <c r="I46" s="19"/>
      <c r="J46" s="19" t="s">
        <v>360</v>
      </c>
      <c r="K46" s="19"/>
      <c r="L46" s="19"/>
      <c r="M46" s="19" t="s">
        <v>287</v>
      </c>
      <c r="N46" s="19"/>
      <c r="O46" s="19"/>
    </row>
    <row r="47" spans="1:15" ht="15.75" customHeight="1" x14ac:dyDescent="0.15">
      <c r="A47" s="18" t="s">
        <v>475</v>
      </c>
      <c r="B47" s="18" t="s">
        <v>476</v>
      </c>
      <c r="C47" s="18" t="s">
        <v>477</v>
      </c>
      <c r="D47" s="18" t="s">
        <v>478</v>
      </c>
      <c r="E47" s="18" t="s">
        <v>284</v>
      </c>
      <c r="F47" s="18" t="s">
        <v>292</v>
      </c>
      <c r="G47" s="18" t="s">
        <v>293</v>
      </c>
      <c r="H47" s="18"/>
      <c r="I47" s="18"/>
      <c r="J47" s="18" t="s">
        <v>360</v>
      </c>
      <c r="K47" s="18"/>
      <c r="L47" s="18"/>
      <c r="M47" s="18" t="s">
        <v>287</v>
      </c>
      <c r="N47" s="18"/>
      <c r="O47" s="18"/>
    </row>
    <row r="48" spans="1:15" ht="15.75" customHeight="1" x14ac:dyDescent="0.15">
      <c r="A48" s="19" t="s">
        <v>479</v>
      </c>
      <c r="B48" s="19" t="s">
        <v>480</v>
      </c>
      <c r="C48" s="19" t="s">
        <v>481</v>
      </c>
      <c r="D48" s="19" t="s">
        <v>482</v>
      </c>
      <c r="E48" s="19" t="s">
        <v>284</v>
      </c>
      <c r="F48" s="19" t="s">
        <v>327</v>
      </c>
      <c r="G48" s="19" t="s">
        <v>328</v>
      </c>
      <c r="H48" s="19"/>
      <c r="I48" s="19"/>
      <c r="J48" s="19" t="s">
        <v>360</v>
      </c>
      <c r="K48" s="19"/>
      <c r="L48" s="19"/>
      <c r="M48" s="19" t="s">
        <v>287</v>
      </c>
      <c r="N48" s="19"/>
      <c r="O48" s="19"/>
    </row>
    <row r="49" spans="1:15" ht="15.75" customHeight="1" x14ac:dyDescent="0.15">
      <c r="A49" s="18" t="s">
        <v>483</v>
      </c>
      <c r="B49" s="18" t="s">
        <v>484</v>
      </c>
      <c r="C49" s="18" t="s">
        <v>485</v>
      </c>
      <c r="D49" s="18" t="s">
        <v>486</v>
      </c>
      <c r="E49" s="18" t="s">
        <v>284</v>
      </c>
      <c r="F49" s="18" t="s">
        <v>487</v>
      </c>
      <c r="G49" s="18" t="s">
        <v>488</v>
      </c>
      <c r="H49" s="18"/>
      <c r="I49" s="18"/>
      <c r="J49" s="18" t="s">
        <v>360</v>
      </c>
      <c r="K49" s="18"/>
      <c r="L49" s="18"/>
      <c r="M49" s="18" t="s">
        <v>287</v>
      </c>
      <c r="N49" s="18"/>
      <c r="O49" s="18"/>
    </row>
    <row r="50" spans="1:15" ht="15.75" customHeight="1" x14ac:dyDescent="0.15">
      <c r="A50" s="19" t="s">
        <v>489</v>
      </c>
      <c r="B50" s="19" t="s">
        <v>490</v>
      </c>
      <c r="C50" s="19" t="s">
        <v>491</v>
      </c>
      <c r="D50" s="19" t="s">
        <v>492</v>
      </c>
      <c r="E50" s="19" t="s">
        <v>284</v>
      </c>
      <c r="F50" s="19" t="s">
        <v>327</v>
      </c>
      <c r="G50" s="19" t="s">
        <v>365</v>
      </c>
      <c r="H50" s="19"/>
      <c r="I50" s="19"/>
      <c r="J50" s="19" t="s">
        <v>360</v>
      </c>
      <c r="K50" s="19"/>
      <c r="L50" s="19"/>
      <c r="M50" s="19" t="s">
        <v>287</v>
      </c>
      <c r="N50" s="19"/>
      <c r="O50" s="19"/>
    </row>
    <row r="51" spans="1:15" ht="15.75" customHeight="1" x14ac:dyDescent="0.15">
      <c r="A51" s="18" t="s">
        <v>493</v>
      </c>
      <c r="B51" s="18" t="s">
        <v>494</v>
      </c>
      <c r="C51" s="18" t="s">
        <v>495</v>
      </c>
      <c r="D51" s="18" t="s">
        <v>496</v>
      </c>
      <c r="E51" s="18" t="s">
        <v>284</v>
      </c>
      <c r="F51" s="18" t="s">
        <v>312</v>
      </c>
      <c r="G51" s="18" t="s">
        <v>333</v>
      </c>
      <c r="H51" s="18"/>
      <c r="I51" s="18"/>
      <c r="J51" s="18" t="s">
        <v>360</v>
      </c>
      <c r="K51" s="18"/>
      <c r="L51" s="18"/>
      <c r="M51" s="18" t="s">
        <v>287</v>
      </c>
      <c r="N51" s="18"/>
      <c r="O51" s="18"/>
    </row>
    <row r="52" spans="1:15" ht="15.75" customHeight="1" x14ac:dyDescent="0.15">
      <c r="A52" s="19" t="s">
        <v>497</v>
      </c>
      <c r="B52" s="19" t="s">
        <v>498</v>
      </c>
      <c r="C52" s="19" t="s">
        <v>499</v>
      </c>
      <c r="D52" s="19" t="s">
        <v>500</v>
      </c>
      <c r="E52" s="19" t="s">
        <v>284</v>
      </c>
      <c r="F52" s="19" t="s">
        <v>312</v>
      </c>
      <c r="G52" s="19" t="s">
        <v>333</v>
      </c>
      <c r="H52" s="19"/>
      <c r="I52" s="19"/>
      <c r="J52" s="19" t="s">
        <v>360</v>
      </c>
      <c r="K52" s="19"/>
      <c r="L52" s="19"/>
      <c r="M52" s="19" t="s">
        <v>287</v>
      </c>
      <c r="N52" s="19"/>
      <c r="O52" s="19"/>
    </row>
    <row r="53" spans="1:15" x14ac:dyDescent="0.15">
      <c r="A53" s="18" t="s">
        <v>501</v>
      </c>
      <c r="B53" s="18" t="s">
        <v>502</v>
      </c>
      <c r="C53" s="18" t="s">
        <v>503</v>
      </c>
      <c r="D53" s="18" t="s">
        <v>504</v>
      </c>
      <c r="E53" s="18" t="s">
        <v>284</v>
      </c>
      <c r="F53" s="18" t="s">
        <v>327</v>
      </c>
      <c r="G53" s="18" t="s">
        <v>347</v>
      </c>
      <c r="H53" s="18"/>
      <c r="I53" s="18"/>
      <c r="J53" s="18" t="s">
        <v>505</v>
      </c>
      <c r="K53" s="18"/>
      <c r="L53" s="18"/>
      <c r="M53" s="18" t="s">
        <v>287</v>
      </c>
      <c r="N53" s="18"/>
      <c r="O53" s="18"/>
    </row>
    <row r="54" spans="1:15" x14ac:dyDescent="0.15">
      <c r="A54" s="19" t="s">
        <v>506</v>
      </c>
      <c r="B54" s="19" t="s">
        <v>507</v>
      </c>
      <c r="C54" s="19" t="s">
        <v>508</v>
      </c>
      <c r="D54" s="19" t="s">
        <v>509</v>
      </c>
      <c r="E54" s="19" t="s">
        <v>284</v>
      </c>
      <c r="F54" s="19" t="s">
        <v>487</v>
      </c>
      <c r="G54" s="19" t="s">
        <v>488</v>
      </c>
      <c r="H54" s="19"/>
      <c r="I54" s="19"/>
      <c r="J54" s="19" t="s">
        <v>505</v>
      </c>
      <c r="K54" s="19"/>
      <c r="L54" s="19"/>
      <c r="M54" s="19" t="s">
        <v>287</v>
      </c>
      <c r="N54" s="19"/>
      <c r="O54" s="19"/>
    </row>
    <row r="55" spans="1:15" x14ac:dyDescent="0.15">
      <c r="A55" s="18" t="s">
        <v>510</v>
      </c>
      <c r="B55" s="18" t="s">
        <v>511</v>
      </c>
      <c r="C55" s="18" t="s">
        <v>512</v>
      </c>
      <c r="D55" s="18" t="s">
        <v>513</v>
      </c>
      <c r="E55" s="18" t="s">
        <v>284</v>
      </c>
      <c r="F55" s="18" t="s">
        <v>327</v>
      </c>
      <c r="G55" s="18" t="s">
        <v>365</v>
      </c>
      <c r="H55" s="18"/>
      <c r="I55" s="18"/>
      <c r="J55" s="18" t="s">
        <v>505</v>
      </c>
      <c r="K55" s="18"/>
      <c r="L55" s="18"/>
      <c r="M55" s="18" t="s">
        <v>287</v>
      </c>
      <c r="N55" s="18"/>
      <c r="O55" s="18"/>
    </row>
    <row r="56" spans="1:15" x14ac:dyDescent="0.15">
      <c r="A56" s="19" t="s">
        <v>514</v>
      </c>
      <c r="B56" s="19" t="s">
        <v>515</v>
      </c>
      <c r="C56" s="19" t="s">
        <v>516</v>
      </c>
      <c r="D56" s="19" t="s">
        <v>517</v>
      </c>
      <c r="E56" s="19" t="s">
        <v>284</v>
      </c>
      <c r="F56" s="19" t="s">
        <v>327</v>
      </c>
      <c r="G56" s="19" t="s">
        <v>328</v>
      </c>
      <c r="H56" s="19"/>
      <c r="I56" s="19"/>
      <c r="J56" s="19" t="s">
        <v>505</v>
      </c>
      <c r="K56" s="19"/>
      <c r="L56" s="19"/>
      <c r="M56" s="19" t="s">
        <v>287</v>
      </c>
      <c r="N56" s="19"/>
      <c r="O56" s="19"/>
    </row>
    <row r="57" spans="1:15" x14ac:dyDescent="0.15">
      <c r="A57" s="18" t="s">
        <v>518</v>
      </c>
      <c r="B57" s="18" t="s">
        <v>519</v>
      </c>
      <c r="C57" s="18" t="s">
        <v>520</v>
      </c>
      <c r="D57" s="18" t="s">
        <v>521</v>
      </c>
      <c r="E57" s="18" t="s">
        <v>284</v>
      </c>
      <c r="F57" s="18" t="s">
        <v>327</v>
      </c>
      <c r="G57" s="18" t="s">
        <v>328</v>
      </c>
      <c r="H57" s="18"/>
      <c r="I57" s="18"/>
      <c r="J57" s="18" t="s">
        <v>505</v>
      </c>
      <c r="K57" s="18"/>
      <c r="L57" s="18"/>
      <c r="M57" s="18" t="s">
        <v>287</v>
      </c>
      <c r="N57" s="18"/>
      <c r="O57" s="18"/>
    </row>
    <row r="58" spans="1:15" x14ac:dyDescent="0.15">
      <c r="A58" s="19" t="s">
        <v>522</v>
      </c>
      <c r="B58" s="19" t="s">
        <v>523</v>
      </c>
      <c r="C58" s="19" t="s">
        <v>524</v>
      </c>
      <c r="D58" s="19" t="s">
        <v>525</v>
      </c>
      <c r="E58" s="19" t="s">
        <v>284</v>
      </c>
      <c r="F58" s="19" t="s">
        <v>327</v>
      </c>
      <c r="G58" s="19" t="s">
        <v>328</v>
      </c>
      <c r="H58" s="19"/>
      <c r="I58" s="19"/>
      <c r="J58" s="19" t="s">
        <v>505</v>
      </c>
      <c r="K58" s="19"/>
      <c r="L58" s="19"/>
      <c r="M58" s="19" t="s">
        <v>287</v>
      </c>
      <c r="N58" s="19"/>
      <c r="O58" s="19"/>
    </row>
    <row r="59" spans="1:15" x14ac:dyDescent="0.15">
      <c r="A59" s="18" t="s">
        <v>526</v>
      </c>
      <c r="B59" s="18" t="s">
        <v>527</v>
      </c>
      <c r="C59" s="18" t="s">
        <v>528</v>
      </c>
      <c r="D59" s="18" t="s">
        <v>529</v>
      </c>
      <c r="E59" s="18" t="s">
        <v>284</v>
      </c>
      <c r="F59" s="18" t="s">
        <v>292</v>
      </c>
      <c r="G59" s="18" t="s">
        <v>293</v>
      </c>
      <c r="H59" s="18"/>
      <c r="I59" s="18"/>
      <c r="J59" s="18" t="s">
        <v>505</v>
      </c>
      <c r="K59" s="18"/>
      <c r="L59" s="18"/>
      <c r="M59" s="18" t="s">
        <v>287</v>
      </c>
      <c r="N59" s="18"/>
      <c r="O59" s="18"/>
    </row>
    <row r="60" spans="1:15" x14ac:dyDescent="0.15">
      <c r="A60" s="19" t="s">
        <v>530</v>
      </c>
      <c r="B60" s="19" t="s">
        <v>531</v>
      </c>
      <c r="C60" s="19" t="s">
        <v>532</v>
      </c>
      <c r="D60" s="19" t="s">
        <v>533</v>
      </c>
      <c r="E60" s="19" t="s">
        <v>284</v>
      </c>
      <c r="F60" s="19" t="s">
        <v>312</v>
      </c>
      <c r="G60" s="19" t="s">
        <v>313</v>
      </c>
      <c r="H60" s="19"/>
      <c r="I60" s="19"/>
      <c r="J60" s="19" t="s">
        <v>505</v>
      </c>
      <c r="K60" s="19"/>
      <c r="L60" s="19"/>
      <c r="M60" s="19" t="s">
        <v>287</v>
      </c>
      <c r="N60" s="19"/>
      <c r="O60" s="19"/>
    </row>
    <row r="61" spans="1:15" x14ac:dyDescent="0.15">
      <c r="A61" s="18" t="s">
        <v>534</v>
      </c>
      <c r="B61" s="18" t="s">
        <v>535</v>
      </c>
      <c r="C61" s="18" t="s">
        <v>536</v>
      </c>
      <c r="D61" s="18" t="s">
        <v>537</v>
      </c>
      <c r="E61" s="18" t="s">
        <v>284</v>
      </c>
      <c r="F61" s="18" t="s">
        <v>312</v>
      </c>
      <c r="G61" s="18" t="s">
        <v>313</v>
      </c>
      <c r="H61" s="18"/>
      <c r="I61" s="18"/>
      <c r="J61" s="18" t="s">
        <v>505</v>
      </c>
      <c r="K61" s="18"/>
      <c r="L61" s="18"/>
      <c r="M61" s="18" t="s">
        <v>287</v>
      </c>
      <c r="N61" s="18"/>
      <c r="O61" s="18"/>
    </row>
    <row r="62" spans="1:15" x14ac:dyDescent="0.15">
      <c r="A62" s="19" t="s">
        <v>538</v>
      </c>
      <c r="B62" s="19" t="s">
        <v>539</v>
      </c>
      <c r="C62" s="19" t="s">
        <v>540</v>
      </c>
      <c r="D62" s="19" t="s">
        <v>541</v>
      </c>
      <c r="E62" s="19" t="s">
        <v>284</v>
      </c>
      <c r="F62" s="19" t="s">
        <v>312</v>
      </c>
      <c r="G62" s="19" t="s">
        <v>333</v>
      </c>
      <c r="H62" s="19"/>
      <c r="I62" s="19"/>
      <c r="J62" s="19" t="s">
        <v>505</v>
      </c>
      <c r="K62" s="19"/>
      <c r="L62" s="19"/>
      <c r="M62" s="19" t="s">
        <v>287</v>
      </c>
      <c r="N62" s="19"/>
      <c r="O62" s="19"/>
    </row>
    <row r="63" spans="1:15" x14ac:dyDescent="0.15">
      <c r="A63" s="18" t="s">
        <v>542</v>
      </c>
      <c r="B63" s="18" t="s">
        <v>543</v>
      </c>
      <c r="C63" s="18" t="s">
        <v>544</v>
      </c>
      <c r="D63" s="18" t="s">
        <v>545</v>
      </c>
      <c r="E63" s="18" t="s">
        <v>284</v>
      </c>
      <c r="F63" s="18" t="s">
        <v>327</v>
      </c>
      <c r="G63" s="18" t="s">
        <v>328</v>
      </c>
      <c r="H63" s="18"/>
      <c r="I63" s="18"/>
      <c r="J63" s="18" t="s">
        <v>505</v>
      </c>
      <c r="K63" s="18"/>
      <c r="L63" s="18"/>
      <c r="M63" s="18" t="s">
        <v>287</v>
      </c>
      <c r="N63" s="18"/>
      <c r="O63" s="18"/>
    </row>
    <row r="64" spans="1:15" x14ac:dyDescent="0.15">
      <c r="A64" s="19" t="s">
        <v>546</v>
      </c>
      <c r="B64" s="19" t="s">
        <v>547</v>
      </c>
      <c r="C64" s="19" t="s">
        <v>548</v>
      </c>
      <c r="D64" s="19" t="s">
        <v>549</v>
      </c>
      <c r="E64" s="19" t="s">
        <v>284</v>
      </c>
      <c r="F64" s="19" t="s">
        <v>312</v>
      </c>
      <c r="G64" s="19" t="s">
        <v>333</v>
      </c>
      <c r="H64" s="19"/>
      <c r="I64" s="19"/>
      <c r="J64" s="19" t="s">
        <v>505</v>
      </c>
      <c r="K64" s="19"/>
      <c r="L64" s="19"/>
      <c r="M64" s="19" t="s">
        <v>287</v>
      </c>
      <c r="N64" s="19"/>
      <c r="O64" s="19"/>
    </row>
    <row r="65" spans="1:15" x14ac:dyDescent="0.15">
      <c r="A65" s="18" t="s">
        <v>550</v>
      </c>
      <c r="B65" s="18" t="s">
        <v>551</v>
      </c>
      <c r="C65" s="18" t="s">
        <v>552</v>
      </c>
      <c r="D65" s="18" t="s">
        <v>553</v>
      </c>
      <c r="E65" s="18" t="s">
        <v>284</v>
      </c>
      <c r="F65" s="18" t="s">
        <v>327</v>
      </c>
      <c r="G65" s="18" t="s">
        <v>365</v>
      </c>
      <c r="H65" s="18"/>
      <c r="I65" s="18"/>
      <c r="J65" s="18" t="s">
        <v>505</v>
      </c>
      <c r="K65" s="18"/>
      <c r="L65" s="18"/>
      <c r="M65" s="18" t="s">
        <v>287</v>
      </c>
      <c r="N65" s="18"/>
      <c r="O65" s="18"/>
    </row>
    <row r="66" spans="1:15" x14ac:dyDescent="0.15">
      <c r="A66" s="19" t="s">
        <v>554</v>
      </c>
      <c r="B66" s="19" t="s">
        <v>555</v>
      </c>
      <c r="C66" s="19" t="s">
        <v>556</v>
      </c>
      <c r="D66" s="19" t="s">
        <v>557</v>
      </c>
      <c r="E66" s="19" t="s">
        <v>284</v>
      </c>
      <c r="F66" s="19" t="s">
        <v>327</v>
      </c>
      <c r="G66" s="19" t="s">
        <v>328</v>
      </c>
      <c r="H66" s="19"/>
      <c r="I66" s="19"/>
      <c r="J66" s="19" t="s">
        <v>505</v>
      </c>
      <c r="K66" s="19"/>
      <c r="L66" s="19"/>
      <c r="M66" s="19" t="s">
        <v>287</v>
      </c>
      <c r="N66" s="19"/>
      <c r="O66" s="19"/>
    </row>
    <row r="67" spans="1:15" x14ac:dyDescent="0.15">
      <c r="A67" s="18" t="s">
        <v>558</v>
      </c>
      <c r="B67" s="18" t="s">
        <v>559</v>
      </c>
      <c r="C67" s="18" t="s">
        <v>560</v>
      </c>
      <c r="D67" s="18" t="s">
        <v>561</v>
      </c>
      <c r="E67" s="18" t="s">
        <v>284</v>
      </c>
      <c r="F67" s="18" t="s">
        <v>298</v>
      </c>
      <c r="G67" s="18" t="s">
        <v>298</v>
      </c>
      <c r="H67" s="18"/>
      <c r="I67" s="18"/>
      <c r="J67" s="18" t="s">
        <v>505</v>
      </c>
      <c r="K67" s="18"/>
      <c r="L67" s="18"/>
      <c r="M67" s="18" t="s">
        <v>287</v>
      </c>
      <c r="N67" s="18"/>
      <c r="O67" s="18"/>
    </row>
    <row r="68" spans="1:15" x14ac:dyDescent="0.15">
      <c r="A68" s="19" t="s">
        <v>562</v>
      </c>
      <c r="B68" s="19" t="s">
        <v>563</v>
      </c>
      <c r="C68" s="19" t="s">
        <v>564</v>
      </c>
      <c r="D68" s="19" t="s">
        <v>565</v>
      </c>
      <c r="E68" s="19" t="s">
        <v>284</v>
      </c>
      <c r="F68" s="19" t="s">
        <v>318</v>
      </c>
      <c r="G68" s="19" t="s">
        <v>318</v>
      </c>
      <c r="H68" s="19"/>
      <c r="I68" s="19"/>
      <c r="J68" s="19" t="s">
        <v>505</v>
      </c>
      <c r="K68" s="19"/>
      <c r="L68" s="19"/>
      <c r="M68" s="19" t="s">
        <v>287</v>
      </c>
      <c r="N68" s="19"/>
      <c r="O68" s="19"/>
    </row>
    <row r="69" spans="1:15" x14ac:dyDescent="0.15">
      <c r="A69" s="18" t="s">
        <v>566</v>
      </c>
      <c r="B69" s="18" t="s">
        <v>567</v>
      </c>
      <c r="C69" s="18" t="s">
        <v>568</v>
      </c>
      <c r="D69" s="18" t="s">
        <v>569</v>
      </c>
      <c r="E69" s="18" t="s">
        <v>284</v>
      </c>
      <c r="F69" s="18" t="s">
        <v>312</v>
      </c>
      <c r="G69" s="18" t="s">
        <v>333</v>
      </c>
      <c r="H69" s="18"/>
      <c r="I69" s="18"/>
      <c r="J69" s="18" t="s">
        <v>505</v>
      </c>
      <c r="K69" s="18"/>
      <c r="L69" s="18"/>
      <c r="M69" s="18" t="s">
        <v>287</v>
      </c>
      <c r="N69" s="18"/>
      <c r="O69" s="18"/>
    </row>
    <row r="70" spans="1:15" x14ac:dyDescent="0.15">
      <c r="A70" s="19" t="s">
        <v>570</v>
      </c>
      <c r="B70" s="19" t="s">
        <v>571</v>
      </c>
      <c r="C70" s="19" t="s">
        <v>572</v>
      </c>
      <c r="D70" s="19" t="s">
        <v>573</v>
      </c>
      <c r="E70" s="19" t="s">
        <v>284</v>
      </c>
      <c r="F70" s="19" t="s">
        <v>327</v>
      </c>
      <c r="G70" s="19" t="s">
        <v>328</v>
      </c>
      <c r="H70" s="19"/>
      <c r="I70" s="19"/>
      <c r="J70" s="19" t="s">
        <v>505</v>
      </c>
      <c r="K70" s="19"/>
      <c r="L70" s="19"/>
      <c r="M70" s="19" t="s">
        <v>287</v>
      </c>
      <c r="N70" s="19"/>
      <c r="O70" s="19"/>
    </row>
    <row r="71" spans="1:15" x14ac:dyDescent="0.15">
      <c r="A71" s="18" t="s">
        <v>574</v>
      </c>
      <c r="B71" s="18" t="s">
        <v>575</v>
      </c>
      <c r="C71" s="18" t="s">
        <v>576</v>
      </c>
      <c r="D71" s="18" t="s">
        <v>577</v>
      </c>
      <c r="E71" s="18" t="s">
        <v>284</v>
      </c>
      <c r="F71" s="18" t="s">
        <v>487</v>
      </c>
      <c r="G71" s="18" t="s">
        <v>488</v>
      </c>
      <c r="H71" s="18"/>
      <c r="I71" s="18"/>
      <c r="J71" s="18" t="s">
        <v>505</v>
      </c>
      <c r="K71" s="18"/>
      <c r="L71" s="18"/>
      <c r="M71" s="18" t="s">
        <v>287</v>
      </c>
      <c r="N71" s="18"/>
      <c r="O71" s="18"/>
    </row>
    <row r="72" spans="1:15" x14ac:dyDescent="0.15">
      <c r="A72" s="19" t="s">
        <v>578</v>
      </c>
      <c r="B72" s="19" t="s">
        <v>579</v>
      </c>
      <c r="C72" s="19" t="s">
        <v>580</v>
      </c>
      <c r="D72" s="19" t="s">
        <v>581</v>
      </c>
      <c r="E72" s="19" t="s">
        <v>284</v>
      </c>
      <c r="F72" s="19" t="s">
        <v>327</v>
      </c>
      <c r="G72" s="19" t="s">
        <v>328</v>
      </c>
      <c r="H72" s="19"/>
      <c r="I72" s="19"/>
      <c r="J72" s="19" t="s">
        <v>505</v>
      </c>
      <c r="K72" s="19"/>
      <c r="L72" s="19"/>
      <c r="M72" s="19" t="s">
        <v>287</v>
      </c>
      <c r="N72" s="19"/>
      <c r="O72" s="19"/>
    </row>
    <row r="73" spans="1:15" x14ac:dyDescent="0.15">
      <c r="A73" s="18" t="s">
        <v>582</v>
      </c>
      <c r="B73" s="18" t="s">
        <v>583</v>
      </c>
      <c r="C73" s="18" t="s">
        <v>584</v>
      </c>
      <c r="D73" s="18" t="s">
        <v>585</v>
      </c>
      <c r="E73" s="18" t="s">
        <v>284</v>
      </c>
      <c r="F73" s="18" t="s">
        <v>312</v>
      </c>
      <c r="G73" s="18" t="s">
        <v>333</v>
      </c>
      <c r="H73" s="18"/>
      <c r="I73" s="18"/>
      <c r="J73" s="18" t="s">
        <v>505</v>
      </c>
      <c r="K73" s="18"/>
      <c r="L73" s="18"/>
      <c r="M73" s="18" t="s">
        <v>287</v>
      </c>
      <c r="N73" s="18"/>
      <c r="O73" s="18"/>
    </row>
    <row r="74" spans="1:15" x14ac:dyDescent="0.15">
      <c r="A74" s="19" t="s">
        <v>586</v>
      </c>
      <c r="B74" s="19" t="s">
        <v>587</v>
      </c>
      <c r="C74" s="19" t="s">
        <v>588</v>
      </c>
      <c r="D74" s="19" t="s">
        <v>589</v>
      </c>
      <c r="E74" s="19" t="s">
        <v>284</v>
      </c>
      <c r="F74" s="19" t="s">
        <v>327</v>
      </c>
      <c r="G74" s="19" t="s">
        <v>328</v>
      </c>
      <c r="H74" s="19"/>
      <c r="I74" s="19"/>
      <c r="J74" s="19" t="s">
        <v>505</v>
      </c>
      <c r="K74" s="19"/>
      <c r="L74" s="19"/>
      <c r="M74" s="19" t="s">
        <v>287</v>
      </c>
      <c r="N74" s="19"/>
      <c r="O74" s="19"/>
    </row>
    <row r="75" spans="1:15" x14ac:dyDescent="0.15">
      <c r="A75" s="18" t="s">
        <v>590</v>
      </c>
      <c r="B75" s="18" t="s">
        <v>591</v>
      </c>
      <c r="C75" s="18" t="s">
        <v>592</v>
      </c>
      <c r="D75" s="18" t="s">
        <v>593</v>
      </c>
      <c r="E75" s="18" t="s">
        <v>284</v>
      </c>
      <c r="F75" s="18" t="s">
        <v>594</v>
      </c>
      <c r="G75" s="18" t="s">
        <v>595</v>
      </c>
      <c r="H75" s="18"/>
      <c r="I75" s="18"/>
      <c r="J75" s="18" t="s">
        <v>505</v>
      </c>
      <c r="K75" s="18"/>
      <c r="L75" s="18"/>
      <c r="M75" s="18" t="s">
        <v>287</v>
      </c>
      <c r="N75" s="18"/>
      <c r="O75" s="18"/>
    </row>
    <row r="76" spans="1:15" x14ac:dyDescent="0.15">
      <c r="A76" s="19" t="s">
        <v>596</v>
      </c>
      <c r="B76" s="19" t="s">
        <v>597</v>
      </c>
      <c r="C76" s="19" t="s">
        <v>598</v>
      </c>
      <c r="D76" s="19" t="s">
        <v>599</v>
      </c>
      <c r="E76" s="19" t="s">
        <v>284</v>
      </c>
      <c r="F76" s="19" t="s">
        <v>594</v>
      </c>
      <c r="G76" s="19" t="s">
        <v>600</v>
      </c>
      <c r="H76" s="19"/>
      <c r="I76" s="19"/>
      <c r="J76" s="19" t="s">
        <v>505</v>
      </c>
      <c r="K76" s="19"/>
      <c r="L76" s="19"/>
      <c r="M76" s="19" t="s">
        <v>287</v>
      </c>
      <c r="N76" s="19"/>
      <c r="O76" s="19"/>
    </row>
    <row r="77" spans="1:15" x14ac:dyDescent="0.15">
      <c r="A77" s="18" t="s">
        <v>601</v>
      </c>
      <c r="B77" s="18" t="s">
        <v>602</v>
      </c>
      <c r="C77" s="18" t="s">
        <v>603</v>
      </c>
      <c r="D77" s="18" t="s">
        <v>604</v>
      </c>
      <c r="E77" s="18" t="s">
        <v>284</v>
      </c>
      <c r="F77" s="18" t="s">
        <v>327</v>
      </c>
      <c r="G77" s="18" t="s">
        <v>328</v>
      </c>
      <c r="H77" s="18"/>
      <c r="I77" s="18"/>
      <c r="J77" s="18" t="s">
        <v>505</v>
      </c>
      <c r="K77" s="18"/>
      <c r="L77" s="18"/>
      <c r="M77" s="18" t="s">
        <v>287</v>
      </c>
      <c r="N77" s="18"/>
      <c r="O77" s="18"/>
    </row>
    <row r="78" spans="1:15" x14ac:dyDescent="0.15">
      <c r="A78" s="19" t="s">
        <v>605</v>
      </c>
      <c r="B78" s="19" t="s">
        <v>606</v>
      </c>
      <c r="C78" s="19" t="s">
        <v>607</v>
      </c>
      <c r="D78" s="19" t="s">
        <v>608</v>
      </c>
      <c r="E78" s="19" t="s">
        <v>284</v>
      </c>
      <c r="F78" s="19" t="s">
        <v>327</v>
      </c>
      <c r="G78" s="19" t="s">
        <v>328</v>
      </c>
      <c r="H78" s="19"/>
      <c r="I78" s="19"/>
      <c r="J78" s="19" t="s">
        <v>505</v>
      </c>
      <c r="K78" s="19"/>
      <c r="L78" s="19"/>
      <c r="M78" s="19" t="s">
        <v>287</v>
      </c>
      <c r="N78" s="19"/>
      <c r="O78" s="19"/>
    </row>
    <row r="79" spans="1:15" x14ac:dyDescent="0.15">
      <c r="A79" s="18" t="s">
        <v>609</v>
      </c>
      <c r="B79" s="18" t="s">
        <v>610</v>
      </c>
      <c r="C79" s="18" t="s">
        <v>611</v>
      </c>
      <c r="D79" s="18" t="s">
        <v>612</v>
      </c>
      <c r="E79" s="18" t="s">
        <v>284</v>
      </c>
      <c r="F79" s="18" t="s">
        <v>298</v>
      </c>
      <c r="G79" s="18" t="s">
        <v>298</v>
      </c>
      <c r="H79" s="18"/>
      <c r="I79" s="18"/>
      <c r="J79" s="18" t="s">
        <v>505</v>
      </c>
      <c r="K79" s="18"/>
      <c r="L79" s="18"/>
      <c r="M79" s="18" t="s">
        <v>287</v>
      </c>
      <c r="N79" s="18"/>
      <c r="O79" s="18"/>
    </row>
    <row r="80" spans="1:15" x14ac:dyDescent="0.15">
      <c r="A80" s="19" t="s">
        <v>613</v>
      </c>
      <c r="B80" s="19" t="s">
        <v>614</v>
      </c>
      <c r="C80" s="19" t="s">
        <v>615</v>
      </c>
      <c r="D80" s="19" t="s">
        <v>616</v>
      </c>
      <c r="E80" s="19" t="s">
        <v>284</v>
      </c>
      <c r="F80" s="19" t="s">
        <v>318</v>
      </c>
      <c r="G80" s="19" t="s">
        <v>318</v>
      </c>
      <c r="H80" s="19"/>
      <c r="I80" s="19"/>
      <c r="J80" s="19" t="s">
        <v>505</v>
      </c>
      <c r="K80" s="19"/>
      <c r="L80" s="19"/>
      <c r="M80" s="19" t="s">
        <v>287</v>
      </c>
      <c r="N80" s="19"/>
      <c r="O80" s="19"/>
    </row>
    <row r="81" spans="1:15" x14ac:dyDescent="0.15">
      <c r="A81" s="18" t="s">
        <v>617</v>
      </c>
      <c r="B81" s="18" t="s">
        <v>618</v>
      </c>
      <c r="C81" s="18" t="s">
        <v>619</v>
      </c>
      <c r="D81" s="18" t="s">
        <v>620</v>
      </c>
      <c r="E81" s="18" t="s">
        <v>284</v>
      </c>
      <c r="F81" s="18" t="s">
        <v>312</v>
      </c>
      <c r="G81" s="18" t="s">
        <v>313</v>
      </c>
      <c r="H81" s="18"/>
      <c r="I81" s="18"/>
      <c r="J81" s="18" t="s">
        <v>505</v>
      </c>
      <c r="K81" s="18"/>
      <c r="L81" s="18"/>
      <c r="M81" s="18" t="s">
        <v>287</v>
      </c>
      <c r="N81" s="18"/>
      <c r="O81" s="18"/>
    </row>
    <row r="82" spans="1:15" x14ac:dyDescent="0.15">
      <c r="A82" s="19" t="s">
        <v>621</v>
      </c>
      <c r="B82" s="19" t="s">
        <v>622</v>
      </c>
      <c r="C82" s="19" t="s">
        <v>623</v>
      </c>
      <c r="D82" s="19" t="s">
        <v>624</v>
      </c>
      <c r="E82" s="19" t="s">
        <v>284</v>
      </c>
      <c r="F82" s="19" t="s">
        <v>285</v>
      </c>
      <c r="G82" s="19" t="s">
        <v>342</v>
      </c>
      <c r="H82" s="19"/>
      <c r="I82" s="19"/>
      <c r="J82" s="19" t="s">
        <v>505</v>
      </c>
      <c r="K82" s="19"/>
      <c r="L82" s="19"/>
      <c r="M82" s="19" t="s">
        <v>287</v>
      </c>
      <c r="N82" s="19"/>
      <c r="O82" s="19"/>
    </row>
    <row r="83" spans="1:15" x14ac:dyDescent="0.15">
      <c r="A83" s="18" t="s">
        <v>625</v>
      </c>
      <c r="B83" s="18" t="s">
        <v>626</v>
      </c>
      <c r="C83" s="18" t="s">
        <v>627</v>
      </c>
      <c r="D83" s="18" t="s">
        <v>628</v>
      </c>
      <c r="E83" s="18" t="s">
        <v>284</v>
      </c>
      <c r="F83" s="18" t="s">
        <v>285</v>
      </c>
      <c r="G83" s="18" t="s">
        <v>286</v>
      </c>
      <c r="H83" s="18"/>
      <c r="I83" s="18"/>
      <c r="J83" s="18" t="s">
        <v>505</v>
      </c>
      <c r="K83" s="18"/>
      <c r="L83" s="18"/>
      <c r="M83" s="18" t="s">
        <v>287</v>
      </c>
      <c r="N83" s="18"/>
      <c r="O83" s="18"/>
    </row>
    <row r="84" spans="1:15" x14ac:dyDescent="0.15">
      <c r="A84" s="19" t="s">
        <v>629</v>
      </c>
      <c r="B84" s="19" t="s">
        <v>630</v>
      </c>
      <c r="C84" s="19" t="s">
        <v>631</v>
      </c>
      <c r="D84" s="19" t="s">
        <v>632</v>
      </c>
      <c r="E84" s="19" t="s">
        <v>284</v>
      </c>
      <c r="F84" s="19" t="s">
        <v>298</v>
      </c>
      <c r="G84" s="19" t="s">
        <v>298</v>
      </c>
      <c r="H84" s="19"/>
      <c r="I84" s="19"/>
      <c r="J84" s="19" t="s">
        <v>505</v>
      </c>
      <c r="K84" s="19"/>
      <c r="L84" s="19"/>
      <c r="M84" s="19" t="s">
        <v>287</v>
      </c>
      <c r="N84" s="19"/>
      <c r="O84" s="19"/>
    </row>
    <row r="85" spans="1:15" x14ac:dyDescent="0.15">
      <c r="A85" s="18" t="s">
        <v>633</v>
      </c>
      <c r="B85" s="18" t="s">
        <v>634</v>
      </c>
      <c r="C85" s="18" t="s">
        <v>635</v>
      </c>
      <c r="D85" s="18" t="s">
        <v>636</v>
      </c>
      <c r="E85" s="18" t="s">
        <v>284</v>
      </c>
      <c r="F85" s="18" t="s">
        <v>637</v>
      </c>
      <c r="G85" s="18" t="s">
        <v>638</v>
      </c>
      <c r="H85" s="18"/>
      <c r="I85" s="18"/>
      <c r="J85" s="18" t="s">
        <v>505</v>
      </c>
      <c r="K85" s="18"/>
      <c r="L85" s="18"/>
      <c r="M85" s="18" t="s">
        <v>287</v>
      </c>
      <c r="N85" s="18"/>
      <c r="O85" s="18"/>
    </row>
    <row r="86" spans="1:15" x14ac:dyDescent="0.15">
      <c r="A86" s="19" t="s">
        <v>639</v>
      </c>
      <c r="B86" s="19" t="s">
        <v>640</v>
      </c>
      <c r="C86" s="19" t="s">
        <v>641</v>
      </c>
      <c r="D86" s="19" t="s">
        <v>642</v>
      </c>
      <c r="E86" s="19" t="s">
        <v>284</v>
      </c>
      <c r="F86" s="19" t="s">
        <v>327</v>
      </c>
      <c r="G86" s="19" t="s">
        <v>328</v>
      </c>
      <c r="H86" s="19"/>
      <c r="I86" s="19"/>
      <c r="J86" s="19" t="s">
        <v>505</v>
      </c>
      <c r="K86" s="19"/>
      <c r="L86" s="19"/>
      <c r="M86" s="19" t="s">
        <v>287</v>
      </c>
      <c r="N86" s="19"/>
      <c r="O86" s="19"/>
    </row>
    <row r="87" spans="1:15" x14ac:dyDescent="0.15">
      <c r="A87" s="18" t="s">
        <v>643</v>
      </c>
      <c r="B87" s="18" t="s">
        <v>644</v>
      </c>
      <c r="C87" s="18" t="s">
        <v>645</v>
      </c>
      <c r="D87" s="18" t="s">
        <v>646</v>
      </c>
      <c r="E87" s="18" t="s">
        <v>284</v>
      </c>
      <c r="F87" s="18" t="s">
        <v>303</v>
      </c>
      <c r="G87" s="18" t="s">
        <v>303</v>
      </c>
      <c r="H87" s="18"/>
      <c r="I87" s="18"/>
      <c r="J87" s="18" t="s">
        <v>505</v>
      </c>
      <c r="K87" s="18"/>
      <c r="L87" s="18"/>
      <c r="M87" s="18" t="s">
        <v>287</v>
      </c>
      <c r="N87" s="18"/>
      <c r="O87" s="18"/>
    </row>
    <row r="88" spans="1:15" x14ac:dyDescent="0.15">
      <c r="A88" s="19" t="s">
        <v>647</v>
      </c>
      <c r="B88" s="19" t="s">
        <v>648</v>
      </c>
      <c r="C88" s="19" t="s">
        <v>649</v>
      </c>
      <c r="D88" s="19" t="s">
        <v>650</v>
      </c>
      <c r="E88" s="19" t="s">
        <v>284</v>
      </c>
      <c r="F88" s="19" t="s">
        <v>327</v>
      </c>
      <c r="G88" s="19" t="s">
        <v>328</v>
      </c>
      <c r="H88" s="19"/>
      <c r="I88" s="19"/>
      <c r="J88" s="19" t="s">
        <v>505</v>
      </c>
      <c r="K88" s="19"/>
      <c r="L88" s="19"/>
      <c r="M88" s="19" t="s">
        <v>287</v>
      </c>
      <c r="N88" s="19"/>
      <c r="O88" s="19"/>
    </row>
    <row r="89" spans="1:15" x14ac:dyDescent="0.15">
      <c r="A89" s="18" t="s">
        <v>651</v>
      </c>
      <c r="B89" s="18" t="s">
        <v>652</v>
      </c>
      <c r="C89" s="18" t="s">
        <v>653</v>
      </c>
      <c r="D89" s="18" t="s">
        <v>654</v>
      </c>
      <c r="E89" s="18" t="s">
        <v>284</v>
      </c>
      <c r="F89" s="18" t="s">
        <v>285</v>
      </c>
      <c r="G89" s="18" t="s">
        <v>342</v>
      </c>
      <c r="H89" s="18"/>
      <c r="I89" s="18"/>
      <c r="J89" s="18" t="s">
        <v>505</v>
      </c>
      <c r="K89" s="18"/>
      <c r="L89" s="18"/>
      <c r="M89" s="18" t="s">
        <v>287</v>
      </c>
      <c r="N89" s="18"/>
      <c r="O89" s="18"/>
    </row>
    <row r="90" spans="1:15" x14ac:dyDescent="0.15">
      <c r="A90" s="19" t="s">
        <v>655</v>
      </c>
      <c r="B90" s="19" t="s">
        <v>656</v>
      </c>
      <c r="C90" s="19" t="s">
        <v>657</v>
      </c>
      <c r="D90" s="19" t="s">
        <v>658</v>
      </c>
      <c r="E90" s="19" t="s">
        <v>284</v>
      </c>
      <c r="F90" s="19" t="s">
        <v>327</v>
      </c>
      <c r="G90" s="19" t="s">
        <v>365</v>
      </c>
      <c r="H90" s="19"/>
      <c r="I90" s="19"/>
      <c r="J90" s="19" t="s">
        <v>505</v>
      </c>
      <c r="K90" s="19"/>
      <c r="L90" s="19"/>
      <c r="M90" s="19" t="s">
        <v>287</v>
      </c>
      <c r="N90" s="19"/>
      <c r="O90" s="19"/>
    </row>
    <row r="91" spans="1:15" x14ac:dyDescent="0.15">
      <c r="A91" s="18" t="s">
        <v>659</v>
      </c>
      <c r="B91" s="18" t="s">
        <v>660</v>
      </c>
      <c r="C91" s="18" t="s">
        <v>661</v>
      </c>
      <c r="D91" s="18" t="s">
        <v>662</v>
      </c>
      <c r="E91" s="18" t="s">
        <v>284</v>
      </c>
      <c r="F91" s="18" t="s">
        <v>327</v>
      </c>
      <c r="G91" s="18" t="s">
        <v>328</v>
      </c>
      <c r="H91" s="18"/>
      <c r="I91" s="18"/>
      <c r="J91" s="18" t="s">
        <v>505</v>
      </c>
      <c r="K91" s="18"/>
      <c r="L91" s="18"/>
      <c r="M91" s="18" t="s">
        <v>287</v>
      </c>
      <c r="N91" s="18"/>
      <c r="O91" s="18"/>
    </row>
    <row r="92" spans="1:15" x14ac:dyDescent="0.15">
      <c r="A92" s="19" t="s">
        <v>663</v>
      </c>
      <c r="B92" s="19" t="s">
        <v>664</v>
      </c>
      <c r="C92" s="19" t="s">
        <v>665</v>
      </c>
      <c r="D92" s="19" t="s">
        <v>666</v>
      </c>
      <c r="E92" s="19" t="s">
        <v>284</v>
      </c>
      <c r="F92" s="19" t="s">
        <v>327</v>
      </c>
      <c r="G92" s="19" t="s">
        <v>328</v>
      </c>
      <c r="H92" s="19"/>
      <c r="I92" s="19"/>
      <c r="J92" s="19" t="s">
        <v>505</v>
      </c>
      <c r="K92" s="19"/>
      <c r="L92" s="19"/>
      <c r="M92" s="19" t="s">
        <v>287</v>
      </c>
      <c r="N92" s="19"/>
      <c r="O92" s="19"/>
    </row>
    <row r="93" spans="1:15" x14ac:dyDescent="0.15">
      <c r="A93" s="18" t="s">
        <v>667</v>
      </c>
      <c r="B93" s="18" t="s">
        <v>668</v>
      </c>
      <c r="C93" s="18" t="s">
        <v>669</v>
      </c>
      <c r="D93" s="18" t="s">
        <v>670</v>
      </c>
      <c r="E93" s="18" t="s">
        <v>284</v>
      </c>
      <c r="F93" s="18" t="s">
        <v>303</v>
      </c>
      <c r="G93" s="18" t="s">
        <v>303</v>
      </c>
      <c r="H93" s="18"/>
      <c r="I93" s="18"/>
      <c r="J93" s="18" t="s">
        <v>505</v>
      </c>
      <c r="K93" s="18"/>
      <c r="L93" s="18"/>
      <c r="M93" s="18" t="s">
        <v>287</v>
      </c>
      <c r="N93" s="18"/>
      <c r="O93" s="18"/>
    </row>
    <row r="94" spans="1:15" x14ac:dyDescent="0.15">
      <c r="A94" s="19" t="s">
        <v>671</v>
      </c>
      <c r="B94" s="19" t="s">
        <v>672</v>
      </c>
      <c r="C94" s="19" t="s">
        <v>673</v>
      </c>
      <c r="D94" s="19" t="s">
        <v>674</v>
      </c>
      <c r="E94" s="19" t="s">
        <v>284</v>
      </c>
      <c r="F94" s="19" t="s">
        <v>318</v>
      </c>
      <c r="G94" s="19" t="s">
        <v>318</v>
      </c>
      <c r="H94" s="19"/>
      <c r="I94" s="19"/>
      <c r="J94" s="19" t="s">
        <v>505</v>
      </c>
      <c r="K94" s="19"/>
      <c r="L94" s="19"/>
      <c r="M94" s="19" t="s">
        <v>287</v>
      </c>
      <c r="N94" s="19"/>
      <c r="O94" s="19"/>
    </row>
    <row r="95" spans="1:15" x14ac:dyDescent="0.15">
      <c r="A95" s="18" t="s">
        <v>675</v>
      </c>
      <c r="B95" s="18" t="s">
        <v>676</v>
      </c>
      <c r="C95" s="18" t="s">
        <v>677</v>
      </c>
      <c r="D95" s="18" t="s">
        <v>678</v>
      </c>
      <c r="E95" s="18" t="s">
        <v>284</v>
      </c>
      <c r="F95" s="18" t="s">
        <v>327</v>
      </c>
      <c r="G95" s="18" t="s">
        <v>365</v>
      </c>
      <c r="H95" s="18"/>
      <c r="I95" s="18"/>
      <c r="J95" s="18" t="s">
        <v>505</v>
      </c>
      <c r="K95" s="18"/>
      <c r="L95" s="18"/>
      <c r="M95" s="18" t="s">
        <v>287</v>
      </c>
      <c r="N95" s="18"/>
      <c r="O95" s="18"/>
    </row>
    <row r="96" spans="1:15" x14ac:dyDescent="0.15">
      <c r="A96" s="19" t="s">
        <v>679</v>
      </c>
      <c r="B96" s="19" t="s">
        <v>680</v>
      </c>
      <c r="C96" s="19" t="s">
        <v>681</v>
      </c>
      <c r="D96" s="19" t="s">
        <v>682</v>
      </c>
      <c r="E96" s="19" t="s">
        <v>284</v>
      </c>
      <c r="F96" s="19" t="s">
        <v>327</v>
      </c>
      <c r="G96" s="19" t="s">
        <v>347</v>
      </c>
      <c r="H96" s="19"/>
      <c r="I96" s="19"/>
      <c r="J96" s="19" t="s">
        <v>505</v>
      </c>
      <c r="K96" s="19"/>
      <c r="L96" s="19"/>
      <c r="M96" s="19" t="s">
        <v>287</v>
      </c>
      <c r="N96" s="19"/>
      <c r="O96" s="19"/>
    </row>
    <row r="97" spans="1:15" x14ac:dyDescent="0.15">
      <c r="A97" s="18" t="s">
        <v>683</v>
      </c>
      <c r="B97" s="18" t="s">
        <v>684</v>
      </c>
      <c r="C97" s="18" t="s">
        <v>685</v>
      </c>
      <c r="D97" s="18" t="s">
        <v>686</v>
      </c>
      <c r="E97" s="18" t="s">
        <v>284</v>
      </c>
      <c r="F97" s="18" t="s">
        <v>327</v>
      </c>
      <c r="G97" s="18" t="s">
        <v>328</v>
      </c>
      <c r="H97" s="18"/>
      <c r="I97" s="18"/>
      <c r="J97" s="18" t="s">
        <v>505</v>
      </c>
      <c r="K97" s="18"/>
      <c r="L97" s="18"/>
      <c r="M97" s="18" t="s">
        <v>287</v>
      </c>
      <c r="N97" s="18"/>
      <c r="O97" s="18"/>
    </row>
    <row r="98" spans="1:15" x14ac:dyDescent="0.15">
      <c r="A98" s="19" t="s">
        <v>687</v>
      </c>
      <c r="B98" s="19" t="s">
        <v>688</v>
      </c>
      <c r="C98" s="19" t="s">
        <v>689</v>
      </c>
      <c r="D98" s="19" t="s">
        <v>690</v>
      </c>
      <c r="E98" s="19" t="s">
        <v>284</v>
      </c>
      <c r="F98" s="19" t="s">
        <v>487</v>
      </c>
      <c r="G98" s="19" t="s">
        <v>691</v>
      </c>
      <c r="H98" s="19"/>
      <c r="I98" s="19"/>
      <c r="J98" s="19" t="s">
        <v>505</v>
      </c>
      <c r="K98" s="19"/>
      <c r="L98" s="19"/>
      <c r="M98" s="19" t="s">
        <v>287</v>
      </c>
      <c r="N98" s="19"/>
      <c r="O98" s="19"/>
    </row>
    <row r="99" spans="1:15" x14ac:dyDescent="0.15">
      <c r="A99" s="18" t="s">
        <v>692</v>
      </c>
      <c r="B99" s="18" t="s">
        <v>693</v>
      </c>
      <c r="C99" s="18" t="s">
        <v>694</v>
      </c>
      <c r="D99" s="18" t="s">
        <v>695</v>
      </c>
      <c r="E99" s="18" t="s">
        <v>284</v>
      </c>
      <c r="F99" s="18" t="s">
        <v>312</v>
      </c>
      <c r="G99" s="18" t="s">
        <v>333</v>
      </c>
      <c r="H99" s="18"/>
      <c r="I99" s="18"/>
      <c r="J99" s="18" t="s">
        <v>505</v>
      </c>
      <c r="K99" s="18"/>
      <c r="L99" s="18"/>
      <c r="M99" s="18" t="s">
        <v>287</v>
      </c>
      <c r="N99" s="18"/>
      <c r="O99" s="18"/>
    </row>
    <row r="100" spans="1:15" x14ac:dyDescent="0.15">
      <c r="A100" s="19" t="s">
        <v>696</v>
      </c>
      <c r="B100" s="19" t="s">
        <v>697</v>
      </c>
      <c r="C100" s="19" t="s">
        <v>698</v>
      </c>
      <c r="D100" s="19" t="s">
        <v>699</v>
      </c>
      <c r="E100" s="19" t="s">
        <v>284</v>
      </c>
      <c r="F100" s="19" t="s">
        <v>327</v>
      </c>
      <c r="G100" s="19" t="s">
        <v>365</v>
      </c>
      <c r="H100" s="19"/>
      <c r="I100" s="19"/>
      <c r="J100" s="19" t="s">
        <v>505</v>
      </c>
      <c r="K100" s="19"/>
      <c r="L100" s="19"/>
      <c r="M100" s="19" t="s">
        <v>287</v>
      </c>
      <c r="N100" s="19"/>
      <c r="O100" s="19"/>
    </row>
    <row r="101" spans="1:15" x14ac:dyDescent="0.15">
      <c r="A101" s="18" t="s">
        <v>700</v>
      </c>
      <c r="B101" s="18" t="s">
        <v>701</v>
      </c>
      <c r="C101" s="18" t="s">
        <v>702</v>
      </c>
      <c r="D101" s="18" t="s">
        <v>703</v>
      </c>
      <c r="E101" s="18" t="s">
        <v>284</v>
      </c>
      <c r="F101" s="18" t="s">
        <v>312</v>
      </c>
      <c r="G101" s="18" t="s">
        <v>313</v>
      </c>
      <c r="H101" s="18"/>
      <c r="I101" s="18"/>
      <c r="J101" s="18" t="s">
        <v>505</v>
      </c>
      <c r="K101" s="18"/>
      <c r="L101" s="18"/>
      <c r="M101" s="18" t="s">
        <v>287</v>
      </c>
      <c r="N101" s="18"/>
      <c r="O101" s="18"/>
    </row>
    <row r="102" spans="1:15" x14ac:dyDescent="0.15">
      <c r="A102" s="19" t="s">
        <v>704</v>
      </c>
      <c r="B102" s="19" t="s">
        <v>705</v>
      </c>
      <c r="C102" s="19" t="s">
        <v>706</v>
      </c>
      <c r="D102" s="19" t="s">
        <v>707</v>
      </c>
      <c r="E102" s="19" t="s">
        <v>284</v>
      </c>
      <c r="F102" s="19" t="s">
        <v>327</v>
      </c>
      <c r="G102" s="19" t="s">
        <v>365</v>
      </c>
      <c r="H102" s="19"/>
      <c r="I102" s="19"/>
      <c r="J102" s="19" t="s">
        <v>505</v>
      </c>
      <c r="K102" s="19"/>
      <c r="L102" s="19"/>
      <c r="M102" s="19" t="s">
        <v>287</v>
      </c>
      <c r="N102" s="19"/>
      <c r="O102" s="19"/>
    </row>
    <row r="103" spans="1:15" x14ac:dyDescent="0.15">
      <c r="A103" s="18" t="s">
        <v>708</v>
      </c>
      <c r="B103" s="18" t="s">
        <v>709</v>
      </c>
      <c r="C103" s="18" t="s">
        <v>710</v>
      </c>
      <c r="D103" s="18" t="s">
        <v>711</v>
      </c>
      <c r="E103" s="18" t="s">
        <v>284</v>
      </c>
      <c r="F103" s="18" t="s">
        <v>312</v>
      </c>
      <c r="G103" s="18" t="s">
        <v>333</v>
      </c>
      <c r="H103" s="18"/>
      <c r="I103" s="18"/>
      <c r="J103" s="18" t="s">
        <v>505</v>
      </c>
      <c r="K103" s="18"/>
      <c r="L103" s="18"/>
      <c r="M103" s="18" t="s">
        <v>287</v>
      </c>
      <c r="N103" s="18"/>
      <c r="O103" s="18"/>
    </row>
    <row r="104" spans="1:15" x14ac:dyDescent="0.15">
      <c r="A104" s="19" t="s">
        <v>712</v>
      </c>
      <c r="B104" s="19" t="s">
        <v>713</v>
      </c>
      <c r="C104" s="19" t="s">
        <v>714</v>
      </c>
      <c r="D104" s="19" t="s">
        <v>715</v>
      </c>
      <c r="E104" s="19" t="s">
        <v>284</v>
      </c>
      <c r="F104" s="19" t="s">
        <v>312</v>
      </c>
      <c r="G104" s="19" t="s">
        <v>333</v>
      </c>
      <c r="H104" s="19"/>
      <c r="I104" s="19"/>
      <c r="J104" s="19" t="s">
        <v>505</v>
      </c>
      <c r="K104" s="19"/>
      <c r="L104" s="19"/>
      <c r="M104" s="19" t="s">
        <v>287</v>
      </c>
      <c r="N104" s="19"/>
      <c r="O104" s="19"/>
    </row>
    <row r="105" spans="1:15" x14ac:dyDescent="0.15">
      <c r="A105" s="18" t="s">
        <v>716</v>
      </c>
      <c r="B105" s="18" t="s">
        <v>717</v>
      </c>
      <c r="C105" s="18" t="s">
        <v>718</v>
      </c>
      <c r="D105" s="18" t="s">
        <v>719</v>
      </c>
      <c r="E105" s="18" t="s">
        <v>284</v>
      </c>
      <c r="F105" s="18" t="s">
        <v>312</v>
      </c>
      <c r="G105" s="18" t="s">
        <v>313</v>
      </c>
      <c r="H105" s="18"/>
      <c r="I105" s="18"/>
      <c r="J105" s="18" t="s">
        <v>505</v>
      </c>
      <c r="K105" s="18"/>
      <c r="L105" s="18"/>
      <c r="M105" s="18" t="s">
        <v>287</v>
      </c>
      <c r="N105" s="18"/>
      <c r="O105" s="18"/>
    </row>
    <row r="106" spans="1:15" x14ac:dyDescent="0.15">
      <c r="A106" s="19" t="s">
        <v>720</v>
      </c>
      <c r="B106" s="19" t="s">
        <v>721</v>
      </c>
      <c r="C106" s="19" t="s">
        <v>722</v>
      </c>
      <c r="D106" s="19" t="s">
        <v>723</v>
      </c>
      <c r="E106" s="19" t="s">
        <v>284</v>
      </c>
      <c r="F106" s="19" t="s">
        <v>303</v>
      </c>
      <c r="G106" s="19" t="s">
        <v>303</v>
      </c>
      <c r="H106" s="19"/>
      <c r="I106" s="19"/>
      <c r="J106" s="19" t="s">
        <v>505</v>
      </c>
      <c r="K106" s="19"/>
      <c r="L106" s="19"/>
      <c r="M106" s="19" t="s">
        <v>287</v>
      </c>
      <c r="N106" s="19"/>
      <c r="O106" s="19"/>
    </row>
    <row r="107" spans="1:15" x14ac:dyDescent="0.15">
      <c r="A107" s="18" t="s">
        <v>724</v>
      </c>
      <c r="B107" s="18" t="s">
        <v>725</v>
      </c>
      <c r="C107" s="18" t="s">
        <v>726</v>
      </c>
      <c r="D107" s="18" t="s">
        <v>727</v>
      </c>
      <c r="E107" s="18" t="s">
        <v>284</v>
      </c>
      <c r="F107" s="18" t="s">
        <v>327</v>
      </c>
      <c r="G107" s="18" t="s">
        <v>347</v>
      </c>
      <c r="H107" s="18"/>
      <c r="I107" s="18"/>
      <c r="J107" s="18" t="s">
        <v>505</v>
      </c>
      <c r="K107" s="18"/>
      <c r="L107" s="18"/>
      <c r="M107" s="18" t="s">
        <v>287</v>
      </c>
      <c r="N107" s="18"/>
      <c r="O107" s="18"/>
    </row>
    <row r="108" spans="1:15" x14ac:dyDescent="0.15">
      <c r="A108" s="19" t="s">
        <v>728</v>
      </c>
      <c r="B108" s="19" t="s">
        <v>729</v>
      </c>
      <c r="C108" s="19" t="s">
        <v>730</v>
      </c>
      <c r="D108" s="19" t="s">
        <v>731</v>
      </c>
      <c r="E108" s="19" t="s">
        <v>284</v>
      </c>
      <c r="F108" s="19" t="s">
        <v>327</v>
      </c>
      <c r="G108" s="19" t="s">
        <v>347</v>
      </c>
      <c r="H108" s="19"/>
      <c r="I108" s="19"/>
      <c r="J108" s="19" t="s">
        <v>505</v>
      </c>
      <c r="K108" s="19"/>
      <c r="L108" s="19"/>
      <c r="M108" s="19" t="s">
        <v>287</v>
      </c>
      <c r="N108" s="19"/>
      <c r="O108" s="19"/>
    </row>
    <row r="109" spans="1:15" x14ac:dyDescent="0.15">
      <c r="A109" s="18" t="s">
        <v>732</v>
      </c>
      <c r="B109" s="18" t="s">
        <v>733</v>
      </c>
      <c r="C109" s="18" t="s">
        <v>734</v>
      </c>
      <c r="D109" s="18" t="s">
        <v>735</v>
      </c>
      <c r="E109" s="18" t="s">
        <v>284</v>
      </c>
      <c r="F109" s="18" t="s">
        <v>303</v>
      </c>
      <c r="G109" s="18" t="s">
        <v>303</v>
      </c>
      <c r="H109" s="18"/>
      <c r="I109" s="18"/>
      <c r="J109" s="18" t="s">
        <v>505</v>
      </c>
      <c r="K109" s="18"/>
      <c r="L109" s="18"/>
      <c r="M109" s="18" t="s">
        <v>287</v>
      </c>
      <c r="N109" s="18"/>
      <c r="O109" s="18"/>
    </row>
    <row r="110" spans="1:15" x14ac:dyDescent="0.15">
      <c r="A110" s="19" t="s">
        <v>736</v>
      </c>
      <c r="B110" s="19" t="s">
        <v>737</v>
      </c>
      <c r="C110" s="19" t="s">
        <v>738</v>
      </c>
      <c r="D110" s="19" t="s">
        <v>739</v>
      </c>
      <c r="E110" s="19" t="s">
        <v>284</v>
      </c>
      <c r="F110" s="19" t="s">
        <v>298</v>
      </c>
      <c r="G110" s="19" t="s">
        <v>298</v>
      </c>
      <c r="H110" s="19"/>
      <c r="I110" s="19"/>
      <c r="J110" s="19" t="s">
        <v>505</v>
      </c>
      <c r="K110" s="19"/>
      <c r="L110" s="19"/>
      <c r="M110" s="19" t="s">
        <v>287</v>
      </c>
      <c r="N110" s="19"/>
      <c r="O110" s="19"/>
    </row>
    <row r="111" spans="1:15" x14ac:dyDescent="0.15">
      <c r="A111" s="18" t="s">
        <v>740</v>
      </c>
      <c r="B111" s="18" t="s">
        <v>741</v>
      </c>
      <c r="C111" s="18" t="s">
        <v>742</v>
      </c>
      <c r="D111" s="18" t="s">
        <v>743</v>
      </c>
      <c r="E111" s="18" t="s">
        <v>284</v>
      </c>
      <c r="F111" s="18" t="s">
        <v>327</v>
      </c>
      <c r="G111" s="18" t="s">
        <v>328</v>
      </c>
      <c r="H111" s="18"/>
      <c r="I111" s="18"/>
      <c r="J111" s="18" t="s">
        <v>505</v>
      </c>
      <c r="K111" s="18"/>
      <c r="L111" s="18"/>
      <c r="M111" s="18" t="s">
        <v>287</v>
      </c>
      <c r="N111" s="18"/>
      <c r="O111" s="18"/>
    </row>
    <row r="112" spans="1:15" x14ac:dyDescent="0.15">
      <c r="A112" s="19" t="s">
        <v>744</v>
      </c>
      <c r="B112" s="19" t="s">
        <v>745</v>
      </c>
      <c r="C112" s="19" t="s">
        <v>746</v>
      </c>
      <c r="D112" s="19" t="s">
        <v>747</v>
      </c>
      <c r="E112" s="19" t="s">
        <v>284</v>
      </c>
      <c r="F112" s="19" t="s">
        <v>298</v>
      </c>
      <c r="G112" s="19" t="s">
        <v>298</v>
      </c>
      <c r="H112" s="19"/>
      <c r="I112" s="19"/>
      <c r="J112" s="19" t="s">
        <v>505</v>
      </c>
      <c r="K112" s="19"/>
      <c r="L112" s="19"/>
      <c r="M112" s="19" t="s">
        <v>287</v>
      </c>
      <c r="N112" s="19"/>
      <c r="O112" s="19"/>
    </row>
    <row r="113" spans="1:15" x14ac:dyDescent="0.15">
      <c r="A113" s="18" t="s">
        <v>748</v>
      </c>
      <c r="B113" s="18" t="s">
        <v>749</v>
      </c>
      <c r="C113" s="18" t="s">
        <v>750</v>
      </c>
      <c r="D113" s="18" t="s">
        <v>751</v>
      </c>
      <c r="E113" s="18" t="s">
        <v>284</v>
      </c>
      <c r="F113" s="18" t="s">
        <v>312</v>
      </c>
      <c r="G113" s="18" t="s">
        <v>313</v>
      </c>
      <c r="H113" s="18"/>
      <c r="I113" s="18"/>
      <c r="J113" s="18" t="s">
        <v>505</v>
      </c>
      <c r="K113" s="18"/>
      <c r="L113" s="18"/>
      <c r="M113" s="18" t="s">
        <v>287</v>
      </c>
      <c r="N113" s="18"/>
      <c r="O113" s="18"/>
    </row>
    <row r="114" spans="1:15" x14ac:dyDescent="0.15">
      <c r="A114" s="19" t="s">
        <v>752</v>
      </c>
      <c r="B114" s="19" t="s">
        <v>753</v>
      </c>
      <c r="C114" s="19" t="s">
        <v>754</v>
      </c>
      <c r="D114" s="19" t="s">
        <v>755</v>
      </c>
      <c r="E114" s="19" t="s">
        <v>284</v>
      </c>
      <c r="F114" s="19" t="s">
        <v>487</v>
      </c>
      <c r="G114" s="19" t="s">
        <v>488</v>
      </c>
      <c r="H114" s="19"/>
      <c r="I114" s="19"/>
      <c r="J114" s="19" t="s">
        <v>505</v>
      </c>
      <c r="K114" s="19"/>
      <c r="L114" s="19"/>
      <c r="M114" s="19" t="s">
        <v>287</v>
      </c>
      <c r="N114" s="19"/>
      <c r="O114" s="19"/>
    </row>
    <row r="115" spans="1:15" x14ac:dyDescent="0.15">
      <c r="A115" s="18" t="s">
        <v>756</v>
      </c>
      <c r="B115" s="18" t="s">
        <v>757</v>
      </c>
      <c r="C115" s="18" t="s">
        <v>758</v>
      </c>
      <c r="D115" s="18" t="s">
        <v>759</v>
      </c>
      <c r="E115" s="18" t="s">
        <v>284</v>
      </c>
      <c r="F115" s="18" t="s">
        <v>312</v>
      </c>
      <c r="G115" s="18" t="s">
        <v>313</v>
      </c>
      <c r="H115" s="18"/>
      <c r="I115" s="18"/>
      <c r="J115" s="18" t="s">
        <v>505</v>
      </c>
      <c r="K115" s="18"/>
      <c r="L115" s="18"/>
      <c r="M115" s="18" t="s">
        <v>287</v>
      </c>
      <c r="N115" s="18"/>
      <c r="O115" s="18"/>
    </row>
    <row r="116" spans="1:15" x14ac:dyDescent="0.15">
      <c r="A116" s="19" t="s">
        <v>760</v>
      </c>
      <c r="B116" s="19" t="s">
        <v>761</v>
      </c>
      <c r="C116" s="19" t="s">
        <v>762</v>
      </c>
      <c r="D116" s="19" t="s">
        <v>763</v>
      </c>
      <c r="E116" s="19" t="s">
        <v>284</v>
      </c>
      <c r="F116" s="19" t="s">
        <v>303</v>
      </c>
      <c r="G116" s="19" t="s">
        <v>303</v>
      </c>
      <c r="H116" s="19"/>
      <c r="I116" s="19"/>
      <c r="J116" s="19" t="s">
        <v>505</v>
      </c>
      <c r="K116" s="19"/>
      <c r="L116" s="19"/>
      <c r="M116" s="19" t="s">
        <v>287</v>
      </c>
      <c r="N116" s="19"/>
      <c r="O116" s="19"/>
    </row>
    <row r="117" spans="1:15" x14ac:dyDescent="0.15">
      <c r="A117" s="18" t="s">
        <v>764</v>
      </c>
      <c r="B117" s="18" t="s">
        <v>765</v>
      </c>
      <c r="C117" s="18" t="s">
        <v>766</v>
      </c>
      <c r="D117" s="18" t="s">
        <v>767</v>
      </c>
      <c r="E117" s="18" t="s">
        <v>284</v>
      </c>
      <c r="F117" s="18" t="s">
        <v>318</v>
      </c>
      <c r="G117" s="18" t="s">
        <v>318</v>
      </c>
      <c r="H117" s="18"/>
      <c r="I117" s="18"/>
      <c r="J117" s="18" t="s">
        <v>505</v>
      </c>
      <c r="K117" s="18"/>
      <c r="L117" s="18"/>
      <c r="M117" s="18" t="s">
        <v>287</v>
      </c>
      <c r="N117" s="18"/>
      <c r="O117" s="18"/>
    </row>
    <row r="118" spans="1:15" x14ac:dyDescent="0.15">
      <c r="A118" s="19" t="s">
        <v>768</v>
      </c>
      <c r="B118" s="19" t="s">
        <v>769</v>
      </c>
      <c r="C118" s="19" t="s">
        <v>770</v>
      </c>
      <c r="D118" s="19" t="s">
        <v>771</v>
      </c>
      <c r="E118" s="19" t="s">
        <v>284</v>
      </c>
      <c r="F118" s="19" t="s">
        <v>327</v>
      </c>
      <c r="G118" s="19" t="s">
        <v>365</v>
      </c>
      <c r="H118" s="19"/>
      <c r="I118" s="19"/>
      <c r="J118" s="19" t="s">
        <v>505</v>
      </c>
      <c r="K118" s="19"/>
      <c r="L118" s="19"/>
      <c r="M118" s="19" t="s">
        <v>287</v>
      </c>
      <c r="N118" s="19"/>
      <c r="O118" s="19"/>
    </row>
    <row r="119" spans="1:15" x14ac:dyDescent="0.15">
      <c r="A119" s="18" t="s">
        <v>772</v>
      </c>
      <c r="B119" s="18" t="s">
        <v>773</v>
      </c>
      <c r="C119" s="18" t="s">
        <v>774</v>
      </c>
      <c r="D119" s="18" t="s">
        <v>775</v>
      </c>
      <c r="E119" s="18" t="s">
        <v>284</v>
      </c>
      <c r="F119" s="18" t="s">
        <v>292</v>
      </c>
      <c r="G119" s="18" t="s">
        <v>293</v>
      </c>
      <c r="H119" s="18"/>
      <c r="I119" s="18"/>
      <c r="J119" s="18" t="s">
        <v>505</v>
      </c>
      <c r="K119" s="18"/>
      <c r="L119" s="18"/>
      <c r="M119" s="18" t="s">
        <v>287</v>
      </c>
      <c r="N119" s="18"/>
      <c r="O119" s="18"/>
    </row>
    <row r="120" spans="1:15" x14ac:dyDescent="0.15">
      <c r="A120" s="19" t="s">
        <v>776</v>
      </c>
      <c r="B120" s="19" t="s">
        <v>777</v>
      </c>
      <c r="C120" s="19" t="s">
        <v>778</v>
      </c>
      <c r="D120" s="19" t="s">
        <v>779</v>
      </c>
      <c r="E120" s="19" t="s">
        <v>284</v>
      </c>
      <c r="F120" s="19" t="s">
        <v>312</v>
      </c>
      <c r="G120" s="19" t="s">
        <v>333</v>
      </c>
      <c r="H120" s="19"/>
      <c r="I120" s="19"/>
      <c r="J120" s="19" t="s">
        <v>505</v>
      </c>
      <c r="K120" s="19"/>
      <c r="L120" s="19"/>
      <c r="M120" s="19" t="s">
        <v>287</v>
      </c>
      <c r="N120" s="19"/>
      <c r="O120" s="19"/>
    </row>
    <row r="121" spans="1:15" x14ac:dyDescent="0.15">
      <c r="A121" s="18" t="s">
        <v>780</v>
      </c>
      <c r="B121" s="18" t="s">
        <v>781</v>
      </c>
      <c r="C121" s="18" t="s">
        <v>782</v>
      </c>
      <c r="D121" s="18" t="s">
        <v>783</v>
      </c>
      <c r="E121" s="18" t="s">
        <v>284</v>
      </c>
      <c r="F121" s="18" t="s">
        <v>312</v>
      </c>
      <c r="G121" s="18" t="s">
        <v>313</v>
      </c>
      <c r="H121" s="18"/>
      <c r="I121" s="18"/>
      <c r="J121" s="18" t="s">
        <v>505</v>
      </c>
      <c r="K121" s="18"/>
      <c r="L121" s="18"/>
      <c r="M121" s="18" t="s">
        <v>287</v>
      </c>
      <c r="N121" s="18"/>
      <c r="O121" s="18"/>
    </row>
    <row r="122" spans="1:15" x14ac:dyDescent="0.15">
      <c r="A122" s="19" t="s">
        <v>784</v>
      </c>
      <c r="B122" s="19" t="s">
        <v>785</v>
      </c>
      <c r="C122" s="19" t="s">
        <v>786</v>
      </c>
      <c r="D122" s="19" t="s">
        <v>787</v>
      </c>
      <c r="E122" s="19" t="s">
        <v>284</v>
      </c>
      <c r="F122" s="19" t="s">
        <v>312</v>
      </c>
      <c r="G122" s="19" t="s">
        <v>333</v>
      </c>
      <c r="H122" s="19"/>
      <c r="I122" s="19"/>
      <c r="J122" s="19" t="s">
        <v>505</v>
      </c>
      <c r="K122" s="19"/>
      <c r="L122" s="19"/>
      <c r="M122" s="19" t="s">
        <v>287</v>
      </c>
      <c r="N122" s="19"/>
      <c r="O122" s="19"/>
    </row>
    <row r="123" spans="1:15" x14ac:dyDescent="0.15">
      <c r="A123" s="18" t="s">
        <v>788</v>
      </c>
      <c r="B123" s="18" t="s">
        <v>789</v>
      </c>
      <c r="C123" s="18" t="s">
        <v>790</v>
      </c>
      <c r="D123" s="18" t="s">
        <v>791</v>
      </c>
      <c r="E123" s="18" t="s">
        <v>284</v>
      </c>
      <c r="F123" s="18" t="s">
        <v>327</v>
      </c>
      <c r="G123" s="18" t="s">
        <v>347</v>
      </c>
      <c r="H123" s="18"/>
      <c r="I123" s="18"/>
      <c r="J123" s="18" t="s">
        <v>505</v>
      </c>
      <c r="K123" s="18"/>
      <c r="L123" s="18"/>
      <c r="M123" s="18" t="s">
        <v>287</v>
      </c>
      <c r="N123" s="18"/>
      <c r="O123" s="18"/>
    </row>
    <row r="124" spans="1:15" x14ac:dyDescent="0.15">
      <c r="A124" s="19" t="s">
        <v>792</v>
      </c>
      <c r="B124" s="19" t="s">
        <v>793</v>
      </c>
      <c r="C124" s="19" t="s">
        <v>794</v>
      </c>
      <c r="D124" s="19" t="s">
        <v>795</v>
      </c>
      <c r="E124" s="19" t="s">
        <v>284</v>
      </c>
      <c r="F124" s="19" t="s">
        <v>303</v>
      </c>
      <c r="G124" s="19" t="s">
        <v>303</v>
      </c>
      <c r="H124" s="19"/>
      <c r="I124" s="19"/>
      <c r="J124" s="19" t="s">
        <v>505</v>
      </c>
      <c r="K124" s="19"/>
      <c r="L124" s="19"/>
      <c r="M124" s="19" t="s">
        <v>287</v>
      </c>
      <c r="N124" s="19"/>
      <c r="O124" s="19"/>
    </row>
    <row r="125" spans="1:15" x14ac:dyDescent="0.15">
      <c r="A125" s="18" t="s">
        <v>796</v>
      </c>
      <c r="B125" s="18" t="s">
        <v>797</v>
      </c>
      <c r="C125" s="18" t="s">
        <v>798</v>
      </c>
      <c r="D125" s="18" t="s">
        <v>799</v>
      </c>
      <c r="E125" s="18" t="s">
        <v>284</v>
      </c>
      <c r="F125" s="18" t="s">
        <v>327</v>
      </c>
      <c r="G125" s="18" t="s">
        <v>365</v>
      </c>
      <c r="H125" s="18"/>
      <c r="I125" s="18"/>
      <c r="J125" s="18" t="s">
        <v>505</v>
      </c>
      <c r="K125" s="18"/>
      <c r="L125" s="18"/>
      <c r="M125" s="18" t="s">
        <v>287</v>
      </c>
      <c r="N125" s="18"/>
      <c r="O125" s="18"/>
    </row>
    <row r="126" spans="1:15" x14ac:dyDescent="0.15">
      <c r="A126" s="19" t="s">
        <v>800</v>
      </c>
      <c r="B126" s="19" t="s">
        <v>801</v>
      </c>
      <c r="C126" s="19" t="s">
        <v>802</v>
      </c>
      <c r="D126" s="19" t="s">
        <v>803</v>
      </c>
      <c r="E126" s="19" t="s">
        <v>284</v>
      </c>
      <c r="F126" s="19" t="s">
        <v>594</v>
      </c>
      <c r="G126" s="19" t="s">
        <v>600</v>
      </c>
      <c r="H126" s="19"/>
      <c r="I126" s="19"/>
      <c r="J126" s="19" t="s">
        <v>505</v>
      </c>
      <c r="K126" s="19"/>
      <c r="L126" s="19"/>
      <c r="M126" s="19" t="s">
        <v>287</v>
      </c>
      <c r="N126" s="19"/>
      <c r="O126" s="19"/>
    </row>
    <row r="127" spans="1:15" x14ac:dyDescent="0.15">
      <c r="A127" s="18" t="s">
        <v>804</v>
      </c>
      <c r="B127" s="18" t="s">
        <v>805</v>
      </c>
      <c r="C127" s="18" t="s">
        <v>806</v>
      </c>
      <c r="D127" s="18" t="s">
        <v>807</v>
      </c>
      <c r="E127" s="18" t="s">
        <v>284</v>
      </c>
      <c r="F127" s="18" t="s">
        <v>327</v>
      </c>
      <c r="G127" s="18" t="s">
        <v>347</v>
      </c>
      <c r="H127" s="18"/>
      <c r="I127" s="18"/>
      <c r="J127" s="18" t="s">
        <v>505</v>
      </c>
      <c r="K127" s="18"/>
      <c r="L127" s="18"/>
      <c r="M127" s="18" t="s">
        <v>287</v>
      </c>
      <c r="N127" s="18"/>
      <c r="O127" s="18"/>
    </row>
    <row r="128" spans="1:15" x14ac:dyDescent="0.15">
      <c r="A128" s="19" t="s">
        <v>808</v>
      </c>
      <c r="B128" s="19" t="s">
        <v>809</v>
      </c>
      <c r="C128" s="19" t="s">
        <v>810</v>
      </c>
      <c r="D128" s="19" t="s">
        <v>811</v>
      </c>
      <c r="E128" s="19" t="s">
        <v>284</v>
      </c>
      <c r="F128" s="19" t="s">
        <v>487</v>
      </c>
      <c r="G128" s="19" t="s">
        <v>691</v>
      </c>
      <c r="H128" s="19"/>
      <c r="I128" s="19"/>
      <c r="J128" s="19" t="s">
        <v>505</v>
      </c>
      <c r="K128" s="19"/>
      <c r="L128" s="19"/>
      <c r="M128" s="19" t="s">
        <v>287</v>
      </c>
      <c r="N128" s="19"/>
      <c r="O128" s="19"/>
    </row>
    <row r="129" spans="1:15" x14ac:dyDescent="0.15">
      <c r="A129" s="18" t="s">
        <v>812</v>
      </c>
      <c r="B129" s="18" t="s">
        <v>813</v>
      </c>
      <c r="C129" s="18" t="s">
        <v>814</v>
      </c>
      <c r="D129" s="18" t="s">
        <v>815</v>
      </c>
      <c r="E129" s="18" t="s">
        <v>284</v>
      </c>
      <c r="F129" s="18" t="s">
        <v>327</v>
      </c>
      <c r="G129" s="18" t="s">
        <v>328</v>
      </c>
      <c r="H129" s="18"/>
      <c r="I129" s="18"/>
      <c r="J129" s="18" t="s">
        <v>505</v>
      </c>
      <c r="K129" s="18"/>
      <c r="L129" s="18"/>
      <c r="M129" s="18" t="s">
        <v>287</v>
      </c>
      <c r="N129" s="18"/>
      <c r="O129" s="18"/>
    </row>
    <row r="130" spans="1:15" x14ac:dyDescent="0.15">
      <c r="A130" s="19" t="s">
        <v>816</v>
      </c>
      <c r="B130" s="19" t="s">
        <v>817</v>
      </c>
      <c r="C130" s="19" t="s">
        <v>818</v>
      </c>
      <c r="D130" s="19" t="s">
        <v>819</v>
      </c>
      <c r="E130" s="19" t="s">
        <v>284</v>
      </c>
      <c r="F130" s="19" t="s">
        <v>318</v>
      </c>
      <c r="G130" s="19" t="s">
        <v>318</v>
      </c>
      <c r="H130" s="19"/>
      <c r="I130" s="19"/>
      <c r="J130" s="19" t="s">
        <v>505</v>
      </c>
      <c r="K130" s="19"/>
      <c r="L130" s="19"/>
      <c r="M130" s="19" t="s">
        <v>287</v>
      </c>
      <c r="N130" s="19"/>
      <c r="O130" s="19"/>
    </row>
    <row r="131" spans="1:15" x14ac:dyDescent="0.15">
      <c r="A131" s="18" t="s">
        <v>820</v>
      </c>
      <c r="B131" s="18" t="s">
        <v>821</v>
      </c>
      <c r="C131" s="18" t="s">
        <v>822</v>
      </c>
      <c r="D131" s="18" t="s">
        <v>823</v>
      </c>
      <c r="E131" s="18" t="s">
        <v>284</v>
      </c>
      <c r="F131" s="18" t="s">
        <v>327</v>
      </c>
      <c r="G131" s="18" t="s">
        <v>365</v>
      </c>
      <c r="H131" s="18"/>
      <c r="I131" s="18"/>
      <c r="J131" s="18" t="s">
        <v>505</v>
      </c>
      <c r="K131" s="18"/>
      <c r="L131" s="18"/>
      <c r="M131" s="18" t="s">
        <v>287</v>
      </c>
      <c r="N131" s="18"/>
      <c r="O131" s="18"/>
    </row>
    <row r="132" spans="1:15" x14ac:dyDescent="0.15">
      <c r="A132" s="19" t="s">
        <v>824</v>
      </c>
      <c r="B132" s="19" t="s">
        <v>825</v>
      </c>
      <c r="C132" s="19" t="s">
        <v>826</v>
      </c>
      <c r="D132" s="19" t="s">
        <v>827</v>
      </c>
      <c r="E132" s="19" t="s">
        <v>284</v>
      </c>
      <c r="F132" s="19" t="s">
        <v>312</v>
      </c>
      <c r="G132" s="19" t="s">
        <v>313</v>
      </c>
      <c r="H132" s="19"/>
      <c r="I132" s="19"/>
      <c r="J132" s="19" t="s">
        <v>505</v>
      </c>
      <c r="K132" s="19"/>
      <c r="L132" s="19"/>
      <c r="M132" s="19" t="s">
        <v>287</v>
      </c>
      <c r="N132" s="19"/>
      <c r="O132" s="19"/>
    </row>
    <row r="133" spans="1:15" x14ac:dyDescent="0.15">
      <c r="A133" s="18" t="s">
        <v>828</v>
      </c>
      <c r="B133" s="18" t="s">
        <v>829</v>
      </c>
      <c r="C133" s="18" t="s">
        <v>830</v>
      </c>
      <c r="D133" s="18" t="s">
        <v>831</v>
      </c>
      <c r="E133" s="18" t="s">
        <v>284</v>
      </c>
      <c r="F133" s="18" t="s">
        <v>312</v>
      </c>
      <c r="G133" s="18" t="s">
        <v>313</v>
      </c>
      <c r="H133" s="18"/>
      <c r="I133" s="18"/>
      <c r="J133" s="18" t="s">
        <v>505</v>
      </c>
      <c r="K133" s="18"/>
      <c r="L133" s="18"/>
      <c r="M133" s="18" t="s">
        <v>287</v>
      </c>
      <c r="N133" s="18"/>
      <c r="O133" s="18"/>
    </row>
    <row r="134" spans="1:15" x14ac:dyDescent="0.15">
      <c r="A134" s="19" t="s">
        <v>832</v>
      </c>
      <c r="B134" s="19" t="s">
        <v>833</v>
      </c>
      <c r="C134" s="19" t="s">
        <v>834</v>
      </c>
      <c r="D134" s="19" t="s">
        <v>835</v>
      </c>
      <c r="E134" s="19" t="s">
        <v>284</v>
      </c>
      <c r="F134" s="19" t="s">
        <v>327</v>
      </c>
      <c r="G134" s="19" t="s">
        <v>328</v>
      </c>
      <c r="H134" s="19"/>
      <c r="I134" s="19"/>
      <c r="J134" s="19" t="s">
        <v>505</v>
      </c>
      <c r="K134" s="19"/>
      <c r="L134" s="19"/>
      <c r="M134" s="19" t="s">
        <v>287</v>
      </c>
      <c r="N134" s="19"/>
      <c r="O134" s="19"/>
    </row>
    <row r="135" spans="1:15" x14ac:dyDescent="0.15">
      <c r="A135" s="18" t="s">
        <v>836</v>
      </c>
      <c r="B135" s="18" t="s">
        <v>837</v>
      </c>
      <c r="C135" s="18" t="s">
        <v>838</v>
      </c>
      <c r="D135" s="18" t="s">
        <v>839</v>
      </c>
      <c r="E135" s="18" t="s">
        <v>284</v>
      </c>
      <c r="F135" s="18" t="s">
        <v>312</v>
      </c>
      <c r="G135" s="18" t="s">
        <v>313</v>
      </c>
      <c r="H135" s="18"/>
      <c r="I135" s="18"/>
      <c r="J135" s="18" t="s">
        <v>505</v>
      </c>
      <c r="K135" s="18"/>
      <c r="L135" s="18"/>
      <c r="M135" s="18" t="s">
        <v>287</v>
      </c>
      <c r="N135" s="18"/>
      <c r="O135" s="18"/>
    </row>
    <row r="136" spans="1:15" x14ac:dyDescent="0.15">
      <c r="A136" s="19" t="s">
        <v>840</v>
      </c>
      <c r="B136" s="19" t="s">
        <v>841</v>
      </c>
      <c r="C136" s="19" t="s">
        <v>842</v>
      </c>
      <c r="D136" s="19" t="s">
        <v>843</v>
      </c>
      <c r="E136" s="19" t="s">
        <v>284</v>
      </c>
      <c r="F136" s="19" t="s">
        <v>487</v>
      </c>
      <c r="G136" s="19" t="s">
        <v>488</v>
      </c>
      <c r="H136" s="19"/>
      <c r="I136" s="19"/>
      <c r="J136" s="19" t="s">
        <v>505</v>
      </c>
      <c r="K136" s="19"/>
      <c r="L136" s="19"/>
      <c r="M136" s="19" t="s">
        <v>287</v>
      </c>
      <c r="N136" s="19"/>
      <c r="O136" s="19"/>
    </row>
    <row r="137" spans="1:15" x14ac:dyDescent="0.15">
      <c r="A137" s="18" t="s">
        <v>844</v>
      </c>
      <c r="B137" s="18" t="s">
        <v>845</v>
      </c>
      <c r="C137" s="18" t="s">
        <v>846</v>
      </c>
      <c r="D137" s="18" t="s">
        <v>847</v>
      </c>
      <c r="E137" s="18" t="s">
        <v>284</v>
      </c>
      <c r="F137" s="18" t="s">
        <v>298</v>
      </c>
      <c r="G137" s="18" t="s">
        <v>298</v>
      </c>
      <c r="H137" s="18"/>
      <c r="I137" s="18"/>
      <c r="J137" s="18" t="s">
        <v>505</v>
      </c>
      <c r="K137" s="18"/>
      <c r="L137" s="18"/>
      <c r="M137" s="18" t="s">
        <v>287</v>
      </c>
      <c r="N137" s="18"/>
      <c r="O137" s="18"/>
    </row>
    <row r="138" spans="1:15" x14ac:dyDescent="0.15">
      <c r="A138" s="19" t="s">
        <v>848</v>
      </c>
      <c r="B138" s="19" t="s">
        <v>849</v>
      </c>
      <c r="C138" s="19" t="s">
        <v>850</v>
      </c>
      <c r="D138" s="19" t="s">
        <v>851</v>
      </c>
      <c r="E138" s="19" t="s">
        <v>284</v>
      </c>
      <c r="F138" s="19" t="s">
        <v>298</v>
      </c>
      <c r="G138" s="19" t="s">
        <v>298</v>
      </c>
      <c r="H138" s="19"/>
      <c r="I138" s="19"/>
      <c r="J138" s="19" t="s">
        <v>505</v>
      </c>
      <c r="K138" s="19"/>
      <c r="L138" s="19"/>
      <c r="M138" s="19" t="s">
        <v>287</v>
      </c>
      <c r="N138" s="19"/>
      <c r="O138" s="19"/>
    </row>
    <row r="139" spans="1:15" x14ac:dyDescent="0.15">
      <c r="A139" s="18" t="s">
        <v>852</v>
      </c>
      <c r="B139" s="18" t="s">
        <v>853</v>
      </c>
      <c r="C139" s="18" t="s">
        <v>854</v>
      </c>
      <c r="D139" s="18" t="s">
        <v>855</v>
      </c>
      <c r="E139" s="18" t="s">
        <v>284</v>
      </c>
      <c r="F139" s="18" t="s">
        <v>285</v>
      </c>
      <c r="G139" s="18" t="s">
        <v>286</v>
      </c>
      <c r="H139" s="18"/>
      <c r="I139" s="18"/>
      <c r="J139" s="18" t="s">
        <v>505</v>
      </c>
      <c r="K139" s="18"/>
      <c r="L139" s="18"/>
      <c r="M139" s="18" t="s">
        <v>287</v>
      </c>
      <c r="N139" s="18"/>
      <c r="O139" s="18"/>
    </row>
    <row r="140" spans="1:15" x14ac:dyDescent="0.15">
      <c r="A140" s="19" t="s">
        <v>856</v>
      </c>
      <c r="B140" s="19" t="s">
        <v>857</v>
      </c>
      <c r="C140" s="19" t="s">
        <v>858</v>
      </c>
      <c r="D140" s="19" t="s">
        <v>859</v>
      </c>
      <c r="E140" s="19" t="s">
        <v>284</v>
      </c>
      <c r="F140" s="19" t="s">
        <v>312</v>
      </c>
      <c r="G140" s="19" t="s">
        <v>333</v>
      </c>
      <c r="H140" s="19"/>
      <c r="I140" s="19"/>
      <c r="J140" s="19" t="s">
        <v>505</v>
      </c>
      <c r="K140" s="19"/>
      <c r="L140" s="19"/>
      <c r="M140" s="19" t="s">
        <v>287</v>
      </c>
      <c r="N140" s="19"/>
      <c r="O140" s="19"/>
    </row>
    <row r="141" spans="1:15" x14ac:dyDescent="0.15">
      <c r="A141" s="18" t="s">
        <v>860</v>
      </c>
      <c r="B141" s="18" t="s">
        <v>861</v>
      </c>
      <c r="C141" s="18" t="s">
        <v>862</v>
      </c>
      <c r="D141" s="18" t="s">
        <v>863</v>
      </c>
      <c r="E141" s="18" t="s">
        <v>284</v>
      </c>
      <c r="F141" s="18" t="s">
        <v>312</v>
      </c>
      <c r="G141" s="18" t="s">
        <v>333</v>
      </c>
      <c r="H141" s="18"/>
      <c r="I141" s="18"/>
      <c r="J141" s="18" t="s">
        <v>505</v>
      </c>
      <c r="K141" s="18"/>
      <c r="L141" s="18"/>
      <c r="M141" s="18" t="s">
        <v>287</v>
      </c>
      <c r="N141" s="18"/>
      <c r="O141" s="18"/>
    </row>
    <row r="142" spans="1:15" x14ac:dyDescent="0.15">
      <c r="A142" s="19" t="s">
        <v>864</v>
      </c>
      <c r="B142" s="19" t="s">
        <v>865</v>
      </c>
      <c r="C142" s="19" t="s">
        <v>866</v>
      </c>
      <c r="D142" s="19" t="s">
        <v>867</v>
      </c>
      <c r="E142" s="19" t="s">
        <v>284</v>
      </c>
      <c r="F142" s="19" t="s">
        <v>327</v>
      </c>
      <c r="G142" s="19" t="s">
        <v>328</v>
      </c>
      <c r="H142" s="19"/>
      <c r="I142" s="19"/>
      <c r="J142" s="19" t="s">
        <v>505</v>
      </c>
      <c r="K142" s="19"/>
      <c r="L142" s="19"/>
      <c r="M142" s="19" t="s">
        <v>287</v>
      </c>
      <c r="N142" s="19"/>
      <c r="O142" s="19"/>
    </row>
    <row r="143" spans="1:15" x14ac:dyDescent="0.15">
      <c r="A143" s="18" t="s">
        <v>868</v>
      </c>
      <c r="B143" s="18" t="s">
        <v>869</v>
      </c>
      <c r="C143" s="18" t="s">
        <v>870</v>
      </c>
      <c r="D143" s="18" t="s">
        <v>871</v>
      </c>
      <c r="E143" s="18" t="s">
        <v>284</v>
      </c>
      <c r="F143" s="18" t="s">
        <v>327</v>
      </c>
      <c r="G143" s="18" t="s">
        <v>328</v>
      </c>
      <c r="H143" s="18"/>
      <c r="I143" s="18"/>
      <c r="J143" s="18" t="s">
        <v>505</v>
      </c>
      <c r="K143" s="18"/>
      <c r="L143" s="18"/>
      <c r="M143" s="18" t="s">
        <v>287</v>
      </c>
      <c r="N143" s="18"/>
      <c r="O143" s="18"/>
    </row>
    <row r="144" spans="1:15" x14ac:dyDescent="0.15">
      <c r="A144" s="19" t="s">
        <v>872</v>
      </c>
      <c r="B144" s="19" t="s">
        <v>873</v>
      </c>
      <c r="C144" s="19" t="s">
        <v>874</v>
      </c>
      <c r="D144" s="19" t="s">
        <v>875</v>
      </c>
      <c r="E144" s="19" t="s">
        <v>284</v>
      </c>
      <c r="F144" s="19" t="s">
        <v>312</v>
      </c>
      <c r="G144" s="19" t="s">
        <v>333</v>
      </c>
      <c r="H144" s="19"/>
      <c r="I144" s="19"/>
      <c r="J144" s="19" t="s">
        <v>505</v>
      </c>
      <c r="K144" s="19"/>
      <c r="L144" s="19"/>
      <c r="M144" s="19" t="s">
        <v>287</v>
      </c>
      <c r="N144" s="19"/>
      <c r="O144" s="19"/>
    </row>
    <row r="145" spans="1:15" x14ac:dyDescent="0.15">
      <c r="A145" s="18" t="s">
        <v>876</v>
      </c>
      <c r="B145" s="18" t="s">
        <v>877</v>
      </c>
      <c r="C145" s="18" t="s">
        <v>878</v>
      </c>
      <c r="D145" s="18" t="s">
        <v>879</v>
      </c>
      <c r="E145" s="18" t="s">
        <v>284</v>
      </c>
      <c r="F145" s="18" t="s">
        <v>303</v>
      </c>
      <c r="G145" s="18" t="s">
        <v>303</v>
      </c>
      <c r="H145" s="18"/>
      <c r="I145" s="18"/>
      <c r="J145" s="18" t="s">
        <v>505</v>
      </c>
      <c r="K145" s="18"/>
      <c r="L145" s="18"/>
      <c r="M145" s="18" t="s">
        <v>287</v>
      </c>
      <c r="N145" s="18"/>
      <c r="O145" s="18"/>
    </row>
    <row r="146" spans="1:15" x14ac:dyDescent="0.15">
      <c r="A146" s="19" t="s">
        <v>880</v>
      </c>
      <c r="B146" s="19" t="s">
        <v>881</v>
      </c>
      <c r="C146" s="19" t="s">
        <v>882</v>
      </c>
      <c r="D146" s="19" t="s">
        <v>883</v>
      </c>
      <c r="E146" s="19" t="s">
        <v>284</v>
      </c>
      <c r="F146" s="19" t="s">
        <v>327</v>
      </c>
      <c r="G146" s="19" t="s">
        <v>347</v>
      </c>
      <c r="H146" s="19"/>
      <c r="I146" s="19"/>
      <c r="J146" s="19" t="s">
        <v>505</v>
      </c>
      <c r="K146" s="19"/>
      <c r="L146" s="19"/>
      <c r="M146" s="19" t="s">
        <v>287</v>
      </c>
      <c r="N146" s="19"/>
      <c r="O146" s="19"/>
    </row>
    <row r="147" spans="1:15" x14ac:dyDescent="0.15">
      <c r="A147" s="18" t="s">
        <v>884</v>
      </c>
      <c r="B147" s="18" t="s">
        <v>885</v>
      </c>
      <c r="C147" s="18" t="s">
        <v>886</v>
      </c>
      <c r="D147" s="18" t="s">
        <v>887</v>
      </c>
      <c r="E147" s="18" t="s">
        <v>284</v>
      </c>
      <c r="F147" s="18" t="s">
        <v>327</v>
      </c>
      <c r="G147" s="18" t="s">
        <v>328</v>
      </c>
      <c r="H147" s="18"/>
      <c r="I147" s="18"/>
      <c r="J147" s="18" t="s">
        <v>888</v>
      </c>
      <c r="K147" s="18"/>
      <c r="L147" s="18"/>
      <c r="M147" s="18" t="s">
        <v>287</v>
      </c>
      <c r="N147" s="18"/>
      <c r="O147" s="18"/>
    </row>
    <row r="148" spans="1:15" x14ac:dyDescent="0.15">
      <c r="A148" s="19" t="s">
        <v>889</v>
      </c>
      <c r="B148" s="19" t="s">
        <v>890</v>
      </c>
      <c r="C148" s="19" t="s">
        <v>891</v>
      </c>
      <c r="D148" s="19" t="s">
        <v>892</v>
      </c>
      <c r="E148" s="19" t="s">
        <v>284</v>
      </c>
      <c r="F148" s="19" t="s">
        <v>487</v>
      </c>
      <c r="G148" s="19" t="s">
        <v>488</v>
      </c>
      <c r="H148" s="19"/>
      <c r="I148" s="19"/>
      <c r="J148" s="19" t="s">
        <v>888</v>
      </c>
      <c r="K148" s="19"/>
      <c r="L148" s="19"/>
      <c r="M148" s="19" t="s">
        <v>287</v>
      </c>
      <c r="N148" s="19"/>
      <c r="O148" s="19"/>
    </row>
    <row r="149" spans="1:15" x14ac:dyDescent="0.15">
      <c r="A149" s="18" t="s">
        <v>893</v>
      </c>
      <c r="B149" s="18" t="s">
        <v>894</v>
      </c>
      <c r="C149" s="18" t="s">
        <v>895</v>
      </c>
      <c r="D149" s="18" t="s">
        <v>896</v>
      </c>
      <c r="E149" s="18" t="s">
        <v>284</v>
      </c>
      <c r="F149" s="18" t="s">
        <v>487</v>
      </c>
      <c r="G149" s="18" t="s">
        <v>488</v>
      </c>
      <c r="H149" s="18"/>
      <c r="I149" s="18"/>
      <c r="J149" s="18" t="s">
        <v>888</v>
      </c>
      <c r="K149" s="18"/>
      <c r="L149" s="18"/>
      <c r="M149" s="18" t="s">
        <v>287</v>
      </c>
      <c r="N149" s="18"/>
      <c r="O149" s="18"/>
    </row>
    <row r="150" spans="1:15" x14ac:dyDescent="0.15">
      <c r="A150" s="19" t="s">
        <v>897</v>
      </c>
      <c r="B150" s="19" t="s">
        <v>898</v>
      </c>
      <c r="C150" s="19" t="s">
        <v>899</v>
      </c>
      <c r="D150" s="19" t="s">
        <v>900</v>
      </c>
      <c r="E150" s="19" t="s">
        <v>284</v>
      </c>
      <c r="F150" s="19" t="s">
        <v>487</v>
      </c>
      <c r="G150" s="19" t="s">
        <v>488</v>
      </c>
      <c r="H150" s="19"/>
      <c r="I150" s="19"/>
      <c r="J150" s="19" t="s">
        <v>888</v>
      </c>
      <c r="K150" s="19"/>
      <c r="L150" s="19"/>
      <c r="M150" s="19" t="s">
        <v>287</v>
      </c>
      <c r="N150" s="19"/>
      <c r="O150" s="19"/>
    </row>
    <row r="151" spans="1:15" x14ac:dyDescent="0.15">
      <c r="A151" s="18" t="s">
        <v>901</v>
      </c>
      <c r="B151" s="18" t="s">
        <v>902</v>
      </c>
      <c r="C151" s="18" t="s">
        <v>903</v>
      </c>
      <c r="D151" s="18" t="s">
        <v>904</v>
      </c>
      <c r="E151" s="18" t="s">
        <v>284</v>
      </c>
      <c r="F151" s="18" t="s">
        <v>487</v>
      </c>
      <c r="G151" s="18" t="s">
        <v>488</v>
      </c>
      <c r="H151" s="18"/>
      <c r="I151" s="18"/>
      <c r="J151" s="18" t="s">
        <v>888</v>
      </c>
      <c r="K151" s="18"/>
      <c r="L151" s="18"/>
      <c r="M151" s="18" t="s">
        <v>287</v>
      </c>
      <c r="N151" s="18"/>
      <c r="O151" s="18"/>
    </row>
    <row r="152" spans="1:15" x14ac:dyDescent="0.15">
      <c r="A152" s="19" t="s">
        <v>905</v>
      </c>
      <c r="B152" s="19" t="s">
        <v>906</v>
      </c>
      <c r="C152" s="19" t="s">
        <v>907</v>
      </c>
      <c r="D152" s="19" t="s">
        <v>908</v>
      </c>
      <c r="E152" s="19" t="s">
        <v>284</v>
      </c>
      <c r="F152" s="19" t="s">
        <v>312</v>
      </c>
      <c r="G152" s="19" t="s">
        <v>313</v>
      </c>
      <c r="H152" s="19"/>
      <c r="I152" s="19"/>
      <c r="J152" s="19" t="s">
        <v>888</v>
      </c>
      <c r="K152" s="19"/>
      <c r="L152" s="19"/>
      <c r="M152" s="19" t="s">
        <v>287</v>
      </c>
      <c r="N152" s="19"/>
      <c r="O152" s="19"/>
    </row>
    <row r="153" spans="1:15" x14ac:dyDescent="0.15">
      <c r="A153" s="18" t="s">
        <v>909</v>
      </c>
      <c r="B153" s="18" t="s">
        <v>910</v>
      </c>
      <c r="C153" s="18" t="s">
        <v>911</v>
      </c>
      <c r="D153" s="18" t="s">
        <v>912</v>
      </c>
      <c r="E153" s="18" t="s">
        <v>284</v>
      </c>
      <c r="F153" s="18" t="s">
        <v>303</v>
      </c>
      <c r="G153" s="18" t="s">
        <v>303</v>
      </c>
      <c r="H153" s="18"/>
      <c r="I153" s="18"/>
      <c r="J153" s="18" t="s">
        <v>888</v>
      </c>
      <c r="K153" s="18"/>
      <c r="L153" s="18"/>
      <c r="M153" s="18" t="s">
        <v>287</v>
      </c>
      <c r="N153" s="18"/>
      <c r="O153" s="18"/>
    </row>
    <row r="154" spans="1:15" x14ac:dyDescent="0.15">
      <c r="A154" s="19" t="s">
        <v>913</v>
      </c>
      <c r="B154" s="19" t="s">
        <v>914</v>
      </c>
      <c r="C154" s="19" t="s">
        <v>915</v>
      </c>
      <c r="D154" s="19" t="s">
        <v>916</v>
      </c>
      <c r="E154" s="19" t="s">
        <v>284</v>
      </c>
      <c r="F154" s="19" t="s">
        <v>303</v>
      </c>
      <c r="G154" s="19" t="s">
        <v>303</v>
      </c>
      <c r="H154" s="19"/>
      <c r="I154" s="19"/>
      <c r="J154" s="19" t="s">
        <v>888</v>
      </c>
      <c r="K154" s="19"/>
      <c r="L154" s="19"/>
      <c r="M154" s="19" t="s">
        <v>287</v>
      </c>
      <c r="N154" s="19"/>
      <c r="O154" s="19"/>
    </row>
    <row r="155" spans="1:15" x14ac:dyDescent="0.15">
      <c r="A155" s="18" t="s">
        <v>917</v>
      </c>
      <c r="B155" s="18" t="s">
        <v>918</v>
      </c>
      <c r="C155" s="18" t="s">
        <v>919</v>
      </c>
      <c r="D155" s="18" t="s">
        <v>920</v>
      </c>
      <c r="E155" s="18" t="s">
        <v>284</v>
      </c>
      <c r="F155" s="18" t="s">
        <v>303</v>
      </c>
      <c r="G155" s="18" t="s">
        <v>303</v>
      </c>
      <c r="H155" s="18"/>
      <c r="I155" s="18"/>
      <c r="J155" s="18" t="s">
        <v>888</v>
      </c>
      <c r="K155" s="18"/>
      <c r="L155" s="18"/>
      <c r="M155" s="18" t="s">
        <v>287</v>
      </c>
      <c r="N155" s="18"/>
      <c r="O155" s="18"/>
    </row>
    <row r="156" spans="1:15" x14ac:dyDescent="0.15">
      <c r="A156" s="19" t="s">
        <v>921</v>
      </c>
      <c r="B156" s="19" t="s">
        <v>922</v>
      </c>
      <c r="C156" s="19" t="s">
        <v>923</v>
      </c>
      <c r="D156" s="19" t="s">
        <v>924</v>
      </c>
      <c r="E156" s="19" t="s">
        <v>284</v>
      </c>
      <c r="F156" s="19" t="s">
        <v>312</v>
      </c>
      <c r="G156" s="19" t="s">
        <v>333</v>
      </c>
      <c r="H156" s="19"/>
      <c r="I156" s="19"/>
      <c r="J156" s="19" t="s">
        <v>888</v>
      </c>
      <c r="K156" s="19"/>
      <c r="L156" s="19"/>
      <c r="M156" s="19" t="s">
        <v>287</v>
      </c>
      <c r="N156" s="19"/>
      <c r="O156" s="19"/>
    </row>
    <row r="157" spans="1:15" x14ac:dyDescent="0.15">
      <c r="A157" s="18" t="s">
        <v>925</v>
      </c>
      <c r="B157" s="18" t="s">
        <v>926</v>
      </c>
      <c r="C157" s="18" t="s">
        <v>927</v>
      </c>
      <c r="D157" s="18" t="s">
        <v>928</v>
      </c>
      <c r="E157" s="18" t="s">
        <v>284</v>
      </c>
      <c r="F157" s="18" t="s">
        <v>303</v>
      </c>
      <c r="G157" s="18" t="s">
        <v>303</v>
      </c>
      <c r="H157" s="18"/>
      <c r="I157" s="18"/>
      <c r="J157" s="18" t="s">
        <v>888</v>
      </c>
      <c r="K157" s="18"/>
      <c r="L157" s="18"/>
      <c r="M157" s="18" t="s">
        <v>287</v>
      </c>
      <c r="N157" s="18"/>
      <c r="O157" s="18"/>
    </row>
    <row r="158" spans="1:15" x14ac:dyDescent="0.15">
      <c r="A158" s="19" t="s">
        <v>929</v>
      </c>
      <c r="B158" s="19" t="s">
        <v>930</v>
      </c>
      <c r="C158" s="19" t="s">
        <v>931</v>
      </c>
      <c r="D158" s="19" t="s">
        <v>932</v>
      </c>
      <c r="E158" s="19" t="s">
        <v>284</v>
      </c>
      <c r="F158" s="19" t="s">
        <v>327</v>
      </c>
      <c r="G158" s="19" t="s">
        <v>328</v>
      </c>
      <c r="H158" s="19"/>
      <c r="I158" s="19"/>
      <c r="J158" s="19" t="s">
        <v>888</v>
      </c>
      <c r="K158" s="19"/>
      <c r="L158" s="19"/>
      <c r="M158" s="19" t="s">
        <v>287</v>
      </c>
      <c r="N158" s="19"/>
      <c r="O158" s="19"/>
    </row>
    <row r="159" spans="1:15" x14ac:dyDescent="0.15">
      <c r="A159" s="18" t="s">
        <v>933</v>
      </c>
      <c r="B159" s="18" t="s">
        <v>934</v>
      </c>
      <c r="C159" s="18" t="s">
        <v>935</v>
      </c>
      <c r="D159" s="18" t="s">
        <v>936</v>
      </c>
      <c r="E159" s="18" t="s">
        <v>284</v>
      </c>
      <c r="F159" s="18" t="s">
        <v>318</v>
      </c>
      <c r="G159" s="18" t="s">
        <v>318</v>
      </c>
      <c r="H159" s="18"/>
      <c r="I159" s="18"/>
      <c r="J159" s="18" t="s">
        <v>888</v>
      </c>
      <c r="K159" s="18"/>
      <c r="L159" s="18"/>
      <c r="M159" s="18" t="s">
        <v>287</v>
      </c>
      <c r="N159" s="18"/>
      <c r="O159" s="18"/>
    </row>
    <row r="160" spans="1:15" x14ac:dyDescent="0.15">
      <c r="A160" s="19" t="s">
        <v>937</v>
      </c>
      <c r="B160" s="19" t="s">
        <v>938</v>
      </c>
      <c r="C160" s="19" t="s">
        <v>939</v>
      </c>
      <c r="D160" s="19" t="s">
        <v>940</v>
      </c>
      <c r="E160" s="19" t="s">
        <v>284</v>
      </c>
      <c r="F160" s="19" t="s">
        <v>298</v>
      </c>
      <c r="G160" s="19" t="s">
        <v>298</v>
      </c>
      <c r="H160" s="19"/>
      <c r="I160" s="19"/>
      <c r="J160" s="19" t="s">
        <v>888</v>
      </c>
      <c r="K160" s="19"/>
      <c r="L160" s="19"/>
      <c r="M160" s="19" t="s">
        <v>287</v>
      </c>
      <c r="N160" s="19"/>
      <c r="O160" s="19"/>
    </row>
    <row r="161" spans="1:15" x14ac:dyDescent="0.15">
      <c r="A161" s="18" t="s">
        <v>941</v>
      </c>
      <c r="B161" s="18" t="s">
        <v>942</v>
      </c>
      <c r="C161" s="18" t="s">
        <v>943</v>
      </c>
      <c r="D161" s="18" t="s">
        <v>944</v>
      </c>
      <c r="E161" s="18" t="s">
        <v>284</v>
      </c>
      <c r="F161" s="18" t="s">
        <v>327</v>
      </c>
      <c r="G161" s="18" t="s">
        <v>328</v>
      </c>
      <c r="H161" s="18"/>
      <c r="I161" s="18"/>
      <c r="J161" s="18" t="s">
        <v>888</v>
      </c>
      <c r="K161" s="18"/>
      <c r="L161" s="18"/>
      <c r="M161" s="18" t="s">
        <v>287</v>
      </c>
      <c r="N161" s="18"/>
      <c r="O161" s="18"/>
    </row>
    <row r="162" spans="1:15" x14ac:dyDescent="0.15">
      <c r="A162" s="19" t="s">
        <v>945</v>
      </c>
      <c r="B162" s="19" t="s">
        <v>946</v>
      </c>
      <c r="C162" s="19" t="s">
        <v>947</v>
      </c>
      <c r="D162" s="19" t="s">
        <v>948</v>
      </c>
      <c r="E162" s="19" t="s">
        <v>284</v>
      </c>
      <c r="F162" s="19" t="s">
        <v>637</v>
      </c>
      <c r="G162" s="19" t="s">
        <v>949</v>
      </c>
      <c r="H162" s="19"/>
      <c r="I162" s="19"/>
      <c r="J162" s="19" t="s">
        <v>888</v>
      </c>
      <c r="K162" s="19"/>
      <c r="L162" s="19"/>
      <c r="M162" s="19" t="s">
        <v>287</v>
      </c>
      <c r="N162" s="19"/>
      <c r="O162" s="19"/>
    </row>
    <row r="163" spans="1:15" x14ac:dyDescent="0.15">
      <c r="A163" s="18" t="s">
        <v>950</v>
      </c>
      <c r="B163" s="18" t="s">
        <v>951</v>
      </c>
      <c r="C163" s="18" t="s">
        <v>952</v>
      </c>
      <c r="D163" s="18" t="s">
        <v>953</v>
      </c>
      <c r="E163" s="18" t="s">
        <v>284</v>
      </c>
      <c r="F163" s="18" t="s">
        <v>318</v>
      </c>
      <c r="G163" s="18" t="s">
        <v>318</v>
      </c>
      <c r="H163" s="18"/>
      <c r="I163" s="18"/>
      <c r="J163" s="18" t="s">
        <v>888</v>
      </c>
      <c r="K163" s="18"/>
      <c r="L163" s="18"/>
      <c r="M163" s="18" t="s">
        <v>287</v>
      </c>
      <c r="N163" s="18"/>
      <c r="O163" s="18"/>
    </row>
    <row r="164" spans="1:15" x14ac:dyDescent="0.15">
      <c r="A164" s="19" t="s">
        <v>954</v>
      </c>
      <c r="B164" s="19" t="s">
        <v>955</v>
      </c>
      <c r="C164" s="19" t="s">
        <v>956</v>
      </c>
      <c r="D164" s="19" t="s">
        <v>957</v>
      </c>
      <c r="E164" s="19" t="s">
        <v>284</v>
      </c>
      <c r="F164" s="19" t="s">
        <v>327</v>
      </c>
      <c r="G164" s="19" t="s">
        <v>347</v>
      </c>
      <c r="H164" s="19"/>
      <c r="I164" s="19"/>
      <c r="J164" s="19" t="s">
        <v>888</v>
      </c>
      <c r="K164" s="19"/>
      <c r="L164" s="19"/>
      <c r="M164" s="19" t="s">
        <v>287</v>
      </c>
      <c r="N164" s="19"/>
      <c r="O164" s="19"/>
    </row>
    <row r="165" spans="1:15" x14ac:dyDescent="0.15">
      <c r="A165" s="18" t="s">
        <v>958</v>
      </c>
      <c r="B165" s="18" t="s">
        <v>959</v>
      </c>
      <c r="C165" s="18" t="s">
        <v>960</v>
      </c>
      <c r="D165" s="18" t="s">
        <v>961</v>
      </c>
      <c r="E165" s="18" t="s">
        <v>284</v>
      </c>
      <c r="F165" s="18" t="s">
        <v>318</v>
      </c>
      <c r="G165" s="18" t="s">
        <v>318</v>
      </c>
      <c r="H165" s="18"/>
      <c r="I165" s="18"/>
      <c r="J165" s="18" t="s">
        <v>888</v>
      </c>
      <c r="K165" s="18"/>
      <c r="L165" s="18"/>
      <c r="M165" s="18" t="s">
        <v>287</v>
      </c>
      <c r="N165" s="18"/>
      <c r="O165" s="18"/>
    </row>
    <row r="166" spans="1:15" x14ac:dyDescent="0.15">
      <c r="A166" s="19" t="s">
        <v>962</v>
      </c>
      <c r="B166" s="19" t="s">
        <v>963</v>
      </c>
      <c r="C166" s="19" t="s">
        <v>964</v>
      </c>
      <c r="D166" s="19" t="s">
        <v>965</v>
      </c>
      <c r="E166" s="19" t="s">
        <v>284</v>
      </c>
      <c r="F166" s="19" t="s">
        <v>327</v>
      </c>
      <c r="G166" s="19" t="s">
        <v>328</v>
      </c>
      <c r="H166" s="19"/>
      <c r="I166" s="19"/>
      <c r="J166" s="19" t="s">
        <v>888</v>
      </c>
      <c r="K166" s="19"/>
      <c r="L166" s="19"/>
      <c r="M166" s="19" t="s">
        <v>287</v>
      </c>
      <c r="N166" s="19"/>
      <c r="O166" s="19"/>
    </row>
    <row r="167" spans="1:15" x14ac:dyDescent="0.15">
      <c r="A167" s="18" t="s">
        <v>966</v>
      </c>
      <c r="B167" s="18" t="s">
        <v>967</v>
      </c>
      <c r="C167" s="18" t="s">
        <v>968</v>
      </c>
      <c r="D167" s="18" t="s">
        <v>969</v>
      </c>
      <c r="E167" s="18" t="s">
        <v>284</v>
      </c>
      <c r="F167" s="18" t="s">
        <v>318</v>
      </c>
      <c r="G167" s="18" t="s">
        <v>318</v>
      </c>
      <c r="H167" s="18"/>
      <c r="I167" s="18"/>
      <c r="J167" s="18" t="s">
        <v>888</v>
      </c>
      <c r="K167" s="18"/>
      <c r="L167" s="18"/>
      <c r="M167" s="18" t="s">
        <v>287</v>
      </c>
      <c r="N167" s="18"/>
      <c r="O167" s="18"/>
    </row>
    <row r="168" spans="1:15" x14ac:dyDescent="0.15">
      <c r="A168" s="19" t="s">
        <v>970</v>
      </c>
      <c r="B168" s="19" t="s">
        <v>971</v>
      </c>
      <c r="C168" s="19" t="s">
        <v>972</v>
      </c>
      <c r="D168" s="19" t="s">
        <v>973</v>
      </c>
      <c r="E168" s="19" t="s">
        <v>284</v>
      </c>
      <c r="F168" s="19" t="s">
        <v>327</v>
      </c>
      <c r="G168" s="19" t="s">
        <v>328</v>
      </c>
      <c r="H168" s="19"/>
      <c r="I168" s="19"/>
      <c r="J168" s="19" t="s">
        <v>888</v>
      </c>
      <c r="K168" s="19"/>
      <c r="L168" s="19"/>
      <c r="M168" s="19" t="s">
        <v>287</v>
      </c>
      <c r="N168" s="19"/>
      <c r="O168" s="19"/>
    </row>
    <row r="169" spans="1:15" x14ac:dyDescent="0.15">
      <c r="A169" s="18" t="s">
        <v>974</v>
      </c>
      <c r="B169" s="18" t="s">
        <v>975</v>
      </c>
      <c r="C169" s="18" t="s">
        <v>976</v>
      </c>
      <c r="D169" s="18" t="s">
        <v>977</v>
      </c>
      <c r="E169" s="18" t="s">
        <v>284</v>
      </c>
      <c r="F169" s="18" t="s">
        <v>285</v>
      </c>
      <c r="G169" s="18" t="s">
        <v>286</v>
      </c>
      <c r="H169" s="18"/>
      <c r="I169" s="18"/>
      <c r="J169" s="18" t="s">
        <v>888</v>
      </c>
      <c r="K169" s="18"/>
      <c r="L169" s="18"/>
      <c r="M169" s="18" t="s">
        <v>287</v>
      </c>
      <c r="N169" s="18"/>
      <c r="O169" s="18"/>
    </row>
  </sheetData>
  <mergeCells count="1">
    <mergeCell ref="A1:O1"/>
  </mergeCells>
  <dataValidations count="3">
    <dataValidation type="list" allowBlank="1" sqref="H3:H52 J3:K52" xr:uid="{00000000-0002-0000-0200-000000000000}">
      <formula1>"Yes,No"</formula1>
      <formula2>0</formula2>
    </dataValidation>
    <dataValidation type="list" allowBlank="1" sqref="I3:I52" xr:uid="{00000000-0002-0000-0200-000001000000}">
      <formula1>"Deep Review,Light Screen,Pending"</formula1>
      <formula2>0</formula2>
    </dataValidation>
    <dataValidation type="list" allowBlank="1" sqref="L3:L52" xr:uid="{00000000-0002-0000-0200-000002000000}">
      <formula1>"Not Started,Light Screen In Progress,Light Screen Complete,Deep Review In Progress,Deep Review Complete"</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5"/>
  <sheetViews>
    <sheetView showGridLines="0" zoomScaleNormal="100" workbookViewId="0">
      <pane xSplit="2" ySplit="3" topLeftCell="C4" activePane="bottomRight" state="frozen"/>
      <selection pane="topRight" activeCell="C1" sqref="C1"/>
      <selection pane="bottomLeft" activeCell="A4" sqref="A4"/>
      <selection pane="bottomRight" activeCell="G6" sqref="G6"/>
    </sheetView>
  </sheetViews>
  <sheetFormatPr baseColWidth="10" defaultColWidth="8.6640625" defaultRowHeight="14" x14ac:dyDescent="0.15"/>
  <cols>
    <col min="1" max="1" width="28" style="1" customWidth="1"/>
    <col min="2" max="2" width="12" style="1" customWidth="1"/>
    <col min="3" max="3" width="20" style="1" customWidth="1"/>
    <col min="4" max="4" width="22" style="1" customWidth="1"/>
    <col min="5" max="6" width="24" style="1" customWidth="1"/>
    <col min="7" max="7" width="16" style="1" customWidth="1"/>
    <col min="8" max="8" width="36" style="1" customWidth="1"/>
    <col min="9" max="9" width="8.6640625" style="1" customWidth="1"/>
    <col min="10" max="16384" width="8.6640625" style="1"/>
  </cols>
  <sheetData>
    <row r="1" spans="1:10" ht="27.75" customHeight="1" x14ac:dyDescent="0.15">
      <c r="A1" s="56" t="s">
        <v>978</v>
      </c>
      <c r="B1" s="57"/>
      <c r="C1" s="57"/>
      <c r="D1" s="57"/>
      <c r="E1" s="57"/>
      <c r="F1" s="57"/>
      <c r="G1" s="57"/>
      <c r="H1" s="57"/>
      <c r="I1" s="57"/>
      <c r="J1" s="57"/>
    </row>
    <row r="3" spans="1:10" ht="21.75" customHeight="1" x14ac:dyDescent="0.15">
      <c r="A3" s="58" t="s">
        <v>979</v>
      </c>
      <c r="B3" s="57"/>
      <c r="C3" s="57"/>
      <c r="D3" s="57"/>
      <c r="E3" s="57"/>
      <c r="F3" s="57"/>
      <c r="G3" s="57"/>
      <c r="H3" s="57"/>
    </row>
    <row r="4" spans="1:10" ht="30" customHeight="1" x14ac:dyDescent="0.15">
      <c r="A4" s="20" t="s">
        <v>980</v>
      </c>
      <c r="B4" s="20" t="s">
        <v>114</v>
      </c>
      <c r="C4" s="20" t="s">
        <v>981</v>
      </c>
      <c r="D4" s="20" t="s">
        <v>982</v>
      </c>
      <c r="E4" s="20" t="s">
        <v>983</v>
      </c>
      <c r="F4" s="20" t="s">
        <v>225</v>
      </c>
      <c r="G4" s="20" t="s">
        <v>984</v>
      </c>
      <c r="H4" s="20" t="s">
        <v>985</v>
      </c>
    </row>
    <row r="5" spans="1:10" ht="15.75" customHeight="1" x14ac:dyDescent="0.15">
      <c r="A5" s="18" t="str">
        <f t="array" ref="A5">IFERROR(_xlfn._xlws.FILTER('RAG Screening Sheet'!A7:A56,'RAG Screening Sheet'!DU7:DU56="Exclusion Risk"),"")</f>
        <v/>
      </c>
      <c r="B5" s="18" t="str">
        <f t="array" ref="B5">IFERROR(_xlfn._xlws.FILTER('RAG Screening Sheet'!B7:B56,'RAG Screening Sheet'!DU7:DU56="Exclusion Risk"),"")</f>
        <v/>
      </c>
      <c r="C5" s="18" t="str">
        <f t="array" ref="C5">IFERROR(_xlfn._xlws.FILTER('RAG Screening Sheet'!DB7:DB56,'RAG Screening Sheet'!DU7:DU56="Exclusion Risk"),"")</f>
        <v/>
      </c>
      <c r="D5" s="18" t="str">
        <f t="array" ref="D5">IFERROR(_xlfn._xlws.FILTER('RAG Screening Sheet'!DD7:DD56,'RAG Screening Sheet'!DU7:DU56="Exclusion Risk"),"")</f>
        <v/>
      </c>
      <c r="E5" s="18" t="str">
        <f t="array" ref="E5">IFERROR(_xlfn._xlws.FILTER('RAG Screening Sheet'!DE7:DE56,'RAG Screening Sheet'!DU7:DU56="Exclusion Risk"),"")</f>
        <v/>
      </c>
      <c r="F5" s="18" t="str">
        <f t="array" ref="F5">IFERROR(_xlfn._xlws.FILTER('RAG Screening Sheet'!DI7:DI56,'RAG Screening Sheet'!DU7:DU56="Exclusion Risk"),"")</f>
        <v/>
      </c>
      <c r="G5" s="18" t="str">
        <f t="array" ref="G5">IFERROR(_xlfn._xlws.FILTER('RAG Screening Sheet'!DJ7:DJ56,'RAG Screening Sheet'!DU7:DU56="Exclusion Risk"),"")</f>
        <v/>
      </c>
      <c r="H5" s="18"/>
    </row>
    <row r="6" spans="1:10" ht="15.75" customHeight="1" x14ac:dyDescent="0.15">
      <c r="A6" s="18"/>
      <c r="B6" s="18"/>
      <c r="C6" s="18"/>
      <c r="D6" s="18"/>
      <c r="E6" s="18"/>
      <c r="F6" s="18"/>
      <c r="G6" s="18"/>
      <c r="H6" s="18"/>
    </row>
    <row r="7" spans="1:10" ht="15.75" customHeight="1" x14ac:dyDescent="0.15">
      <c r="A7" s="18"/>
      <c r="B7" s="18"/>
      <c r="C7" s="18"/>
      <c r="D7" s="18"/>
      <c r="E7" s="18"/>
      <c r="F7" s="18"/>
      <c r="G7" s="18"/>
      <c r="H7" s="18"/>
    </row>
    <row r="8" spans="1:10" ht="15.75" customHeight="1" x14ac:dyDescent="0.15">
      <c r="A8" s="18"/>
      <c r="B8" s="18"/>
      <c r="C8" s="18"/>
      <c r="D8" s="18"/>
      <c r="E8" s="18"/>
      <c r="F8" s="18"/>
      <c r="G8" s="18"/>
      <c r="H8" s="18"/>
    </row>
    <row r="9" spans="1:10" ht="15.75" customHeight="1" x14ac:dyDescent="0.15">
      <c r="A9" s="18"/>
      <c r="B9" s="18"/>
      <c r="C9" s="18"/>
      <c r="D9" s="18"/>
      <c r="E9" s="18"/>
      <c r="F9" s="18"/>
      <c r="G9" s="18"/>
      <c r="H9" s="18"/>
    </row>
    <row r="10" spans="1:10" ht="15.75" customHeight="1" x14ac:dyDescent="0.15">
      <c r="A10" s="18"/>
      <c r="B10" s="18"/>
      <c r="C10" s="18"/>
      <c r="D10" s="18"/>
      <c r="E10" s="18"/>
      <c r="F10" s="18"/>
      <c r="G10" s="18"/>
      <c r="H10" s="18"/>
    </row>
    <row r="11" spans="1:10" ht="15.75" customHeight="1" x14ac:dyDescent="0.15">
      <c r="A11" s="18"/>
      <c r="B11" s="18"/>
      <c r="C11" s="18"/>
      <c r="D11" s="18"/>
      <c r="E11" s="18"/>
      <c r="F11" s="18"/>
      <c r="G11" s="18"/>
      <c r="H11" s="18"/>
    </row>
    <row r="12" spans="1:10" ht="15.75" customHeight="1" x14ac:dyDescent="0.15">
      <c r="A12" s="18"/>
      <c r="B12" s="18"/>
      <c r="C12" s="18"/>
      <c r="D12" s="18"/>
      <c r="E12" s="18"/>
      <c r="F12" s="18"/>
      <c r="G12" s="18"/>
      <c r="H12" s="18"/>
    </row>
    <row r="13" spans="1:10" ht="15.75" customHeight="1" x14ac:dyDescent="0.15">
      <c r="A13" s="18"/>
      <c r="B13" s="18"/>
      <c r="C13" s="18"/>
      <c r="D13" s="18"/>
      <c r="E13" s="18"/>
      <c r="F13" s="18"/>
      <c r="G13" s="18"/>
      <c r="H13" s="18"/>
    </row>
    <row r="14" spans="1:10" ht="15.75" customHeight="1" x14ac:dyDescent="0.15">
      <c r="A14" s="18"/>
      <c r="B14" s="18"/>
      <c r="C14" s="18"/>
      <c r="D14" s="18"/>
      <c r="E14" s="18"/>
      <c r="F14" s="18"/>
      <c r="G14" s="18"/>
      <c r="H14" s="18"/>
    </row>
    <row r="15" spans="1:10" ht="15.75" customHeight="1" x14ac:dyDescent="0.15">
      <c r="A15" s="18"/>
      <c r="B15" s="18"/>
      <c r="C15" s="18"/>
      <c r="D15" s="18"/>
      <c r="E15" s="18"/>
      <c r="F15" s="18"/>
      <c r="G15" s="18"/>
      <c r="H15" s="18"/>
    </row>
    <row r="16" spans="1:10" ht="15.75" customHeight="1" x14ac:dyDescent="0.15">
      <c r="A16" s="18"/>
      <c r="B16" s="18"/>
      <c r="C16" s="18"/>
      <c r="D16" s="18"/>
      <c r="E16" s="18"/>
      <c r="F16" s="18"/>
      <c r="G16" s="18"/>
      <c r="H16" s="18"/>
    </row>
    <row r="17" spans="1:8" ht="15.75" customHeight="1" x14ac:dyDescent="0.15">
      <c r="A17" s="18"/>
      <c r="B17" s="18"/>
      <c r="C17" s="18"/>
      <c r="D17" s="18"/>
      <c r="E17" s="18"/>
      <c r="F17" s="18"/>
      <c r="G17" s="18"/>
      <c r="H17" s="18"/>
    </row>
    <row r="18" spans="1:8" ht="15.75" customHeight="1" x14ac:dyDescent="0.15">
      <c r="A18" s="18"/>
      <c r="B18" s="18"/>
      <c r="C18" s="18"/>
      <c r="D18" s="18"/>
      <c r="E18" s="18"/>
      <c r="F18" s="18"/>
      <c r="G18" s="18"/>
      <c r="H18" s="18"/>
    </row>
    <row r="19" spans="1:8" ht="15.75" customHeight="1" x14ac:dyDescent="0.15">
      <c r="A19" s="18"/>
      <c r="B19" s="18"/>
      <c r="C19" s="18"/>
      <c r="D19" s="18"/>
      <c r="E19" s="18"/>
      <c r="F19" s="18"/>
      <c r="G19" s="18"/>
      <c r="H19" s="18"/>
    </row>
    <row r="20" spans="1:8" ht="15.75" customHeight="1" x14ac:dyDescent="0.15">
      <c r="A20" s="18"/>
      <c r="B20" s="18"/>
      <c r="C20" s="18"/>
      <c r="D20" s="18"/>
      <c r="E20" s="18"/>
      <c r="F20" s="18"/>
      <c r="G20" s="18"/>
      <c r="H20" s="18"/>
    </row>
    <row r="21" spans="1:8" ht="15.75" customHeight="1" x14ac:dyDescent="0.15">
      <c r="A21" s="18"/>
      <c r="B21" s="18"/>
      <c r="C21" s="18"/>
      <c r="D21" s="18"/>
      <c r="E21" s="18"/>
      <c r="F21" s="18"/>
      <c r="G21" s="18"/>
      <c r="H21" s="18"/>
    </row>
    <row r="22" spans="1:8" ht="15.75" customHeight="1" x14ac:dyDescent="0.15">
      <c r="A22" s="18"/>
      <c r="B22" s="18"/>
      <c r="C22" s="18"/>
      <c r="D22" s="18"/>
      <c r="E22" s="18"/>
      <c r="F22" s="18"/>
      <c r="G22" s="18"/>
      <c r="H22" s="18"/>
    </row>
    <row r="23" spans="1:8" ht="15.75" customHeight="1" x14ac:dyDescent="0.15">
      <c r="A23" s="18"/>
      <c r="B23" s="18"/>
      <c r="C23" s="18"/>
      <c r="D23" s="18"/>
      <c r="E23" s="18"/>
      <c r="F23" s="18"/>
      <c r="G23" s="18"/>
      <c r="H23" s="18"/>
    </row>
    <row r="24" spans="1:8" ht="15.75" customHeight="1" x14ac:dyDescent="0.15">
      <c r="A24" s="18"/>
      <c r="B24" s="18"/>
      <c r="C24" s="18"/>
      <c r="D24" s="18"/>
      <c r="E24" s="18"/>
      <c r="F24" s="18"/>
      <c r="G24" s="18"/>
      <c r="H24" s="18"/>
    </row>
    <row r="25" spans="1:8" ht="15.75" customHeight="1" x14ac:dyDescent="0.15">
      <c r="A25" s="18"/>
      <c r="B25" s="18"/>
      <c r="C25" s="18"/>
      <c r="D25" s="18"/>
      <c r="E25" s="18"/>
      <c r="F25" s="18"/>
      <c r="G25" s="18"/>
      <c r="H25" s="18"/>
    </row>
    <row r="28" spans="1:8" ht="21.75" customHeight="1" x14ac:dyDescent="0.15">
      <c r="A28" s="58" t="s">
        <v>986</v>
      </c>
      <c r="B28" s="57"/>
      <c r="C28" s="57"/>
      <c r="D28" s="57"/>
      <c r="E28" s="57"/>
      <c r="F28" s="57"/>
      <c r="G28" s="57"/>
      <c r="H28" s="57"/>
    </row>
    <row r="29" spans="1:8" ht="30" customHeight="1" x14ac:dyDescent="0.15">
      <c r="A29" s="21" t="s">
        <v>980</v>
      </c>
      <c r="B29" s="21" t="s">
        <v>114</v>
      </c>
      <c r="C29" s="21" t="s">
        <v>987</v>
      </c>
      <c r="D29" s="21" t="s">
        <v>988</v>
      </c>
      <c r="E29" s="21" t="s">
        <v>989</v>
      </c>
      <c r="F29" s="21" t="s">
        <v>990</v>
      </c>
      <c r="G29" s="21" t="s">
        <v>991</v>
      </c>
      <c r="H29" s="21" t="s">
        <v>241</v>
      </c>
    </row>
    <row r="30" spans="1:8" ht="15.75" customHeight="1" x14ac:dyDescent="0.15">
      <c r="A30" s="18" t="str">
        <f t="array" ref="A30">IFERROR(_xlfn._xlws.FILTER('RAG Screening Sheet'!A7:A56,'RAG Screening Sheet'!DU7:DU56="Watchlist"),"")</f>
        <v/>
      </c>
      <c r="B30" s="18" t="str">
        <f t="array" ref="B30">IFERROR(_xlfn._xlws.FILTER('RAG Screening Sheet'!B7:B56,'RAG Screening Sheet'!DU7:DU56="Watchlist"),"")</f>
        <v/>
      </c>
      <c r="C30" s="18" t="str">
        <f t="array" ref="C30">IFERROR(_xlfn._xlws.FILTER('RAG Screening Sheet'!DX7:DX56,'RAG Screening Sheet'!DU7:DU56="Watchlist"),"")</f>
        <v/>
      </c>
      <c r="D30" s="18" t="str">
        <f t="array" ref="D30">IFERROR(_xlfn._xlws.FILTER('RAG Screening Sheet'!CV7:CV56,'RAG Screening Sheet'!DU7:DU56="Watchlist"),"")</f>
        <v/>
      </c>
      <c r="E30" s="18" t="str">
        <f t="array" ref="E30">IFERROR(_xlfn._xlws.FILTER('RAG Screening Sheet'!CU7:CU56,'RAG Screening Sheet'!DU7:DU56="Watchlist"),"")</f>
        <v/>
      </c>
      <c r="F30" s="18" t="str">
        <f t="array" ref="F30">IFERROR(_xlfn._xlws.FILTER('RAG Screening Sheet'!AS7:AS56,'RAG Screening Sheet'!DU7:DU56="Watchlist"),"")</f>
        <v/>
      </c>
      <c r="G30" s="18" t="str">
        <f t="array" ref="G30">IFERROR(_xlfn._xlws.FILTER('RAG Screening Sheet'!BF7:BF56,'RAG Screening Sheet'!DU7:DU56="Watchlist"),"")</f>
        <v/>
      </c>
      <c r="H30" s="18" t="str">
        <f t="array" ref="H30">IFERROR(_xlfn._xlws.FILTER('RAG Screening Sheet'!DY7:DY56,'RAG Screening Sheet'!DU7:DU56="Watchlist"),"")</f>
        <v/>
      </c>
    </row>
    <row r="31" spans="1:8" ht="15.75" customHeight="1" x14ac:dyDescent="0.15">
      <c r="A31" s="18"/>
      <c r="B31" s="18"/>
      <c r="C31" s="18"/>
      <c r="D31" s="18"/>
      <c r="E31" s="18"/>
      <c r="F31" s="18"/>
      <c r="G31" s="18"/>
      <c r="H31" s="18"/>
    </row>
    <row r="32" spans="1:8" ht="15.75" customHeight="1" x14ac:dyDescent="0.15">
      <c r="A32" s="18"/>
      <c r="B32" s="18"/>
      <c r="C32" s="18"/>
      <c r="D32" s="18"/>
      <c r="E32" s="18"/>
      <c r="F32" s="18"/>
      <c r="G32" s="18"/>
      <c r="H32" s="18"/>
    </row>
    <row r="33" spans="1:8" ht="15.75" customHeight="1" x14ac:dyDescent="0.15">
      <c r="A33" s="18"/>
      <c r="B33" s="18"/>
      <c r="C33" s="18"/>
      <c r="D33" s="18"/>
      <c r="E33" s="18"/>
      <c r="F33" s="18"/>
      <c r="G33" s="18"/>
      <c r="H33" s="18"/>
    </row>
    <row r="34" spans="1:8" ht="15.75" customHeight="1" x14ac:dyDescent="0.15">
      <c r="A34" s="18"/>
      <c r="B34" s="18"/>
      <c r="C34" s="18"/>
      <c r="D34" s="18"/>
      <c r="E34" s="18"/>
      <c r="F34" s="18"/>
      <c r="G34" s="18"/>
      <c r="H34" s="18"/>
    </row>
    <row r="35" spans="1:8" ht="15.75" customHeight="1" x14ac:dyDescent="0.15">
      <c r="A35" s="18"/>
      <c r="B35" s="18"/>
      <c r="C35" s="18"/>
      <c r="D35" s="18"/>
      <c r="E35" s="18"/>
      <c r="F35" s="18"/>
      <c r="G35" s="18"/>
      <c r="H35" s="18"/>
    </row>
    <row r="36" spans="1:8" ht="15.75" customHeight="1" x14ac:dyDescent="0.15">
      <c r="A36" s="18"/>
      <c r="B36" s="18"/>
      <c r="C36" s="18"/>
      <c r="D36" s="18"/>
      <c r="E36" s="18"/>
      <c r="F36" s="18"/>
      <c r="G36" s="18"/>
      <c r="H36" s="18"/>
    </row>
    <row r="37" spans="1:8" ht="15.75" customHeight="1" x14ac:dyDescent="0.15">
      <c r="A37" s="18"/>
      <c r="B37" s="18"/>
      <c r="C37" s="18"/>
      <c r="D37" s="18"/>
      <c r="E37" s="18"/>
      <c r="F37" s="18"/>
      <c r="G37" s="18"/>
      <c r="H37" s="18"/>
    </row>
    <row r="38" spans="1:8" ht="15.75" customHeight="1" x14ac:dyDescent="0.15">
      <c r="A38" s="18"/>
      <c r="B38" s="18"/>
      <c r="C38" s="18"/>
      <c r="D38" s="18"/>
      <c r="E38" s="18"/>
      <c r="F38" s="18"/>
      <c r="G38" s="18"/>
      <c r="H38" s="18"/>
    </row>
    <row r="39" spans="1:8" ht="15.75" customHeight="1" x14ac:dyDescent="0.15">
      <c r="A39" s="18"/>
      <c r="B39" s="18"/>
      <c r="C39" s="18"/>
      <c r="D39" s="18"/>
      <c r="E39" s="18"/>
      <c r="F39" s="18"/>
      <c r="G39" s="18"/>
      <c r="H39" s="18"/>
    </row>
    <row r="40" spans="1:8" ht="15.75" customHeight="1" x14ac:dyDescent="0.15">
      <c r="A40" s="18"/>
      <c r="B40" s="18"/>
      <c r="C40" s="18"/>
      <c r="D40" s="18"/>
      <c r="E40" s="18"/>
      <c r="F40" s="18"/>
      <c r="G40" s="18"/>
      <c r="H40" s="18"/>
    </row>
    <row r="41" spans="1:8" ht="15.75" customHeight="1" x14ac:dyDescent="0.15">
      <c r="A41" s="18"/>
      <c r="B41" s="18"/>
      <c r="C41" s="18"/>
      <c r="D41" s="18"/>
      <c r="E41" s="18"/>
      <c r="F41" s="18"/>
      <c r="G41" s="18"/>
      <c r="H41" s="18"/>
    </row>
    <row r="42" spans="1:8" ht="15.75" customHeight="1" x14ac:dyDescent="0.15">
      <c r="A42" s="18"/>
      <c r="B42" s="18"/>
      <c r="C42" s="18"/>
      <c r="D42" s="18"/>
      <c r="E42" s="18"/>
      <c r="F42" s="18"/>
      <c r="G42" s="18"/>
      <c r="H42" s="18"/>
    </row>
    <row r="43" spans="1:8" ht="15.75" customHeight="1" x14ac:dyDescent="0.15">
      <c r="A43" s="18"/>
      <c r="B43" s="18"/>
      <c r="C43" s="18"/>
      <c r="D43" s="18"/>
      <c r="E43" s="18"/>
      <c r="F43" s="18"/>
      <c r="G43" s="18"/>
      <c r="H43" s="18"/>
    </row>
    <row r="44" spans="1:8" ht="15.75" customHeight="1" x14ac:dyDescent="0.15">
      <c r="A44" s="18"/>
      <c r="B44" s="18"/>
      <c r="C44" s="18"/>
      <c r="D44" s="18"/>
      <c r="E44" s="18"/>
      <c r="F44" s="18"/>
      <c r="G44" s="18"/>
      <c r="H44" s="18"/>
    </row>
    <row r="45" spans="1:8" ht="15.75" customHeight="1" x14ac:dyDescent="0.15">
      <c r="A45" s="18"/>
      <c r="B45" s="18"/>
      <c r="C45" s="18"/>
      <c r="D45" s="18"/>
      <c r="E45" s="18"/>
      <c r="F45" s="18"/>
      <c r="G45" s="18"/>
      <c r="H45" s="18"/>
    </row>
    <row r="46" spans="1:8" ht="15.75" customHeight="1" x14ac:dyDescent="0.15">
      <c r="A46" s="18"/>
      <c r="B46" s="18"/>
      <c r="C46" s="18"/>
      <c r="D46" s="18"/>
      <c r="E46" s="18"/>
      <c r="F46" s="18"/>
      <c r="G46" s="18"/>
      <c r="H46" s="18"/>
    </row>
    <row r="47" spans="1:8" ht="15.75" customHeight="1" x14ac:dyDescent="0.15">
      <c r="A47" s="18"/>
      <c r="B47" s="18"/>
      <c r="C47" s="18"/>
      <c r="D47" s="18"/>
      <c r="E47" s="18"/>
      <c r="F47" s="18"/>
      <c r="G47" s="18"/>
      <c r="H47" s="18"/>
    </row>
    <row r="48" spans="1:8" ht="15.75" customHeight="1" x14ac:dyDescent="0.15">
      <c r="A48" s="18"/>
      <c r="B48" s="18"/>
      <c r="C48" s="18"/>
      <c r="D48" s="18"/>
      <c r="E48" s="18"/>
      <c r="F48" s="18"/>
      <c r="G48" s="18"/>
      <c r="H48" s="18"/>
    </row>
    <row r="49" spans="1:8" ht="15.75" customHeight="1" x14ac:dyDescent="0.15">
      <c r="A49" s="18"/>
      <c r="B49" s="18"/>
      <c r="C49" s="18"/>
      <c r="D49" s="18"/>
      <c r="E49" s="18"/>
      <c r="F49" s="18"/>
      <c r="G49" s="18"/>
      <c r="H49" s="18"/>
    </row>
    <row r="50" spans="1:8" ht="15.75" customHeight="1" x14ac:dyDescent="0.15">
      <c r="A50" s="18"/>
      <c r="B50" s="18"/>
      <c r="C50" s="18"/>
      <c r="D50" s="18"/>
      <c r="E50" s="18"/>
      <c r="F50" s="18"/>
      <c r="G50" s="18"/>
      <c r="H50" s="18"/>
    </row>
    <row r="51" spans="1:8" ht="15.75" customHeight="1" x14ac:dyDescent="0.15">
      <c r="A51" s="18"/>
      <c r="B51" s="18"/>
      <c r="C51" s="18"/>
      <c r="D51" s="18"/>
      <c r="E51" s="18"/>
      <c r="F51" s="18"/>
      <c r="G51" s="18"/>
      <c r="H51" s="18"/>
    </row>
    <row r="52" spans="1:8" ht="15.75" customHeight="1" x14ac:dyDescent="0.15">
      <c r="A52" s="18"/>
      <c r="B52" s="18"/>
      <c r="C52" s="18"/>
      <c r="D52" s="18"/>
      <c r="E52" s="18"/>
      <c r="F52" s="18"/>
      <c r="G52" s="18"/>
      <c r="H52" s="18"/>
    </row>
    <row r="53" spans="1:8" ht="15.75" customHeight="1" x14ac:dyDescent="0.15">
      <c r="A53" s="18"/>
      <c r="B53" s="18"/>
      <c r="C53" s="18"/>
      <c r="D53" s="18"/>
      <c r="E53" s="18"/>
      <c r="F53" s="18"/>
      <c r="G53" s="18"/>
      <c r="H53" s="18"/>
    </row>
    <row r="54" spans="1:8" ht="15.75" customHeight="1" x14ac:dyDescent="0.15">
      <c r="A54" s="18"/>
      <c r="B54" s="18"/>
      <c r="C54" s="18"/>
      <c r="D54" s="18"/>
      <c r="E54" s="18"/>
      <c r="F54" s="18"/>
      <c r="G54" s="18"/>
      <c r="H54" s="18"/>
    </row>
    <row r="55" spans="1:8" ht="15.75" customHeight="1" x14ac:dyDescent="0.15">
      <c r="A55" s="18"/>
      <c r="B55" s="18"/>
      <c r="C55" s="18"/>
      <c r="D55" s="18"/>
      <c r="E55" s="18"/>
      <c r="F55" s="18"/>
      <c r="G55" s="18"/>
      <c r="H55" s="18"/>
    </row>
    <row r="58" spans="1:8" ht="21.75" customHeight="1" x14ac:dyDescent="0.15">
      <c r="A58" s="58" t="s">
        <v>992</v>
      </c>
      <c r="B58" s="57"/>
      <c r="C58" s="57"/>
      <c r="D58" s="57"/>
      <c r="E58" s="57"/>
      <c r="F58" s="57"/>
    </row>
    <row r="59" spans="1:8" ht="30" customHeight="1" x14ac:dyDescent="0.15">
      <c r="A59" s="22" t="s">
        <v>980</v>
      </c>
      <c r="B59" s="22" t="s">
        <v>114</v>
      </c>
      <c r="C59" s="22" t="s">
        <v>993</v>
      </c>
      <c r="D59" s="22" t="s">
        <v>994</v>
      </c>
      <c r="E59" s="22" t="s">
        <v>995</v>
      </c>
      <c r="F59" s="22" t="s">
        <v>996</v>
      </c>
    </row>
    <row r="60" spans="1:8" ht="15.75" customHeight="1" x14ac:dyDescent="0.15">
      <c r="A60" s="18" t="str">
        <f t="array" ref="A60:A107">IFERROR(_xlfn._xlws.FILTER('RAG Screening Sheet'!A7:A56,'RAG Screening Sheet'!DU7:DU56="Insufficient Evidence"),"")</f>
        <v>Next PLC</v>
      </c>
      <c r="B60" s="18" t="str">
        <f t="array" ref="B60:B107">IFERROR(_xlfn._xlws.FILTER('RAG Screening Sheet'!B7:B56,'RAG Screening Sheet'!DU7:DU56="Insufficient Evidence"),"")</f>
        <v>NXG</v>
      </c>
      <c r="C60" s="18">
        <f t="array" ref="C60:C107">IFERROR(_xlfn._xlws.FILTER('RAG Screening Sheet'!DN7:DN56,'RAG Screening Sheet'!DU7:DU56="Insufficient Evidence"),"")</f>
        <v>30</v>
      </c>
      <c r="D60" s="18">
        <f t="array" ref="D60:D107">IFERROR(_xlfn._xlws.FILTER('RAG Screening Sheet'!V7:V56,'RAG Screening Sheet'!DU7:DU56="Insufficient Evidence"),"")</f>
        <v>0</v>
      </c>
      <c r="E60" s="18">
        <f t="array" ref="E60:E107">IFERROR(_xlfn._xlws.FILTER('RAG Screening Sheet'!DY7:DY56,'RAG Screening Sheet'!DU7:DU56="Insufficient Evidence"),"")</f>
        <v>0</v>
      </c>
      <c r="F60" s="18" t="str">
        <f t="array" ref="F60:F107">IFERROR(_xlfn._xlws.FILTER('RAG Screening Sheet'!DW7:DW56,'RAG Screening Sheet'!DU7:DU56="Insufficient Evidence"),"")</f>
        <v>Watchlist — Further Evidence Needed</v>
      </c>
    </row>
    <row r="61" spans="1:8" ht="15.75" customHeight="1" x14ac:dyDescent="0.15">
      <c r="A61" s="18" t="str">
        <v>SBM Offshore NV</v>
      </c>
      <c r="B61" s="18" t="str">
        <v>IHCB</v>
      </c>
      <c r="C61" s="18">
        <v>30</v>
      </c>
      <c r="D61" s="18">
        <v>0</v>
      </c>
      <c r="E61" s="18">
        <v>0</v>
      </c>
      <c r="F61" s="18" t="str">
        <v>Watchlist — Further Evidence Needed</v>
      </c>
    </row>
    <row r="62" spans="1:8" ht="15.75" customHeight="1" x14ac:dyDescent="0.15">
      <c r="A62" s="18" t="str">
        <v>Drax Group PLC</v>
      </c>
      <c r="B62" s="18" t="str">
        <v>D9F2</v>
      </c>
      <c r="C62" s="18">
        <v>30</v>
      </c>
      <c r="D62" s="18">
        <v>0</v>
      </c>
      <c r="E62" s="18">
        <v>0</v>
      </c>
      <c r="F62" s="18" t="str">
        <v>Watchlist — Further Evidence Needed</v>
      </c>
    </row>
    <row r="63" spans="1:8" ht="15.75" customHeight="1" x14ac:dyDescent="0.15">
      <c r="A63" s="18" t="str">
        <v>SSAB AB</v>
      </c>
      <c r="B63" s="18" t="str">
        <v>SKWA</v>
      </c>
      <c r="C63" s="18">
        <v>30</v>
      </c>
      <c r="D63" s="18">
        <v>0</v>
      </c>
      <c r="E63" s="18">
        <v>0</v>
      </c>
      <c r="F63" s="18" t="str">
        <v>Watchlist — Further Evidence Needed</v>
      </c>
    </row>
    <row r="64" spans="1:8" ht="15.75" customHeight="1" x14ac:dyDescent="0.15">
      <c r="A64" s="18" t="str">
        <v>Tenaris SA</v>
      </c>
      <c r="B64" s="18" t="str">
        <v>TW11</v>
      </c>
      <c r="C64" s="18">
        <v>30</v>
      </c>
      <c r="D64" s="18">
        <v>0</v>
      </c>
      <c r="E64" s="18">
        <v>0</v>
      </c>
      <c r="F64" s="18" t="str">
        <v>Watchlist — Further Evidence Needed</v>
      </c>
    </row>
    <row r="65" spans="1:6" ht="15.75" customHeight="1" x14ac:dyDescent="0.15">
      <c r="A65" s="18" t="str">
        <v>Ackermans &amp; van Haaren NV</v>
      </c>
      <c r="B65" s="18" t="str">
        <v>B3K</v>
      </c>
      <c r="C65" s="18">
        <v>30</v>
      </c>
      <c r="D65" s="18">
        <v>0</v>
      </c>
      <c r="E65" s="18">
        <v>0</v>
      </c>
      <c r="F65" s="18" t="str">
        <v>Watchlist — Further Evidence Needed</v>
      </c>
    </row>
    <row r="66" spans="1:6" ht="15.75" customHeight="1" x14ac:dyDescent="0.15">
      <c r="A66" s="18" t="str">
        <v>Novartis AG</v>
      </c>
      <c r="B66" s="18" t="str">
        <v>NOT</v>
      </c>
      <c r="C66" s="18">
        <v>30</v>
      </c>
      <c r="D66" s="18">
        <v>0</v>
      </c>
      <c r="E66" s="18">
        <v>0</v>
      </c>
      <c r="F66" s="18" t="str">
        <v>Watchlist — Further Evidence Needed</v>
      </c>
    </row>
    <row r="67" spans="1:6" ht="15.75" customHeight="1" x14ac:dyDescent="0.15">
      <c r="A67" s="18" t="str">
        <v>Terna - Rete Elettrica Nazionale</v>
      </c>
      <c r="B67" s="18" t="str">
        <v>UEI</v>
      </c>
      <c r="C67" s="18">
        <v>30</v>
      </c>
      <c r="D67" s="18">
        <v>0</v>
      </c>
      <c r="E67" s="18">
        <v>0</v>
      </c>
      <c r="F67" s="18" t="str">
        <v>Watchlist — Further Evidence Needed</v>
      </c>
    </row>
    <row r="68" spans="1:6" ht="15.75" customHeight="1" x14ac:dyDescent="0.15">
      <c r="A68" s="18" t="str">
        <v>NatWest Group PLC</v>
      </c>
      <c r="B68" s="18" t="str">
        <v>RYSD</v>
      </c>
      <c r="C68" s="18">
        <v>30</v>
      </c>
      <c r="D68" s="18">
        <v>0</v>
      </c>
      <c r="E68" s="18">
        <v>0</v>
      </c>
      <c r="F68" s="18" t="str">
        <v>Watchlist — Further Evidence Needed</v>
      </c>
    </row>
    <row r="69" spans="1:6" ht="15.75" customHeight="1" x14ac:dyDescent="0.15">
      <c r="A69" s="18" t="str">
        <v>Wartsila OYJ Abp</v>
      </c>
      <c r="B69" s="18" t="str">
        <v>MTA</v>
      </c>
      <c r="C69" s="18">
        <v>30</v>
      </c>
      <c r="D69" s="18">
        <v>0</v>
      </c>
      <c r="E69" s="18">
        <v>0</v>
      </c>
      <c r="F69" s="18" t="str">
        <v>Watchlist — Further Evidence Needed</v>
      </c>
    </row>
    <row r="70" spans="1:6" ht="15.75" customHeight="1" x14ac:dyDescent="0.15">
      <c r="A70" s="18" t="str">
        <v>UniCredit SpA</v>
      </c>
      <c r="B70" s="18" t="str">
        <v>CRIN</v>
      </c>
      <c r="C70" s="18">
        <v>30</v>
      </c>
      <c r="D70" s="18">
        <v>0</v>
      </c>
      <c r="E70" s="18">
        <v>0</v>
      </c>
      <c r="F70" s="18" t="str">
        <v>Watchlist — Further Evidence Needed</v>
      </c>
    </row>
    <row r="71" spans="1:6" ht="15.75" customHeight="1" x14ac:dyDescent="0.15">
      <c r="A71" s="18" t="str">
        <v>Games Workshop Group PLC</v>
      </c>
      <c r="B71" s="18" t="str">
        <v>G7W</v>
      </c>
      <c r="C71" s="18">
        <v>30</v>
      </c>
      <c r="D71" s="18">
        <v>0</v>
      </c>
      <c r="E71" s="18">
        <v>0</v>
      </c>
      <c r="F71" s="18" t="str">
        <v>Watchlist — Further Evidence Needed</v>
      </c>
    </row>
    <row r="72" spans="1:6" ht="15.75" customHeight="1" x14ac:dyDescent="0.15">
      <c r="A72" s="18" t="str">
        <v>3i Group PLC</v>
      </c>
      <c r="B72" s="18" t="str">
        <v>IGQ5</v>
      </c>
      <c r="C72" s="18">
        <v>30</v>
      </c>
      <c r="D72" s="18">
        <v>0</v>
      </c>
      <c r="E72" s="18">
        <v>0</v>
      </c>
      <c r="F72" s="18" t="str">
        <v>Watchlist — Further Evidence Needed</v>
      </c>
    </row>
    <row r="73" spans="1:6" ht="15.75" customHeight="1" x14ac:dyDescent="0.15">
      <c r="A73" s="18" t="str">
        <v>Powszechna Kasa Oszczednosci Bank Polski SA</v>
      </c>
      <c r="B73" s="18" t="str">
        <v>P9O</v>
      </c>
      <c r="C73" s="18">
        <v>30</v>
      </c>
      <c r="D73" s="18">
        <v>0</v>
      </c>
      <c r="E73" s="18">
        <v>0</v>
      </c>
      <c r="F73" s="18" t="str">
        <v>Watchlist — Further Evidence Needed</v>
      </c>
    </row>
    <row r="74" spans="1:6" ht="15.75" customHeight="1" x14ac:dyDescent="0.15">
      <c r="A74" s="18" t="str">
        <v>Legrand SA</v>
      </c>
      <c r="B74" s="18" t="str">
        <v>LRC</v>
      </c>
      <c r="C74" s="18">
        <v>30</v>
      </c>
      <c r="D74" s="18">
        <v>0</v>
      </c>
      <c r="E74" s="18">
        <v>0</v>
      </c>
      <c r="F74" s="18" t="str">
        <v>Watchlist — Further Evidence Needed</v>
      </c>
    </row>
    <row r="75" spans="1:6" ht="15.75" customHeight="1" x14ac:dyDescent="0.15">
      <c r="A75" s="18" t="str">
        <v>Swissquote Group Holding SA</v>
      </c>
      <c r="B75" s="18" t="str">
        <v>1SQ</v>
      </c>
      <c r="C75" s="18">
        <v>30</v>
      </c>
      <c r="D75" s="18">
        <v>0</v>
      </c>
      <c r="E75" s="18">
        <v>0</v>
      </c>
      <c r="F75" s="18" t="str">
        <v>Watchlist — Further Evidence Needed</v>
      </c>
    </row>
    <row r="76" spans="1:6" ht="15.75" customHeight="1" x14ac:dyDescent="0.15">
      <c r="A76" s="18" t="str">
        <v>AXA SA</v>
      </c>
      <c r="B76" s="18" t="str">
        <v>AXA</v>
      </c>
      <c r="C76" s="18">
        <v>30</v>
      </c>
      <c r="D76" s="18">
        <v>0</v>
      </c>
      <c r="E76" s="18">
        <v>0</v>
      </c>
      <c r="F76" s="18" t="str">
        <v>Watchlist — Further Evidence Needed</v>
      </c>
    </row>
    <row r="77" spans="1:6" ht="15.75" customHeight="1" x14ac:dyDescent="0.15">
      <c r="A77" s="18" t="str">
        <v>E.ON SE</v>
      </c>
      <c r="B77" s="18" t="str">
        <v>EOAN</v>
      </c>
      <c r="C77" s="18">
        <v>30</v>
      </c>
      <c r="D77" s="18">
        <v>0</v>
      </c>
      <c r="E77" s="18">
        <v>0</v>
      </c>
      <c r="F77" s="18" t="str">
        <v>Watchlist — Further Evidence Needed</v>
      </c>
    </row>
    <row r="78" spans="1:6" ht="15.75" customHeight="1" x14ac:dyDescent="0.15">
      <c r="A78" s="18" t="str">
        <v>NN Group NV</v>
      </c>
      <c r="B78" s="18" t="str">
        <v>2NN</v>
      </c>
      <c r="C78" s="18">
        <v>30</v>
      </c>
      <c r="D78" s="18">
        <v>0</v>
      </c>
      <c r="E78" s="18">
        <v>0</v>
      </c>
      <c r="F78" s="18" t="str">
        <v>Watchlist — Further Evidence Needed</v>
      </c>
    </row>
    <row r="79" spans="1:6" ht="15.75" customHeight="1" x14ac:dyDescent="0.15">
      <c r="A79" s="18" t="str">
        <v>Orion Oyj</v>
      </c>
      <c r="B79" s="18" t="str">
        <v>OFK</v>
      </c>
      <c r="C79" s="18">
        <v>30</v>
      </c>
      <c r="D79" s="18">
        <v>0</v>
      </c>
      <c r="E79" s="18">
        <v>0</v>
      </c>
      <c r="F79" s="18" t="str">
        <v>Watchlist — Further Evidence Needed</v>
      </c>
    </row>
    <row r="80" spans="1:6" ht="15.75" customHeight="1" x14ac:dyDescent="0.15">
      <c r="A80" s="18" t="str">
        <v>Balfour Beatty PLC</v>
      </c>
      <c r="B80" s="18" t="str">
        <v>BIH</v>
      </c>
      <c r="C80" s="18">
        <v>30</v>
      </c>
      <c r="D80" s="18">
        <v>0</v>
      </c>
      <c r="E80" s="18">
        <v>0</v>
      </c>
      <c r="F80" s="18" t="str">
        <v>Watchlist — Further Evidence Needed</v>
      </c>
    </row>
    <row r="81" spans="1:6" ht="15.75" customHeight="1" x14ac:dyDescent="0.15">
      <c r="A81" s="18" t="str">
        <v>UCB SA</v>
      </c>
      <c r="B81" s="18" t="str">
        <v>UNC</v>
      </c>
      <c r="C81" s="18">
        <v>30</v>
      </c>
      <c r="D81" s="18">
        <v>0</v>
      </c>
      <c r="E81" s="18">
        <v>0</v>
      </c>
      <c r="F81" s="18" t="str">
        <v>Watchlist — Further Evidence Needed</v>
      </c>
    </row>
    <row r="82" spans="1:6" ht="15.75" customHeight="1" x14ac:dyDescent="0.15">
      <c r="A82" s="18" t="str">
        <v>AstraZeneca PLC</v>
      </c>
      <c r="B82" s="18" t="str">
        <v>ZEG</v>
      </c>
      <c r="C82" s="18">
        <v>30</v>
      </c>
      <c r="D82" s="18">
        <v>0</v>
      </c>
      <c r="E82" s="18">
        <v>0</v>
      </c>
      <c r="F82" s="18" t="str">
        <v>Watchlist — Further Evidence Needed</v>
      </c>
    </row>
    <row r="83" spans="1:6" ht="15.75" customHeight="1" x14ac:dyDescent="0.15">
      <c r="A83" s="18" t="str">
        <v>Gaztransport Et Technigaz SA</v>
      </c>
      <c r="B83" s="18" t="str">
        <v>9TG</v>
      </c>
      <c r="C83" s="18">
        <v>30</v>
      </c>
      <c r="D83" s="18">
        <v>0</v>
      </c>
      <c r="E83" s="18">
        <v>0</v>
      </c>
      <c r="F83" s="18" t="str">
        <v>Watchlist — Further Evidence Needed</v>
      </c>
    </row>
    <row r="84" spans="1:6" ht="15.75" customHeight="1" x14ac:dyDescent="0.15">
      <c r="A84" s="18" t="str">
        <v>Norsk Hydro ASA</v>
      </c>
      <c r="B84" s="18" t="str">
        <v>NOH1</v>
      </c>
      <c r="C84" s="18">
        <v>30</v>
      </c>
      <c r="D84" s="18">
        <v>0</v>
      </c>
      <c r="E84" s="18">
        <v>0</v>
      </c>
      <c r="F84" s="18" t="str">
        <v>Watchlist — Further Evidence Needed</v>
      </c>
    </row>
    <row r="85" spans="1:6" ht="15.75" customHeight="1" x14ac:dyDescent="0.15">
      <c r="A85" s="18" t="str">
        <v>Polski Koncern Naftowy ORLEN SA</v>
      </c>
      <c r="B85" s="18" t="str">
        <v>PKY1</v>
      </c>
      <c r="C85" s="18">
        <v>30</v>
      </c>
      <c r="D85" s="18">
        <v>0</v>
      </c>
      <c r="E85" s="18">
        <v>0</v>
      </c>
      <c r="F85" s="18" t="str">
        <v>Watchlist — Further Evidence Needed</v>
      </c>
    </row>
    <row r="86" spans="1:6" ht="15.75" customHeight="1" x14ac:dyDescent="0.15">
      <c r="A86" s="18" t="str">
        <v>InterContinental Hotels Group PLC</v>
      </c>
      <c r="B86" s="18" t="str">
        <v>IC1H</v>
      </c>
      <c r="C86" s="18">
        <v>30</v>
      </c>
      <c r="D86" s="18">
        <v>0</v>
      </c>
      <c r="E86" s="18">
        <v>0</v>
      </c>
      <c r="F86" s="18" t="str">
        <v>Watchlist — Further Evidence Needed</v>
      </c>
    </row>
    <row r="87" spans="1:6" ht="15.75" customHeight="1" x14ac:dyDescent="0.15">
      <c r="A87" s="18" t="str">
        <v>Sydbank AS</v>
      </c>
      <c r="B87" s="18" t="str">
        <v>TM2</v>
      </c>
      <c r="C87" s="18">
        <v>30</v>
      </c>
      <c r="D87" s="18">
        <v>0</v>
      </c>
      <c r="E87" s="18">
        <v>0</v>
      </c>
      <c r="F87" s="18" t="str">
        <v>Watchlist — Further Evidence Needed</v>
      </c>
    </row>
    <row r="88" spans="1:6" ht="15.75" customHeight="1" x14ac:dyDescent="0.15">
      <c r="A88" s="18" t="str">
        <v>Julius Baer Group Ltd</v>
      </c>
      <c r="B88" s="18" t="str">
        <v>JGE</v>
      </c>
      <c r="C88" s="18">
        <v>30</v>
      </c>
      <c r="D88" s="18">
        <v>0</v>
      </c>
      <c r="E88" s="18">
        <v>0</v>
      </c>
      <c r="F88" s="18" t="str">
        <v>Watchlist — Further Evidence Needed</v>
      </c>
    </row>
    <row r="89" spans="1:6" ht="15.75" customHeight="1" x14ac:dyDescent="0.15">
      <c r="A89" s="18" t="str">
        <v>UnipolSai Assicurazioni SpA</v>
      </c>
      <c r="B89" s="18" t="str">
        <v>SOAN</v>
      </c>
      <c r="C89" s="18">
        <v>30</v>
      </c>
      <c r="D89" s="18">
        <v>0</v>
      </c>
      <c r="E89" s="18">
        <v>0</v>
      </c>
      <c r="F89" s="18" t="str">
        <v>Watchlist — Further Evidence Needed</v>
      </c>
    </row>
    <row r="90" spans="1:6" ht="15.75" customHeight="1" x14ac:dyDescent="0.15">
      <c r="A90" s="18" t="str">
        <v>Repsol SA</v>
      </c>
      <c r="B90" s="18" t="str">
        <v>REP</v>
      </c>
      <c r="C90" s="18">
        <v>30</v>
      </c>
      <c r="D90" s="18">
        <v>0</v>
      </c>
      <c r="E90" s="18">
        <v>0</v>
      </c>
      <c r="F90" s="18" t="str">
        <v>Watchlist — Further Evidence Needed</v>
      </c>
    </row>
    <row r="91" spans="1:6" ht="15.75" customHeight="1" x14ac:dyDescent="0.15">
      <c r="A91" s="18" t="str">
        <v>ING Groep NV</v>
      </c>
      <c r="B91" s="18" t="str">
        <v>INN1</v>
      </c>
      <c r="C91" s="18">
        <v>30</v>
      </c>
      <c r="D91" s="18">
        <v>0</v>
      </c>
      <c r="E91" s="18">
        <v>0</v>
      </c>
      <c r="F91" s="18" t="str">
        <v>Watchlist — Further Evidence Needed</v>
      </c>
    </row>
    <row r="92" spans="1:6" ht="15.75" customHeight="1" x14ac:dyDescent="0.15">
      <c r="A92" s="18" t="str">
        <v>Diploma PLC</v>
      </c>
      <c r="B92" s="18" t="str">
        <v>DP9</v>
      </c>
      <c r="C92" s="18">
        <v>30</v>
      </c>
      <c r="D92" s="18">
        <v>0</v>
      </c>
      <c r="E92" s="18">
        <v>0</v>
      </c>
      <c r="F92" s="18" t="str">
        <v>Watchlist — Further Evidence Needed</v>
      </c>
    </row>
    <row r="93" spans="1:6" ht="15.75" customHeight="1" x14ac:dyDescent="0.15">
      <c r="A93" s="18" t="str">
        <v>Barclays PLC</v>
      </c>
      <c r="B93" s="18" t="str">
        <v>BCY</v>
      </c>
      <c r="C93" s="18">
        <v>30</v>
      </c>
      <c r="D93" s="18">
        <v>0</v>
      </c>
      <c r="E93" s="18">
        <v>0</v>
      </c>
      <c r="F93" s="18" t="str">
        <v>Watchlist — Further Evidence Needed</v>
      </c>
    </row>
    <row r="94" spans="1:6" ht="15.75" customHeight="1" x14ac:dyDescent="0.15">
      <c r="A94" s="18" t="str">
        <v>Ringkjoebing Landbobank A/S</v>
      </c>
      <c r="B94" s="18" t="str">
        <v>CJ2</v>
      </c>
      <c r="C94" s="18">
        <v>30</v>
      </c>
      <c r="D94" s="18">
        <v>0</v>
      </c>
      <c r="E94" s="18">
        <v>0</v>
      </c>
      <c r="F94" s="18" t="str">
        <v>Watchlist — Further Evidence Needed</v>
      </c>
    </row>
    <row r="95" spans="1:6" ht="15.75" customHeight="1" x14ac:dyDescent="0.15">
      <c r="A95" s="18" t="str">
        <v>Banca Generali SpA</v>
      </c>
      <c r="B95" s="18" t="str">
        <v>B7A</v>
      </c>
      <c r="C95" s="18">
        <v>30</v>
      </c>
      <c r="D95" s="18">
        <v>0</v>
      </c>
      <c r="E95" s="18">
        <v>0</v>
      </c>
      <c r="F95" s="18" t="str">
        <v>Watchlist — Further Evidence Needed</v>
      </c>
    </row>
    <row r="96" spans="1:6" ht="15.75" customHeight="1" x14ac:dyDescent="0.15">
      <c r="A96" s="18" t="str">
        <v>Bank of Georgia Group PLC</v>
      </c>
      <c r="B96" s="18" t="str">
        <v>GEB</v>
      </c>
      <c r="C96" s="18">
        <v>30</v>
      </c>
      <c r="D96" s="18">
        <v>0</v>
      </c>
      <c r="E96" s="18">
        <v>0</v>
      </c>
      <c r="F96" s="18" t="str">
        <v>Watchlist — Further Evidence Needed</v>
      </c>
    </row>
    <row r="97" spans="1:6" ht="15.75" customHeight="1" x14ac:dyDescent="0.15">
      <c r="A97" s="18" t="str">
        <v>Banca Mediolanum SpA</v>
      </c>
      <c r="B97" s="18" t="str">
        <v>ME1</v>
      </c>
      <c r="C97" s="18">
        <v>30</v>
      </c>
      <c r="D97" s="18">
        <v>0</v>
      </c>
      <c r="E97" s="18">
        <v>0</v>
      </c>
      <c r="F97" s="18" t="str">
        <v>Watchlist — Further Evidence Needed</v>
      </c>
    </row>
    <row r="98" spans="1:6" ht="15.75" customHeight="1" x14ac:dyDescent="0.15">
      <c r="A98" s="18" t="str">
        <v>IMI PLC</v>
      </c>
      <c r="B98" s="18" t="str">
        <v>IMI1</v>
      </c>
      <c r="C98" s="18">
        <v>30</v>
      </c>
      <c r="D98" s="18">
        <v>0</v>
      </c>
      <c r="E98" s="18">
        <v>0</v>
      </c>
      <c r="F98" s="18" t="str">
        <v>Watchlist — Further Evidence Needed</v>
      </c>
    </row>
    <row r="99" spans="1:6" ht="15.75" customHeight="1" x14ac:dyDescent="0.15">
      <c r="A99" s="18" t="str">
        <v>HSBC Holdings PLC</v>
      </c>
      <c r="B99" s="18" t="str">
        <v>HBC1</v>
      </c>
      <c r="C99" s="18">
        <v>30</v>
      </c>
      <c r="D99" s="18">
        <v>0</v>
      </c>
      <c r="E99" s="18">
        <v>0</v>
      </c>
      <c r="F99" s="18" t="str">
        <v>Watchlist — Further Evidence Needed</v>
      </c>
    </row>
    <row r="100" spans="1:6" ht="15.75" customHeight="1" x14ac:dyDescent="0.15">
      <c r="A100" s="18" t="str">
        <v>Powszechny Zaklad Ubezpieczen SA</v>
      </c>
      <c r="B100" s="18" t="str">
        <v>7PZ</v>
      </c>
      <c r="C100" s="18">
        <v>30</v>
      </c>
      <c r="D100" s="18">
        <v>0</v>
      </c>
      <c r="E100" s="18">
        <v>0</v>
      </c>
      <c r="F100" s="18" t="str">
        <v>Watchlist — Further Evidence Needed</v>
      </c>
    </row>
    <row r="101" spans="1:6" ht="15.75" customHeight="1" x14ac:dyDescent="0.15">
      <c r="A101" s="18" t="str">
        <v>Sulzer AG</v>
      </c>
      <c r="B101" s="18" t="str">
        <v>SUL1</v>
      </c>
      <c r="C101" s="18">
        <v>30</v>
      </c>
      <c r="D101" s="18">
        <v>0</v>
      </c>
      <c r="E101" s="18">
        <v>0</v>
      </c>
      <c r="F101" s="18" t="str">
        <v>Watchlist — Further Evidence Needed</v>
      </c>
    </row>
    <row r="102" spans="1:6" ht="15.75" customHeight="1" x14ac:dyDescent="0.15">
      <c r="A102" s="18" t="str">
        <v>Equinor ASA</v>
      </c>
      <c r="B102" s="18" t="str">
        <v>DNQ</v>
      </c>
      <c r="C102" s="18">
        <v>30</v>
      </c>
      <c r="D102" s="18">
        <v>0</v>
      </c>
      <c r="E102" s="18">
        <v>0</v>
      </c>
      <c r="F102" s="18" t="str">
        <v>Watchlist — Further Evidence Needed</v>
      </c>
    </row>
    <row r="103" spans="1:6" ht="15.75" customHeight="1" x14ac:dyDescent="0.15">
      <c r="A103" s="18" t="str">
        <v>Halma PLC</v>
      </c>
      <c r="B103" s="18" t="str">
        <v>H11</v>
      </c>
      <c r="C103" s="18">
        <v>30</v>
      </c>
      <c r="D103" s="18">
        <v>0</v>
      </c>
      <c r="E103" s="18">
        <v>0</v>
      </c>
      <c r="F103" s="18" t="str">
        <v>Watchlist — Further Evidence Needed</v>
      </c>
    </row>
    <row r="104" spans="1:6" ht="15.75" customHeight="1" x14ac:dyDescent="0.15">
      <c r="A104" s="18" t="str">
        <v>OMV AG</v>
      </c>
      <c r="B104" s="18" t="str">
        <v>OMV</v>
      </c>
      <c r="C104" s="18">
        <v>30</v>
      </c>
      <c r="D104" s="18">
        <v>0</v>
      </c>
      <c r="E104" s="18">
        <v>0</v>
      </c>
      <c r="F104" s="18" t="str">
        <v>Watchlist — Further Evidence Needed</v>
      </c>
    </row>
    <row r="105" spans="1:6" ht="15.75" customHeight="1" x14ac:dyDescent="0.15">
      <c r="A105" s="18" t="str">
        <v>Raiffeisen Bank International AG</v>
      </c>
      <c r="B105" s="18" t="str">
        <v>RAW</v>
      </c>
      <c r="C105" s="18">
        <v>30</v>
      </c>
      <c r="D105" s="18">
        <v>0</v>
      </c>
      <c r="E105" s="18">
        <v>0</v>
      </c>
      <c r="F105" s="18" t="str">
        <v>Watchlist — Further Evidence Needed</v>
      </c>
    </row>
    <row r="106" spans="1:6" ht="15.75" customHeight="1" x14ac:dyDescent="0.15">
      <c r="A106" s="18" t="str">
        <v>Infineon Technologies AG</v>
      </c>
      <c r="B106" s="18" t="str">
        <v>IFX</v>
      </c>
      <c r="C106" s="18">
        <v>30</v>
      </c>
      <c r="D106" s="18">
        <v>0</v>
      </c>
      <c r="E106" s="18">
        <v>0</v>
      </c>
      <c r="F106" s="18" t="str">
        <v>Watchlist — Further Evidence Needed</v>
      </c>
    </row>
    <row r="107" spans="1:6" ht="15.75" customHeight="1" x14ac:dyDescent="0.15">
      <c r="A107" s="18" t="str">
        <v>Assicurazioni Generali SpA</v>
      </c>
      <c r="B107" s="18" t="str">
        <v>ASG</v>
      </c>
      <c r="C107" s="18">
        <v>30</v>
      </c>
      <c r="D107" s="18">
        <v>0</v>
      </c>
      <c r="E107" s="18">
        <v>0</v>
      </c>
      <c r="F107" s="18" t="str">
        <v>Watchlist — Further Evidence Needed</v>
      </c>
    </row>
    <row r="108" spans="1:6" ht="15.75" customHeight="1" x14ac:dyDescent="0.15">
      <c r="A108" s="18"/>
      <c r="B108" s="18"/>
      <c r="C108" s="18"/>
      <c r="D108" s="18"/>
      <c r="E108" s="18"/>
      <c r="F108" s="18"/>
    </row>
    <row r="109" spans="1:6" ht="15.75" customHeight="1" x14ac:dyDescent="0.15">
      <c r="A109" s="18"/>
      <c r="B109" s="18"/>
      <c r="C109" s="18"/>
      <c r="D109" s="18"/>
      <c r="E109" s="18"/>
      <c r="F109" s="18"/>
    </row>
    <row r="110" spans="1:6" ht="15.75" customHeight="1" x14ac:dyDescent="0.15">
      <c r="A110" s="18"/>
      <c r="B110" s="18"/>
      <c r="C110" s="18"/>
      <c r="D110" s="18"/>
      <c r="E110" s="18"/>
      <c r="F110" s="18"/>
    </row>
    <row r="111" spans="1:6" ht="15.75" customHeight="1" x14ac:dyDescent="0.15">
      <c r="A111" s="46"/>
      <c r="B111" s="46"/>
      <c r="C111" s="46"/>
      <c r="D111" s="46"/>
      <c r="E111" s="46"/>
      <c r="F111" s="46"/>
    </row>
    <row r="112" spans="1:6" ht="15.75" customHeight="1" x14ac:dyDescent="0.15">
      <c r="A112" s="46"/>
      <c r="B112" s="46"/>
      <c r="C112" s="46"/>
      <c r="D112" s="46"/>
      <c r="E112" s="46"/>
      <c r="F112" s="46"/>
    </row>
    <row r="113" spans="1:7" ht="21.75" customHeight="1" x14ac:dyDescent="0.15">
      <c r="A113" s="58" t="s">
        <v>997</v>
      </c>
      <c r="B113" s="57"/>
      <c r="C113" s="57"/>
      <c r="D113" s="57"/>
      <c r="E113" s="57"/>
      <c r="F113" s="57"/>
      <c r="G113" s="57"/>
    </row>
    <row r="114" spans="1:7" ht="30" customHeight="1" x14ac:dyDescent="0.15">
      <c r="A114" s="23" t="s">
        <v>980</v>
      </c>
      <c r="B114" s="23" t="s">
        <v>114</v>
      </c>
      <c r="C114" s="23" t="s">
        <v>998</v>
      </c>
      <c r="D114" s="23" t="s">
        <v>231</v>
      </c>
      <c r="E114" s="23" t="s">
        <v>232</v>
      </c>
      <c r="F114" s="23" t="s">
        <v>234</v>
      </c>
      <c r="G114" s="23" t="s">
        <v>999</v>
      </c>
    </row>
    <row r="115" spans="1:7" ht="15.75" customHeight="1" x14ac:dyDescent="0.15">
      <c r="A115" s="18" t="str">
        <f t="array" ref="A115">IFERROR(_xlfn._xlws.FILTER('RAG Screening Sheet'!A7:A56,'RAG Screening Sheet'!DU7:DU56="Clear"),"")</f>
        <v/>
      </c>
      <c r="B115" s="18" t="str">
        <f t="array" ref="B115">IFERROR(_xlfn._xlws.FILTER('RAG Screening Sheet'!B7:B56,'RAG Screening Sheet'!DU7:DU56="Clear"),"")</f>
        <v/>
      </c>
      <c r="C115" s="18" t="str">
        <f t="array" ref="C115">IFERROR(_xlfn._xlws.FILTER('RAG Screening Sheet'!DT7:DT56,'RAG Screening Sheet'!DU7:DU56="Clear"),"")</f>
        <v/>
      </c>
      <c r="D115" s="18" t="str">
        <f t="array" ref="D115">IFERROR(_xlfn._xlws.FILTER('RAG Screening Sheet'!DO7:DO56,'RAG Screening Sheet'!DU7:DU56="Clear"),"")</f>
        <v/>
      </c>
      <c r="E115" s="18" t="str">
        <f t="array" ref="E115">IFERROR(_xlfn._xlws.FILTER('RAG Screening Sheet'!DP7:DP56,'RAG Screening Sheet'!DU7:DU56="Clear"),"")</f>
        <v/>
      </c>
      <c r="F115" s="18" t="str">
        <f t="array" ref="F115">IFERROR(_xlfn._xlws.FILTER('RAG Screening Sheet'!DR7:DR56,'RAG Screening Sheet'!DU7:DU56="Clear"),"")</f>
        <v/>
      </c>
      <c r="G115" s="18"/>
    </row>
    <row r="116" spans="1:7" ht="15.75" customHeight="1" x14ac:dyDescent="0.15">
      <c r="A116" s="18"/>
      <c r="B116" s="18"/>
      <c r="C116" s="18"/>
      <c r="D116" s="18"/>
      <c r="E116" s="18"/>
      <c r="F116" s="18"/>
      <c r="G116" s="18"/>
    </row>
    <row r="117" spans="1:7" ht="15.75" customHeight="1" x14ac:dyDescent="0.15">
      <c r="A117" s="18"/>
      <c r="B117" s="18"/>
      <c r="C117" s="18"/>
      <c r="D117" s="18"/>
      <c r="E117" s="18"/>
      <c r="F117" s="18"/>
      <c r="G117" s="18"/>
    </row>
    <row r="118" spans="1:7" ht="15.75" customHeight="1" x14ac:dyDescent="0.15">
      <c r="A118" s="18"/>
      <c r="B118" s="18"/>
      <c r="C118" s="18"/>
      <c r="D118" s="18"/>
      <c r="E118" s="18"/>
      <c r="F118" s="18"/>
      <c r="G118" s="18"/>
    </row>
    <row r="119" spans="1:7" ht="15.75" customHeight="1" x14ac:dyDescent="0.15">
      <c r="A119" s="18"/>
      <c r="B119" s="18"/>
      <c r="C119" s="18"/>
      <c r="D119" s="18"/>
      <c r="E119" s="18"/>
      <c r="F119" s="18"/>
      <c r="G119" s="18"/>
    </row>
    <row r="120" spans="1:7" ht="15.75" customHeight="1" x14ac:dyDescent="0.15">
      <c r="A120" s="18"/>
      <c r="B120" s="18"/>
      <c r="C120" s="18"/>
      <c r="D120" s="18"/>
      <c r="E120" s="18"/>
      <c r="F120" s="18"/>
      <c r="G120" s="18"/>
    </row>
    <row r="121" spans="1:7" ht="15.75" customHeight="1" x14ac:dyDescent="0.15">
      <c r="A121" s="18"/>
      <c r="B121" s="18"/>
      <c r="C121" s="18"/>
      <c r="D121" s="18"/>
      <c r="E121" s="18"/>
      <c r="F121" s="18"/>
      <c r="G121" s="18"/>
    </row>
    <row r="122" spans="1:7" ht="15.75" customHeight="1" x14ac:dyDescent="0.15">
      <c r="A122" s="18"/>
      <c r="B122" s="18"/>
      <c r="C122" s="18"/>
      <c r="D122" s="18"/>
      <c r="E122" s="18"/>
      <c r="F122" s="18"/>
      <c r="G122" s="18"/>
    </row>
    <row r="123" spans="1:7" ht="15.75" customHeight="1" x14ac:dyDescent="0.15">
      <c r="A123" s="18"/>
      <c r="B123" s="18"/>
      <c r="C123" s="18"/>
      <c r="D123" s="18"/>
      <c r="E123" s="18"/>
      <c r="F123" s="18"/>
      <c r="G123" s="18"/>
    </row>
    <row r="124" spans="1:7" ht="15.75" customHeight="1" x14ac:dyDescent="0.15">
      <c r="A124" s="18"/>
      <c r="B124" s="18"/>
      <c r="C124" s="18"/>
      <c r="D124" s="18"/>
      <c r="E124" s="18"/>
      <c r="F124" s="18"/>
      <c r="G124" s="18"/>
    </row>
    <row r="125" spans="1:7" ht="15.75" customHeight="1" x14ac:dyDescent="0.15">
      <c r="A125" s="18"/>
      <c r="B125" s="18"/>
      <c r="C125" s="18"/>
      <c r="D125" s="18"/>
      <c r="E125" s="18"/>
      <c r="F125" s="18"/>
      <c r="G125" s="18"/>
    </row>
    <row r="126" spans="1:7" ht="15.75" customHeight="1" x14ac:dyDescent="0.15">
      <c r="A126" s="18"/>
      <c r="B126" s="18"/>
      <c r="C126" s="18"/>
      <c r="D126" s="18"/>
      <c r="E126" s="18"/>
      <c r="F126" s="18"/>
      <c r="G126" s="18"/>
    </row>
    <row r="127" spans="1:7" ht="15.75" customHeight="1" x14ac:dyDescent="0.15">
      <c r="A127" s="18"/>
      <c r="B127" s="18"/>
      <c r="C127" s="18"/>
      <c r="D127" s="18"/>
      <c r="E127" s="18"/>
      <c r="F127" s="18"/>
      <c r="G127" s="18"/>
    </row>
    <row r="128" spans="1:7" ht="15.75" customHeight="1" x14ac:dyDescent="0.15">
      <c r="A128" s="18"/>
      <c r="B128" s="18"/>
      <c r="C128" s="18"/>
      <c r="D128" s="18"/>
      <c r="E128" s="18"/>
      <c r="F128" s="18"/>
      <c r="G128" s="18"/>
    </row>
    <row r="129" spans="1:7" ht="15.75" customHeight="1" x14ac:dyDescent="0.15">
      <c r="A129" s="18"/>
      <c r="B129" s="18"/>
      <c r="C129" s="18"/>
      <c r="D129" s="18"/>
      <c r="E129" s="18"/>
      <c r="F129" s="18"/>
      <c r="G129" s="18"/>
    </row>
    <row r="130" spans="1:7" ht="15.75" customHeight="1" x14ac:dyDescent="0.15">
      <c r="A130" s="18"/>
      <c r="B130" s="18"/>
      <c r="C130" s="18"/>
      <c r="D130" s="18"/>
      <c r="E130" s="18"/>
      <c r="F130" s="18"/>
      <c r="G130" s="18"/>
    </row>
    <row r="131" spans="1:7" ht="15.75" customHeight="1" x14ac:dyDescent="0.15">
      <c r="A131" s="18"/>
      <c r="B131" s="18"/>
      <c r="C131" s="18"/>
      <c r="D131" s="18"/>
      <c r="E131" s="18"/>
      <c r="F131" s="18"/>
      <c r="G131" s="18"/>
    </row>
    <row r="132" spans="1:7" ht="15.75" customHeight="1" x14ac:dyDescent="0.15">
      <c r="A132" s="18"/>
      <c r="B132" s="18"/>
      <c r="C132" s="18"/>
      <c r="D132" s="18"/>
      <c r="E132" s="18"/>
      <c r="F132" s="18"/>
      <c r="G132" s="18"/>
    </row>
    <row r="133" spans="1:7" ht="15.75" customHeight="1" x14ac:dyDescent="0.15">
      <c r="A133" s="18"/>
      <c r="B133" s="18"/>
      <c r="C133" s="18"/>
      <c r="D133" s="18"/>
      <c r="E133" s="18"/>
      <c r="F133" s="18"/>
      <c r="G133" s="18"/>
    </row>
    <row r="134" spans="1:7" ht="15.75" customHeight="1" x14ac:dyDescent="0.15">
      <c r="A134" s="18"/>
      <c r="B134" s="18"/>
      <c r="C134" s="18"/>
      <c r="D134" s="18"/>
      <c r="E134" s="18"/>
      <c r="F134" s="18"/>
      <c r="G134" s="18"/>
    </row>
    <row r="135" spans="1:7" ht="15.75" customHeight="1" x14ac:dyDescent="0.15">
      <c r="A135" s="18"/>
      <c r="B135" s="18"/>
      <c r="C135" s="18"/>
      <c r="D135" s="18"/>
      <c r="E135" s="18"/>
      <c r="F135" s="18"/>
      <c r="G135" s="18"/>
    </row>
    <row r="136" spans="1:7" ht="15.75" customHeight="1" x14ac:dyDescent="0.15">
      <c r="A136" s="18"/>
      <c r="B136" s="18"/>
      <c r="C136" s="18"/>
      <c r="D136" s="18"/>
      <c r="E136" s="18"/>
      <c r="F136" s="18"/>
      <c r="G136" s="18"/>
    </row>
    <row r="137" spans="1:7" ht="15.75" customHeight="1" x14ac:dyDescent="0.15">
      <c r="A137" s="18"/>
      <c r="B137" s="18"/>
      <c r="C137" s="18"/>
      <c r="D137" s="18"/>
      <c r="E137" s="18"/>
      <c r="F137" s="18"/>
      <c r="G137" s="18"/>
    </row>
    <row r="138" spans="1:7" ht="15.75" customHeight="1" x14ac:dyDescent="0.15">
      <c r="A138" s="18"/>
      <c r="B138" s="18"/>
      <c r="C138" s="18"/>
      <c r="D138" s="18"/>
      <c r="E138" s="18"/>
      <c r="F138" s="18"/>
      <c r="G138" s="18"/>
    </row>
    <row r="139" spans="1:7" ht="15.75" customHeight="1" x14ac:dyDescent="0.15">
      <c r="A139" s="18"/>
      <c r="B139" s="18"/>
      <c r="C139" s="18"/>
      <c r="D139" s="18"/>
      <c r="E139" s="18"/>
      <c r="F139" s="18"/>
      <c r="G139" s="18"/>
    </row>
    <row r="140" spans="1:7" ht="15.75" customHeight="1" x14ac:dyDescent="0.15">
      <c r="A140" s="18"/>
      <c r="B140" s="18"/>
      <c r="C140" s="18"/>
      <c r="D140" s="18"/>
      <c r="E140" s="18"/>
      <c r="F140" s="18"/>
      <c r="G140" s="18"/>
    </row>
    <row r="141" spans="1:7" ht="15.75" customHeight="1" x14ac:dyDescent="0.15">
      <c r="A141" s="18"/>
      <c r="B141" s="18"/>
      <c r="C141" s="18"/>
      <c r="D141" s="18"/>
      <c r="E141" s="18"/>
      <c r="F141" s="18"/>
      <c r="G141" s="18"/>
    </row>
    <row r="142" spans="1:7" ht="15.75" customHeight="1" x14ac:dyDescent="0.15">
      <c r="A142" s="18"/>
      <c r="B142" s="18"/>
      <c r="C142" s="18"/>
      <c r="D142" s="18"/>
      <c r="E142" s="18"/>
      <c r="F142" s="18"/>
      <c r="G142" s="18"/>
    </row>
    <row r="143" spans="1:7" ht="15.75" customHeight="1" x14ac:dyDescent="0.15">
      <c r="A143" s="18"/>
      <c r="B143" s="18"/>
      <c r="C143" s="18"/>
      <c r="D143" s="18"/>
      <c r="E143" s="18"/>
      <c r="F143" s="18"/>
      <c r="G143" s="18"/>
    </row>
    <row r="144" spans="1:7" ht="15.75" customHeight="1" x14ac:dyDescent="0.15">
      <c r="A144" s="18"/>
      <c r="B144" s="18"/>
      <c r="C144" s="18"/>
      <c r="D144" s="18"/>
      <c r="E144" s="18"/>
      <c r="F144" s="18"/>
      <c r="G144" s="18"/>
    </row>
    <row r="145" spans="1:7" ht="15.75" customHeight="1" x14ac:dyDescent="0.15">
      <c r="A145" s="18"/>
      <c r="B145" s="18"/>
      <c r="C145" s="18"/>
      <c r="D145" s="18"/>
      <c r="E145" s="18"/>
      <c r="F145" s="18"/>
      <c r="G145" s="18"/>
    </row>
  </sheetData>
  <mergeCells count="5">
    <mergeCell ref="A1:J1"/>
    <mergeCell ref="A3:H3"/>
    <mergeCell ref="A28:H28"/>
    <mergeCell ref="A58:F58"/>
    <mergeCell ref="A113:G11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showGridLines="0" topLeftCell="A7" zoomScaleNormal="100" workbookViewId="0">
      <selection activeCell="D3" sqref="D3"/>
    </sheetView>
  </sheetViews>
  <sheetFormatPr baseColWidth="10" defaultColWidth="8.6640625" defaultRowHeight="14" x14ac:dyDescent="0.15"/>
  <cols>
    <col min="1" max="1" width="5" style="1" customWidth="1"/>
    <col min="2" max="2" width="22" style="1" customWidth="1"/>
    <col min="3" max="6" width="40" style="1" customWidth="1"/>
    <col min="7" max="7" width="18" style="1" customWidth="1"/>
    <col min="8" max="8" width="8.6640625" style="1" customWidth="1"/>
    <col min="9" max="16384" width="8.6640625" style="1"/>
  </cols>
  <sheetData>
    <row r="1" spans="1:7" ht="27.75" customHeight="1" x14ac:dyDescent="0.15">
      <c r="A1" s="56" t="s">
        <v>1000</v>
      </c>
      <c r="B1" s="57"/>
      <c r="C1" s="57"/>
      <c r="D1" s="57"/>
      <c r="E1" s="57"/>
      <c r="F1" s="57"/>
      <c r="G1" s="57"/>
    </row>
    <row r="2" spans="1:7" x14ac:dyDescent="0.15">
      <c r="A2" s="16" t="s">
        <v>1001</v>
      </c>
      <c r="B2" s="16" t="s">
        <v>1002</v>
      </c>
      <c r="C2" s="16" t="s">
        <v>1003</v>
      </c>
      <c r="D2" s="16" t="s">
        <v>1004</v>
      </c>
      <c r="E2" s="16" t="s">
        <v>1005</v>
      </c>
      <c r="F2" s="16" t="s">
        <v>1006</v>
      </c>
      <c r="G2" s="16" t="s">
        <v>1007</v>
      </c>
    </row>
    <row r="3" spans="1:7" ht="54.75" customHeight="1" x14ac:dyDescent="0.15">
      <c r="A3" s="24" t="s">
        <v>1008</v>
      </c>
      <c r="B3" s="25" t="s">
        <v>1009</v>
      </c>
      <c r="C3" s="26" t="s">
        <v>1010</v>
      </c>
      <c r="D3" s="27" t="s">
        <v>1011</v>
      </c>
      <c r="E3" s="28" t="s">
        <v>1012</v>
      </c>
      <c r="F3" s="29" t="s">
        <v>1013</v>
      </c>
      <c r="G3" s="25" t="s">
        <v>1014</v>
      </c>
    </row>
    <row r="4" spans="1:7" ht="54.75" customHeight="1" x14ac:dyDescent="0.15">
      <c r="A4" s="24" t="s">
        <v>1015</v>
      </c>
      <c r="B4" s="25" t="s">
        <v>1016</v>
      </c>
      <c r="C4" s="26" t="s">
        <v>1017</v>
      </c>
      <c r="D4" s="27" t="s">
        <v>1018</v>
      </c>
      <c r="E4" s="28" t="s">
        <v>1019</v>
      </c>
      <c r="F4" s="29" t="s">
        <v>1020</v>
      </c>
      <c r="G4" s="25" t="s">
        <v>1021</v>
      </c>
    </row>
    <row r="5" spans="1:7" ht="54.75" customHeight="1" x14ac:dyDescent="0.15">
      <c r="A5" s="24" t="s">
        <v>1022</v>
      </c>
      <c r="B5" s="25" t="s">
        <v>1023</v>
      </c>
      <c r="C5" s="26" t="s">
        <v>1024</v>
      </c>
      <c r="D5" s="27" t="s">
        <v>1025</v>
      </c>
      <c r="E5" s="28" t="s">
        <v>1026</v>
      </c>
      <c r="F5" s="29" t="s">
        <v>1027</v>
      </c>
      <c r="G5" s="25" t="s">
        <v>1028</v>
      </c>
    </row>
    <row r="6" spans="1:7" ht="54.75" customHeight="1" x14ac:dyDescent="0.15">
      <c r="A6" s="24" t="s">
        <v>1029</v>
      </c>
      <c r="B6" s="25" t="s">
        <v>1030</v>
      </c>
      <c r="C6" s="26" t="s">
        <v>1031</v>
      </c>
      <c r="D6" s="27" t="s">
        <v>1032</v>
      </c>
      <c r="E6" s="28" t="s">
        <v>1033</v>
      </c>
      <c r="F6" s="29" t="s">
        <v>1034</v>
      </c>
      <c r="G6" s="25" t="s">
        <v>1035</v>
      </c>
    </row>
    <row r="7" spans="1:7" ht="54.75" customHeight="1" x14ac:dyDescent="0.15">
      <c r="A7" s="24" t="s">
        <v>1036</v>
      </c>
      <c r="B7" s="25" t="s">
        <v>1037</v>
      </c>
      <c r="C7" s="26" t="s">
        <v>1038</v>
      </c>
      <c r="D7" s="27" t="s">
        <v>1039</v>
      </c>
      <c r="E7" s="28" t="s">
        <v>1040</v>
      </c>
      <c r="F7" s="29" t="s">
        <v>1041</v>
      </c>
      <c r="G7" s="25" t="s">
        <v>1042</v>
      </c>
    </row>
    <row r="8" spans="1:7" ht="54.75" customHeight="1" x14ac:dyDescent="0.15">
      <c r="A8" s="24" t="s">
        <v>1043</v>
      </c>
      <c r="B8" s="25" t="s">
        <v>1044</v>
      </c>
      <c r="C8" s="26" t="s">
        <v>1045</v>
      </c>
      <c r="D8" s="27" t="s">
        <v>1046</v>
      </c>
      <c r="E8" s="28" t="s">
        <v>1047</v>
      </c>
      <c r="F8" s="29" t="s">
        <v>1048</v>
      </c>
      <c r="G8" s="25" t="s">
        <v>1049</v>
      </c>
    </row>
    <row r="9" spans="1:7" ht="54.75" customHeight="1" x14ac:dyDescent="0.15">
      <c r="A9" s="24" t="s">
        <v>1050</v>
      </c>
      <c r="B9" s="25" t="s">
        <v>1051</v>
      </c>
      <c r="C9" s="26" t="s">
        <v>1052</v>
      </c>
      <c r="D9" s="27" t="s">
        <v>1053</v>
      </c>
      <c r="E9" s="28" t="s">
        <v>1054</v>
      </c>
      <c r="F9" s="29" t="s">
        <v>1055</v>
      </c>
      <c r="G9" s="25" t="s">
        <v>1056</v>
      </c>
    </row>
    <row r="10" spans="1:7" ht="54.75" customHeight="1" x14ac:dyDescent="0.15">
      <c r="A10" s="24" t="s">
        <v>1057</v>
      </c>
      <c r="B10" s="25" t="s">
        <v>1058</v>
      </c>
      <c r="C10" s="26" t="s">
        <v>1059</v>
      </c>
      <c r="D10" s="27" t="s">
        <v>1060</v>
      </c>
      <c r="E10" s="28" t="s">
        <v>1061</v>
      </c>
      <c r="F10" s="29" t="s">
        <v>1062</v>
      </c>
      <c r="G10" s="25" t="s">
        <v>1063</v>
      </c>
    </row>
    <row r="13" spans="1:7" ht="21.75" customHeight="1" x14ac:dyDescent="0.15">
      <c r="A13" s="58" t="s">
        <v>1064</v>
      </c>
      <c r="B13" s="57"/>
      <c r="C13" s="57"/>
      <c r="D13" s="57"/>
      <c r="E13" s="57"/>
      <c r="F13" s="57"/>
      <c r="G13" s="57"/>
    </row>
    <row r="14" spans="1:7" ht="80" customHeight="1" x14ac:dyDescent="0.2">
      <c r="A14" s="59" t="s">
        <v>1065</v>
      </c>
      <c r="B14" s="48"/>
      <c r="C14" s="48"/>
      <c r="D14" s="48"/>
      <c r="E14" s="48"/>
      <c r="F14" s="48"/>
      <c r="G14" s="48"/>
    </row>
  </sheetData>
  <mergeCells count="3">
    <mergeCell ref="A13:G13"/>
    <mergeCell ref="A14:G14"/>
    <mergeCell ref="A1:G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0"/>
  <sheetViews>
    <sheetView showGridLines="0" zoomScaleNormal="100" workbookViewId="0">
      <pane ySplit="2" topLeftCell="A3" activePane="bottomLeft" state="frozen"/>
      <selection pane="bottomLeft" activeCell="E4" sqref="E4"/>
    </sheetView>
  </sheetViews>
  <sheetFormatPr baseColWidth="10" defaultColWidth="8.6640625" defaultRowHeight="14" x14ac:dyDescent="0.15"/>
  <cols>
    <col min="1" max="1" width="32" style="1" customWidth="1"/>
    <col min="2" max="2" width="55" style="1" customWidth="1"/>
    <col min="3" max="5" width="18" style="1" customWidth="1"/>
    <col min="6" max="6" width="8.6640625" style="1" customWidth="1"/>
    <col min="7" max="16384" width="8.6640625" style="1"/>
  </cols>
  <sheetData>
    <row r="1" spans="1:5" ht="27.75" customHeight="1" x14ac:dyDescent="0.15">
      <c r="A1" s="56" t="s">
        <v>1066</v>
      </c>
      <c r="B1" s="57"/>
      <c r="C1" s="57"/>
      <c r="D1" s="57"/>
      <c r="E1" s="57"/>
    </row>
    <row r="2" spans="1:5" ht="18" customHeight="1" x14ac:dyDescent="0.15">
      <c r="A2" s="30" t="s">
        <v>1067</v>
      </c>
      <c r="B2" s="30" t="s">
        <v>1068</v>
      </c>
      <c r="C2" s="30" t="s">
        <v>1069</v>
      </c>
      <c r="D2" s="30" t="s">
        <v>1070</v>
      </c>
      <c r="E2" s="30" t="s">
        <v>1071</v>
      </c>
    </row>
    <row r="3" spans="1:5" ht="9.75" customHeight="1" x14ac:dyDescent="0.15">
      <c r="A3" s="6"/>
      <c r="B3" s="6"/>
      <c r="C3" s="6"/>
      <c r="D3" s="6"/>
      <c r="E3" s="6"/>
    </row>
    <row r="4" spans="1:5" ht="18" customHeight="1" x14ac:dyDescent="0.15">
      <c r="A4" s="5" t="s">
        <v>1072</v>
      </c>
      <c r="B4" s="5" t="s">
        <v>1073</v>
      </c>
      <c r="C4" s="31">
        <v>0.3</v>
      </c>
      <c r="D4" s="5" t="s">
        <v>1074</v>
      </c>
      <c r="E4" s="5" t="s">
        <v>1075</v>
      </c>
    </row>
    <row r="5" spans="1:5" ht="18" customHeight="1" x14ac:dyDescent="0.15">
      <c r="A5" s="3" t="s">
        <v>1076</v>
      </c>
      <c r="B5" s="3" t="s">
        <v>1077</v>
      </c>
      <c r="C5" s="32">
        <v>0.2</v>
      </c>
      <c r="D5" s="3" t="s">
        <v>1074</v>
      </c>
      <c r="E5" s="3" t="s">
        <v>1078</v>
      </c>
    </row>
    <row r="6" spans="1:5" ht="18" customHeight="1" x14ac:dyDescent="0.15">
      <c r="A6" s="5" t="s">
        <v>1079</v>
      </c>
      <c r="B6" s="5" t="s">
        <v>1080</v>
      </c>
      <c r="C6" s="31">
        <v>0.2</v>
      </c>
      <c r="D6" s="5" t="s">
        <v>1074</v>
      </c>
      <c r="E6" s="5" t="s">
        <v>1081</v>
      </c>
    </row>
    <row r="7" spans="1:5" ht="18" customHeight="1" x14ac:dyDescent="0.15">
      <c r="A7" s="3" t="s">
        <v>1082</v>
      </c>
      <c r="B7" s="3" t="s">
        <v>1083</v>
      </c>
      <c r="C7" s="32">
        <v>0.15</v>
      </c>
      <c r="D7" s="3" t="s">
        <v>1074</v>
      </c>
      <c r="E7" s="3" t="s">
        <v>1084</v>
      </c>
    </row>
    <row r="8" spans="1:5" ht="18" customHeight="1" x14ac:dyDescent="0.15">
      <c r="A8" s="5" t="s">
        <v>1085</v>
      </c>
      <c r="B8" s="5" t="s">
        <v>1086</v>
      </c>
      <c r="C8" s="5" t="s">
        <v>1087</v>
      </c>
      <c r="D8" s="5" t="s">
        <v>1088</v>
      </c>
      <c r="E8" s="5" t="s">
        <v>1089</v>
      </c>
    </row>
    <row r="9" spans="1:5" ht="18" customHeight="1" x14ac:dyDescent="0.15">
      <c r="A9" s="3" t="s">
        <v>1090</v>
      </c>
      <c r="B9" s="3" t="s">
        <v>1091</v>
      </c>
      <c r="C9" s="3" t="s">
        <v>1092</v>
      </c>
      <c r="D9" s="3" t="s">
        <v>1074</v>
      </c>
      <c r="E9" s="3" t="s">
        <v>1093</v>
      </c>
    </row>
    <row r="10" spans="1:5" ht="18" customHeight="1" x14ac:dyDescent="0.15">
      <c r="A10" s="5" t="s">
        <v>1094</v>
      </c>
      <c r="B10" s="5" t="s">
        <v>1095</v>
      </c>
      <c r="C10" s="5" t="s">
        <v>1096</v>
      </c>
      <c r="D10" s="5" t="s">
        <v>1074</v>
      </c>
      <c r="E10" s="5" t="s">
        <v>1097</v>
      </c>
    </row>
    <row r="11" spans="1:5" ht="9.75" customHeight="1" x14ac:dyDescent="0.15">
      <c r="A11" s="6"/>
      <c r="B11" s="6"/>
      <c r="C11" s="6"/>
      <c r="D11" s="6"/>
      <c r="E11" s="6"/>
    </row>
    <row r="12" spans="1:5" ht="18" customHeight="1" x14ac:dyDescent="0.15">
      <c r="A12" s="30" t="s">
        <v>1098</v>
      </c>
      <c r="B12" s="30"/>
      <c r="C12" s="30"/>
      <c r="D12" s="30"/>
      <c r="E12" s="30"/>
    </row>
    <row r="13" spans="1:5" ht="18" customHeight="1" x14ac:dyDescent="0.15">
      <c r="A13" s="3" t="s">
        <v>1099</v>
      </c>
      <c r="B13" s="3" t="s">
        <v>1100</v>
      </c>
      <c r="C13" s="3" t="s">
        <v>1101</v>
      </c>
      <c r="D13" s="3"/>
      <c r="E13" s="3"/>
    </row>
    <row r="14" spans="1:5" ht="18" customHeight="1" x14ac:dyDescent="0.15">
      <c r="A14" s="5" t="s">
        <v>1102</v>
      </c>
      <c r="B14" s="5" t="s">
        <v>1103</v>
      </c>
      <c r="C14" s="5" t="s">
        <v>1104</v>
      </c>
      <c r="D14" s="5"/>
      <c r="E14" s="5"/>
    </row>
    <row r="15" spans="1:5" ht="18" customHeight="1" x14ac:dyDescent="0.15">
      <c r="A15" s="3" t="s">
        <v>1105</v>
      </c>
      <c r="B15" s="3" t="s">
        <v>1106</v>
      </c>
      <c r="C15" s="3" t="s">
        <v>1107</v>
      </c>
      <c r="D15" s="3"/>
      <c r="E15" s="3"/>
    </row>
    <row r="16" spans="1:5" ht="18" customHeight="1" x14ac:dyDescent="0.15">
      <c r="A16" s="5" t="s">
        <v>1108</v>
      </c>
      <c r="B16" s="5" t="s">
        <v>1109</v>
      </c>
      <c r="C16" s="5" t="s">
        <v>1110</v>
      </c>
      <c r="D16" s="5"/>
      <c r="E16" s="5"/>
    </row>
    <row r="17" spans="1:5" ht="9.75" customHeight="1" x14ac:dyDescent="0.15">
      <c r="A17" s="6"/>
      <c r="B17" s="6"/>
      <c r="C17" s="6"/>
      <c r="D17" s="6"/>
      <c r="E17" s="6"/>
    </row>
    <row r="18" spans="1:5" ht="18" customHeight="1" x14ac:dyDescent="0.15">
      <c r="A18" s="30" t="s">
        <v>1111</v>
      </c>
      <c r="B18" s="30"/>
      <c r="C18" s="30"/>
      <c r="D18" s="30"/>
      <c r="E18" s="30"/>
    </row>
    <row r="19" spans="1:5" ht="18" customHeight="1" x14ac:dyDescent="0.15">
      <c r="A19" s="3" t="s">
        <v>1112</v>
      </c>
      <c r="B19" s="3" t="s">
        <v>1113</v>
      </c>
      <c r="C19" s="3" t="s">
        <v>1114</v>
      </c>
      <c r="D19" s="3"/>
      <c r="E19" s="3"/>
    </row>
    <row r="20" spans="1:5" ht="18" customHeight="1" x14ac:dyDescent="0.15">
      <c r="A20" s="5" t="s">
        <v>1115</v>
      </c>
      <c r="B20" s="5" t="s">
        <v>1116</v>
      </c>
      <c r="C20" s="5" t="s">
        <v>1114</v>
      </c>
      <c r="D20" s="5"/>
      <c r="E20" s="5"/>
    </row>
    <row r="21" spans="1:5" ht="18" customHeight="1" x14ac:dyDescent="0.15">
      <c r="A21" s="3" t="s">
        <v>1117</v>
      </c>
      <c r="B21" s="3" t="s">
        <v>1118</v>
      </c>
      <c r="C21" s="3" t="s">
        <v>1119</v>
      </c>
      <c r="D21" s="3"/>
      <c r="E21" s="3"/>
    </row>
    <row r="22" spans="1:5" ht="18" customHeight="1" x14ac:dyDescent="0.15">
      <c r="A22" s="5" t="s">
        <v>1120</v>
      </c>
      <c r="B22" s="5" t="s">
        <v>1121</v>
      </c>
      <c r="C22" s="5" t="s">
        <v>1114</v>
      </c>
      <c r="D22" s="5"/>
      <c r="E22" s="5"/>
    </row>
    <row r="23" spans="1:5" ht="9.75" customHeight="1" x14ac:dyDescent="0.15">
      <c r="A23" s="6"/>
      <c r="B23" s="6"/>
      <c r="C23" s="6"/>
      <c r="D23" s="6"/>
      <c r="E23" s="6"/>
    </row>
    <row r="24" spans="1:5" ht="18" customHeight="1" x14ac:dyDescent="0.15">
      <c r="A24" s="30" t="s">
        <v>1122</v>
      </c>
      <c r="B24" s="30"/>
      <c r="C24" s="30"/>
      <c r="D24" s="30"/>
      <c r="E24" s="30"/>
    </row>
    <row r="25" spans="1:5" ht="18" customHeight="1" x14ac:dyDescent="0.15">
      <c r="A25" s="3" t="s">
        <v>1123</v>
      </c>
      <c r="B25" s="3" t="s">
        <v>1124</v>
      </c>
      <c r="C25" s="3"/>
      <c r="D25" s="3"/>
      <c r="E25" s="3"/>
    </row>
    <row r="26" spans="1:5" ht="18" customHeight="1" x14ac:dyDescent="0.15">
      <c r="A26" s="5" t="s">
        <v>1125</v>
      </c>
      <c r="B26" s="5" t="s">
        <v>1126</v>
      </c>
      <c r="C26" s="5"/>
      <c r="D26" s="5"/>
      <c r="E26" s="5"/>
    </row>
    <row r="27" spans="1:5" ht="18" customHeight="1" x14ac:dyDescent="0.15">
      <c r="A27" s="3" t="s">
        <v>1127</v>
      </c>
      <c r="B27" s="3" t="s">
        <v>1128</v>
      </c>
      <c r="C27" s="3"/>
      <c r="D27" s="3"/>
      <c r="E27" s="3"/>
    </row>
    <row r="28" spans="1:5" ht="18" customHeight="1" x14ac:dyDescent="0.15">
      <c r="A28" s="5" t="s">
        <v>1129</v>
      </c>
      <c r="B28" s="5" t="s">
        <v>1130</v>
      </c>
      <c r="C28" s="5"/>
      <c r="D28" s="5"/>
      <c r="E28" s="5"/>
    </row>
    <row r="29" spans="1:5" ht="18" customHeight="1" x14ac:dyDescent="0.15">
      <c r="A29" s="3" t="s">
        <v>1131</v>
      </c>
      <c r="B29" s="3" t="s">
        <v>1132</v>
      </c>
      <c r="C29" s="3"/>
      <c r="D29" s="3"/>
      <c r="E29" s="3"/>
    </row>
    <row r="30" spans="1:5" ht="18" customHeight="1" x14ac:dyDescent="0.15">
      <c r="A30" s="5" t="s">
        <v>1133</v>
      </c>
      <c r="B30" s="5" t="s">
        <v>1132</v>
      </c>
      <c r="C30" s="5"/>
      <c r="D30" s="5"/>
      <c r="E30" s="5"/>
    </row>
    <row r="31" spans="1:5" ht="18" customHeight="1" x14ac:dyDescent="0.15">
      <c r="A31" s="3" t="s">
        <v>1134</v>
      </c>
      <c r="B31" s="3" t="s">
        <v>1135</v>
      </c>
      <c r="C31" s="3"/>
      <c r="D31" s="3"/>
      <c r="E31" s="3"/>
    </row>
    <row r="32" spans="1:5" ht="18" customHeight="1" x14ac:dyDescent="0.15">
      <c r="A32" s="5" t="s">
        <v>1136</v>
      </c>
      <c r="B32" s="5" t="s">
        <v>1137</v>
      </c>
      <c r="C32" s="5"/>
      <c r="D32" s="5"/>
      <c r="E32" s="5"/>
    </row>
    <row r="33" spans="1:5" ht="18" customHeight="1" x14ac:dyDescent="0.15">
      <c r="A33" s="3" t="s">
        <v>1138</v>
      </c>
      <c r="B33" s="3" t="s">
        <v>1139</v>
      </c>
      <c r="C33" s="3"/>
      <c r="D33" s="3"/>
      <c r="E33" s="3"/>
    </row>
    <row r="34" spans="1:5" ht="18" customHeight="1" x14ac:dyDescent="0.15">
      <c r="A34" s="5" t="s">
        <v>1140</v>
      </c>
      <c r="B34" s="5" t="s">
        <v>1135</v>
      </c>
      <c r="C34" s="5"/>
      <c r="D34" s="5"/>
      <c r="E34" s="5"/>
    </row>
    <row r="35" spans="1:5" ht="18" customHeight="1" x14ac:dyDescent="0.15">
      <c r="A35" s="3" t="s">
        <v>1141</v>
      </c>
      <c r="B35" s="3" t="s">
        <v>1135</v>
      </c>
      <c r="C35" s="3"/>
      <c r="D35" s="3"/>
      <c r="E35" s="3"/>
    </row>
    <row r="36" spans="1:5" ht="18" customHeight="1" x14ac:dyDescent="0.15">
      <c r="A36" s="5" t="s">
        <v>1142</v>
      </c>
      <c r="B36" s="5" t="s">
        <v>1135</v>
      </c>
      <c r="C36" s="5"/>
      <c r="D36" s="5"/>
      <c r="E36" s="5"/>
    </row>
    <row r="37" spans="1:5" ht="18" customHeight="1" x14ac:dyDescent="0.15">
      <c r="A37" s="3" t="s">
        <v>1143</v>
      </c>
      <c r="B37" s="3" t="s">
        <v>1144</v>
      </c>
      <c r="C37" s="3"/>
      <c r="D37" s="3"/>
      <c r="E37" s="3"/>
    </row>
    <row r="38" spans="1:5" ht="18" customHeight="1" x14ac:dyDescent="0.15">
      <c r="A38" s="5" t="s">
        <v>1145</v>
      </c>
      <c r="B38" s="5" t="s">
        <v>1144</v>
      </c>
      <c r="C38" s="5"/>
      <c r="D38" s="5"/>
      <c r="E38" s="5"/>
    </row>
    <row r="39" spans="1:5" ht="9.75" customHeight="1" x14ac:dyDescent="0.15">
      <c r="A39" s="6"/>
      <c r="B39" s="6"/>
      <c r="C39" s="6"/>
      <c r="D39" s="6"/>
      <c r="E39" s="6"/>
    </row>
    <row r="40" spans="1:5" ht="18" customHeight="1" x14ac:dyDescent="0.15">
      <c r="A40" s="30" t="s">
        <v>1146</v>
      </c>
      <c r="B40" s="30"/>
      <c r="C40" s="30"/>
      <c r="D40" s="30"/>
      <c r="E40" s="30"/>
    </row>
    <row r="41" spans="1:5" ht="18" customHeight="1" x14ac:dyDescent="0.15">
      <c r="A41" s="3" t="s">
        <v>1147</v>
      </c>
      <c r="B41" s="3" t="s">
        <v>1148</v>
      </c>
      <c r="C41" s="3"/>
      <c r="D41" s="3"/>
      <c r="E41" s="3"/>
    </row>
    <row r="42" spans="1:5" ht="18" customHeight="1" x14ac:dyDescent="0.15">
      <c r="A42" s="5" t="s">
        <v>1149</v>
      </c>
      <c r="B42" s="5" t="s">
        <v>1150</v>
      </c>
      <c r="C42" s="5"/>
      <c r="D42" s="5"/>
      <c r="E42" s="5"/>
    </row>
    <row r="43" spans="1:5" ht="18" customHeight="1" x14ac:dyDescent="0.15">
      <c r="A43" s="3" t="s">
        <v>1151</v>
      </c>
      <c r="B43" s="3" t="s">
        <v>1152</v>
      </c>
      <c r="C43" s="3"/>
      <c r="D43" s="3"/>
      <c r="E43" s="3"/>
    </row>
    <row r="44" spans="1:5" ht="18" customHeight="1" x14ac:dyDescent="0.15">
      <c r="A44" s="5" t="s">
        <v>1153</v>
      </c>
      <c r="B44" s="5" t="s">
        <v>1132</v>
      </c>
      <c r="C44" s="5"/>
      <c r="D44" s="5"/>
      <c r="E44" s="5"/>
    </row>
    <row r="45" spans="1:5" ht="18" customHeight="1" x14ac:dyDescent="0.15">
      <c r="A45" s="3" t="s">
        <v>1154</v>
      </c>
      <c r="B45" s="3" t="s">
        <v>1155</v>
      </c>
      <c r="C45" s="3"/>
      <c r="D45" s="3"/>
      <c r="E45" s="3"/>
    </row>
    <row r="46" spans="1:5" ht="18" customHeight="1" x14ac:dyDescent="0.15">
      <c r="A46" s="5" t="s">
        <v>1156</v>
      </c>
      <c r="B46" s="5" t="s">
        <v>1157</v>
      </c>
      <c r="C46" s="5"/>
      <c r="D46" s="5"/>
      <c r="E46" s="5"/>
    </row>
    <row r="47" spans="1:5" ht="18" customHeight="1" x14ac:dyDescent="0.15">
      <c r="A47" s="3" t="s">
        <v>1158</v>
      </c>
      <c r="B47" s="3" t="s">
        <v>1135</v>
      </c>
      <c r="C47" s="3"/>
      <c r="D47" s="3"/>
      <c r="E47" s="3"/>
    </row>
    <row r="48" spans="1:5" ht="18" customHeight="1" x14ac:dyDescent="0.15">
      <c r="A48" s="5" t="s">
        <v>1159</v>
      </c>
      <c r="B48" s="5" t="s">
        <v>1135</v>
      </c>
      <c r="C48" s="5"/>
      <c r="D48" s="5"/>
      <c r="E48" s="5"/>
    </row>
    <row r="49" spans="1:5" ht="18" customHeight="1" x14ac:dyDescent="0.15">
      <c r="A49" s="3" t="s">
        <v>1160</v>
      </c>
      <c r="B49" s="3" t="s">
        <v>1135</v>
      </c>
      <c r="C49" s="3"/>
      <c r="D49" s="3"/>
      <c r="E49" s="3"/>
    </row>
    <row r="50" spans="1:5" ht="9.75" customHeight="1" x14ac:dyDescent="0.15">
      <c r="A50" s="6"/>
      <c r="B50" s="6"/>
      <c r="C50" s="6"/>
      <c r="D50" s="6"/>
      <c r="E50" s="6"/>
    </row>
    <row r="51" spans="1:5" ht="18" customHeight="1" x14ac:dyDescent="0.15">
      <c r="A51" s="30" t="s">
        <v>1161</v>
      </c>
      <c r="B51" s="30"/>
      <c r="C51" s="30"/>
      <c r="D51" s="30"/>
      <c r="E51" s="30"/>
    </row>
    <row r="52" spans="1:5" ht="18" customHeight="1" x14ac:dyDescent="0.15">
      <c r="A52" s="5" t="s">
        <v>1162</v>
      </c>
      <c r="B52" s="5" t="s">
        <v>1163</v>
      </c>
      <c r="C52" s="5"/>
      <c r="D52" s="5"/>
      <c r="E52" s="5"/>
    </row>
    <row r="53" spans="1:5" ht="18" customHeight="1" x14ac:dyDescent="0.15">
      <c r="A53" s="3" t="s">
        <v>1164</v>
      </c>
      <c r="B53" s="3" t="s">
        <v>1165</v>
      </c>
      <c r="C53" s="3"/>
      <c r="D53" s="3"/>
      <c r="E53" s="3"/>
    </row>
    <row r="54" spans="1:5" ht="18" customHeight="1" x14ac:dyDescent="0.15">
      <c r="A54" s="5" t="s">
        <v>1166</v>
      </c>
      <c r="B54" s="5" t="s">
        <v>1167</v>
      </c>
      <c r="C54" s="5"/>
      <c r="D54" s="5"/>
      <c r="E54" s="5"/>
    </row>
    <row r="55" spans="1:5" ht="18" customHeight="1" x14ac:dyDescent="0.15">
      <c r="A55" s="3" t="s">
        <v>1168</v>
      </c>
      <c r="B55" s="3" t="s">
        <v>1169</v>
      </c>
      <c r="C55" s="3"/>
      <c r="D55" s="3"/>
      <c r="E55" s="3"/>
    </row>
    <row r="56" spans="1:5" ht="18" customHeight="1" x14ac:dyDescent="0.15">
      <c r="A56" s="5" t="s">
        <v>1170</v>
      </c>
      <c r="B56" s="5" t="s">
        <v>1171</v>
      </c>
      <c r="C56" s="5"/>
      <c r="D56" s="5"/>
      <c r="E56" s="5"/>
    </row>
    <row r="57" spans="1:5" ht="18" customHeight="1" x14ac:dyDescent="0.15">
      <c r="A57" s="3" t="s">
        <v>1172</v>
      </c>
      <c r="B57" s="3" t="s">
        <v>1173</v>
      </c>
      <c r="C57" s="3"/>
      <c r="D57" s="3"/>
      <c r="E57" s="3"/>
    </row>
    <row r="58" spans="1:5" ht="18" customHeight="1" x14ac:dyDescent="0.15">
      <c r="A58" s="5" t="s">
        <v>1174</v>
      </c>
      <c r="B58" s="5" t="s">
        <v>1175</v>
      </c>
      <c r="C58" s="5"/>
      <c r="D58" s="5"/>
      <c r="E58" s="5"/>
    </row>
    <row r="59" spans="1:5" ht="18" customHeight="1" x14ac:dyDescent="0.15">
      <c r="A59" s="3" t="s">
        <v>1176</v>
      </c>
      <c r="B59" s="3" t="s">
        <v>1177</v>
      </c>
      <c r="C59" s="3"/>
      <c r="D59" s="3"/>
      <c r="E59" s="3"/>
    </row>
    <row r="60" spans="1:5" ht="18" customHeight="1" x14ac:dyDescent="0.15">
      <c r="A60" s="5" t="s">
        <v>1178</v>
      </c>
      <c r="B60" s="5" t="s">
        <v>1179</v>
      </c>
      <c r="C60" s="5"/>
      <c r="D60" s="5"/>
      <c r="E60" s="5"/>
    </row>
    <row r="61" spans="1:5" ht="9.75" customHeight="1" x14ac:dyDescent="0.15">
      <c r="A61" s="6"/>
      <c r="B61" s="6"/>
      <c r="C61" s="6"/>
      <c r="D61" s="6"/>
      <c r="E61" s="6"/>
    </row>
    <row r="62" spans="1:5" ht="18" customHeight="1" x14ac:dyDescent="0.15">
      <c r="A62" s="30" t="s">
        <v>1180</v>
      </c>
      <c r="B62" s="30"/>
      <c r="C62" s="30"/>
      <c r="D62" s="30"/>
      <c r="E62" s="30"/>
    </row>
    <row r="63" spans="1:5" ht="18" customHeight="1" x14ac:dyDescent="0.15">
      <c r="A63" s="3" t="s">
        <v>1181</v>
      </c>
      <c r="B63" s="3" t="s">
        <v>1132</v>
      </c>
      <c r="C63" s="3"/>
      <c r="D63" s="3"/>
      <c r="E63" s="3"/>
    </row>
    <row r="64" spans="1:5" ht="18" customHeight="1" x14ac:dyDescent="0.15">
      <c r="A64" s="5" t="s">
        <v>1182</v>
      </c>
      <c r="B64" s="5" t="s">
        <v>1183</v>
      </c>
      <c r="C64" s="5"/>
      <c r="D64" s="5"/>
      <c r="E64" s="5"/>
    </row>
    <row r="65" spans="1:5" ht="18" customHeight="1" x14ac:dyDescent="0.15">
      <c r="A65" s="3" t="s">
        <v>1184</v>
      </c>
      <c r="B65" s="3" t="s">
        <v>1185</v>
      </c>
      <c r="C65" s="3"/>
      <c r="D65" s="3"/>
      <c r="E65" s="3"/>
    </row>
    <row r="66" spans="1:5" ht="18" customHeight="1" x14ac:dyDescent="0.15">
      <c r="A66" s="5" t="s">
        <v>1186</v>
      </c>
      <c r="B66" s="5" t="s">
        <v>1152</v>
      </c>
      <c r="C66" s="5"/>
      <c r="D66" s="5"/>
      <c r="E66" s="5"/>
    </row>
    <row r="67" spans="1:5" ht="18" customHeight="1" x14ac:dyDescent="0.15">
      <c r="A67" s="3" t="s">
        <v>1187</v>
      </c>
      <c r="B67" s="3" t="s">
        <v>1188</v>
      </c>
      <c r="C67" s="3"/>
      <c r="D67" s="3"/>
      <c r="E67" s="3"/>
    </row>
    <row r="68" spans="1:5" ht="18" customHeight="1" x14ac:dyDescent="0.15">
      <c r="A68" s="5" t="s">
        <v>1189</v>
      </c>
      <c r="B68" s="5" t="s">
        <v>1190</v>
      </c>
      <c r="C68" s="5"/>
      <c r="D68" s="5"/>
      <c r="E68" s="5"/>
    </row>
    <row r="69" spans="1:5" ht="18" customHeight="1" x14ac:dyDescent="0.15">
      <c r="A69" s="3" t="s">
        <v>1191</v>
      </c>
      <c r="B69" s="3" t="s">
        <v>1192</v>
      </c>
      <c r="C69" s="3"/>
      <c r="D69" s="3"/>
      <c r="E69" s="3"/>
    </row>
    <row r="70" spans="1:5" ht="18" customHeight="1" x14ac:dyDescent="0.15">
      <c r="A70" s="5" t="s">
        <v>1193</v>
      </c>
      <c r="B70" s="5" t="s">
        <v>1194</v>
      </c>
      <c r="C70" s="5"/>
      <c r="D70" s="5"/>
      <c r="E70" s="5"/>
    </row>
  </sheetData>
  <mergeCells count="1">
    <mergeCell ref="A1:E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0"/>
  <sheetViews>
    <sheetView showGridLines="0" zoomScaleNormal="100" workbookViewId="0">
      <selection activeCell="D6" sqref="D6"/>
    </sheetView>
  </sheetViews>
  <sheetFormatPr baseColWidth="10" defaultColWidth="8.6640625" defaultRowHeight="14" x14ac:dyDescent="0.15"/>
  <cols>
    <col min="1" max="1" width="19.1640625" style="1" bestFit="1" customWidth="1"/>
    <col min="2" max="2" width="6.6640625" style="1" bestFit="1" customWidth="1"/>
    <col min="3" max="3" width="4.33203125" style="1" customWidth="1"/>
    <col min="4" max="4" width="28.1640625" style="1" bestFit="1" customWidth="1"/>
    <col min="5" max="5" width="6.6640625" style="1" bestFit="1" customWidth="1"/>
    <col min="6" max="6" width="4.33203125" style="1" customWidth="1"/>
    <col min="7" max="7" width="24" style="1" bestFit="1" customWidth="1"/>
    <col min="8" max="8" width="6.6640625" style="1" bestFit="1" customWidth="1"/>
    <col min="9" max="9" width="4.33203125" style="1" customWidth="1"/>
    <col min="10" max="10" width="22.83203125" style="1" bestFit="1" customWidth="1"/>
    <col min="11" max="11" width="6.6640625" style="1" bestFit="1" customWidth="1"/>
    <col min="12" max="12" width="4.33203125" style="1" customWidth="1"/>
    <col min="13" max="13" width="22.5" style="1" bestFit="1" customWidth="1"/>
    <col min="14" max="14" width="6.6640625" style="1" bestFit="1" customWidth="1"/>
    <col min="15" max="15" width="4.33203125" style="1" customWidth="1"/>
    <col min="16" max="16" width="23.5" style="1" bestFit="1" customWidth="1"/>
    <col min="17" max="17" width="6.6640625" style="1" bestFit="1" customWidth="1"/>
    <col min="18" max="18" width="8.6640625" style="1" customWidth="1"/>
    <col min="19" max="16384" width="8.6640625" style="1"/>
  </cols>
  <sheetData>
    <row r="1" spans="1:17" ht="18" customHeight="1" x14ac:dyDescent="0.15">
      <c r="A1" s="30" t="s">
        <v>1195</v>
      </c>
      <c r="B1" s="30" t="s">
        <v>1196</v>
      </c>
      <c r="D1" s="30" t="s">
        <v>1197</v>
      </c>
      <c r="E1" s="30" t="s">
        <v>1196</v>
      </c>
      <c r="G1" s="30" t="s">
        <v>1198</v>
      </c>
      <c r="H1" s="30" t="s">
        <v>1196</v>
      </c>
      <c r="J1" s="30" t="s">
        <v>1199</v>
      </c>
      <c r="K1" s="30" t="s">
        <v>1196</v>
      </c>
      <c r="M1" s="30" t="s">
        <v>1200</v>
      </c>
      <c r="N1" s="30" t="s">
        <v>1196</v>
      </c>
      <c r="P1" s="30" t="s">
        <v>1201</v>
      </c>
      <c r="Q1" s="30" t="s">
        <v>1196</v>
      </c>
    </row>
    <row r="2" spans="1:17" ht="18" customHeight="1" x14ac:dyDescent="0.15">
      <c r="A2" s="5" t="s">
        <v>250</v>
      </c>
      <c r="B2" s="5">
        <v>20</v>
      </c>
      <c r="D2" s="3" t="s">
        <v>251</v>
      </c>
      <c r="E2" s="3">
        <v>20</v>
      </c>
      <c r="G2" s="3" t="s">
        <v>252</v>
      </c>
      <c r="H2" s="3">
        <v>15</v>
      </c>
      <c r="J2" s="3" t="s">
        <v>253</v>
      </c>
      <c r="K2" s="3">
        <v>15</v>
      </c>
      <c r="M2" s="3" t="s">
        <v>1202</v>
      </c>
      <c r="N2" s="3">
        <v>15</v>
      </c>
      <c r="P2" s="5" t="s">
        <v>255</v>
      </c>
      <c r="Q2" s="5">
        <v>10</v>
      </c>
    </row>
    <row r="3" spans="1:17" ht="18" customHeight="1" x14ac:dyDescent="0.15">
      <c r="A3" s="3" t="s">
        <v>1203</v>
      </c>
      <c r="B3" s="3">
        <v>20</v>
      </c>
      <c r="D3" s="5" t="s">
        <v>1204</v>
      </c>
      <c r="E3" s="5">
        <v>10</v>
      </c>
      <c r="G3" s="5" t="s">
        <v>1205</v>
      </c>
      <c r="H3" s="5">
        <v>5</v>
      </c>
      <c r="J3" s="5" t="s">
        <v>1206</v>
      </c>
      <c r="K3" s="5">
        <v>5</v>
      </c>
      <c r="M3" s="5" t="s">
        <v>254</v>
      </c>
      <c r="N3" s="5">
        <v>8</v>
      </c>
      <c r="P3" s="3" t="s">
        <v>266</v>
      </c>
      <c r="Q3" s="3">
        <v>6</v>
      </c>
    </row>
    <row r="4" spans="1:17" ht="18" customHeight="1" x14ac:dyDescent="0.15">
      <c r="A4" s="5" t="s">
        <v>1207</v>
      </c>
      <c r="B4" s="5">
        <v>10</v>
      </c>
      <c r="D4" s="3" t="s">
        <v>1208</v>
      </c>
      <c r="E4" s="3">
        <v>5</v>
      </c>
      <c r="G4" s="3" t="s">
        <v>1209</v>
      </c>
      <c r="H4" s="3">
        <v>0</v>
      </c>
      <c r="J4" s="3" t="s">
        <v>1210</v>
      </c>
      <c r="K4" s="3">
        <v>-25</v>
      </c>
      <c r="M4" s="3" t="s">
        <v>265</v>
      </c>
      <c r="N4" s="3">
        <v>3</v>
      </c>
      <c r="P4" s="5" t="s">
        <v>1211</v>
      </c>
      <c r="Q4" s="5">
        <v>0</v>
      </c>
    </row>
    <row r="5" spans="1:17" ht="18" customHeight="1" x14ac:dyDescent="0.15">
      <c r="A5" s="3" t="s">
        <v>264</v>
      </c>
      <c r="B5" s="3">
        <v>7</v>
      </c>
      <c r="D5" s="5" t="s">
        <v>1212</v>
      </c>
      <c r="E5" s="5">
        <v>0</v>
      </c>
      <c r="G5" s="5" t="s">
        <v>1213</v>
      </c>
      <c r="H5" s="5">
        <v>0</v>
      </c>
      <c r="J5" s="5" t="s">
        <v>1213</v>
      </c>
      <c r="K5" s="5">
        <v>0</v>
      </c>
      <c r="M5" s="5" t="s">
        <v>1212</v>
      </c>
      <c r="N5" s="5">
        <v>0</v>
      </c>
      <c r="P5" s="3" t="s">
        <v>1214</v>
      </c>
      <c r="Q5" s="3">
        <v>-15</v>
      </c>
    </row>
    <row r="6" spans="1:17" ht="18" customHeight="1" x14ac:dyDescent="0.15">
      <c r="A6" s="5" t="s">
        <v>1215</v>
      </c>
      <c r="B6" s="5">
        <v>2</v>
      </c>
      <c r="D6" s="3" t="s">
        <v>1213</v>
      </c>
      <c r="E6" s="3">
        <v>0</v>
      </c>
      <c r="M6" s="3" t="s">
        <v>1213</v>
      </c>
      <c r="N6" s="3">
        <v>0</v>
      </c>
      <c r="P6" s="5" t="s">
        <v>1213</v>
      </c>
      <c r="Q6" s="5">
        <v>5</v>
      </c>
    </row>
    <row r="7" spans="1:17" ht="18" customHeight="1" x14ac:dyDescent="0.15">
      <c r="A7" s="3" t="s">
        <v>1216</v>
      </c>
      <c r="B7" s="3">
        <v>0</v>
      </c>
    </row>
    <row r="8" spans="1:17" ht="18" customHeight="1" x14ac:dyDescent="0.15">
      <c r="A8" s="5" t="s">
        <v>1213</v>
      </c>
      <c r="B8" s="5">
        <v>0</v>
      </c>
    </row>
    <row r="9" spans="1:17" ht="18" customHeight="1" x14ac:dyDescent="0.15"/>
    <row r="10" spans="1:17" ht="18" customHeight="1" x14ac:dyDescent="0.15">
      <c r="A10" s="30" t="s">
        <v>1217</v>
      </c>
      <c r="B10" s="30" t="s">
        <v>1196</v>
      </c>
      <c r="D10" s="30" t="s">
        <v>1218</v>
      </c>
      <c r="E10" s="30" t="s">
        <v>1196</v>
      </c>
      <c r="G10" s="30" t="s">
        <v>1219</v>
      </c>
      <c r="H10" s="30" t="s">
        <v>1196</v>
      </c>
      <c r="J10" s="30" t="s">
        <v>1220</v>
      </c>
      <c r="K10" s="30" t="s">
        <v>1196</v>
      </c>
      <c r="M10" s="30" t="s">
        <v>1221</v>
      </c>
      <c r="N10" s="30" t="s">
        <v>1196</v>
      </c>
      <c r="P10" s="30" t="s">
        <v>1222</v>
      </c>
      <c r="Q10" s="30" t="s">
        <v>1196</v>
      </c>
    </row>
    <row r="11" spans="1:17" ht="18" customHeight="1" x14ac:dyDescent="0.15">
      <c r="A11" s="3" t="s">
        <v>1223</v>
      </c>
      <c r="B11" s="3">
        <v>15</v>
      </c>
      <c r="D11" s="3" t="s">
        <v>257</v>
      </c>
      <c r="E11" s="3">
        <v>15</v>
      </c>
      <c r="G11" s="3" t="s">
        <v>257</v>
      </c>
      <c r="H11" s="3">
        <v>15</v>
      </c>
      <c r="J11" s="3" t="s">
        <v>259</v>
      </c>
      <c r="K11" s="3">
        <v>15</v>
      </c>
      <c r="M11" s="3" t="s">
        <v>1224</v>
      </c>
      <c r="N11" s="3">
        <v>15</v>
      </c>
      <c r="P11" s="3" t="s">
        <v>258</v>
      </c>
      <c r="Q11" s="3">
        <v>10</v>
      </c>
    </row>
    <row r="12" spans="1:17" ht="18" customHeight="1" x14ac:dyDescent="0.15">
      <c r="A12" s="5" t="s">
        <v>256</v>
      </c>
      <c r="B12" s="5">
        <v>13</v>
      </c>
      <c r="D12" s="5" t="s">
        <v>1225</v>
      </c>
      <c r="E12" s="5">
        <v>10</v>
      </c>
      <c r="G12" s="5" t="s">
        <v>1226</v>
      </c>
      <c r="H12" s="5">
        <v>12</v>
      </c>
      <c r="J12" s="5" t="s">
        <v>260</v>
      </c>
      <c r="K12" s="5">
        <v>7</v>
      </c>
      <c r="M12" s="5" t="s">
        <v>260</v>
      </c>
      <c r="N12" s="5">
        <v>7</v>
      </c>
      <c r="P12" s="5" t="s">
        <v>1227</v>
      </c>
      <c r="Q12" s="5">
        <v>5</v>
      </c>
    </row>
    <row r="13" spans="1:17" ht="18" customHeight="1" x14ac:dyDescent="0.15">
      <c r="A13" s="3" t="s">
        <v>267</v>
      </c>
      <c r="B13" s="3">
        <v>8</v>
      </c>
      <c r="D13" s="3" t="s">
        <v>268</v>
      </c>
      <c r="E13" s="3">
        <v>5</v>
      </c>
      <c r="G13" s="3" t="s">
        <v>1228</v>
      </c>
      <c r="H13" s="3">
        <v>8</v>
      </c>
      <c r="J13" s="3" t="s">
        <v>1229</v>
      </c>
      <c r="K13" s="3">
        <v>2</v>
      </c>
      <c r="M13" s="3" t="s">
        <v>255</v>
      </c>
      <c r="N13" s="3">
        <v>0</v>
      </c>
      <c r="P13" s="3" t="s">
        <v>1230</v>
      </c>
      <c r="Q13" s="3">
        <v>8</v>
      </c>
    </row>
    <row r="14" spans="1:17" ht="18" customHeight="1" x14ac:dyDescent="0.15">
      <c r="A14" s="5" t="s">
        <v>1208</v>
      </c>
      <c r="B14" s="5">
        <v>3</v>
      </c>
      <c r="D14" s="5" t="s">
        <v>1231</v>
      </c>
      <c r="E14" s="5">
        <v>0</v>
      </c>
      <c r="G14" s="5" t="s">
        <v>268</v>
      </c>
      <c r="H14" s="5">
        <v>3</v>
      </c>
      <c r="J14" s="5" t="s">
        <v>1232</v>
      </c>
      <c r="K14" s="5">
        <v>0</v>
      </c>
      <c r="M14" s="5" t="s">
        <v>1213</v>
      </c>
      <c r="N14" s="5">
        <v>0</v>
      </c>
      <c r="P14" s="5" t="s">
        <v>1233</v>
      </c>
      <c r="Q14" s="5">
        <v>0</v>
      </c>
    </row>
    <row r="15" spans="1:17" ht="18" customHeight="1" x14ac:dyDescent="0.15">
      <c r="A15" s="3" t="s">
        <v>1212</v>
      </c>
      <c r="B15" s="3">
        <v>0</v>
      </c>
      <c r="D15" s="3" t="s">
        <v>1234</v>
      </c>
      <c r="E15" s="3">
        <v>5</v>
      </c>
      <c r="G15" s="3" t="s">
        <v>1235</v>
      </c>
      <c r="H15" s="3">
        <v>0</v>
      </c>
      <c r="J15" s="5" t="s">
        <v>1213</v>
      </c>
      <c r="K15" s="5">
        <v>0</v>
      </c>
      <c r="P15" s="3" t="s">
        <v>1213</v>
      </c>
      <c r="Q15" s="3">
        <v>0</v>
      </c>
    </row>
    <row r="16" spans="1:17" ht="18" customHeight="1" x14ac:dyDescent="0.15">
      <c r="A16" s="5" t="s">
        <v>1213</v>
      </c>
      <c r="B16" s="5">
        <v>0</v>
      </c>
      <c r="D16" s="5" t="s">
        <v>1213</v>
      </c>
      <c r="E16" s="5">
        <v>0</v>
      </c>
      <c r="G16" s="5" t="s">
        <v>1234</v>
      </c>
      <c r="H16" s="5">
        <v>5</v>
      </c>
    </row>
    <row r="17" spans="1:14" ht="18" customHeight="1" x14ac:dyDescent="0.15">
      <c r="D17" s="6"/>
      <c r="E17" s="6"/>
      <c r="G17" s="3" t="s">
        <v>1213</v>
      </c>
      <c r="H17" s="3">
        <v>5</v>
      </c>
    </row>
    <row r="18" spans="1:14" ht="18" customHeight="1" x14ac:dyDescent="0.15"/>
    <row r="19" spans="1:14" ht="18" customHeight="1" x14ac:dyDescent="0.15"/>
    <row r="20" spans="1:14" ht="18" customHeight="1" x14ac:dyDescent="0.15">
      <c r="A20" s="30" t="s">
        <v>1236</v>
      </c>
      <c r="B20" s="30" t="s">
        <v>1196</v>
      </c>
      <c r="D20" s="30" t="s">
        <v>1237</v>
      </c>
      <c r="E20" s="30" t="s">
        <v>1196</v>
      </c>
      <c r="G20" s="30" t="s">
        <v>1238</v>
      </c>
      <c r="H20" s="30" t="s">
        <v>1196</v>
      </c>
      <c r="J20" s="30" t="s">
        <v>1239</v>
      </c>
      <c r="K20" s="30" t="s">
        <v>1196</v>
      </c>
      <c r="M20" s="30" t="s">
        <v>1240</v>
      </c>
      <c r="N20" s="30" t="s">
        <v>1196</v>
      </c>
    </row>
    <row r="21" spans="1:14" ht="18" customHeight="1" x14ac:dyDescent="0.15">
      <c r="A21" s="3" t="s">
        <v>261</v>
      </c>
      <c r="B21" s="3">
        <v>20</v>
      </c>
      <c r="D21" s="3" t="s">
        <v>262</v>
      </c>
      <c r="E21" s="3">
        <v>15</v>
      </c>
      <c r="G21" s="3" t="s">
        <v>1241</v>
      </c>
      <c r="H21" s="3">
        <v>15</v>
      </c>
      <c r="J21" s="3" t="s">
        <v>1242</v>
      </c>
      <c r="K21" s="3">
        <v>-20</v>
      </c>
      <c r="M21" s="3" t="s">
        <v>1214</v>
      </c>
      <c r="N21" s="3">
        <v>25</v>
      </c>
    </row>
    <row r="22" spans="1:14" ht="18" customHeight="1" x14ac:dyDescent="0.15">
      <c r="A22" s="5" t="s">
        <v>269</v>
      </c>
      <c r="B22" s="5">
        <v>10</v>
      </c>
      <c r="D22" s="5" t="s">
        <v>269</v>
      </c>
      <c r="E22" s="5">
        <v>8</v>
      </c>
      <c r="G22" s="5" t="s">
        <v>263</v>
      </c>
      <c r="H22" s="5">
        <v>8</v>
      </c>
      <c r="J22" s="5" t="s">
        <v>268</v>
      </c>
      <c r="K22" s="5">
        <v>-10</v>
      </c>
      <c r="M22" s="5" t="s">
        <v>1211</v>
      </c>
      <c r="N22" s="5">
        <v>15</v>
      </c>
    </row>
    <row r="23" spans="1:14" ht="18" customHeight="1" x14ac:dyDescent="0.15">
      <c r="A23" s="3" t="s">
        <v>1233</v>
      </c>
      <c r="B23" s="3">
        <v>0</v>
      </c>
      <c r="D23" s="3" t="s">
        <v>1212</v>
      </c>
      <c r="E23" s="3">
        <v>0</v>
      </c>
      <c r="G23" s="3" t="s">
        <v>270</v>
      </c>
      <c r="H23" s="3">
        <v>3</v>
      </c>
      <c r="J23" s="3" t="s">
        <v>271</v>
      </c>
      <c r="K23" s="3">
        <v>0</v>
      </c>
      <c r="M23" s="3" t="s">
        <v>271</v>
      </c>
      <c r="N23" s="3">
        <v>8</v>
      </c>
    </row>
    <row r="24" spans="1:14" ht="18" customHeight="1" x14ac:dyDescent="0.15">
      <c r="A24" s="5" t="s">
        <v>1213</v>
      </c>
      <c r="B24" s="5">
        <v>0</v>
      </c>
      <c r="D24" s="5" t="s">
        <v>1213</v>
      </c>
      <c r="E24" s="5">
        <v>0</v>
      </c>
      <c r="G24" s="5" t="s">
        <v>255</v>
      </c>
      <c r="H24" s="5">
        <v>0</v>
      </c>
      <c r="J24" s="5" t="s">
        <v>257</v>
      </c>
      <c r="K24" s="5">
        <v>0</v>
      </c>
      <c r="M24" s="5" t="s">
        <v>266</v>
      </c>
      <c r="N24" s="5">
        <v>3</v>
      </c>
    </row>
    <row r="25" spans="1:14" ht="18" customHeight="1" x14ac:dyDescent="0.15">
      <c r="G25" s="3" t="s">
        <v>1213</v>
      </c>
      <c r="H25" s="3">
        <v>0</v>
      </c>
      <c r="J25" s="3" t="s">
        <v>1213</v>
      </c>
      <c r="K25" s="3">
        <v>0</v>
      </c>
      <c r="M25" s="3" t="s">
        <v>255</v>
      </c>
      <c r="N25" s="3">
        <v>0</v>
      </c>
    </row>
    <row r="26" spans="1:14" ht="18" customHeight="1" x14ac:dyDescent="0.15">
      <c r="J26" s="6"/>
      <c r="K26" s="6"/>
      <c r="M26" s="5" t="s">
        <v>1213</v>
      </c>
      <c r="N26" s="5">
        <v>0</v>
      </c>
    </row>
    <row r="27" spans="1:14" ht="18" customHeight="1" x14ac:dyDescent="0.15"/>
    <row r="28" spans="1:14" ht="18" customHeight="1" x14ac:dyDescent="0.15"/>
    <row r="29" spans="1:14" ht="18" customHeight="1" x14ac:dyDescent="0.15"/>
    <row r="30" spans="1:14" ht="18" customHeight="1" x14ac:dyDescent="0.15"/>
    <row r="31" spans="1:14" ht="18" customHeight="1" x14ac:dyDescent="0.15"/>
    <row r="32" spans="1:14" ht="18" customHeight="1" x14ac:dyDescent="0.15"/>
    <row r="33" ht="18" customHeight="1" x14ac:dyDescent="0.15"/>
    <row r="34" ht="18" customHeight="1" x14ac:dyDescent="0.15"/>
    <row r="35" ht="18" customHeight="1" x14ac:dyDescent="0.15"/>
    <row r="36" ht="18" customHeight="1" x14ac:dyDescent="0.15"/>
    <row r="37" ht="18" customHeight="1" x14ac:dyDescent="0.15"/>
    <row r="38" ht="18" customHeight="1" x14ac:dyDescent="0.15"/>
    <row r="39" ht="18" customHeight="1" x14ac:dyDescent="0.15"/>
    <row r="40" ht="18" customHeight="1" x14ac:dyDescent="0.15"/>
    <row r="41" ht="18" customHeight="1" x14ac:dyDescent="0.15"/>
    <row r="42" ht="18" customHeight="1" x14ac:dyDescent="0.15"/>
    <row r="43" ht="18" customHeight="1" x14ac:dyDescent="0.15"/>
    <row r="44" ht="18" customHeight="1" x14ac:dyDescent="0.15"/>
    <row r="45" ht="18" customHeight="1" x14ac:dyDescent="0.15"/>
    <row r="46" ht="18" customHeight="1" x14ac:dyDescent="0.15"/>
    <row r="47" ht="18" customHeight="1" x14ac:dyDescent="0.15"/>
    <row r="48" ht="18" customHeight="1" x14ac:dyDescent="0.15"/>
    <row r="49" spans="22:23" ht="18" customHeight="1" x14ac:dyDescent="0.15"/>
    <row r="50" spans="22:23" ht="18" customHeight="1" x14ac:dyDescent="0.15"/>
    <row r="51" spans="22:23" ht="18" customHeight="1" x14ac:dyDescent="0.15"/>
    <row r="52" spans="22:23" ht="18" customHeight="1" x14ac:dyDescent="0.15"/>
    <row r="53" spans="22:23" ht="18" customHeight="1" x14ac:dyDescent="0.15"/>
    <row r="54" spans="22:23" ht="18" customHeight="1" x14ac:dyDescent="0.15"/>
    <row r="55" spans="22:23" ht="18" customHeight="1" x14ac:dyDescent="0.15"/>
    <row r="56" spans="22:23" ht="18" customHeight="1" x14ac:dyDescent="0.15">
      <c r="V56" s="6"/>
      <c r="W56" s="6"/>
    </row>
    <row r="57" spans="22:23" ht="18" customHeight="1" x14ac:dyDescent="0.15"/>
    <row r="58" spans="22:23" ht="9.75" customHeight="1" x14ac:dyDescent="0.15"/>
    <row r="59" spans="22:23" ht="18" customHeight="1" x14ac:dyDescent="0.15"/>
    <row r="60" spans="22:23" ht="18" customHeight="1" x14ac:dyDescent="0.15"/>
    <row r="61" spans="22:23" ht="18" customHeight="1" x14ac:dyDescent="0.15"/>
    <row r="62" spans="22:23" ht="18" customHeight="1" x14ac:dyDescent="0.15"/>
    <row r="63" spans="22:23" ht="18" customHeight="1" x14ac:dyDescent="0.15"/>
    <row r="64" spans="22:23" ht="18" customHeight="1" x14ac:dyDescent="0.15"/>
    <row r="65" ht="18" customHeight="1" x14ac:dyDescent="0.15"/>
    <row r="66" ht="18" customHeight="1" x14ac:dyDescent="0.15"/>
    <row r="67" ht="9.75" customHeight="1" x14ac:dyDescent="0.15"/>
    <row r="68" ht="18" customHeight="1" x14ac:dyDescent="0.15"/>
    <row r="69" ht="18" customHeight="1" x14ac:dyDescent="0.15"/>
    <row r="70" ht="18" customHeight="1" x14ac:dyDescent="0.15"/>
    <row r="71" ht="18" customHeight="1" x14ac:dyDescent="0.15"/>
    <row r="72" ht="18" customHeight="1" x14ac:dyDescent="0.15"/>
    <row r="73" ht="18" customHeight="1" x14ac:dyDescent="0.15"/>
    <row r="74" ht="9.75" customHeight="1" x14ac:dyDescent="0.15"/>
    <row r="75" ht="18" customHeight="1" x14ac:dyDescent="0.15"/>
    <row r="76" ht="18" customHeight="1" x14ac:dyDescent="0.15"/>
    <row r="77" ht="18" customHeight="1" x14ac:dyDescent="0.15"/>
    <row r="78" ht="18" customHeight="1" x14ac:dyDescent="0.15"/>
    <row r="79" ht="18" customHeight="1" x14ac:dyDescent="0.15"/>
    <row r="80" ht="9.75"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9.75" customHeight="1" x14ac:dyDescent="0.15"/>
    <row r="88" ht="18" customHeight="1" x14ac:dyDescent="0.15"/>
    <row r="89" ht="18" customHeight="1" x14ac:dyDescent="0.15"/>
    <row r="90" ht="18" customHeight="1" x14ac:dyDescent="0.15"/>
    <row r="91" ht="18" customHeight="1" x14ac:dyDescent="0.15"/>
    <row r="92" ht="18" customHeight="1" x14ac:dyDescent="0.15"/>
    <row r="93" ht="9.75" customHeight="1" x14ac:dyDescent="0.15"/>
    <row r="94" ht="18" customHeight="1" x14ac:dyDescent="0.15"/>
    <row r="95" ht="18" customHeight="1" x14ac:dyDescent="0.15"/>
    <row r="96" ht="18" customHeight="1" x14ac:dyDescent="0.15"/>
    <row r="97" ht="18" customHeight="1" x14ac:dyDescent="0.15"/>
    <row r="98" ht="18" customHeight="1" x14ac:dyDescent="0.15"/>
    <row r="99" ht="9.75"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9.75"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9.75"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3"/>
  <sheetViews>
    <sheetView showGridLines="0" zoomScaleNormal="100" workbookViewId="0">
      <selection activeCell="G9" sqref="G9"/>
    </sheetView>
  </sheetViews>
  <sheetFormatPr baseColWidth="10" defaultColWidth="8.6640625" defaultRowHeight="14" x14ac:dyDescent="0.15"/>
  <cols>
    <col min="1" max="1" width="28" style="1" customWidth="1"/>
    <col min="2" max="2" width="55" style="1" customWidth="1"/>
    <col min="3" max="4" width="20" style="1" customWidth="1"/>
    <col min="5" max="5" width="8.6640625" style="1" customWidth="1"/>
    <col min="6" max="16384" width="8.6640625" style="1"/>
  </cols>
  <sheetData>
    <row r="1" spans="1:4" ht="27.75" customHeight="1" x14ac:dyDescent="0.15">
      <c r="A1" s="56" t="s">
        <v>1243</v>
      </c>
      <c r="B1" s="57"/>
      <c r="C1" s="57"/>
      <c r="D1" s="57"/>
    </row>
    <row r="2" spans="1:4" ht="22.75" customHeight="1" x14ac:dyDescent="0.15">
      <c r="A2" s="30" t="s">
        <v>1244</v>
      </c>
      <c r="B2" s="30" t="s">
        <v>1245</v>
      </c>
      <c r="C2" s="30"/>
      <c r="D2" s="30"/>
    </row>
    <row r="3" spans="1:4" ht="24" customHeight="1" x14ac:dyDescent="0.15">
      <c r="A3" s="3" t="s">
        <v>1246</v>
      </c>
      <c r="B3" s="3" t="s">
        <v>1247</v>
      </c>
      <c r="C3" s="3" t="s">
        <v>1248</v>
      </c>
      <c r="D3" s="3" t="s">
        <v>1249</v>
      </c>
    </row>
    <row r="4" spans="1:4" ht="24" customHeight="1" x14ac:dyDescent="0.15">
      <c r="A4" s="33" t="s">
        <v>1250</v>
      </c>
      <c r="B4" s="33" t="s">
        <v>1251</v>
      </c>
      <c r="C4" s="33" t="s">
        <v>1248</v>
      </c>
      <c r="D4" s="33" t="s">
        <v>1252</v>
      </c>
    </row>
    <row r="5" spans="1:4" ht="9.75" customHeight="1" x14ac:dyDescent="0.15">
      <c r="A5" s="6"/>
      <c r="B5" s="6"/>
      <c r="C5" s="6"/>
      <c r="D5" s="6"/>
    </row>
    <row r="6" spans="1:4" ht="22.75" customHeight="1" x14ac:dyDescent="0.15">
      <c r="A6" s="30" t="s">
        <v>1253</v>
      </c>
      <c r="B6" s="30" t="s">
        <v>1254</v>
      </c>
      <c r="C6" s="30"/>
      <c r="D6" s="30"/>
    </row>
    <row r="7" spans="1:4" ht="24" customHeight="1" x14ac:dyDescent="0.15">
      <c r="A7" s="3" t="s">
        <v>1255</v>
      </c>
      <c r="B7" s="3" t="s">
        <v>1256</v>
      </c>
      <c r="C7" s="3" t="s">
        <v>1257</v>
      </c>
      <c r="D7" s="3" t="s">
        <v>1258</v>
      </c>
    </row>
    <row r="8" spans="1:4" ht="9.75" customHeight="1" x14ac:dyDescent="0.15">
      <c r="A8" s="6"/>
      <c r="B8" s="6"/>
      <c r="C8" s="6"/>
      <c r="D8" s="6"/>
    </row>
    <row r="9" spans="1:4" ht="22.75" customHeight="1" x14ac:dyDescent="0.15">
      <c r="A9" s="30" t="s">
        <v>1259</v>
      </c>
      <c r="B9" s="30" t="s">
        <v>1260</v>
      </c>
      <c r="C9" s="30"/>
      <c r="D9" s="30"/>
    </row>
    <row r="10" spans="1:4" ht="24" customHeight="1" x14ac:dyDescent="0.15">
      <c r="A10" s="33" t="s">
        <v>1261</v>
      </c>
      <c r="B10" s="33" t="s">
        <v>1262</v>
      </c>
      <c r="C10" s="33" t="s">
        <v>1263</v>
      </c>
      <c r="D10" s="33" t="s">
        <v>1264</v>
      </c>
    </row>
    <row r="11" spans="1:4" ht="9.75" customHeight="1" x14ac:dyDescent="0.15">
      <c r="A11" s="6"/>
      <c r="B11" s="6"/>
      <c r="C11" s="6"/>
      <c r="D11" s="6"/>
    </row>
    <row r="12" spans="1:4" ht="22.75" customHeight="1" x14ac:dyDescent="0.15">
      <c r="A12" s="30" t="s">
        <v>1265</v>
      </c>
      <c r="B12" s="30" t="s">
        <v>1266</v>
      </c>
      <c r="C12" s="30"/>
      <c r="D12" s="30"/>
    </row>
    <row r="13" spans="1:4" ht="24" customHeight="1" x14ac:dyDescent="0.15">
      <c r="A13" s="3" t="s">
        <v>1267</v>
      </c>
      <c r="B13" s="3" t="s">
        <v>1268</v>
      </c>
      <c r="C13" s="3" t="s">
        <v>1269</v>
      </c>
      <c r="D13" s="3" t="s">
        <v>1270</v>
      </c>
    </row>
    <row r="14" spans="1:4" x14ac:dyDescent="0.15">
      <c r="A14" s="33" t="s">
        <v>1271</v>
      </c>
      <c r="B14" s="33" t="s">
        <v>1272</v>
      </c>
      <c r="C14" s="33" t="s">
        <v>1273</v>
      </c>
      <c r="D14" s="33" t="s">
        <v>1274</v>
      </c>
    </row>
    <row r="15" spans="1:4" ht="24" customHeight="1" x14ac:dyDescent="0.15">
      <c r="A15" s="3" t="s">
        <v>1275</v>
      </c>
      <c r="B15" s="3" t="s">
        <v>1276</v>
      </c>
      <c r="C15" s="3" t="s">
        <v>1277</v>
      </c>
      <c r="D15" s="3" t="s">
        <v>1278</v>
      </c>
    </row>
    <row r="16" spans="1:4" ht="24" customHeight="1" x14ac:dyDescent="0.15">
      <c r="A16" s="33" t="s">
        <v>1279</v>
      </c>
      <c r="B16" s="33" t="s">
        <v>1280</v>
      </c>
      <c r="C16" s="33" t="s">
        <v>1281</v>
      </c>
      <c r="D16" s="33" t="s">
        <v>1282</v>
      </c>
    </row>
    <row r="17" spans="1:4" ht="9.75" customHeight="1" x14ac:dyDescent="0.15">
      <c r="A17" s="6"/>
      <c r="B17" s="6"/>
      <c r="C17" s="6"/>
      <c r="D17" s="6"/>
    </row>
    <row r="18" spans="1:4" ht="22.75" customHeight="1" x14ac:dyDescent="0.15">
      <c r="A18" s="30" t="s">
        <v>1283</v>
      </c>
      <c r="B18" s="30"/>
      <c r="C18" s="30"/>
      <c r="D18" s="30"/>
    </row>
    <row r="19" spans="1:4" ht="24" customHeight="1" x14ac:dyDescent="0.15">
      <c r="A19" s="3" t="s">
        <v>1284</v>
      </c>
      <c r="B19" s="3" t="s">
        <v>1285</v>
      </c>
      <c r="C19" s="3" t="s">
        <v>1286</v>
      </c>
      <c r="D19" s="3"/>
    </row>
    <row r="20" spans="1:4" x14ac:dyDescent="0.15">
      <c r="A20" s="33" t="s">
        <v>1287</v>
      </c>
      <c r="B20" s="33" t="s">
        <v>1288</v>
      </c>
      <c r="C20" s="33" t="s">
        <v>1289</v>
      </c>
      <c r="D20" s="33"/>
    </row>
    <row r="21" spans="1:4" ht="24" customHeight="1" x14ac:dyDescent="0.15">
      <c r="A21" s="3" t="s">
        <v>1290</v>
      </c>
      <c r="B21" s="3" t="s">
        <v>1291</v>
      </c>
      <c r="C21" s="3" t="s">
        <v>1292</v>
      </c>
      <c r="D21" s="3"/>
    </row>
    <row r="22" spans="1:4" x14ac:dyDescent="0.15">
      <c r="A22" s="33" t="s">
        <v>1293</v>
      </c>
      <c r="B22" s="33" t="s">
        <v>1294</v>
      </c>
      <c r="C22" s="33" t="s">
        <v>1292</v>
      </c>
      <c r="D22" s="33"/>
    </row>
    <row r="23" spans="1:4" ht="9.75" customHeight="1" x14ac:dyDescent="0.15">
      <c r="A23" s="6"/>
      <c r="B23" s="6"/>
      <c r="C23" s="6"/>
      <c r="D23" s="6"/>
    </row>
    <row r="24" spans="1:4" x14ac:dyDescent="0.15">
      <c r="A24" s="30" t="s">
        <v>1295</v>
      </c>
      <c r="B24" s="30"/>
      <c r="C24" s="30"/>
      <c r="D24" s="30"/>
    </row>
    <row r="25" spans="1:4" ht="36" customHeight="1" x14ac:dyDescent="0.15">
      <c r="A25" s="3" t="s">
        <v>1296</v>
      </c>
      <c r="B25" s="3" t="s">
        <v>1297</v>
      </c>
      <c r="C25" s="3"/>
      <c r="D25" s="3"/>
    </row>
    <row r="26" spans="1:4" ht="36" customHeight="1" x14ac:dyDescent="0.15">
      <c r="A26" s="33" t="s">
        <v>1298</v>
      </c>
      <c r="B26" s="33" t="s">
        <v>1299</v>
      </c>
      <c r="C26" s="33"/>
      <c r="D26" s="33"/>
    </row>
    <row r="27" spans="1:4" ht="9.75" customHeight="1" x14ac:dyDescent="0.15">
      <c r="A27" s="6"/>
      <c r="B27" s="6"/>
      <c r="C27" s="6"/>
      <c r="D27" s="6"/>
    </row>
    <row r="28" spans="1:4" ht="22.75" customHeight="1" x14ac:dyDescent="0.15">
      <c r="A28" s="30" t="s">
        <v>1300</v>
      </c>
      <c r="B28" s="30"/>
      <c r="C28" s="30"/>
      <c r="D28" s="30"/>
    </row>
    <row r="29" spans="1:4" x14ac:dyDescent="0.15">
      <c r="A29" s="3" t="s">
        <v>1301</v>
      </c>
      <c r="B29" s="3" t="s">
        <v>1302</v>
      </c>
      <c r="C29" s="3" t="s">
        <v>1303</v>
      </c>
      <c r="D29" s="3"/>
    </row>
    <row r="30" spans="1:4" x14ac:dyDescent="0.15">
      <c r="A30" s="33" t="s">
        <v>1304</v>
      </c>
      <c r="B30" s="33" t="s">
        <v>1305</v>
      </c>
      <c r="C30" s="33" t="s">
        <v>1306</v>
      </c>
      <c r="D30" s="33"/>
    </row>
    <row r="31" spans="1:4" x14ac:dyDescent="0.15">
      <c r="A31" s="3" t="s">
        <v>1307</v>
      </c>
      <c r="B31" s="3" t="s">
        <v>1308</v>
      </c>
      <c r="C31" s="3" t="s">
        <v>1309</v>
      </c>
      <c r="D31" s="3"/>
    </row>
    <row r="32" spans="1:4" x14ac:dyDescent="0.15">
      <c r="A32" s="33" t="s">
        <v>1310</v>
      </c>
      <c r="B32" s="33" t="s">
        <v>1311</v>
      </c>
      <c r="C32" s="33" t="s">
        <v>1312</v>
      </c>
      <c r="D32" s="33"/>
    </row>
    <row r="33" spans="1:4" ht="24" customHeight="1" x14ac:dyDescent="0.15">
      <c r="A33" s="3" t="s">
        <v>1313</v>
      </c>
      <c r="B33" s="3" t="s">
        <v>1314</v>
      </c>
      <c r="C33" s="3" t="s">
        <v>1315</v>
      </c>
      <c r="D33" s="3"/>
    </row>
  </sheetData>
  <mergeCells count="1">
    <mergeCell ref="A1:D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2"/>
  <sheetViews>
    <sheetView showGridLines="0" zoomScaleNormal="100" workbookViewId="0">
      <pane xSplit="2" ySplit="2" topLeftCell="C3" activePane="bottomRight" state="frozen"/>
      <selection pane="topRight" activeCell="C1" sqref="C1"/>
      <selection pane="bottomLeft" activeCell="A3" sqref="A3"/>
      <selection pane="bottomRight" activeCell="D13" sqref="D13"/>
    </sheetView>
  </sheetViews>
  <sheetFormatPr baseColWidth="10" defaultColWidth="8.6640625" defaultRowHeight="14" x14ac:dyDescent="0.15"/>
  <cols>
    <col min="1" max="1" width="24" style="1" customWidth="1"/>
    <col min="2" max="2" width="12" style="1" customWidth="1"/>
    <col min="3" max="3" width="24" style="1" customWidth="1"/>
    <col min="4" max="4" width="32" style="1" customWidth="1"/>
    <col min="5" max="5" width="28" style="1" customWidth="1"/>
    <col min="6" max="6" width="14" style="1" customWidth="1"/>
    <col min="7" max="8" width="36" style="1" customWidth="1"/>
    <col min="9" max="9" width="22" style="1" customWidth="1"/>
    <col min="10" max="10" width="30" style="1" customWidth="1"/>
    <col min="11" max="11" width="14" style="1" customWidth="1"/>
    <col min="12" max="12" width="18" style="1" customWidth="1"/>
    <col min="13" max="13" width="16" style="1" customWidth="1"/>
    <col min="14" max="14" width="8.6640625" style="1" customWidth="1"/>
    <col min="15" max="16384" width="8.6640625" style="1"/>
  </cols>
  <sheetData>
    <row r="1" spans="1:13" ht="27.75" customHeight="1" x14ac:dyDescent="0.15">
      <c r="A1" s="56" t="s">
        <v>1316</v>
      </c>
      <c r="B1" s="57"/>
      <c r="C1" s="57"/>
      <c r="D1" s="57"/>
      <c r="E1" s="57"/>
      <c r="F1" s="57"/>
      <c r="G1" s="57"/>
      <c r="H1" s="57"/>
      <c r="I1" s="57"/>
      <c r="J1" s="57"/>
      <c r="K1" s="57"/>
      <c r="L1" s="57"/>
      <c r="M1" s="57"/>
    </row>
    <row r="2" spans="1:13" ht="36" customHeight="1" x14ac:dyDescent="0.15">
      <c r="A2" s="16" t="s">
        <v>113</v>
      </c>
      <c r="B2" s="16" t="s">
        <v>114</v>
      </c>
      <c r="C2" s="16" t="s">
        <v>1317</v>
      </c>
      <c r="D2" s="16" t="s">
        <v>1318</v>
      </c>
      <c r="E2" s="16" t="s">
        <v>1319</v>
      </c>
      <c r="F2" s="16" t="s">
        <v>1320</v>
      </c>
      <c r="G2" s="16" t="s">
        <v>1321</v>
      </c>
      <c r="H2" s="16" t="s">
        <v>1322</v>
      </c>
      <c r="I2" s="16" t="s">
        <v>1323</v>
      </c>
      <c r="J2" s="16" t="s">
        <v>1324</v>
      </c>
      <c r="K2" s="16" t="s">
        <v>225</v>
      </c>
      <c r="L2" s="16" t="s">
        <v>226</v>
      </c>
      <c r="M2" s="16" t="s">
        <v>1325</v>
      </c>
    </row>
    <row r="3" spans="1:13" ht="18" customHeight="1" x14ac:dyDescent="0.15">
      <c r="A3" s="3"/>
      <c r="B3" s="3"/>
      <c r="C3" s="3"/>
      <c r="D3" s="3"/>
      <c r="E3" s="3"/>
      <c r="F3" s="3"/>
      <c r="G3" s="3"/>
      <c r="H3" s="3"/>
      <c r="I3" s="3"/>
      <c r="J3" s="3"/>
      <c r="K3" s="3"/>
      <c r="L3" s="3"/>
      <c r="M3" s="3"/>
    </row>
    <row r="4" spans="1:13" ht="18" customHeight="1" x14ac:dyDescent="0.15">
      <c r="A4" s="5"/>
      <c r="B4" s="5"/>
      <c r="C4" s="5"/>
      <c r="D4" s="5"/>
      <c r="E4" s="5"/>
      <c r="F4" s="5"/>
      <c r="G4" s="5"/>
      <c r="H4" s="5"/>
      <c r="I4" s="5"/>
      <c r="J4" s="5"/>
      <c r="K4" s="5"/>
      <c r="L4" s="5"/>
      <c r="M4" s="5"/>
    </row>
    <row r="5" spans="1:13" ht="18" customHeight="1" x14ac:dyDescent="0.15">
      <c r="A5" s="3"/>
      <c r="B5" s="3"/>
      <c r="C5" s="3"/>
      <c r="D5" s="3"/>
      <c r="E5" s="3"/>
      <c r="F5" s="3"/>
      <c r="G5" s="3"/>
      <c r="H5" s="3"/>
      <c r="I5" s="3"/>
      <c r="J5" s="3"/>
      <c r="K5" s="3"/>
      <c r="L5" s="3"/>
      <c r="M5" s="3"/>
    </row>
    <row r="6" spans="1:13" ht="18" customHeight="1" x14ac:dyDescent="0.15">
      <c r="A6" s="5"/>
      <c r="B6" s="5"/>
      <c r="C6" s="5"/>
      <c r="D6" s="5"/>
      <c r="E6" s="5"/>
      <c r="F6" s="5"/>
      <c r="G6" s="5"/>
      <c r="H6" s="5"/>
      <c r="I6" s="5"/>
      <c r="J6" s="5"/>
      <c r="K6" s="5"/>
      <c r="L6" s="5"/>
      <c r="M6" s="5"/>
    </row>
    <row r="7" spans="1:13" ht="18" customHeight="1" x14ac:dyDescent="0.15">
      <c r="A7" s="3"/>
      <c r="B7" s="3"/>
      <c r="C7" s="3"/>
      <c r="D7" s="3"/>
      <c r="E7" s="3"/>
      <c r="F7" s="3"/>
      <c r="G7" s="3"/>
      <c r="H7" s="3"/>
      <c r="I7" s="3"/>
      <c r="J7" s="3"/>
      <c r="K7" s="3"/>
      <c r="L7" s="3"/>
      <c r="M7" s="3"/>
    </row>
    <row r="8" spans="1:13" ht="18" customHeight="1" x14ac:dyDescent="0.15">
      <c r="A8" s="5"/>
      <c r="B8" s="5"/>
      <c r="C8" s="5"/>
      <c r="D8" s="5"/>
      <c r="E8" s="5"/>
      <c r="F8" s="5"/>
      <c r="G8" s="5"/>
      <c r="H8" s="5"/>
      <c r="I8" s="5"/>
      <c r="J8" s="5"/>
      <c r="K8" s="5"/>
      <c r="L8" s="5"/>
      <c r="M8" s="5"/>
    </row>
    <row r="9" spans="1:13" ht="18" customHeight="1" x14ac:dyDescent="0.15">
      <c r="A9" s="3"/>
      <c r="B9" s="3"/>
      <c r="C9" s="3"/>
      <c r="D9" s="3"/>
      <c r="E9" s="3"/>
      <c r="F9" s="3"/>
      <c r="G9" s="3"/>
      <c r="H9" s="3"/>
      <c r="I9" s="3"/>
      <c r="J9" s="3"/>
      <c r="K9" s="3"/>
      <c r="L9" s="3"/>
      <c r="M9" s="3"/>
    </row>
    <row r="10" spans="1:13" ht="18" customHeight="1" x14ac:dyDescent="0.15">
      <c r="A10" s="5"/>
      <c r="B10" s="5"/>
      <c r="C10" s="5"/>
      <c r="D10" s="5"/>
      <c r="E10" s="5"/>
      <c r="F10" s="5"/>
      <c r="G10" s="5"/>
      <c r="H10" s="5"/>
      <c r="I10" s="5"/>
      <c r="J10" s="5"/>
      <c r="K10" s="5"/>
      <c r="L10" s="5"/>
      <c r="M10" s="5"/>
    </row>
    <row r="11" spans="1:13" ht="18" customHeight="1" x14ac:dyDescent="0.15">
      <c r="A11" s="3"/>
      <c r="B11" s="3"/>
      <c r="C11" s="3"/>
      <c r="D11" s="3"/>
      <c r="E11" s="3"/>
      <c r="F11" s="3"/>
      <c r="G11" s="3"/>
      <c r="H11" s="3"/>
      <c r="I11" s="3"/>
      <c r="J11" s="3"/>
      <c r="K11" s="3"/>
      <c r="L11" s="3"/>
      <c r="M11" s="3"/>
    </row>
    <row r="12" spans="1:13" ht="18" customHeight="1" x14ac:dyDescent="0.15">
      <c r="A12" s="5"/>
      <c r="B12" s="5"/>
      <c r="C12" s="5"/>
      <c r="D12" s="5"/>
      <c r="E12" s="5"/>
      <c r="F12" s="5"/>
      <c r="G12" s="5"/>
      <c r="H12" s="5"/>
      <c r="I12" s="5"/>
      <c r="J12" s="5"/>
      <c r="K12" s="5"/>
      <c r="L12" s="5"/>
      <c r="M12" s="5"/>
    </row>
    <row r="13" spans="1:13" ht="18" customHeight="1" x14ac:dyDescent="0.15">
      <c r="A13" s="3"/>
      <c r="B13" s="3"/>
      <c r="C13" s="3"/>
      <c r="D13" s="3"/>
      <c r="E13" s="3"/>
      <c r="F13" s="3"/>
      <c r="G13" s="3"/>
      <c r="H13" s="3"/>
      <c r="I13" s="3"/>
      <c r="J13" s="3"/>
      <c r="K13" s="3"/>
      <c r="L13" s="3"/>
      <c r="M13" s="3"/>
    </row>
    <row r="14" spans="1:13" ht="18" customHeight="1" x14ac:dyDescent="0.15">
      <c r="A14" s="5"/>
      <c r="B14" s="5"/>
      <c r="C14" s="5"/>
      <c r="D14" s="5"/>
      <c r="E14" s="5"/>
      <c r="F14" s="5"/>
      <c r="G14" s="5"/>
      <c r="H14" s="5"/>
      <c r="I14" s="5"/>
      <c r="J14" s="5"/>
      <c r="K14" s="5"/>
      <c r="L14" s="5"/>
      <c r="M14" s="5"/>
    </row>
    <row r="15" spans="1:13" ht="18" customHeight="1" x14ac:dyDescent="0.15">
      <c r="A15" s="3"/>
      <c r="B15" s="3"/>
      <c r="C15" s="3"/>
      <c r="D15" s="3"/>
      <c r="E15" s="3"/>
      <c r="F15" s="3"/>
      <c r="G15" s="3"/>
      <c r="H15" s="3"/>
      <c r="I15" s="3"/>
      <c r="J15" s="3"/>
      <c r="K15" s="3"/>
      <c r="L15" s="3"/>
      <c r="M15" s="3"/>
    </row>
    <row r="16" spans="1:13" ht="18" customHeight="1" x14ac:dyDescent="0.15">
      <c r="A16" s="5"/>
      <c r="B16" s="5"/>
      <c r="C16" s="5"/>
      <c r="D16" s="5"/>
      <c r="E16" s="5"/>
      <c r="F16" s="5"/>
      <c r="G16" s="5"/>
      <c r="H16" s="5"/>
      <c r="I16" s="5"/>
      <c r="J16" s="5"/>
      <c r="K16" s="5"/>
      <c r="L16" s="5"/>
      <c r="M16" s="5"/>
    </row>
    <row r="17" spans="1:13" ht="18" customHeight="1" x14ac:dyDescent="0.15">
      <c r="A17" s="3"/>
      <c r="B17" s="3"/>
      <c r="C17" s="3"/>
      <c r="D17" s="3"/>
      <c r="E17" s="3"/>
      <c r="F17" s="3"/>
      <c r="G17" s="3"/>
      <c r="H17" s="3"/>
      <c r="I17" s="3"/>
      <c r="J17" s="3"/>
      <c r="K17" s="3"/>
      <c r="L17" s="3"/>
      <c r="M17" s="3"/>
    </row>
    <row r="18" spans="1:13" ht="18" customHeight="1" x14ac:dyDescent="0.15">
      <c r="A18" s="5"/>
      <c r="B18" s="5"/>
      <c r="C18" s="5"/>
      <c r="D18" s="5"/>
      <c r="E18" s="5"/>
      <c r="F18" s="5"/>
      <c r="G18" s="5"/>
      <c r="H18" s="5"/>
      <c r="I18" s="5"/>
      <c r="J18" s="5"/>
      <c r="K18" s="5"/>
      <c r="L18" s="5"/>
      <c r="M18" s="5"/>
    </row>
    <row r="19" spans="1:13" ht="18" customHeight="1" x14ac:dyDescent="0.15">
      <c r="A19" s="3"/>
      <c r="B19" s="3"/>
      <c r="C19" s="3"/>
      <c r="D19" s="3"/>
      <c r="E19" s="3"/>
      <c r="F19" s="3"/>
      <c r="G19" s="3"/>
      <c r="H19" s="3"/>
      <c r="I19" s="3"/>
      <c r="J19" s="3"/>
      <c r="K19" s="3"/>
      <c r="L19" s="3"/>
      <c r="M19" s="3"/>
    </row>
    <row r="20" spans="1:13" ht="18" customHeight="1" x14ac:dyDescent="0.15">
      <c r="A20" s="5"/>
      <c r="B20" s="5"/>
      <c r="C20" s="5"/>
      <c r="D20" s="5"/>
      <c r="E20" s="5"/>
      <c r="F20" s="5"/>
      <c r="G20" s="5"/>
      <c r="H20" s="5"/>
      <c r="I20" s="5"/>
      <c r="J20" s="5"/>
      <c r="K20" s="5"/>
      <c r="L20" s="5"/>
      <c r="M20" s="5"/>
    </row>
    <row r="21" spans="1:13" ht="18" customHeight="1" x14ac:dyDescent="0.15">
      <c r="A21" s="3"/>
      <c r="B21" s="3"/>
      <c r="C21" s="3"/>
      <c r="D21" s="3"/>
      <c r="E21" s="3"/>
      <c r="F21" s="3"/>
      <c r="G21" s="3"/>
      <c r="H21" s="3"/>
      <c r="I21" s="3"/>
      <c r="J21" s="3"/>
      <c r="K21" s="3"/>
      <c r="L21" s="3"/>
      <c r="M21" s="3"/>
    </row>
    <row r="22" spans="1:13" ht="18" customHeight="1" x14ac:dyDescent="0.15">
      <c r="A22" s="5"/>
      <c r="B22" s="5"/>
      <c r="C22" s="5"/>
      <c r="D22" s="5"/>
      <c r="E22" s="5"/>
      <c r="F22" s="5"/>
      <c r="G22" s="5"/>
      <c r="H22" s="5"/>
      <c r="I22" s="5"/>
      <c r="J22" s="5"/>
      <c r="K22" s="5"/>
      <c r="L22" s="5"/>
      <c r="M22" s="5"/>
    </row>
    <row r="23" spans="1:13" ht="18" customHeight="1" x14ac:dyDescent="0.15">
      <c r="A23" s="3"/>
      <c r="B23" s="3"/>
      <c r="C23" s="3"/>
      <c r="D23" s="3"/>
      <c r="E23" s="3"/>
      <c r="F23" s="3"/>
      <c r="G23" s="3"/>
      <c r="H23" s="3"/>
      <c r="I23" s="3"/>
      <c r="J23" s="3"/>
      <c r="K23" s="3"/>
      <c r="L23" s="3"/>
      <c r="M23" s="3"/>
    </row>
    <row r="24" spans="1:13" ht="18" customHeight="1" x14ac:dyDescent="0.15">
      <c r="A24" s="5"/>
      <c r="B24" s="5"/>
      <c r="C24" s="5"/>
      <c r="D24" s="5"/>
      <c r="E24" s="5"/>
      <c r="F24" s="5"/>
      <c r="G24" s="5"/>
      <c r="H24" s="5"/>
      <c r="I24" s="5"/>
      <c r="J24" s="5"/>
      <c r="K24" s="5"/>
      <c r="L24" s="5"/>
      <c r="M24" s="5"/>
    </row>
    <row r="25" spans="1:13" ht="18" customHeight="1" x14ac:dyDescent="0.15">
      <c r="A25" s="3"/>
      <c r="B25" s="3"/>
      <c r="C25" s="3"/>
      <c r="D25" s="3"/>
      <c r="E25" s="3"/>
      <c r="F25" s="3"/>
      <c r="G25" s="3"/>
      <c r="H25" s="3"/>
      <c r="I25" s="3"/>
      <c r="J25" s="3"/>
      <c r="K25" s="3"/>
      <c r="L25" s="3"/>
      <c r="M25" s="3"/>
    </row>
    <row r="26" spans="1:13" ht="18" customHeight="1" x14ac:dyDescent="0.15">
      <c r="A26" s="5"/>
      <c r="B26" s="5"/>
      <c r="C26" s="5"/>
      <c r="D26" s="5"/>
      <c r="E26" s="5"/>
      <c r="F26" s="5"/>
      <c r="G26" s="5"/>
      <c r="H26" s="5"/>
      <c r="I26" s="5"/>
      <c r="J26" s="5"/>
      <c r="K26" s="5"/>
      <c r="L26" s="5"/>
      <c r="M26" s="5"/>
    </row>
    <row r="27" spans="1:13" ht="18" customHeight="1" x14ac:dyDescent="0.15">
      <c r="A27" s="3"/>
      <c r="B27" s="3"/>
      <c r="C27" s="3"/>
      <c r="D27" s="3"/>
      <c r="E27" s="3"/>
      <c r="F27" s="3"/>
      <c r="G27" s="3"/>
      <c r="H27" s="3"/>
      <c r="I27" s="3"/>
      <c r="J27" s="3"/>
      <c r="K27" s="3"/>
      <c r="L27" s="3"/>
      <c r="M27" s="3"/>
    </row>
    <row r="28" spans="1:13" ht="18" customHeight="1" x14ac:dyDescent="0.15">
      <c r="A28" s="5"/>
      <c r="B28" s="5"/>
      <c r="C28" s="5"/>
      <c r="D28" s="5"/>
      <c r="E28" s="5"/>
      <c r="F28" s="5"/>
      <c r="G28" s="5"/>
      <c r="H28" s="5"/>
      <c r="I28" s="5"/>
      <c r="J28" s="5"/>
      <c r="K28" s="5"/>
      <c r="L28" s="5"/>
      <c r="M28" s="5"/>
    </row>
    <row r="29" spans="1:13" ht="18" customHeight="1" x14ac:dyDescent="0.15">
      <c r="A29" s="3"/>
      <c r="B29" s="3"/>
      <c r="C29" s="3"/>
      <c r="D29" s="3"/>
      <c r="E29" s="3"/>
      <c r="F29" s="3"/>
      <c r="G29" s="3"/>
      <c r="H29" s="3"/>
      <c r="I29" s="3"/>
      <c r="J29" s="3"/>
      <c r="K29" s="3"/>
      <c r="L29" s="3"/>
      <c r="M29" s="3"/>
    </row>
    <row r="30" spans="1:13" ht="18" customHeight="1" x14ac:dyDescent="0.15">
      <c r="A30" s="5"/>
      <c r="B30" s="5"/>
      <c r="C30" s="5"/>
      <c r="D30" s="5"/>
      <c r="E30" s="5"/>
      <c r="F30" s="5"/>
      <c r="G30" s="5"/>
      <c r="H30" s="5"/>
      <c r="I30" s="5"/>
      <c r="J30" s="5"/>
      <c r="K30" s="5"/>
      <c r="L30" s="5"/>
      <c r="M30" s="5"/>
    </row>
    <row r="31" spans="1:13" ht="18" customHeight="1" x14ac:dyDescent="0.15">
      <c r="A31" s="3"/>
      <c r="B31" s="3"/>
      <c r="C31" s="3"/>
      <c r="D31" s="3"/>
      <c r="E31" s="3"/>
      <c r="F31" s="3"/>
      <c r="G31" s="3"/>
      <c r="H31" s="3"/>
      <c r="I31" s="3"/>
      <c r="J31" s="3"/>
      <c r="K31" s="3"/>
      <c r="L31" s="3"/>
      <c r="M31" s="3"/>
    </row>
    <row r="32" spans="1:13" ht="18" customHeight="1" x14ac:dyDescent="0.15">
      <c r="A32" s="5"/>
      <c r="B32" s="5"/>
      <c r="C32" s="5"/>
      <c r="D32" s="5"/>
      <c r="E32" s="5"/>
      <c r="F32" s="5"/>
      <c r="G32" s="5"/>
      <c r="H32" s="5"/>
      <c r="I32" s="5"/>
      <c r="J32" s="5"/>
      <c r="K32" s="5"/>
      <c r="L32" s="5"/>
      <c r="M32" s="5"/>
    </row>
    <row r="33" spans="1:13" ht="18" customHeight="1" x14ac:dyDescent="0.15">
      <c r="A33" s="3"/>
      <c r="B33" s="3"/>
      <c r="C33" s="3"/>
      <c r="D33" s="3"/>
      <c r="E33" s="3"/>
      <c r="F33" s="3"/>
      <c r="G33" s="3"/>
      <c r="H33" s="3"/>
      <c r="I33" s="3"/>
      <c r="J33" s="3"/>
      <c r="K33" s="3"/>
      <c r="L33" s="3"/>
      <c r="M33" s="3"/>
    </row>
    <row r="34" spans="1:13" ht="18" customHeight="1" x14ac:dyDescent="0.15">
      <c r="A34" s="5"/>
      <c r="B34" s="5"/>
      <c r="C34" s="5"/>
      <c r="D34" s="5"/>
      <c r="E34" s="5"/>
      <c r="F34" s="5"/>
      <c r="G34" s="5"/>
      <c r="H34" s="5"/>
      <c r="I34" s="5"/>
      <c r="J34" s="5"/>
      <c r="K34" s="5"/>
      <c r="L34" s="5"/>
      <c r="M34" s="5"/>
    </row>
    <row r="35" spans="1:13" ht="18" customHeight="1" x14ac:dyDescent="0.15">
      <c r="A35" s="3"/>
      <c r="B35" s="3"/>
      <c r="C35" s="3"/>
      <c r="D35" s="3"/>
      <c r="E35" s="3"/>
      <c r="F35" s="3"/>
      <c r="G35" s="3"/>
      <c r="H35" s="3"/>
      <c r="I35" s="3"/>
      <c r="J35" s="3"/>
      <c r="K35" s="3"/>
      <c r="L35" s="3"/>
      <c r="M35" s="3"/>
    </row>
    <row r="36" spans="1:13" ht="18" customHeight="1" x14ac:dyDescent="0.15">
      <c r="A36" s="5"/>
      <c r="B36" s="5"/>
      <c r="C36" s="5"/>
      <c r="D36" s="5"/>
      <c r="E36" s="5"/>
      <c r="F36" s="5"/>
      <c r="G36" s="5"/>
      <c r="H36" s="5"/>
      <c r="I36" s="5"/>
      <c r="J36" s="5"/>
      <c r="K36" s="5"/>
      <c r="L36" s="5"/>
      <c r="M36" s="5"/>
    </row>
    <row r="37" spans="1:13" ht="18" customHeight="1" x14ac:dyDescent="0.15">
      <c r="A37" s="3"/>
      <c r="B37" s="3"/>
      <c r="C37" s="3"/>
      <c r="D37" s="3"/>
      <c r="E37" s="3"/>
      <c r="F37" s="3"/>
      <c r="G37" s="3"/>
      <c r="H37" s="3"/>
      <c r="I37" s="3"/>
      <c r="J37" s="3"/>
      <c r="K37" s="3"/>
      <c r="L37" s="3"/>
      <c r="M37" s="3"/>
    </row>
    <row r="38" spans="1:13" ht="18" customHeight="1" x14ac:dyDescent="0.15">
      <c r="A38" s="5"/>
      <c r="B38" s="5"/>
      <c r="C38" s="5"/>
      <c r="D38" s="5"/>
      <c r="E38" s="5"/>
      <c r="F38" s="5"/>
      <c r="G38" s="5"/>
      <c r="H38" s="5"/>
      <c r="I38" s="5"/>
      <c r="J38" s="5"/>
      <c r="K38" s="5"/>
      <c r="L38" s="5"/>
      <c r="M38" s="5"/>
    </row>
    <row r="39" spans="1:13" ht="18" customHeight="1" x14ac:dyDescent="0.15">
      <c r="A39" s="3"/>
      <c r="B39" s="3"/>
      <c r="C39" s="3"/>
      <c r="D39" s="3"/>
      <c r="E39" s="3"/>
      <c r="F39" s="3"/>
      <c r="G39" s="3"/>
      <c r="H39" s="3"/>
      <c r="I39" s="3"/>
      <c r="J39" s="3"/>
      <c r="K39" s="3"/>
      <c r="L39" s="3"/>
      <c r="M39" s="3"/>
    </row>
    <row r="40" spans="1:13" ht="18" customHeight="1" x14ac:dyDescent="0.15">
      <c r="A40" s="5"/>
      <c r="B40" s="5"/>
      <c r="C40" s="5"/>
      <c r="D40" s="5"/>
      <c r="E40" s="5"/>
      <c r="F40" s="5"/>
      <c r="G40" s="5"/>
      <c r="H40" s="5"/>
      <c r="I40" s="5"/>
      <c r="J40" s="5"/>
      <c r="K40" s="5"/>
      <c r="L40" s="5"/>
      <c r="M40" s="5"/>
    </row>
    <row r="41" spans="1:13" ht="18" customHeight="1" x14ac:dyDescent="0.15">
      <c r="A41" s="3"/>
      <c r="B41" s="3"/>
      <c r="C41" s="3"/>
      <c r="D41" s="3"/>
      <c r="E41" s="3"/>
      <c r="F41" s="3"/>
      <c r="G41" s="3"/>
      <c r="H41" s="3"/>
      <c r="I41" s="3"/>
      <c r="J41" s="3"/>
      <c r="K41" s="3"/>
      <c r="L41" s="3"/>
      <c r="M41" s="3"/>
    </row>
    <row r="42" spans="1:13" ht="18" customHeight="1" x14ac:dyDescent="0.15">
      <c r="A42" s="5"/>
      <c r="B42" s="5"/>
      <c r="C42" s="5"/>
      <c r="D42" s="5"/>
      <c r="E42" s="5"/>
      <c r="F42" s="5"/>
      <c r="G42" s="5"/>
      <c r="H42" s="5"/>
      <c r="I42" s="5"/>
      <c r="J42" s="5"/>
      <c r="K42" s="5"/>
      <c r="L42" s="5"/>
      <c r="M42" s="5"/>
    </row>
    <row r="43" spans="1:13" ht="18" customHeight="1" x14ac:dyDescent="0.15">
      <c r="A43" s="3"/>
      <c r="B43" s="3"/>
      <c r="C43" s="3"/>
      <c r="D43" s="3"/>
      <c r="E43" s="3"/>
      <c r="F43" s="3"/>
      <c r="G43" s="3"/>
      <c r="H43" s="3"/>
      <c r="I43" s="3"/>
      <c r="J43" s="3"/>
      <c r="K43" s="3"/>
      <c r="L43" s="3"/>
      <c r="M43" s="3"/>
    </row>
    <row r="44" spans="1:13" ht="18" customHeight="1" x14ac:dyDescent="0.15">
      <c r="A44" s="5"/>
      <c r="B44" s="5"/>
      <c r="C44" s="5"/>
      <c r="D44" s="5"/>
      <c r="E44" s="5"/>
      <c r="F44" s="5"/>
      <c r="G44" s="5"/>
      <c r="H44" s="5"/>
      <c r="I44" s="5"/>
      <c r="J44" s="5"/>
      <c r="K44" s="5"/>
      <c r="L44" s="5"/>
      <c r="M44" s="5"/>
    </row>
    <row r="45" spans="1:13" ht="18" customHeight="1" x14ac:dyDescent="0.15">
      <c r="A45" s="3"/>
      <c r="B45" s="3"/>
      <c r="C45" s="3"/>
      <c r="D45" s="3"/>
      <c r="E45" s="3"/>
      <c r="F45" s="3"/>
      <c r="G45" s="3"/>
      <c r="H45" s="3"/>
      <c r="I45" s="3"/>
      <c r="J45" s="3"/>
      <c r="K45" s="3"/>
      <c r="L45" s="3"/>
      <c r="M45" s="3"/>
    </row>
    <row r="46" spans="1:13" ht="18" customHeight="1" x14ac:dyDescent="0.15">
      <c r="A46" s="5"/>
      <c r="B46" s="5"/>
      <c r="C46" s="5"/>
      <c r="D46" s="5"/>
      <c r="E46" s="5"/>
      <c r="F46" s="5"/>
      <c r="G46" s="5"/>
      <c r="H46" s="5"/>
      <c r="I46" s="5"/>
      <c r="J46" s="5"/>
      <c r="K46" s="5"/>
      <c r="L46" s="5"/>
      <c r="M46" s="5"/>
    </row>
    <row r="47" spans="1:13" ht="18" customHeight="1" x14ac:dyDescent="0.15">
      <c r="A47" s="3"/>
      <c r="B47" s="3"/>
      <c r="C47" s="3"/>
      <c r="D47" s="3"/>
      <c r="E47" s="3"/>
      <c r="F47" s="3"/>
      <c r="G47" s="3"/>
      <c r="H47" s="3"/>
      <c r="I47" s="3"/>
      <c r="J47" s="3"/>
      <c r="K47" s="3"/>
      <c r="L47" s="3"/>
      <c r="M47" s="3"/>
    </row>
    <row r="48" spans="1:13" ht="18" customHeight="1" x14ac:dyDescent="0.15">
      <c r="A48" s="5"/>
      <c r="B48" s="5"/>
      <c r="C48" s="5"/>
      <c r="D48" s="5"/>
      <c r="E48" s="5"/>
      <c r="F48" s="5"/>
      <c r="G48" s="5"/>
      <c r="H48" s="5"/>
      <c r="I48" s="5"/>
      <c r="J48" s="5"/>
      <c r="K48" s="5"/>
      <c r="L48" s="5"/>
      <c r="M48" s="5"/>
    </row>
    <row r="49" spans="1:13" ht="18" customHeight="1" x14ac:dyDescent="0.15">
      <c r="A49" s="3"/>
      <c r="B49" s="3"/>
      <c r="C49" s="3"/>
      <c r="D49" s="3"/>
      <c r="E49" s="3"/>
      <c r="F49" s="3"/>
      <c r="G49" s="3"/>
      <c r="H49" s="3"/>
      <c r="I49" s="3"/>
      <c r="J49" s="3"/>
      <c r="K49" s="3"/>
      <c r="L49" s="3"/>
      <c r="M49" s="3"/>
    </row>
    <row r="50" spans="1:13" ht="18" customHeight="1" x14ac:dyDescent="0.15">
      <c r="A50" s="5"/>
      <c r="B50" s="5"/>
      <c r="C50" s="5"/>
      <c r="D50" s="5"/>
      <c r="E50" s="5"/>
      <c r="F50" s="5"/>
      <c r="G50" s="5"/>
      <c r="H50" s="5"/>
      <c r="I50" s="5"/>
      <c r="J50" s="5"/>
      <c r="K50" s="5"/>
      <c r="L50" s="5"/>
      <c r="M50" s="5"/>
    </row>
    <row r="51" spans="1:13" ht="18" customHeight="1" x14ac:dyDescent="0.15">
      <c r="A51" s="3"/>
      <c r="B51" s="3"/>
      <c r="C51" s="3"/>
      <c r="D51" s="3"/>
      <c r="E51" s="3"/>
      <c r="F51" s="3"/>
      <c r="G51" s="3"/>
      <c r="H51" s="3"/>
      <c r="I51" s="3"/>
      <c r="J51" s="3"/>
      <c r="K51" s="3"/>
      <c r="L51" s="3"/>
      <c r="M51" s="3"/>
    </row>
    <row r="52" spans="1:13" ht="18" customHeight="1" x14ac:dyDescent="0.15">
      <c r="A52" s="5"/>
      <c r="B52" s="5"/>
      <c r="C52" s="5"/>
      <c r="D52" s="5"/>
      <c r="E52" s="5"/>
      <c r="F52" s="5"/>
      <c r="G52" s="5"/>
      <c r="H52" s="5"/>
      <c r="I52" s="5"/>
      <c r="J52" s="5"/>
      <c r="K52" s="5"/>
      <c r="L52" s="5"/>
      <c r="M52" s="5"/>
    </row>
    <row r="53" spans="1:13" ht="18" customHeight="1" x14ac:dyDescent="0.15">
      <c r="A53" s="3"/>
      <c r="B53" s="3"/>
      <c r="C53" s="3"/>
      <c r="D53" s="3"/>
      <c r="E53" s="3"/>
      <c r="F53" s="3"/>
      <c r="G53" s="3"/>
      <c r="H53" s="3"/>
      <c r="I53" s="3"/>
      <c r="J53" s="3"/>
      <c r="K53" s="3"/>
      <c r="L53" s="3"/>
      <c r="M53" s="3"/>
    </row>
    <row r="54" spans="1:13" ht="18" customHeight="1" x14ac:dyDescent="0.15">
      <c r="A54" s="5"/>
      <c r="B54" s="5"/>
      <c r="C54" s="5"/>
      <c r="D54" s="5"/>
      <c r="E54" s="5"/>
      <c r="F54" s="5"/>
      <c r="G54" s="5"/>
      <c r="H54" s="5"/>
      <c r="I54" s="5"/>
      <c r="J54" s="5"/>
      <c r="K54" s="5"/>
      <c r="L54" s="5"/>
      <c r="M54" s="5"/>
    </row>
    <row r="55" spans="1:13" ht="18" customHeight="1" x14ac:dyDescent="0.15">
      <c r="A55" s="3"/>
      <c r="B55" s="3"/>
      <c r="C55" s="3"/>
      <c r="D55" s="3"/>
      <c r="E55" s="3"/>
      <c r="F55" s="3"/>
      <c r="G55" s="3"/>
      <c r="H55" s="3"/>
      <c r="I55" s="3"/>
      <c r="J55" s="3"/>
      <c r="K55" s="3"/>
      <c r="L55" s="3"/>
      <c r="M55" s="3"/>
    </row>
    <row r="56" spans="1:13" ht="18" customHeight="1" x14ac:dyDescent="0.15">
      <c r="A56" s="5"/>
      <c r="B56" s="5"/>
      <c r="C56" s="5"/>
      <c r="D56" s="5"/>
      <c r="E56" s="5"/>
      <c r="F56" s="5"/>
      <c r="G56" s="5"/>
      <c r="H56" s="5"/>
      <c r="I56" s="5"/>
      <c r="J56" s="5"/>
      <c r="K56" s="5"/>
      <c r="L56" s="5"/>
      <c r="M56" s="5"/>
    </row>
    <row r="57" spans="1:13" ht="18" customHeight="1" x14ac:dyDescent="0.15">
      <c r="A57" s="3"/>
      <c r="B57" s="3"/>
      <c r="C57" s="3"/>
      <c r="D57" s="3"/>
      <c r="E57" s="3"/>
      <c r="F57" s="3"/>
      <c r="G57" s="3"/>
      <c r="H57" s="3"/>
      <c r="I57" s="3"/>
      <c r="J57" s="3"/>
      <c r="K57" s="3"/>
      <c r="L57" s="3"/>
      <c r="M57" s="3"/>
    </row>
    <row r="58" spans="1:13" ht="18" customHeight="1" x14ac:dyDescent="0.15">
      <c r="A58" s="5"/>
      <c r="B58" s="5"/>
      <c r="C58" s="5"/>
      <c r="D58" s="5"/>
      <c r="E58" s="5"/>
      <c r="F58" s="5"/>
      <c r="G58" s="5"/>
      <c r="H58" s="5"/>
      <c r="I58" s="5"/>
      <c r="J58" s="5"/>
      <c r="K58" s="5"/>
      <c r="L58" s="5"/>
      <c r="M58" s="5"/>
    </row>
    <row r="59" spans="1:13" ht="18" customHeight="1" x14ac:dyDescent="0.15">
      <c r="A59" s="3"/>
      <c r="B59" s="3"/>
      <c r="C59" s="3"/>
      <c r="D59" s="3"/>
      <c r="E59" s="3"/>
      <c r="F59" s="3"/>
      <c r="G59" s="3"/>
      <c r="H59" s="3"/>
      <c r="I59" s="3"/>
      <c r="J59" s="3"/>
      <c r="K59" s="3"/>
      <c r="L59" s="3"/>
      <c r="M59" s="3"/>
    </row>
    <row r="60" spans="1:13" ht="18" customHeight="1" x14ac:dyDescent="0.15">
      <c r="A60" s="5"/>
      <c r="B60" s="5"/>
      <c r="C60" s="5"/>
      <c r="D60" s="5"/>
      <c r="E60" s="5"/>
      <c r="F60" s="5"/>
      <c r="G60" s="5"/>
      <c r="H60" s="5"/>
      <c r="I60" s="5"/>
      <c r="J60" s="5"/>
      <c r="K60" s="5"/>
      <c r="L60" s="5"/>
      <c r="M60" s="5"/>
    </row>
    <row r="61" spans="1:13" ht="18" customHeight="1" x14ac:dyDescent="0.15">
      <c r="A61" s="3"/>
      <c r="B61" s="3"/>
      <c r="C61" s="3"/>
      <c r="D61" s="3"/>
      <c r="E61" s="3"/>
      <c r="F61" s="3"/>
      <c r="G61" s="3"/>
      <c r="H61" s="3"/>
      <c r="I61" s="3"/>
      <c r="J61" s="3"/>
      <c r="K61" s="3"/>
      <c r="L61" s="3"/>
      <c r="M61" s="3"/>
    </row>
    <row r="62" spans="1:13" ht="18" customHeight="1" x14ac:dyDescent="0.15">
      <c r="A62" s="5"/>
      <c r="B62" s="5"/>
      <c r="C62" s="5"/>
      <c r="D62" s="5"/>
      <c r="E62" s="5"/>
      <c r="F62" s="5"/>
      <c r="G62" s="5"/>
      <c r="H62" s="5"/>
      <c r="I62" s="5"/>
      <c r="J62" s="5"/>
      <c r="K62" s="5"/>
      <c r="L62" s="5"/>
      <c r="M62" s="5"/>
    </row>
    <row r="63" spans="1:13" ht="18" customHeight="1" x14ac:dyDescent="0.15">
      <c r="A63" s="3"/>
      <c r="B63" s="3"/>
      <c r="C63" s="3"/>
      <c r="D63" s="3"/>
      <c r="E63" s="3"/>
      <c r="F63" s="3"/>
      <c r="G63" s="3"/>
      <c r="H63" s="3"/>
      <c r="I63" s="3"/>
      <c r="J63" s="3"/>
      <c r="K63" s="3"/>
      <c r="L63" s="3"/>
      <c r="M63" s="3"/>
    </row>
    <row r="64" spans="1:13" ht="18" customHeight="1" x14ac:dyDescent="0.15">
      <c r="A64" s="5"/>
      <c r="B64" s="5"/>
      <c r="C64" s="5"/>
      <c r="D64" s="5"/>
      <c r="E64" s="5"/>
      <c r="F64" s="5"/>
      <c r="G64" s="5"/>
      <c r="H64" s="5"/>
      <c r="I64" s="5"/>
      <c r="J64" s="5"/>
      <c r="K64" s="5"/>
      <c r="L64" s="5"/>
      <c r="M64" s="5"/>
    </row>
    <row r="65" spans="1:13" ht="18" customHeight="1" x14ac:dyDescent="0.15">
      <c r="A65" s="3"/>
      <c r="B65" s="3"/>
      <c r="C65" s="3"/>
      <c r="D65" s="3"/>
      <c r="E65" s="3"/>
      <c r="F65" s="3"/>
      <c r="G65" s="3"/>
      <c r="H65" s="3"/>
      <c r="I65" s="3"/>
      <c r="J65" s="3"/>
      <c r="K65" s="3"/>
      <c r="L65" s="3"/>
      <c r="M65" s="3"/>
    </row>
    <row r="66" spans="1:13" ht="18" customHeight="1" x14ac:dyDescent="0.15">
      <c r="A66" s="5"/>
      <c r="B66" s="5"/>
      <c r="C66" s="5"/>
      <c r="D66" s="5"/>
      <c r="E66" s="5"/>
      <c r="F66" s="5"/>
      <c r="G66" s="5"/>
      <c r="H66" s="5"/>
      <c r="I66" s="5"/>
      <c r="J66" s="5"/>
      <c r="K66" s="5"/>
      <c r="L66" s="5"/>
      <c r="M66" s="5"/>
    </row>
    <row r="67" spans="1:13" ht="18" customHeight="1" x14ac:dyDescent="0.15">
      <c r="A67" s="3"/>
      <c r="B67" s="3"/>
      <c r="C67" s="3"/>
      <c r="D67" s="3"/>
      <c r="E67" s="3"/>
      <c r="F67" s="3"/>
      <c r="G67" s="3"/>
      <c r="H67" s="3"/>
      <c r="I67" s="3"/>
      <c r="J67" s="3"/>
      <c r="K67" s="3"/>
      <c r="L67" s="3"/>
      <c r="M67" s="3"/>
    </row>
    <row r="68" spans="1:13" ht="18" customHeight="1" x14ac:dyDescent="0.15">
      <c r="A68" s="5"/>
      <c r="B68" s="5"/>
      <c r="C68" s="5"/>
      <c r="D68" s="5"/>
      <c r="E68" s="5"/>
      <c r="F68" s="5"/>
      <c r="G68" s="5"/>
      <c r="H68" s="5"/>
      <c r="I68" s="5"/>
      <c r="J68" s="5"/>
      <c r="K68" s="5"/>
      <c r="L68" s="5"/>
      <c r="M68" s="5"/>
    </row>
    <row r="69" spans="1:13" ht="18" customHeight="1" x14ac:dyDescent="0.15">
      <c r="A69" s="3"/>
      <c r="B69" s="3"/>
      <c r="C69" s="3"/>
      <c r="D69" s="3"/>
      <c r="E69" s="3"/>
      <c r="F69" s="3"/>
      <c r="G69" s="3"/>
      <c r="H69" s="3"/>
      <c r="I69" s="3"/>
      <c r="J69" s="3"/>
      <c r="K69" s="3"/>
      <c r="L69" s="3"/>
      <c r="M69" s="3"/>
    </row>
    <row r="70" spans="1:13" ht="18" customHeight="1" x14ac:dyDescent="0.15">
      <c r="A70" s="5"/>
      <c r="B70" s="5"/>
      <c r="C70" s="5"/>
      <c r="D70" s="5"/>
      <c r="E70" s="5"/>
      <c r="F70" s="5"/>
      <c r="G70" s="5"/>
      <c r="H70" s="5"/>
      <c r="I70" s="5"/>
      <c r="J70" s="5"/>
      <c r="K70" s="5"/>
      <c r="L70" s="5"/>
      <c r="M70" s="5"/>
    </row>
    <row r="71" spans="1:13" ht="18" customHeight="1" x14ac:dyDescent="0.15">
      <c r="A71" s="3"/>
      <c r="B71" s="3"/>
      <c r="C71" s="3"/>
      <c r="D71" s="3"/>
      <c r="E71" s="3"/>
      <c r="F71" s="3"/>
      <c r="G71" s="3"/>
      <c r="H71" s="3"/>
      <c r="I71" s="3"/>
      <c r="J71" s="3"/>
      <c r="K71" s="3"/>
      <c r="L71" s="3"/>
      <c r="M71" s="3"/>
    </row>
    <row r="72" spans="1:13" ht="18" customHeight="1" x14ac:dyDescent="0.15">
      <c r="A72" s="5"/>
      <c r="B72" s="5"/>
      <c r="C72" s="5"/>
      <c r="D72" s="5"/>
      <c r="E72" s="5"/>
      <c r="F72" s="5"/>
      <c r="G72" s="5"/>
      <c r="H72" s="5"/>
      <c r="I72" s="5"/>
      <c r="J72" s="5"/>
      <c r="K72" s="5"/>
      <c r="L72" s="5"/>
      <c r="M72" s="5"/>
    </row>
    <row r="73" spans="1:13" ht="18" customHeight="1" x14ac:dyDescent="0.15">
      <c r="A73" s="3"/>
      <c r="B73" s="3"/>
      <c r="C73" s="3"/>
      <c r="D73" s="3"/>
      <c r="E73" s="3"/>
      <c r="F73" s="3"/>
      <c r="G73" s="3"/>
      <c r="H73" s="3"/>
      <c r="I73" s="3"/>
      <c r="J73" s="3"/>
      <c r="K73" s="3"/>
      <c r="L73" s="3"/>
      <c r="M73" s="3"/>
    </row>
    <row r="74" spans="1:13" ht="18" customHeight="1" x14ac:dyDescent="0.15">
      <c r="A74" s="5"/>
      <c r="B74" s="5"/>
      <c r="C74" s="5"/>
      <c r="D74" s="5"/>
      <c r="E74" s="5"/>
      <c r="F74" s="5"/>
      <c r="G74" s="5"/>
      <c r="H74" s="5"/>
      <c r="I74" s="5"/>
      <c r="J74" s="5"/>
      <c r="K74" s="5"/>
      <c r="L74" s="5"/>
      <c r="M74" s="5"/>
    </row>
    <row r="75" spans="1:13" ht="18" customHeight="1" x14ac:dyDescent="0.15">
      <c r="A75" s="3"/>
      <c r="B75" s="3"/>
      <c r="C75" s="3"/>
      <c r="D75" s="3"/>
      <c r="E75" s="3"/>
      <c r="F75" s="3"/>
      <c r="G75" s="3"/>
      <c r="H75" s="3"/>
      <c r="I75" s="3"/>
      <c r="J75" s="3"/>
      <c r="K75" s="3"/>
      <c r="L75" s="3"/>
      <c r="M75" s="3"/>
    </row>
    <row r="76" spans="1:13" ht="18" customHeight="1" x14ac:dyDescent="0.15">
      <c r="A76" s="5"/>
      <c r="B76" s="5"/>
      <c r="C76" s="5"/>
      <c r="D76" s="5"/>
      <c r="E76" s="5"/>
      <c r="F76" s="5"/>
      <c r="G76" s="5"/>
      <c r="H76" s="5"/>
      <c r="I76" s="5"/>
      <c r="J76" s="5"/>
      <c r="K76" s="5"/>
      <c r="L76" s="5"/>
      <c r="M76" s="5"/>
    </row>
    <row r="77" spans="1:13" ht="18" customHeight="1" x14ac:dyDescent="0.15">
      <c r="A77" s="3"/>
      <c r="B77" s="3"/>
      <c r="C77" s="3"/>
      <c r="D77" s="3"/>
      <c r="E77" s="3"/>
      <c r="F77" s="3"/>
      <c r="G77" s="3"/>
      <c r="H77" s="3"/>
      <c r="I77" s="3"/>
      <c r="J77" s="3"/>
      <c r="K77" s="3"/>
      <c r="L77" s="3"/>
      <c r="M77" s="3"/>
    </row>
    <row r="78" spans="1:13" ht="18" customHeight="1" x14ac:dyDescent="0.15">
      <c r="A78" s="5"/>
      <c r="B78" s="5"/>
      <c r="C78" s="5"/>
      <c r="D78" s="5"/>
      <c r="E78" s="5"/>
      <c r="F78" s="5"/>
      <c r="G78" s="5"/>
      <c r="H78" s="5"/>
      <c r="I78" s="5"/>
      <c r="J78" s="5"/>
      <c r="K78" s="5"/>
      <c r="L78" s="5"/>
      <c r="M78" s="5"/>
    </row>
    <row r="79" spans="1:13" ht="18" customHeight="1" x14ac:dyDescent="0.15">
      <c r="A79" s="3"/>
      <c r="B79" s="3"/>
      <c r="C79" s="3"/>
      <c r="D79" s="3"/>
      <c r="E79" s="3"/>
      <c r="F79" s="3"/>
      <c r="G79" s="3"/>
      <c r="H79" s="3"/>
      <c r="I79" s="3"/>
      <c r="J79" s="3"/>
      <c r="K79" s="3"/>
      <c r="L79" s="3"/>
      <c r="M79" s="3"/>
    </row>
    <row r="80" spans="1:13" ht="18" customHeight="1" x14ac:dyDescent="0.15">
      <c r="A80" s="5"/>
      <c r="B80" s="5"/>
      <c r="C80" s="5"/>
      <c r="D80" s="5"/>
      <c r="E80" s="5"/>
      <c r="F80" s="5"/>
      <c r="G80" s="5"/>
      <c r="H80" s="5"/>
      <c r="I80" s="5"/>
      <c r="J80" s="5"/>
      <c r="K80" s="5"/>
      <c r="L80" s="5"/>
      <c r="M80" s="5"/>
    </row>
    <row r="81" spans="1:13" ht="18" customHeight="1" x14ac:dyDescent="0.15">
      <c r="A81" s="3"/>
      <c r="B81" s="3"/>
      <c r="C81" s="3"/>
      <c r="D81" s="3"/>
      <c r="E81" s="3"/>
      <c r="F81" s="3"/>
      <c r="G81" s="3"/>
      <c r="H81" s="3"/>
      <c r="I81" s="3"/>
      <c r="J81" s="3"/>
      <c r="K81" s="3"/>
      <c r="L81" s="3"/>
      <c r="M81" s="3"/>
    </row>
    <row r="82" spans="1:13" ht="18" customHeight="1" x14ac:dyDescent="0.15">
      <c r="A82" s="5"/>
      <c r="B82" s="5"/>
      <c r="C82" s="5"/>
      <c r="D82" s="5"/>
      <c r="E82" s="5"/>
      <c r="F82" s="5"/>
      <c r="G82" s="5"/>
      <c r="H82" s="5"/>
      <c r="I82" s="5"/>
      <c r="J82" s="5"/>
      <c r="K82" s="5"/>
      <c r="L82" s="5"/>
      <c r="M82" s="5"/>
    </row>
    <row r="83" spans="1:13" ht="18" customHeight="1" x14ac:dyDescent="0.15">
      <c r="A83" s="3"/>
      <c r="B83" s="3"/>
      <c r="C83" s="3"/>
      <c r="D83" s="3"/>
      <c r="E83" s="3"/>
      <c r="F83" s="3"/>
      <c r="G83" s="3"/>
      <c r="H83" s="3"/>
      <c r="I83" s="3"/>
      <c r="J83" s="3"/>
      <c r="K83" s="3"/>
      <c r="L83" s="3"/>
      <c r="M83" s="3"/>
    </row>
    <row r="84" spans="1:13" ht="18" customHeight="1" x14ac:dyDescent="0.15">
      <c r="A84" s="5"/>
      <c r="B84" s="5"/>
      <c r="C84" s="5"/>
      <c r="D84" s="5"/>
      <c r="E84" s="5"/>
      <c r="F84" s="5"/>
      <c r="G84" s="5"/>
      <c r="H84" s="5"/>
      <c r="I84" s="5"/>
      <c r="J84" s="5"/>
      <c r="K84" s="5"/>
      <c r="L84" s="5"/>
      <c r="M84" s="5"/>
    </row>
    <row r="85" spans="1:13" ht="18" customHeight="1" x14ac:dyDescent="0.15">
      <c r="A85" s="3"/>
      <c r="B85" s="3"/>
      <c r="C85" s="3"/>
      <c r="D85" s="3"/>
      <c r="E85" s="3"/>
      <c r="F85" s="3"/>
      <c r="G85" s="3"/>
      <c r="H85" s="3"/>
      <c r="I85" s="3"/>
      <c r="J85" s="3"/>
      <c r="K85" s="3"/>
      <c r="L85" s="3"/>
      <c r="M85" s="3"/>
    </row>
    <row r="86" spans="1:13" ht="18" customHeight="1" x14ac:dyDescent="0.15">
      <c r="A86" s="5"/>
      <c r="B86" s="5"/>
      <c r="C86" s="5"/>
      <c r="D86" s="5"/>
      <c r="E86" s="5"/>
      <c r="F86" s="5"/>
      <c r="G86" s="5"/>
      <c r="H86" s="5"/>
      <c r="I86" s="5"/>
      <c r="J86" s="5"/>
      <c r="K86" s="5"/>
      <c r="L86" s="5"/>
      <c r="M86" s="5"/>
    </row>
    <row r="87" spans="1:13" ht="18" customHeight="1" x14ac:dyDescent="0.15">
      <c r="A87" s="3"/>
      <c r="B87" s="3"/>
      <c r="C87" s="3"/>
      <c r="D87" s="3"/>
      <c r="E87" s="3"/>
      <c r="F87" s="3"/>
      <c r="G87" s="3"/>
      <c r="H87" s="3"/>
      <c r="I87" s="3"/>
      <c r="J87" s="3"/>
      <c r="K87" s="3"/>
      <c r="L87" s="3"/>
      <c r="M87" s="3"/>
    </row>
    <row r="88" spans="1:13" ht="18" customHeight="1" x14ac:dyDescent="0.15">
      <c r="A88" s="5"/>
      <c r="B88" s="5"/>
      <c r="C88" s="5"/>
      <c r="D88" s="5"/>
      <c r="E88" s="5"/>
      <c r="F88" s="5"/>
      <c r="G88" s="5"/>
      <c r="H88" s="5"/>
      <c r="I88" s="5"/>
      <c r="J88" s="5"/>
      <c r="K88" s="5"/>
      <c r="L88" s="5"/>
      <c r="M88" s="5"/>
    </row>
    <row r="89" spans="1:13" ht="18" customHeight="1" x14ac:dyDescent="0.15">
      <c r="A89" s="3"/>
      <c r="B89" s="3"/>
      <c r="C89" s="3"/>
      <c r="D89" s="3"/>
      <c r="E89" s="3"/>
      <c r="F89" s="3"/>
      <c r="G89" s="3"/>
      <c r="H89" s="3"/>
      <c r="I89" s="3"/>
      <c r="J89" s="3"/>
      <c r="K89" s="3"/>
      <c r="L89" s="3"/>
      <c r="M89" s="3"/>
    </row>
    <row r="90" spans="1:13" ht="18" customHeight="1" x14ac:dyDescent="0.15">
      <c r="A90" s="5"/>
      <c r="B90" s="5"/>
      <c r="C90" s="5"/>
      <c r="D90" s="5"/>
      <c r="E90" s="5"/>
      <c r="F90" s="5"/>
      <c r="G90" s="5"/>
      <c r="H90" s="5"/>
      <c r="I90" s="5"/>
      <c r="J90" s="5"/>
      <c r="K90" s="5"/>
      <c r="L90" s="5"/>
      <c r="M90" s="5"/>
    </row>
    <row r="91" spans="1:13" ht="18" customHeight="1" x14ac:dyDescent="0.15">
      <c r="A91" s="3"/>
      <c r="B91" s="3"/>
      <c r="C91" s="3"/>
      <c r="D91" s="3"/>
      <c r="E91" s="3"/>
      <c r="F91" s="3"/>
      <c r="G91" s="3"/>
      <c r="H91" s="3"/>
      <c r="I91" s="3"/>
      <c r="J91" s="3"/>
      <c r="K91" s="3"/>
      <c r="L91" s="3"/>
      <c r="M91" s="3"/>
    </row>
    <row r="92" spans="1:13" ht="18" customHeight="1" x14ac:dyDescent="0.15">
      <c r="A92" s="5"/>
      <c r="B92" s="5"/>
      <c r="C92" s="5"/>
      <c r="D92" s="5"/>
      <c r="E92" s="5"/>
      <c r="F92" s="5"/>
      <c r="G92" s="5"/>
      <c r="H92" s="5"/>
      <c r="I92" s="5"/>
      <c r="J92" s="5"/>
      <c r="K92" s="5"/>
      <c r="L92" s="5"/>
      <c r="M92" s="5"/>
    </row>
    <row r="93" spans="1:13" ht="18" customHeight="1" x14ac:dyDescent="0.15">
      <c r="A93" s="3"/>
      <c r="B93" s="3"/>
      <c r="C93" s="3"/>
      <c r="D93" s="3"/>
      <c r="E93" s="3"/>
      <c r="F93" s="3"/>
      <c r="G93" s="3"/>
      <c r="H93" s="3"/>
      <c r="I93" s="3"/>
      <c r="J93" s="3"/>
      <c r="K93" s="3"/>
      <c r="L93" s="3"/>
      <c r="M93" s="3"/>
    </row>
    <row r="94" spans="1:13" ht="18" customHeight="1" x14ac:dyDescent="0.15">
      <c r="A94" s="5"/>
      <c r="B94" s="5"/>
      <c r="C94" s="5"/>
      <c r="D94" s="5"/>
      <c r="E94" s="5"/>
      <c r="F94" s="5"/>
      <c r="G94" s="5"/>
      <c r="H94" s="5"/>
      <c r="I94" s="5"/>
      <c r="J94" s="5"/>
      <c r="K94" s="5"/>
      <c r="L94" s="5"/>
      <c r="M94" s="5"/>
    </row>
    <row r="95" spans="1:13" ht="18" customHeight="1" x14ac:dyDescent="0.15">
      <c r="A95" s="3"/>
      <c r="B95" s="3"/>
      <c r="C95" s="3"/>
      <c r="D95" s="3"/>
      <c r="E95" s="3"/>
      <c r="F95" s="3"/>
      <c r="G95" s="3"/>
      <c r="H95" s="3"/>
      <c r="I95" s="3"/>
      <c r="J95" s="3"/>
      <c r="K95" s="3"/>
      <c r="L95" s="3"/>
      <c r="M95" s="3"/>
    </row>
    <row r="96" spans="1:13" ht="18" customHeight="1" x14ac:dyDescent="0.15">
      <c r="A96" s="5"/>
      <c r="B96" s="5"/>
      <c r="C96" s="5"/>
      <c r="D96" s="5"/>
      <c r="E96" s="5"/>
      <c r="F96" s="5"/>
      <c r="G96" s="5"/>
      <c r="H96" s="5"/>
      <c r="I96" s="5"/>
      <c r="J96" s="5"/>
      <c r="K96" s="5"/>
      <c r="L96" s="5"/>
      <c r="M96" s="5"/>
    </row>
    <row r="97" spans="1:13" ht="18" customHeight="1" x14ac:dyDescent="0.15">
      <c r="A97" s="3"/>
      <c r="B97" s="3"/>
      <c r="C97" s="3"/>
      <c r="D97" s="3"/>
      <c r="E97" s="3"/>
      <c r="F97" s="3"/>
      <c r="G97" s="3"/>
      <c r="H97" s="3"/>
      <c r="I97" s="3"/>
      <c r="J97" s="3"/>
      <c r="K97" s="3"/>
      <c r="L97" s="3"/>
      <c r="M97" s="3"/>
    </row>
    <row r="98" spans="1:13" ht="18" customHeight="1" x14ac:dyDescent="0.15">
      <c r="A98" s="5"/>
      <c r="B98" s="5"/>
      <c r="C98" s="5"/>
      <c r="D98" s="5"/>
      <c r="E98" s="5"/>
      <c r="F98" s="5"/>
      <c r="G98" s="5"/>
      <c r="H98" s="5"/>
      <c r="I98" s="5"/>
      <c r="J98" s="5"/>
      <c r="K98" s="5"/>
      <c r="L98" s="5"/>
      <c r="M98" s="5"/>
    </row>
    <row r="99" spans="1:13" ht="18" customHeight="1" x14ac:dyDescent="0.15">
      <c r="A99" s="3"/>
      <c r="B99" s="3"/>
      <c r="C99" s="3"/>
      <c r="D99" s="3"/>
      <c r="E99" s="3"/>
      <c r="F99" s="3"/>
      <c r="G99" s="3"/>
      <c r="H99" s="3"/>
      <c r="I99" s="3"/>
      <c r="J99" s="3"/>
      <c r="K99" s="3"/>
      <c r="L99" s="3"/>
      <c r="M99" s="3"/>
    </row>
    <row r="100" spans="1:13" ht="18" customHeight="1" x14ac:dyDescent="0.15">
      <c r="A100" s="5"/>
      <c r="B100" s="5"/>
      <c r="C100" s="5"/>
      <c r="D100" s="5"/>
      <c r="E100" s="5"/>
      <c r="F100" s="5"/>
      <c r="G100" s="5"/>
      <c r="H100" s="5"/>
      <c r="I100" s="5"/>
      <c r="J100" s="5"/>
      <c r="K100" s="5"/>
      <c r="L100" s="5"/>
      <c r="M100" s="5"/>
    </row>
    <row r="101" spans="1:13" ht="18" customHeight="1" x14ac:dyDescent="0.15">
      <c r="A101" s="3"/>
      <c r="B101" s="3"/>
      <c r="C101" s="3"/>
      <c r="D101" s="3"/>
      <c r="E101" s="3"/>
      <c r="F101" s="3"/>
      <c r="G101" s="3"/>
      <c r="H101" s="3"/>
      <c r="I101" s="3"/>
      <c r="J101" s="3"/>
      <c r="K101" s="3"/>
      <c r="L101" s="3"/>
      <c r="M101" s="3"/>
    </row>
    <row r="102" spans="1:13" ht="18" customHeight="1" x14ac:dyDescent="0.15">
      <c r="A102" s="5"/>
      <c r="B102" s="5"/>
      <c r="C102" s="5"/>
      <c r="D102" s="5"/>
      <c r="E102" s="5"/>
      <c r="F102" s="5"/>
      <c r="G102" s="5"/>
      <c r="H102" s="5"/>
      <c r="I102" s="5"/>
      <c r="J102" s="5"/>
      <c r="K102" s="5"/>
      <c r="L102" s="5"/>
      <c r="M102" s="5"/>
    </row>
  </sheetData>
  <mergeCells count="1">
    <mergeCell ref="A1:M1"/>
  </mergeCells>
  <dataValidations count="1">
    <dataValidation type="list" allowBlank="1" sqref="I3:I102" xr:uid="{00000000-0002-0000-0800-000000000000}">
      <formula1>"Matches,Differs — Minor,Differs — Material,Could Not Verify"</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2"/>
  <sheetViews>
    <sheetView showGridLines="0" zoomScaleNormal="100" workbookViewId="0">
      <pane xSplit="1" ySplit="2" topLeftCell="B3" activePane="bottomRight" state="frozen"/>
      <selection pane="topRight" activeCell="B1" sqref="B1"/>
      <selection pane="bottomLeft" activeCell="A3" sqref="A3"/>
      <selection pane="bottomRight" activeCell="A3" sqref="A3"/>
    </sheetView>
  </sheetViews>
  <sheetFormatPr baseColWidth="10" defaultColWidth="8.6640625" defaultRowHeight="14" x14ac:dyDescent="0.15"/>
  <cols>
    <col min="1" max="1" width="16" style="1" customWidth="1"/>
    <col min="2" max="3" width="24" style="1" customWidth="1"/>
    <col min="4" max="4" width="36" style="1" customWidth="1"/>
    <col min="5" max="5" width="22" style="1" customWidth="1"/>
    <col min="6" max="7" width="18" style="1" customWidth="1"/>
    <col min="8" max="8" width="36" style="1" customWidth="1"/>
    <col min="9" max="9" width="16" style="1" customWidth="1"/>
    <col min="10" max="11" width="12" style="1" customWidth="1"/>
    <col min="12" max="13" width="24" style="1" customWidth="1"/>
    <col min="14" max="14" width="30" style="1" customWidth="1"/>
    <col min="15" max="15" width="36" style="1" customWidth="1"/>
    <col min="16" max="16" width="8.6640625" style="1" customWidth="1"/>
    <col min="17" max="16384" width="8.6640625" style="1"/>
  </cols>
  <sheetData>
    <row r="1" spans="1:15" ht="27.75" customHeight="1" x14ac:dyDescent="0.15">
      <c r="A1" s="56" t="s">
        <v>1326</v>
      </c>
      <c r="B1" s="57"/>
      <c r="C1" s="57"/>
      <c r="D1" s="57"/>
      <c r="E1" s="57"/>
      <c r="F1" s="57"/>
      <c r="G1" s="57"/>
      <c r="H1" s="57"/>
      <c r="I1" s="57"/>
      <c r="J1" s="57"/>
      <c r="K1" s="57"/>
      <c r="L1" s="57"/>
      <c r="M1" s="57"/>
      <c r="N1" s="57"/>
      <c r="O1" s="57"/>
    </row>
    <row r="2" spans="1:15" ht="36" customHeight="1" x14ac:dyDescent="0.15">
      <c r="A2" s="16" t="s">
        <v>1327</v>
      </c>
      <c r="B2" s="16" t="s">
        <v>113</v>
      </c>
      <c r="C2" s="16" t="s">
        <v>1328</v>
      </c>
      <c r="D2" s="16" t="s">
        <v>1329</v>
      </c>
      <c r="E2" s="16" t="s">
        <v>1330</v>
      </c>
      <c r="F2" s="16" t="s">
        <v>1331</v>
      </c>
      <c r="G2" s="16" t="s">
        <v>1332</v>
      </c>
      <c r="H2" s="16" t="s">
        <v>1333</v>
      </c>
      <c r="I2" s="16" t="s">
        <v>1334</v>
      </c>
      <c r="J2" s="16" t="s">
        <v>1335</v>
      </c>
      <c r="K2" s="16" t="s">
        <v>1336</v>
      </c>
      <c r="L2" s="16" t="s">
        <v>1337</v>
      </c>
      <c r="M2" s="16" t="s">
        <v>1338</v>
      </c>
      <c r="N2" s="16" t="s">
        <v>136</v>
      </c>
      <c r="O2" s="16" t="s">
        <v>1339</v>
      </c>
    </row>
    <row r="3" spans="1:15" ht="15.75" customHeight="1" x14ac:dyDescent="0.15">
      <c r="A3" s="18"/>
      <c r="B3" s="18"/>
      <c r="C3" s="18"/>
      <c r="D3" s="18"/>
      <c r="E3" s="18"/>
      <c r="F3" s="18"/>
      <c r="G3" s="18"/>
      <c r="H3" s="18"/>
      <c r="I3" s="18"/>
      <c r="J3" s="18"/>
      <c r="K3" s="18"/>
      <c r="L3" s="18"/>
      <c r="M3" s="18"/>
      <c r="N3" s="18"/>
      <c r="O3" s="18"/>
    </row>
    <row r="4" spans="1:15" ht="15.75" customHeight="1" x14ac:dyDescent="0.15">
      <c r="A4" s="19"/>
      <c r="B4" s="19"/>
      <c r="C4" s="19"/>
      <c r="D4" s="19"/>
      <c r="E4" s="19"/>
      <c r="F4" s="19"/>
      <c r="G4" s="19"/>
      <c r="H4" s="19"/>
      <c r="I4" s="19"/>
      <c r="J4" s="19"/>
      <c r="K4" s="19"/>
      <c r="L4" s="19"/>
      <c r="M4" s="19"/>
      <c r="N4" s="19"/>
      <c r="O4" s="19"/>
    </row>
    <row r="5" spans="1:15" ht="15.75" customHeight="1" x14ac:dyDescent="0.15">
      <c r="A5" s="18"/>
      <c r="B5" s="18"/>
      <c r="C5" s="18"/>
      <c r="D5" s="18"/>
      <c r="E5" s="18"/>
      <c r="F5" s="18"/>
      <c r="G5" s="18"/>
      <c r="H5" s="18"/>
      <c r="I5" s="18"/>
      <c r="J5" s="18"/>
      <c r="K5" s="18"/>
      <c r="L5" s="18"/>
      <c r="M5" s="18"/>
      <c r="N5" s="18"/>
      <c r="O5" s="18"/>
    </row>
    <row r="6" spans="1:15" ht="15.75" customHeight="1" x14ac:dyDescent="0.15">
      <c r="A6" s="19"/>
      <c r="B6" s="19"/>
      <c r="C6" s="19"/>
      <c r="D6" s="19"/>
      <c r="E6" s="19"/>
      <c r="F6" s="19"/>
      <c r="G6" s="19"/>
      <c r="H6" s="19"/>
      <c r="I6" s="19"/>
      <c r="J6" s="19"/>
      <c r="K6" s="19"/>
      <c r="L6" s="19"/>
      <c r="M6" s="19"/>
      <c r="N6" s="19"/>
      <c r="O6" s="19"/>
    </row>
    <row r="7" spans="1:15" ht="15.75" customHeight="1" x14ac:dyDescent="0.15">
      <c r="A7" s="18"/>
      <c r="B7" s="18"/>
      <c r="C7" s="18"/>
      <c r="D7" s="18"/>
      <c r="E7" s="18"/>
      <c r="F7" s="18"/>
      <c r="G7" s="18"/>
      <c r="H7" s="18"/>
      <c r="I7" s="18"/>
      <c r="J7" s="18"/>
      <c r="K7" s="18"/>
      <c r="L7" s="18"/>
      <c r="M7" s="18"/>
      <c r="N7" s="18"/>
      <c r="O7" s="18"/>
    </row>
    <row r="8" spans="1:15" ht="15.75" customHeight="1" x14ac:dyDescent="0.15">
      <c r="A8" s="19"/>
      <c r="B8" s="19"/>
      <c r="C8" s="19"/>
      <c r="D8" s="19"/>
      <c r="E8" s="19"/>
      <c r="F8" s="19"/>
      <c r="G8" s="19"/>
      <c r="H8" s="19"/>
      <c r="I8" s="19"/>
      <c r="J8" s="19"/>
      <c r="K8" s="19"/>
      <c r="L8" s="19"/>
      <c r="M8" s="19"/>
      <c r="N8" s="19"/>
      <c r="O8" s="19"/>
    </row>
    <row r="9" spans="1:15" ht="15.75" customHeight="1" x14ac:dyDescent="0.15">
      <c r="A9" s="18"/>
      <c r="B9" s="18"/>
      <c r="C9" s="18"/>
      <c r="D9" s="18"/>
      <c r="E9" s="18"/>
      <c r="F9" s="18"/>
      <c r="G9" s="18"/>
      <c r="H9" s="18"/>
      <c r="I9" s="18"/>
      <c r="J9" s="18"/>
      <c r="K9" s="18"/>
      <c r="L9" s="18"/>
      <c r="M9" s="18"/>
      <c r="N9" s="18"/>
      <c r="O9" s="18"/>
    </row>
    <row r="10" spans="1:15" ht="15.75" customHeight="1" x14ac:dyDescent="0.15">
      <c r="A10" s="19"/>
      <c r="B10" s="19"/>
      <c r="C10" s="19"/>
      <c r="D10" s="19"/>
      <c r="E10" s="19"/>
      <c r="F10" s="19"/>
      <c r="G10" s="19"/>
      <c r="H10" s="19"/>
      <c r="I10" s="19"/>
      <c r="J10" s="19"/>
      <c r="K10" s="19"/>
      <c r="L10" s="19"/>
      <c r="M10" s="19"/>
      <c r="N10" s="19"/>
      <c r="O10" s="19"/>
    </row>
    <row r="11" spans="1:15" ht="15.75" customHeight="1" x14ac:dyDescent="0.15">
      <c r="A11" s="18"/>
      <c r="B11" s="18"/>
      <c r="C11" s="18"/>
      <c r="D11" s="18"/>
      <c r="E11" s="18"/>
      <c r="F11" s="18"/>
      <c r="G11" s="18"/>
      <c r="H11" s="18"/>
      <c r="I11" s="18"/>
      <c r="J11" s="18"/>
      <c r="K11" s="18"/>
      <c r="L11" s="18"/>
      <c r="M11" s="18"/>
      <c r="N11" s="18"/>
      <c r="O11" s="18"/>
    </row>
    <row r="12" spans="1:15" ht="15.75" customHeight="1" x14ac:dyDescent="0.15">
      <c r="A12" s="19"/>
      <c r="B12" s="19"/>
      <c r="C12" s="19"/>
      <c r="D12" s="19"/>
      <c r="E12" s="19"/>
      <c r="F12" s="19"/>
      <c r="G12" s="19"/>
      <c r="H12" s="19"/>
      <c r="I12" s="19"/>
      <c r="J12" s="19"/>
      <c r="K12" s="19"/>
      <c r="L12" s="19"/>
      <c r="M12" s="19"/>
      <c r="N12" s="19"/>
      <c r="O12" s="19"/>
    </row>
    <row r="13" spans="1:15" ht="15.75" customHeight="1" x14ac:dyDescent="0.15">
      <c r="A13" s="18"/>
      <c r="B13" s="18"/>
      <c r="C13" s="18"/>
      <c r="D13" s="18"/>
      <c r="E13" s="18"/>
      <c r="F13" s="18"/>
      <c r="G13" s="18"/>
      <c r="H13" s="18"/>
      <c r="I13" s="18"/>
      <c r="J13" s="18"/>
      <c r="K13" s="18"/>
      <c r="L13" s="18"/>
      <c r="M13" s="18"/>
      <c r="N13" s="18"/>
      <c r="O13" s="18"/>
    </row>
    <row r="14" spans="1:15" ht="15.75" customHeight="1" x14ac:dyDescent="0.15">
      <c r="A14" s="19"/>
      <c r="B14" s="19"/>
      <c r="C14" s="19"/>
      <c r="D14" s="19"/>
      <c r="E14" s="19"/>
      <c r="F14" s="19"/>
      <c r="G14" s="19"/>
      <c r="H14" s="19"/>
      <c r="I14" s="19"/>
      <c r="J14" s="19"/>
      <c r="K14" s="19"/>
      <c r="L14" s="19"/>
      <c r="M14" s="19"/>
      <c r="N14" s="19"/>
      <c r="O14" s="19"/>
    </row>
    <row r="15" spans="1:15" ht="15.75" customHeight="1" x14ac:dyDescent="0.15">
      <c r="A15" s="18"/>
      <c r="B15" s="18"/>
      <c r="C15" s="18"/>
      <c r="D15" s="18"/>
      <c r="E15" s="18"/>
      <c r="F15" s="18"/>
      <c r="G15" s="18"/>
      <c r="H15" s="18"/>
      <c r="I15" s="18"/>
      <c r="J15" s="18"/>
      <c r="K15" s="18"/>
      <c r="L15" s="18"/>
      <c r="M15" s="18"/>
      <c r="N15" s="18"/>
      <c r="O15" s="18"/>
    </row>
    <row r="16" spans="1:15" ht="15.75" customHeight="1" x14ac:dyDescent="0.15">
      <c r="A16" s="19"/>
      <c r="B16" s="19"/>
      <c r="C16" s="19"/>
      <c r="D16" s="19"/>
      <c r="E16" s="19"/>
      <c r="F16" s="19"/>
      <c r="G16" s="19"/>
      <c r="H16" s="19"/>
      <c r="I16" s="19"/>
      <c r="J16" s="19"/>
      <c r="K16" s="19"/>
      <c r="L16" s="19"/>
      <c r="M16" s="19"/>
      <c r="N16" s="19"/>
      <c r="O16" s="19"/>
    </row>
    <row r="17" spans="1:15" ht="15.75" customHeight="1" x14ac:dyDescent="0.15">
      <c r="A17" s="18"/>
      <c r="B17" s="18"/>
      <c r="C17" s="18"/>
      <c r="D17" s="18"/>
      <c r="E17" s="18"/>
      <c r="F17" s="18"/>
      <c r="G17" s="18"/>
      <c r="H17" s="18"/>
      <c r="I17" s="18"/>
      <c r="J17" s="18"/>
      <c r="K17" s="18"/>
      <c r="L17" s="18"/>
      <c r="M17" s="18"/>
      <c r="N17" s="18"/>
      <c r="O17" s="18"/>
    </row>
    <row r="18" spans="1:15" ht="15.75" customHeight="1" x14ac:dyDescent="0.15">
      <c r="A18" s="19"/>
      <c r="B18" s="19"/>
      <c r="C18" s="19"/>
      <c r="D18" s="19"/>
      <c r="E18" s="19"/>
      <c r="F18" s="19"/>
      <c r="G18" s="19"/>
      <c r="H18" s="19"/>
      <c r="I18" s="19"/>
      <c r="J18" s="19"/>
      <c r="K18" s="19"/>
      <c r="L18" s="19"/>
      <c r="M18" s="19"/>
      <c r="N18" s="19"/>
      <c r="O18" s="19"/>
    </row>
    <row r="19" spans="1:15" ht="15.75" customHeight="1" x14ac:dyDescent="0.15">
      <c r="A19" s="18"/>
      <c r="B19" s="18"/>
      <c r="C19" s="18"/>
      <c r="D19" s="18"/>
      <c r="E19" s="18"/>
      <c r="F19" s="18"/>
      <c r="G19" s="18"/>
      <c r="H19" s="18"/>
      <c r="I19" s="18"/>
      <c r="J19" s="18"/>
      <c r="K19" s="18"/>
      <c r="L19" s="18"/>
      <c r="M19" s="18"/>
      <c r="N19" s="18"/>
      <c r="O19" s="18"/>
    </row>
    <row r="20" spans="1:15" ht="15.75" customHeight="1" x14ac:dyDescent="0.15">
      <c r="A20" s="19"/>
      <c r="B20" s="19"/>
      <c r="C20" s="19"/>
      <c r="D20" s="19"/>
      <c r="E20" s="19"/>
      <c r="F20" s="19"/>
      <c r="G20" s="19"/>
      <c r="H20" s="19"/>
      <c r="I20" s="19"/>
      <c r="J20" s="19"/>
      <c r="K20" s="19"/>
      <c r="L20" s="19"/>
      <c r="M20" s="19"/>
      <c r="N20" s="19"/>
      <c r="O20" s="19"/>
    </row>
    <row r="21" spans="1:15" ht="15.75" customHeight="1" x14ac:dyDescent="0.15">
      <c r="A21" s="18"/>
      <c r="B21" s="18"/>
      <c r="C21" s="18"/>
      <c r="D21" s="18"/>
      <c r="E21" s="18"/>
      <c r="F21" s="18"/>
      <c r="G21" s="18"/>
      <c r="H21" s="18"/>
      <c r="I21" s="18"/>
      <c r="J21" s="18"/>
      <c r="K21" s="18"/>
      <c r="L21" s="18"/>
      <c r="M21" s="18"/>
      <c r="N21" s="18"/>
      <c r="O21" s="18"/>
    </row>
    <row r="22" spans="1:15" ht="15.75" customHeight="1" x14ac:dyDescent="0.15">
      <c r="A22" s="19"/>
      <c r="B22" s="19"/>
      <c r="C22" s="19"/>
      <c r="D22" s="19"/>
      <c r="E22" s="19"/>
      <c r="F22" s="19"/>
      <c r="G22" s="19"/>
      <c r="H22" s="19"/>
      <c r="I22" s="19"/>
      <c r="J22" s="19"/>
      <c r="K22" s="19"/>
      <c r="L22" s="19"/>
      <c r="M22" s="19"/>
      <c r="N22" s="19"/>
      <c r="O22" s="19"/>
    </row>
    <row r="23" spans="1:15" ht="15.75" customHeight="1" x14ac:dyDescent="0.15">
      <c r="A23" s="18"/>
      <c r="B23" s="18"/>
      <c r="C23" s="18"/>
      <c r="D23" s="18"/>
      <c r="E23" s="18"/>
      <c r="F23" s="18"/>
      <c r="G23" s="18"/>
      <c r="H23" s="18"/>
      <c r="I23" s="18"/>
      <c r="J23" s="18"/>
      <c r="K23" s="18"/>
      <c r="L23" s="18"/>
      <c r="M23" s="18"/>
      <c r="N23" s="18"/>
      <c r="O23" s="18"/>
    </row>
    <row r="24" spans="1:15" ht="15.75" customHeight="1" x14ac:dyDescent="0.15">
      <c r="A24" s="19"/>
      <c r="B24" s="19"/>
      <c r="C24" s="19"/>
      <c r="D24" s="19"/>
      <c r="E24" s="19"/>
      <c r="F24" s="19"/>
      <c r="G24" s="19"/>
      <c r="H24" s="19"/>
      <c r="I24" s="19"/>
      <c r="J24" s="19"/>
      <c r="K24" s="19"/>
      <c r="L24" s="19"/>
      <c r="M24" s="19"/>
      <c r="N24" s="19"/>
      <c r="O24" s="19"/>
    </row>
    <row r="25" spans="1:15" ht="15.75" customHeight="1" x14ac:dyDescent="0.15">
      <c r="A25" s="18"/>
      <c r="B25" s="18"/>
      <c r="C25" s="18"/>
      <c r="D25" s="18"/>
      <c r="E25" s="18"/>
      <c r="F25" s="18"/>
      <c r="G25" s="18"/>
      <c r="H25" s="18"/>
      <c r="I25" s="18"/>
      <c r="J25" s="18"/>
      <c r="K25" s="18"/>
      <c r="L25" s="18"/>
      <c r="M25" s="18"/>
      <c r="N25" s="18"/>
      <c r="O25" s="18"/>
    </row>
    <row r="26" spans="1:15" ht="15.75" customHeight="1" x14ac:dyDescent="0.15">
      <c r="A26" s="19"/>
      <c r="B26" s="19"/>
      <c r="C26" s="19"/>
      <c r="D26" s="19"/>
      <c r="E26" s="19"/>
      <c r="F26" s="19"/>
      <c r="G26" s="19"/>
      <c r="H26" s="19"/>
      <c r="I26" s="19"/>
      <c r="J26" s="19"/>
      <c r="K26" s="19"/>
      <c r="L26" s="19"/>
      <c r="M26" s="19"/>
      <c r="N26" s="19"/>
      <c r="O26" s="19"/>
    </row>
    <row r="27" spans="1:15" ht="15.75" customHeight="1" x14ac:dyDescent="0.15">
      <c r="A27" s="18"/>
      <c r="B27" s="18"/>
      <c r="C27" s="18"/>
      <c r="D27" s="18"/>
      <c r="E27" s="18"/>
      <c r="F27" s="18"/>
      <c r="G27" s="18"/>
      <c r="H27" s="18"/>
      <c r="I27" s="18"/>
      <c r="J27" s="18"/>
      <c r="K27" s="18"/>
      <c r="L27" s="18"/>
      <c r="M27" s="18"/>
      <c r="N27" s="18"/>
      <c r="O27" s="18"/>
    </row>
    <row r="28" spans="1:15" ht="15.75" customHeight="1" x14ac:dyDescent="0.15">
      <c r="A28" s="19"/>
      <c r="B28" s="19"/>
      <c r="C28" s="19"/>
      <c r="D28" s="19"/>
      <c r="E28" s="19"/>
      <c r="F28" s="19"/>
      <c r="G28" s="19"/>
      <c r="H28" s="19"/>
      <c r="I28" s="19"/>
      <c r="J28" s="19"/>
      <c r="K28" s="19"/>
      <c r="L28" s="19"/>
      <c r="M28" s="19"/>
      <c r="N28" s="19"/>
      <c r="O28" s="19"/>
    </row>
    <row r="29" spans="1:15" ht="15.75" customHeight="1" x14ac:dyDescent="0.15">
      <c r="A29" s="18"/>
      <c r="B29" s="18"/>
      <c r="C29" s="18"/>
      <c r="D29" s="18"/>
      <c r="E29" s="18"/>
      <c r="F29" s="18"/>
      <c r="G29" s="18"/>
      <c r="H29" s="18"/>
      <c r="I29" s="18"/>
      <c r="J29" s="18"/>
      <c r="K29" s="18"/>
      <c r="L29" s="18"/>
      <c r="M29" s="18"/>
      <c r="N29" s="18"/>
      <c r="O29" s="18"/>
    </row>
    <row r="30" spans="1:15" ht="15.75" customHeight="1" x14ac:dyDescent="0.15">
      <c r="A30" s="19"/>
      <c r="B30" s="19"/>
      <c r="C30" s="19"/>
      <c r="D30" s="19"/>
      <c r="E30" s="19"/>
      <c r="F30" s="19"/>
      <c r="G30" s="19"/>
      <c r="H30" s="19"/>
      <c r="I30" s="19"/>
      <c r="J30" s="19"/>
      <c r="K30" s="19"/>
      <c r="L30" s="19"/>
      <c r="M30" s="19"/>
      <c r="N30" s="19"/>
      <c r="O30" s="19"/>
    </row>
    <row r="31" spans="1:15" ht="15.75" customHeight="1" x14ac:dyDescent="0.15">
      <c r="A31" s="18"/>
      <c r="B31" s="18"/>
      <c r="C31" s="18"/>
      <c r="D31" s="18"/>
      <c r="E31" s="18"/>
      <c r="F31" s="18"/>
      <c r="G31" s="18"/>
      <c r="H31" s="18"/>
      <c r="I31" s="18"/>
      <c r="J31" s="18"/>
      <c r="K31" s="18"/>
      <c r="L31" s="18"/>
      <c r="M31" s="18"/>
      <c r="N31" s="18"/>
      <c r="O31" s="18"/>
    </row>
    <row r="32" spans="1:15" ht="15.75" customHeight="1" x14ac:dyDescent="0.15">
      <c r="A32" s="19"/>
      <c r="B32" s="19"/>
      <c r="C32" s="19"/>
      <c r="D32" s="19"/>
      <c r="E32" s="19"/>
      <c r="F32" s="19"/>
      <c r="G32" s="19"/>
      <c r="H32" s="19"/>
      <c r="I32" s="19"/>
      <c r="J32" s="19"/>
      <c r="K32" s="19"/>
      <c r="L32" s="19"/>
      <c r="M32" s="19"/>
      <c r="N32" s="19"/>
      <c r="O32" s="19"/>
    </row>
    <row r="33" spans="1:15" ht="15.75" customHeight="1" x14ac:dyDescent="0.15">
      <c r="A33" s="18"/>
      <c r="B33" s="18"/>
      <c r="C33" s="18"/>
      <c r="D33" s="18"/>
      <c r="E33" s="18"/>
      <c r="F33" s="18"/>
      <c r="G33" s="18"/>
      <c r="H33" s="18"/>
      <c r="I33" s="18"/>
      <c r="J33" s="18"/>
      <c r="K33" s="18"/>
      <c r="L33" s="18"/>
      <c r="M33" s="18"/>
      <c r="N33" s="18"/>
      <c r="O33" s="18"/>
    </row>
    <row r="34" spans="1:15" ht="15.75" customHeight="1" x14ac:dyDescent="0.15">
      <c r="A34" s="19"/>
      <c r="B34" s="19"/>
      <c r="C34" s="19"/>
      <c r="D34" s="19"/>
      <c r="E34" s="19"/>
      <c r="F34" s="19"/>
      <c r="G34" s="19"/>
      <c r="H34" s="19"/>
      <c r="I34" s="19"/>
      <c r="J34" s="19"/>
      <c r="K34" s="19"/>
      <c r="L34" s="19"/>
      <c r="M34" s="19"/>
      <c r="N34" s="19"/>
      <c r="O34" s="19"/>
    </row>
    <row r="35" spans="1:15" ht="15.75" customHeight="1" x14ac:dyDescent="0.15">
      <c r="A35" s="18"/>
      <c r="B35" s="18"/>
      <c r="C35" s="18"/>
      <c r="D35" s="18"/>
      <c r="E35" s="18"/>
      <c r="F35" s="18"/>
      <c r="G35" s="18"/>
      <c r="H35" s="18"/>
      <c r="I35" s="18"/>
      <c r="J35" s="18"/>
      <c r="K35" s="18"/>
      <c r="L35" s="18"/>
      <c r="M35" s="18"/>
      <c r="N35" s="18"/>
      <c r="O35" s="18"/>
    </row>
    <row r="36" spans="1:15" ht="15.75" customHeight="1" x14ac:dyDescent="0.15">
      <c r="A36" s="19"/>
      <c r="B36" s="19"/>
      <c r="C36" s="19"/>
      <c r="D36" s="19"/>
      <c r="E36" s="19"/>
      <c r="F36" s="19"/>
      <c r="G36" s="19"/>
      <c r="H36" s="19"/>
      <c r="I36" s="19"/>
      <c r="J36" s="19"/>
      <c r="K36" s="19"/>
      <c r="L36" s="19"/>
      <c r="M36" s="19"/>
      <c r="N36" s="19"/>
      <c r="O36" s="19"/>
    </row>
    <row r="37" spans="1:15" ht="15.75" customHeight="1" x14ac:dyDescent="0.15">
      <c r="A37" s="18"/>
      <c r="B37" s="18"/>
      <c r="C37" s="18"/>
      <c r="D37" s="18"/>
      <c r="E37" s="18"/>
      <c r="F37" s="18"/>
      <c r="G37" s="18"/>
      <c r="H37" s="18"/>
      <c r="I37" s="18"/>
      <c r="J37" s="18"/>
      <c r="K37" s="18"/>
      <c r="L37" s="18"/>
      <c r="M37" s="18"/>
      <c r="N37" s="18"/>
      <c r="O37" s="18"/>
    </row>
    <row r="38" spans="1:15" ht="15.75" customHeight="1" x14ac:dyDescent="0.15">
      <c r="A38" s="19"/>
      <c r="B38" s="19"/>
      <c r="C38" s="19"/>
      <c r="D38" s="19"/>
      <c r="E38" s="19"/>
      <c r="F38" s="19"/>
      <c r="G38" s="19"/>
      <c r="H38" s="19"/>
      <c r="I38" s="19"/>
      <c r="J38" s="19"/>
      <c r="K38" s="19"/>
      <c r="L38" s="19"/>
      <c r="M38" s="19"/>
      <c r="N38" s="19"/>
      <c r="O38" s="19"/>
    </row>
    <row r="39" spans="1:15" ht="15.75" customHeight="1" x14ac:dyDescent="0.15">
      <c r="A39" s="18"/>
      <c r="B39" s="18"/>
      <c r="C39" s="18"/>
      <c r="D39" s="18"/>
      <c r="E39" s="18"/>
      <c r="F39" s="18"/>
      <c r="G39" s="18"/>
      <c r="H39" s="18"/>
      <c r="I39" s="18"/>
      <c r="J39" s="18"/>
      <c r="K39" s="18"/>
      <c r="L39" s="18"/>
      <c r="M39" s="18"/>
      <c r="N39" s="18"/>
      <c r="O39" s="18"/>
    </row>
    <row r="40" spans="1:15" ht="15.75" customHeight="1" x14ac:dyDescent="0.15">
      <c r="A40" s="19"/>
      <c r="B40" s="19"/>
      <c r="C40" s="19"/>
      <c r="D40" s="19"/>
      <c r="E40" s="19"/>
      <c r="F40" s="19"/>
      <c r="G40" s="19"/>
      <c r="H40" s="19"/>
      <c r="I40" s="19"/>
      <c r="J40" s="19"/>
      <c r="K40" s="19"/>
      <c r="L40" s="19"/>
      <c r="M40" s="19"/>
      <c r="N40" s="19"/>
      <c r="O40" s="19"/>
    </row>
    <row r="41" spans="1:15" ht="15.75" customHeight="1" x14ac:dyDescent="0.15">
      <c r="A41" s="18"/>
      <c r="B41" s="18"/>
      <c r="C41" s="18"/>
      <c r="D41" s="18"/>
      <c r="E41" s="18"/>
      <c r="F41" s="18"/>
      <c r="G41" s="18"/>
      <c r="H41" s="18"/>
      <c r="I41" s="18"/>
      <c r="J41" s="18"/>
      <c r="K41" s="18"/>
      <c r="L41" s="18"/>
      <c r="M41" s="18"/>
      <c r="N41" s="18"/>
      <c r="O41" s="18"/>
    </row>
    <row r="42" spans="1:15" ht="15.75" customHeight="1" x14ac:dyDescent="0.15">
      <c r="A42" s="19"/>
      <c r="B42" s="19"/>
      <c r="C42" s="19"/>
      <c r="D42" s="19"/>
      <c r="E42" s="19"/>
      <c r="F42" s="19"/>
      <c r="G42" s="19"/>
      <c r="H42" s="19"/>
      <c r="I42" s="19"/>
      <c r="J42" s="19"/>
      <c r="K42" s="19"/>
      <c r="L42" s="19"/>
      <c r="M42" s="19"/>
      <c r="N42" s="19"/>
      <c r="O42" s="19"/>
    </row>
    <row r="43" spans="1:15" ht="15.75" customHeight="1" x14ac:dyDescent="0.15">
      <c r="A43" s="18"/>
      <c r="B43" s="18"/>
      <c r="C43" s="18"/>
      <c r="D43" s="18"/>
      <c r="E43" s="18"/>
      <c r="F43" s="18"/>
      <c r="G43" s="18"/>
      <c r="H43" s="18"/>
      <c r="I43" s="18"/>
      <c r="J43" s="18"/>
      <c r="K43" s="18"/>
      <c r="L43" s="18"/>
      <c r="M43" s="18"/>
      <c r="N43" s="18"/>
      <c r="O43" s="18"/>
    </row>
    <row r="44" spans="1:15" ht="15.75" customHeight="1" x14ac:dyDescent="0.15">
      <c r="A44" s="19"/>
      <c r="B44" s="19"/>
      <c r="C44" s="19"/>
      <c r="D44" s="19"/>
      <c r="E44" s="19"/>
      <c r="F44" s="19"/>
      <c r="G44" s="19"/>
      <c r="H44" s="19"/>
      <c r="I44" s="19"/>
      <c r="J44" s="19"/>
      <c r="K44" s="19"/>
      <c r="L44" s="19"/>
      <c r="M44" s="19"/>
      <c r="N44" s="19"/>
      <c r="O44" s="19"/>
    </row>
    <row r="45" spans="1:15" ht="15.75" customHeight="1" x14ac:dyDescent="0.15">
      <c r="A45" s="18"/>
      <c r="B45" s="18"/>
      <c r="C45" s="18"/>
      <c r="D45" s="18"/>
      <c r="E45" s="18"/>
      <c r="F45" s="18"/>
      <c r="G45" s="18"/>
      <c r="H45" s="18"/>
      <c r="I45" s="18"/>
      <c r="J45" s="18"/>
      <c r="K45" s="18"/>
      <c r="L45" s="18"/>
      <c r="M45" s="18"/>
      <c r="N45" s="18"/>
      <c r="O45" s="18"/>
    </row>
    <row r="46" spans="1:15" ht="15.75" customHeight="1" x14ac:dyDescent="0.15">
      <c r="A46" s="19"/>
      <c r="B46" s="19"/>
      <c r="C46" s="19"/>
      <c r="D46" s="19"/>
      <c r="E46" s="19"/>
      <c r="F46" s="19"/>
      <c r="G46" s="19"/>
      <c r="H46" s="19"/>
      <c r="I46" s="19"/>
      <c r="J46" s="19"/>
      <c r="K46" s="19"/>
      <c r="L46" s="19"/>
      <c r="M46" s="19"/>
      <c r="N46" s="19"/>
      <c r="O46" s="19"/>
    </row>
    <row r="47" spans="1:15" ht="15.75" customHeight="1" x14ac:dyDescent="0.15">
      <c r="A47" s="18"/>
      <c r="B47" s="18"/>
      <c r="C47" s="18"/>
      <c r="D47" s="18"/>
      <c r="E47" s="18"/>
      <c r="F47" s="18"/>
      <c r="G47" s="18"/>
      <c r="H47" s="18"/>
      <c r="I47" s="18"/>
      <c r="J47" s="18"/>
      <c r="K47" s="18"/>
      <c r="L47" s="18"/>
      <c r="M47" s="18"/>
      <c r="N47" s="18"/>
      <c r="O47" s="18"/>
    </row>
    <row r="48" spans="1:15" ht="15.75" customHeight="1" x14ac:dyDescent="0.15">
      <c r="A48" s="19"/>
      <c r="B48" s="19"/>
      <c r="C48" s="19"/>
      <c r="D48" s="19"/>
      <c r="E48" s="19"/>
      <c r="F48" s="19"/>
      <c r="G48" s="19"/>
      <c r="H48" s="19"/>
      <c r="I48" s="19"/>
      <c r="J48" s="19"/>
      <c r="K48" s="19"/>
      <c r="L48" s="19"/>
      <c r="M48" s="19"/>
      <c r="N48" s="19"/>
      <c r="O48" s="19"/>
    </row>
    <row r="49" spans="1:15" ht="15.75" customHeight="1" x14ac:dyDescent="0.15">
      <c r="A49" s="18"/>
      <c r="B49" s="18"/>
      <c r="C49" s="18"/>
      <c r="D49" s="18"/>
      <c r="E49" s="18"/>
      <c r="F49" s="18"/>
      <c r="G49" s="18"/>
      <c r="H49" s="18"/>
      <c r="I49" s="18"/>
      <c r="J49" s="18"/>
      <c r="K49" s="18"/>
      <c r="L49" s="18"/>
      <c r="M49" s="18"/>
      <c r="N49" s="18"/>
      <c r="O49" s="18"/>
    </row>
    <row r="50" spans="1:15" ht="15.75" customHeight="1" x14ac:dyDescent="0.15">
      <c r="A50" s="19"/>
      <c r="B50" s="19"/>
      <c r="C50" s="19"/>
      <c r="D50" s="19"/>
      <c r="E50" s="19"/>
      <c r="F50" s="19"/>
      <c r="G50" s="19"/>
      <c r="H50" s="19"/>
      <c r="I50" s="19"/>
      <c r="J50" s="19"/>
      <c r="K50" s="19"/>
      <c r="L50" s="19"/>
      <c r="M50" s="19"/>
      <c r="N50" s="19"/>
      <c r="O50" s="19"/>
    </row>
    <row r="51" spans="1:15" ht="15.75" customHeight="1" x14ac:dyDescent="0.15">
      <c r="A51" s="18"/>
      <c r="B51" s="18"/>
      <c r="C51" s="18"/>
      <c r="D51" s="18"/>
      <c r="E51" s="18"/>
      <c r="F51" s="18"/>
      <c r="G51" s="18"/>
      <c r="H51" s="18"/>
      <c r="I51" s="18"/>
      <c r="J51" s="18"/>
      <c r="K51" s="18"/>
      <c r="L51" s="18"/>
      <c r="M51" s="18"/>
      <c r="N51" s="18"/>
      <c r="O51" s="18"/>
    </row>
    <row r="52" spans="1:15" ht="15.75" customHeight="1" x14ac:dyDescent="0.15">
      <c r="A52" s="19"/>
      <c r="B52" s="19"/>
      <c r="C52" s="19"/>
      <c r="D52" s="19"/>
      <c r="E52" s="19"/>
      <c r="F52" s="19"/>
      <c r="G52" s="19"/>
      <c r="H52" s="19"/>
      <c r="I52" s="19"/>
      <c r="J52" s="19"/>
      <c r="K52" s="19"/>
      <c r="L52" s="19"/>
      <c r="M52" s="19"/>
      <c r="N52" s="19"/>
      <c r="O52" s="19"/>
    </row>
    <row r="53" spans="1:15" ht="15.75" customHeight="1" x14ac:dyDescent="0.15">
      <c r="A53" s="18"/>
      <c r="B53" s="18"/>
      <c r="C53" s="18"/>
      <c r="D53" s="18"/>
      <c r="E53" s="18"/>
      <c r="F53" s="18"/>
      <c r="G53" s="18"/>
      <c r="H53" s="18"/>
      <c r="I53" s="18"/>
      <c r="J53" s="18"/>
      <c r="K53" s="18"/>
      <c r="L53" s="18"/>
      <c r="M53" s="18"/>
      <c r="N53" s="18"/>
      <c r="O53" s="18"/>
    </row>
    <row r="54" spans="1:15" ht="15.75" customHeight="1" x14ac:dyDescent="0.15">
      <c r="A54" s="19"/>
      <c r="B54" s="19"/>
      <c r="C54" s="19"/>
      <c r="D54" s="19"/>
      <c r="E54" s="19"/>
      <c r="F54" s="19"/>
      <c r="G54" s="19"/>
      <c r="H54" s="19"/>
      <c r="I54" s="19"/>
      <c r="J54" s="19"/>
      <c r="K54" s="19"/>
      <c r="L54" s="19"/>
      <c r="M54" s="19"/>
      <c r="N54" s="19"/>
      <c r="O54" s="19"/>
    </row>
    <row r="55" spans="1:15" ht="15.75" customHeight="1" x14ac:dyDescent="0.15">
      <c r="A55" s="18"/>
      <c r="B55" s="18"/>
      <c r="C55" s="18"/>
      <c r="D55" s="18"/>
      <c r="E55" s="18"/>
      <c r="F55" s="18"/>
      <c r="G55" s="18"/>
      <c r="H55" s="18"/>
      <c r="I55" s="18"/>
      <c r="J55" s="18"/>
      <c r="K55" s="18"/>
      <c r="L55" s="18"/>
      <c r="M55" s="18"/>
      <c r="N55" s="18"/>
      <c r="O55" s="18"/>
    </row>
    <row r="56" spans="1:15" ht="15.75" customHeight="1" x14ac:dyDescent="0.15">
      <c r="A56" s="19"/>
      <c r="B56" s="19"/>
      <c r="C56" s="19"/>
      <c r="D56" s="19"/>
      <c r="E56" s="19"/>
      <c r="F56" s="19"/>
      <c r="G56" s="19"/>
      <c r="H56" s="19"/>
      <c r="I56" s="19"/>
      <c r="J56" s="19"/>
      <c r="K56" s="19"/>
      <c r="L56" s="19"/>
      <c r="M56" s="19"/>
      <c r="N56" s="19"/>
      <c r="O56" s="19"/>
    </row>
    <row r="57" spans="1:15" ht="15.75" customHeight="1" x14ac:dyDescent="0.15">
      <c r="A57" s="18"/>
      <c r="B57" s="18"/>
      <c r="C57" s="18"/>
      <c r="D57" s="18"/>
      <c r="E57" s="18"/>
      <c r="F57" s="18"/>
      <c r="G57" s="18"/>
      <c r="H57" s="18"/>
      <c r="I57" s="18"/>
      <c r="J57" s="18"/>
      <c r="K57" s="18"/>
      <c r="L57" s="18"/>
      <c r="M57" s="18"/>
      <c r="N57" s="18"/>
      <c r="O57" s="18"/>
    </row>
    <row r="58" spans="1:15" ht="15.75" customHeight="1" x14ac:dyDescent="0.15">
      <c r="A58" s="19"/>
      <c r="B58" s="19"/>
      <c r="C58" s="19"/>
      <c r="D58" s="19"/>
      <c r="E58" s="19"/>
      <c r="F58" s="19"/>
      <c r="G58" s="19"/>
      <c r="H58" s="19"/>
      <c r="I58" s="19"/>
      <c r="J58" s="19"/>
      <c r="K58" s="19"/>
      <c r="L58" s="19"/>
      <c r="M58" s="19"/>
      <c r="N58" s="19"/>
      <c r="O58" s="19"/>
    </row>
    <row r="59" spans="1:15" ht="15.75" customHeight="1" x14ac:dyDescent="0.15">
      <c r="A59" s="18"/>
      <c r="B59" s="18"/>
      <c r="C59" s="18"/>
      <c r="D59" s="18"/>
      <c r="E59" s="18"/>
      <c r="F59" s="18"/>
      <c r="G59" s="18"/>
      <c r="H59" s="18"/>
      <c r="I59" s="18"/>
      <c r="J59" s="18"/>
      <c r="K59" s="18"/>
      <c r="L59" s="18"/>
      <c r="M59" s="18"/>
      <c r="N59" s="18"/>
      <c r="O59" s="18"/>
    </row>
    <row r="60" spans="1:15" ht="15.75" customHeight="1" x14ac:dyDescent="0.15">
      <c r="A60" s="19"/>
      <c r="B60" s="19"/>
      <c r="C60" s="19"/>
      <c r="D60" s="19"/>
      <c r="E60" s="19"/>
      <c r="F60" s="19"/>
      <c r="G60" s="19"/>
      <c r="H60" s="19"/>
      <c r="I60" s="19"/>
      <c r="J60" s="19"/>
      <c r="K60" s="19"/>
      <c r="L60" s="19"/>
      <c r="M60" s="19"/>
      <c r="N60" s="19"/>
      <c r="O60" s="19"/>
    </row>
    <row r="61" spans="1:15" ht="15.75" customHeight="1" x14ac:dyDescent="0.15">
      <c r="A61" s="18"/>
      <c r="B61" s="18"/>
      <c r="C61" s="18"/>
      <c r="D61" s="18"/>
      <c r="E61" s="18"/>
      <c r="F61" s="18"/>
      <c r="G61" s="18"/>
      <c r="H61" s="18"/>
      <c r="I61" s="18"/>
      <c r="J61" s="18"/>
      <c r="K61" s="18"/>
      <c r="L61" s="18"/>
      <c r="M61" s="18"/>
      <c r="N61" s="18"/>
      <c r="O61" s="18"/>
    </row>
    <row r="62" spans="1:15" ht="15.75" customHeight="1" x14ac:dyDescent="0.15">
      <c r="A62" s="19"/>
      <c r="B62" s="19"/>
      <c r="C62" s="19"/>
      <c r="D62" s="19"/>
      <c r="E62" s="19"/>
      <c r="F62" s="19"/>
      <c r="G62" s="19"/>
      <c r="H62" s="19"/>
      <c r="I62" s="19"/>
      <c r="J62" s="19"/>
      <c r="K62" s="19"/>
      <c r="L62" s="19"/>
      <c r="M62" s="19"/>
      <c r="N62" s="19"/>
      <c r="O62" s="19"/>
    </row>
    <row r="63" spans="1:15" ht="15.75" customHeight="1" x14ac:dyDescent="0.15">
      <c r="A63" s="18"/>
      <c r="B63" s="18"/>
      <c r="C63" s="18"/>
      <c r="D63" s="18"/>
      <c r="E63" s="18"/>
      <c r="F63" s="18"/>
      <c r="G63" s="18"/>
      <c r="H63" s="18"/>
      <c r="I63" s="18"/>
      <c r="J63" s="18"/>
      <c r="K63" s="18"/>
      <c r="L63" s="18"/>
      <c r="M63" s="18"/>
      <c r="N63" s="18"/>
      <c r="O63" s="18"/>
    </row>
    <row r="64" spans="1:15" ht="15.75" customHeight="1" x14ac:dyDescent="0.15">
      <c r="A64" s="19"/>
      <c r="B64" s="19"/>
      <c r="C64" s="19"/>
      <c r="D64" s="19"/>
      <c r="E64" s="19"/>
      <c r="F64" s="19"/>
      <c r="G64" s="19"/>
      <c r="H64" s="19"/>
      <c r="I64" s="19"/>
      <c r="J64" s="19"/>
      <c r="K64" s="19"/>
      <c r="L64" s="19"/>
      <c r="M64" s="19"/>
      <c r="N64" s="19"/>
      <c r="O64" s="19"/>
    </row>
    <row r="65" spans="1:15" ht="15.75" customHeight="1" x14ac:dyDescent="0.15">
      <c r="A65" s="18"/>
      <c r="B65" s="18"/>
      <c r="C65" s="18"/>
      <c r="D65" s="18"/>
      <c r="E65" s="18"/>
      <c r="F65" s="18"/>
      <c r="G65" s="18"/>
      <c r="H65" s="18"/>
      <c r="I65" s="18"/>
      <c r="J65" s="18"/>
      <c r="K65" s="18"/>
      <c r="L65" s="18"/>
      <c r="M65" s="18"/>
      <c r="N65" s="18"/>
      <c r="O65" s="18"/>
    </row>
    <row r="66" spans="1:15" ht="15.75" customHeight="1" x14ac:dyDescent="0.15">
      <c r="A66" s="19"/>
      <c r="B66" s="19"/>
      <c r="C66" s="19"/>
      <c r="D66" s="19"/>
      <c r="E66" s="19"/>
      <c r="F66" s="19"/>
      <c r="G66" s="19"/>
      <c r="H66" s="19"/>
      <c r="I66" s="19"/>
      <c r="J66" s="19"/>
      <c r="K66" s="19"/>
      <c r="L66" s="19"/>
      <c r="M66" s="19"/>
      <c r="N66" s="19"/>
      <c r="O66" s="19"/>
    </row>
    <row r="67" spans="1:15" ht="15.75" customHeight="1" x14ac:dyDescent="0.15">
      <c r="A67" s="18"/>
      <c r="B67" s="18"/>
      <c r="C67" s="18"/>
      <c r="D67" s="18"/>
      <c r="E67" s="18"/>
      <c r="F67" s="18"/>
      <c r="G67" s="18"/>
      <c r="H67" s="18"/>
      <c r="I67" s="18"/>
      <c r="J67" s="18"/>
      <c r="K67" s="18"/>
      <c r="L67" s="18"/>
      <c r="M67" s="18"/>
      <c r="N67" s="18"/>
      <c r="O67" s="18"/>
    </row>
    <row r="68" spans="1:15" ht="15.75" customHeight="1" x14ac:dyDescent="0.15">
      <c r="A68" s="19"/>
      <c r="B68" s="19"/>
      <c r="C68" s="19"/>
      <c r="D68" s="19"/>
      <c r="E68" s="19"/>
      <c r="F68" s="19"/>
      <c r="G68" s="19"/>
      <c r="H68" s="19"/>
      <c r="I68" s="19"/>
      <c r="J68" s="19"/>
      <c r="K68" s="19"/>
      <c r="L68" s="19"/>
      <c r="M68" s="19"/>
      <c r="N68" s="19"/>
      <c r="O68" s="19"/>
    </row>
    <row r="69" spans="1:15" ht="15.75" customHeight="1" x14ac:dyDescent="0.15">
      <c r="A69" s="18"/>
      <c r="B69" s="18"/>
      <c r="C69" s="18"/>
      <c r="D69" s="18"/>
      <c r="E69" s="18"/>
      <c r="F69" s="18"/>
      <c r="G69" s="18"/>
      <c r="H69" s="18"/>
      <c r="I69" s="18"/>
      <c r="J69" s="18"/>
      <c r="K69" s="18"/>
      <c r="L69" s="18"/>
      <c r="M69" s="18"/>
      <c r="N69" s="18"/>
      <c r="O69" s="18"/>
    </row>
    <row r="70" spans="1:15" ht="15.75" customHeight="1" x14ac:dyDescent="0.15">
      <c r="A70" s="19"/>
      <c r="B70" s="19"/>
      <c r="C70" s="19"/>
      <c r="D70" s="19"/>
      <c r="E70" s="19"/>
      <c r="F70" s="19"/>
      <c r="G70" s="19"/>
      <c r="H70" s="19"/>
      <c r="I70" s="19"/>
      <c r="J70" s="19"/>
      <c r="K70" s="19"/>
      <c r="L70" s="19"/>
      <c r="M70" s="19"/>
      <c r="N70" s="19"/>
      <c r="O70" s="19"/>
    </row>
    <row r="71" spans="1:15" ht="15.75" customHeight="1" x14ac:dyDescent="0.15">
      <c r="A71" s="18"/>
      <c r="B71" s="18"/>
      <c r="C71" s="18"/>
      <c r="D71" s="18"/>
      <c r="E71" s="18"/>
      <c r="F71" s="18"/>
      <c r="G71" s="18"/>
      <c r="H71" s="18"/>
      <c r="I71" s="18"/>
      <c r="J71" s="18"/>
      <c r="K71" s="18"/>
      <c r="L71" s="18"/>
      <c r="M71" s="18"/>
      <c r="N71" s="18"/>
      <c r="O71" s="18"/>
    </row>
    <row r="72" spans="1:15" ht="15.75" customHeight="1" x14ac:dyDescent="0.15">
      <c r="A72" s="19"/>
      <c r="B72" s="19"/>
      <c r="C72" s="19"/>
      <c r="D72" s="19"/>
      <c r="E72" s="19"/>
      <c r="F72" s="19"/>
      <c r="G72" s="19"/>
      <c r="H72" s="19"/>
      <c r="I72" s="19"/>
      <c r="J72" s="19"/>
      <c r="K72" s="19"/>
      <c r="L72" s="19"/>
      <c r="M72" s="19"/>
      <c r="N72" s="19"/>
      <c r="O72" s="19"/>
    </row>
    <row r="73" spans="1:15" ht="15.75" customHeight="1" x14ac:dyDescent="0.15">
      <c r="A73" s="18"/>
      <c r="B73" s="18"/>
      <c r="C73" s="18"/>
      <c r="D73" s="18"/>
      <c r="E73" s="18"/>
      <c r="F73" s="18"/>
      <c r="G73" s="18"/>
      <c r="H73" s="18"/>
      <c r="I73" s="18"/>
      <c r="J73" s="18"/>
      <c r="K73" s="18"/>
      <c r="L73" s="18"/>
      <c r="M73" s="18"/>
      <c r="N73" s="18"/>
      <c r="O73" s="18"/>
    </row>
    <row r="74" spans="1:15" ht="15.75" customHeight="1" x14ac:dyDescent="0.15">
      <c r="A74" s="19"/>
      <c r="B74" s="19"/>
      <c r="C74" s="19"/>
      <c r="D74" s="19"/>
      <c r="E74" s="19"/>
      <c r="F74" s="19"/>
      <c r="G74" s="19"/>
      <c r="H74" s="19"/>
      <c r="I74" s="19"/>
      <c r="J74" s="19"/>
      <c r="K74" s="19"/>
      <c r="L74" s="19"/>
      <c r="M74" s="19"/>
      <c r="N74" s="19"/>
      <c r="O74" s="19"/>
    </row>
    <row r="75" spans="1:15" ht="15.75" customHeight="1" x14ac:dyDescent="0.15">
      <c r="A75" s="18"/>
      <c r="B75" s="18"/>
      <c r="C75" s="18"/>
      <c r="D75" s="18"/>
      <c r="E75" s="18"/>
      <c r="F75" s="18"/>
      <c r="G75" s="18"/>
      <c r="H75" s="18"/>
      <c r="I75" s="18"/>
      <c r="J75" s="18"/>
      <c r="K75" s="18"/>
      <c r="L75" s="18"/>
      <c r="M75" s="18"/>
      <c r="N75" s="18"/>
      <c r="O75" s="18"/>
    </row>
    <row r="76" spans="1:15" ht="15.75" customHeight="1" x14ac:dyDescent="0.15">
      <c r="A76" s="19"/>
      <c r="B76" s="19"/>
      <c r="C76" s="19"/>
      <c r="D76" s="19"/>
      <c r="E76" s="19"/>
      <c r="F76" s="19"/>
      <c r="G76" s="19"/>
      <c r="H76" s="19"/>
      <c r="I76" s="19"/>
      <c r="J76" s="19"/>
      <c r="K76" s="19"/>
      <c r="L76" s="19"/>
      <c r="M76" s="19"/>
      <c r="N76" s="19"/>
      <c r="O76" s="19"/>
    </row>
    <row r="77" spans="1:15" ht="15.75" customHeight="1" x14ac:dyDescent="0.15">
      <c r="A77" s="18"/>
      <c r="B77" s="18"/>
      <c r="C77" s="18"/>
      <c r="D77" s="18"/>
      <c r="E77" s="18"/>
      <c r="F77" s="18"/>
      <c r="G77" s="18"/>
      <c r="H77" s="18"/>
      <c r="I77" s="18"/>
      <c r="J77" s="18"/>
      <c r="K77" s="18"/>
      <c r="L77" s="18"/>
      <c r="M77" s="18"/>
      <c r="N77" s="18"/>
      <c r="O77" s="18"/>
    </row>
    <row r="78" spans="1:15" ht="15.75" customHeight="1" x14ac:dyDescent="0.15">
      <c r="A78" s="19"/>
      <c r="B78" s="19"/>
      <c r="C78" s="19"/>
      <c r="D78" s="19"/>
      <c r="E78" s="19"/>
      <c r="F78" s="19"/>
      <c r="G78" s="19"/>
      <c r="H78" s="19"/>
      <c r="I78" s="19"/>
      <c r="J78" s="19"/>
      <c r="K78" s="19"/>
      <c r="L78" s="19"/>
      <c r="M78" s="19"/>
      <c r="N78" s="19"/>
      <c r="O78" s="19"/>
    </row>
    <row r="79" spans="1:15" ht="15.75" customHeight="1" x14ac:dyDescent="0.15">
      <c r="A79" s="18"/>
      <c r="B79" s="18"/>
      <c r="C79" s="18"/>
      <c r="D79" s="18"/>
      <c r="E79" s="18"/>
      <c r="F79" s="18"/>
      <c r="G79" s="18"/>
      <c r="H79" s="18"/>
      <c r="I79" s="18"/>
      <c r="J79" s="18"/>
      <c r="K79" s="18"/>
      <c r="L79" s="18"/>
      <c r="M79" s="18"/>
      <c r="N79" s="18"/>
      <c r="O79" s="18"/>
    </row>
    <row r="80" spans="1:15" ht="15.75" customHeight="1" x14ac:dyDescent="0.15">
      <c r="A80" s="19"/>
      <c r="B80" s="19"/>
      <c r="C80" s="19"/>
      <c r="D80" s="19"/>
      <c r="E80" s="19"/>
      <c r="F80" s="19"/>
      <c r="G80" s="19"/>
      <c r="H80" s="19"/>
      <c r="I80" s="19"/>
      <c r="J80" s="19"/>
      <c r="K80" s="19"/>
      <c r="L80" s="19"/>
      <c r="M80" s="19"/>
      <c r="N80" s="19"/>
      <c r="O80" s="19"/>
    </row>
    <row r="81" spans="1:15" ht="15.75" customHeight="1" x14ac:dyDescent="0.15">
      <c r="A81" s="18"/>
      <c r="B81" s="18"/>
      <c r="C81" s="18"/>
      <c r="D81" s="18"/>
      <c r="E81" s="18"/>
      <c r="F81" s="18"/>
      <c r="G81" s="18"/>
      <c r="H81" s="18"/>
      <c r="I81" s="18"/>
      <c r="J81" s="18"/>
      <c r="K81" s="18"/>
      <c r="L81" s="18"/>
      <c r="M81" s="18"/>
      <c r="N81" s="18"/>
      <c r="O81" s="18"/>
    </row>
    <row r="82" spans="1:15" ht="15.75" customHeight="1" x14ac:dyDescent="0.15">
      <c r="A82" s="19"/>
      <c r="B82" s="19"/>
      <c r="C82" s="19"/>
      <c r="D82" s="19"/>
      <c r="E82" s="19"/>
      <c r="F82" s="19"/>
      <c r="G82" s="19"/>
      <c r="H82" s="19"/>
      <c r="I82" s="19"/>
      <c r="J82" s="19"/>
      <c r="K82" s="19"/>
      <c r="L82" s="19"/>
      <c r="M82" s="19"/>
      <c r="N82" s="19"/>
      <c r="O82" s="19"/>
    </row>
    <row r="83" spans="1:15" ht="15.75" customHeight="1" x14ac:dyDescent="0.15">
      <c r="A83" s="18"/>
      <c r="B83" s="18"/>
      <c r="C83" s="18"/>
      <c r="D83" s="18"/>
      <c r="E83" s="18"/>
      <c r="F83" s="18"/>
      <c r="G83" s="18"/>
      <c r="H83" s="18"/>
      <c r="I83" s="18"/>
      <c r="J83" s="18"/>
      <c r="K83" s="18"/>
      <c r="L83" s="18"/>
      <c r="M83" s="18"/>
      <c r="N83" s="18"/>
      <c r="O83" s="18"/>
    </row>
    <row r="84" spans="1:15" ht="15.75" customHeight="1" x14ac:dyDescent="0.15">
      <c r="A84" s="19"/>
      <c r="B84" s="19"/>
      <c r="C84" s="19"/>
      <c r="D84" s="19"/>
      <c r="E84" s="19"/>
      <c r="F84" s="19"/>
      <c r="G84" s="19"/>
      <c r="H84" s="19"/>
      <c r="I84" s="19"/>
      <c r="J84" s="19"/>
      <c r="K84" s="19"/>
      <c r="L84" s="19"/>
      <c r="M84" s="19"/>
      <c r="N84" s="19"/>
      <c r="O84" s="19"/>
    </row>
    <row r="85" spans="1:15" ht="15.75" customHeight="1" x14ac:dyDescent="0.15">
      <c r="A85" s="18"/>
      <c r="B85" s="18"/>
      <c r="C85" s="18"/>
      <c r="D85" s="18"/>
      <c r="E85" s="18"/>
      <c r="F85" s="18"/>
      <c r="G85" s="18"/>
      <c r="H85" s="18"/>
      <c r="I85" s="18"/>
      <c r="J85" s="18"/>
      <c r="K85" s="18"/>
      <c r="L85" s="18"/>
      <c r="M85" s="18"/>
      <c r="N85" s="18"/>
      <c r="O85" s="18"/>
    </row>
    <row r="86" spans="1:15" ht="15.75" customHeight="1" x14ac:dyDescent="0.15">
      <c r="A86" s="19"/>
      <c r="B86" s="19"/>
      <c r="C86" s="19"/>
      <c r="D86" s="19"/>
      <c r="E86" s="19"/>
      <c r="F86" s="19"/>
      <c r="G86" s="19"/>
      <c r="H86" s="19"/>
      <c r="I86" s="19"/>
      <c r="J86" s="19"/>
      <c r="K86" s="19"/>
      <c r="L86" s="19"/>
      <c r="M86" s="19"/>
      <c r="N86" s="19"/>
      <c r="O86" s="19"/>
    </row>
    <row r="87" spans="1:15" ht="15.75" customHeight="1" x14ac:dyDescent="0.15">
      <c r="A87" s="18"/>
      <c r="B87" s="18"/>
      <c r="C87" s="18"/>
      <c r="D87" s="18"/>
      <c r="E87" s="18"/>
      <c r="F87" s="18"/>
      <c r="G87" s="18"/>
      <c r="H87" s="18"/>
      <c r="I87" s="18"/>
      <c r="J87" s="18"/>
      <c r="K87" s="18"/>
      <c r="L87" s="18"/>
      <c r="M87" s="18"/>
      <c r="N87" s="18"/>
      <c r="O87" s="18"/>
    </row>
    <row r="88" spans="1:15" ht="15.75" customHeight="1" x14ac:dyDescent="0.15">
      <c r="A88" s="19"/>
      <c r="B88" s="19"/>
      <c r="C88" s="19"/>
      <c r="D88" s="19"/>
      <c r="E88" s="19"/>
      <c r="F88" s="19"/>
      <c r="G88" s="19"/>
      <c r="H88" s="19"/>
      <c r="I88" s="19"/>
      <c r="J88" s="19"/>
      <c r="K88" s="19"/>
      <c r="L88" s="19"/>
      <c r="M88" s="19"/>
      <c r="N88" s="19"/>
      <c r="O88" s="19"/>
    </row>
    <row r="89" spans="1:15" ht="15.75" customHeight="1" x14ac:dyDescent="0.15">
      <c r="A89" s="18"/>
      <c r="B89" s="18"/>
      <c r="C89" s="18"/>
      <c r="D89" s="18"/>
      <c r="E89" s="18"/>
      <c r="F89" s="18"/>
      <c r="G89" s="18"/>
      <c r="H89" s="18"/>
      <c r="I89" s="18"/>
      <c r="J89" s="18"/>
      <c r="K89" s="18"/>
      <c r="L89" s="18"/>
      <c r="M89" s="18"/>
      <c r="N89" s="18"/>
      <c r="O89" s="18"/>
    </row>
    <row r="90" spans="1:15" ht="15.75" customHeight="1" x14ac:dyDescent="0.15">
      <c r="A90" s="19"/>
      <c r="B90" s="19"/>
      <c r="C90" s="19"/>
      <c r="D90" s="19"/>
      <c r="E90" s="19"/>
      <c r="F90" s="19"/>
      <c r="G90" s="19"/>
      <c r="H90" s="19"/>
      <c r="I90" s="19"/>
      <c r="J90" s="19"/>
      <c r="K90" s="19"/>
      <c r="L90" s="19"/>
      <c r="M90" s="19"/>
      <c r="N90" s="19"/>
      <c r="O90" s="19"/>
    </row>
    <row r="91" spans="1:15" ht="15.75" customHeight="1" x14ac:dyDescent="0.15">
      <c r="A91" s="18"/>
      <c r="B91" s="18"/>
      <c r="C91" s="18"/>
      <c r="D91" s="18"/>
      <c r="E91" s="18"/>
      <c r="F91" s="18"/>
      <c r="G91" s="18"/>
      <c r="H91" s="18"/>
      <c r="I91" s="18"/>
      <c r="J91" s="18"/>
      <c r="K91" s="18"/>
      <c r="L91" s="18"/>
      <c r="M91" s="18"/>
      <c r="N91" s="18"/>
      <c r="O91" s="18"/>
    </row>
    <row r="92" spans="1:15" ht="15.75" customHeight="1" x14ac:dyDescent="0.15">
      <c r="A92" s="19"/>
      <c r="B92" s="19"/>
      <c r="C92" s="19"/>
      <c r="D92" s="19"/>
      <c r="E92" s="19"/>
      <c r="F92" s="19"/>
      <c r="G92" s="19"/>
      <c r="H92" s="19"/>
      <c r="I92" s="19"/>
      <c r="J92" s="19"/>
      <c r="K92" s="19"/>
      <c r="L92" s="19"/>
      <c r="M92" s="19"/>
      <c r="N92" s="19"/>
      <c r="O92" s="19"/>
    </row>
    <row r="93" spans="1:15" ht="15.75" customHeight="1" x14ac:dyDescent="0.15">
      <c r="A93" s="18"/>
      <c r="B93" s="18"/>
      <c r="C93" s="18"/>
      <c r="D93" s="18"/>
      <c r="E93" s="18"/>
      <c r="F93" s="18"/>
      <c r="G93" s="18"/>
      <c r="H93" s="18"/>
      <c r="I93" s="18"/>
      <c r="J93" s="18"/>
      <c r="K93" s="18"/>
      <c r="L93" s="18"/>
      <c r="M93" s="18"/>
      <c r="N93" s="18"/>
      <c r="O93" s="18"/>
    </row>
    <row r="94" spans="1:15" ht="15.75" customHeight="1" x14ac:dyDescent="0.15">
      <c r="A94" s="19"/>
      <c r="B94" s="19"/>
      <c r="C94" s="19"/>
      <c r="D94" s="19"/>
      <c r="E94" s="19"/>
      <c r="F94" s="19"/>
      <c r="G94" s="19"/>
      <c r="H94" s="19"/>
      <c r="I94" s="19"/>
      <c r="J94" s="19"/>
      <c r="K94" s="19"/>
      <c r="L94" s="19"/>
      <c r="M94" s="19"/>
      <c r="N94" s="19"/>
      <c r="O94" s="19"/>
    </row>
    <row r="95" spans="1:15" ht="15.75" customHeight="1" x14ac:dyDescent="0.15">
      <c r="A95" s="18"/>
      <c r="B95" s="18"/>
      <c r="C95" s="18"/>
      <c r="D95" s="18"/>
      <c r="E95" s="18"/>
      <c r="F95" s="18"/>
      <c r="G95" s="18"/>
      <c r="H95" s="18"/>
      <c r="I95" s="18"/>
      <c r="J95" s="18"/>
      <c r="K95" s="18"/>
      <c r="L95" s="18"/>
      <c r="M95" s="18"/>
      <c r="N95" s="18"/>
      <c r="O95" s="18"/>
    </row>
    <row r="96" spans="1:15" ht="15.75" customHeight="1" x14ac:dyDescent="0.15">
      <c r="A96" s="19"/>
      <c r="B96" s="19"/>
      <c r="C96" s="19"/>
      <c r="D96" s="19"/>
      <c r="E96" s="19"/>
      <c r="F96" s="19"/>
      <c r="G96" s="19"/>
      <c r="H96" s="19"/>
      <c r="I96" s="19"/>
      <c r="J96" s="19"/>
      <c r="K96" s="19"/>
      <c r="L96" s="19"/>
      <c r="M96" s="19"/>
      <c r="N96" s="19"/>
      <c r="O96" s="19"/>
    </row>
    <row r="97" spans="1:15" ht="15.75" customHeight="1" x14ac:dyDescent="0.15">
      <c r="A97" s="18"/>
      <c r="B97" s="18"/>
      <c r="C97" s="18"/>
      <c r="D97" s="18"/>
      <c r="E97" s="18"/>
      <c r="F97" s="18"/>
      <c r="G97" s="18"/>
      <c r="H97" s="18"/>
      <c r="I97" s="18"/>
      <c r="J97" s="18"/>
      <c r="K97" s="18"/>
      <c r="L97" s="18"/>
      <c r="M97" s="18"/>
      <c r="N97" s="18"/>
      <c r="O97" s="18"/>
    </row>
    <row r="98" spans="1:15" ht="15.75" customHeight="1" x14ac:dyDescent="0.15">
      <c r="A98" s="19"/>
      <c r="B98" s="19"/>
      <c r="C98" s="19"/>
      <c r="D98" s="19"/>
      <c r="E98" s="19"/>
      <c r="F98" s="19"/>
      <c r="G98" s="19"/>
      <c r="H98" s="19"/>
      <c r="I98" s="19"/>
      <c r="J98" s="19"/>
      <c r="K98" s="19"/>
      <c r="L98" s="19"/>
      <c r="M98" s="19"/>
      <c r="N98" s="19"/>
      <c r="O98" s="19"/>
    </row>
    <row r="99" spans="1:15" ht="15.75" customHeight="1" x14ac:dyDescent="0.15">
      <c r="A99" s="18"/>
      <c r="B99" s="18"/>
      <c r="C99" s="18"/>
      <c r="D99" s="18"/>
      <c r="E99" s="18"/>
      <c r="F99" s="18"/>
      <c r="G99" s="18"/>
      <c r="H99" s="18"/>
      <c r="I99" s="18"/>
      <c r="J99" s="18"/>
      <c r="K99" s="18"/>
      <c r="L99" s="18"/>
      <c r="M99" s="18"/>
      <c r="N99" s="18"/>
      <c r="O99" s="18"/>
    </row>
    <row r="100" spans="1:15" ht="15.75" customHeight="1" x14ac:dyDescent="0.15">
      <c r="A100" s="19"/>
      <c r="B100" s="19"/>
      <c r="C100" s="19"/>
      <c r="D100" s="19"/>
      <c r="E100" s="19"/>
      <c r="F100" s="19"/>
      <c r="G100" s="19"/>
      <c r="H100" s="19"/>
      <c r="I100" s="19"/>
      <c r="J100" s="19"/>
      <c r="K100" s="19"/>
      <c r="L100" s="19"/>
      <c r="M100" s="19"/>
      <c r="N100" s="19"/>
      <c r="O100" s="19"/>
    </row>
    <row r="101" spans="1:15" ht="15.75" customHeight="1" x14ac:dyDescent="0.15">
      <c r="A101" s="18"/>
      <c r="B101" s="18"/>
      <c r="C101" s="18"/>
      <c r="D101" s="18"/>
      <c r="E101" s="18"/>
      <c r="F101" s="18"/>
      <c r="G101" s="18"/>
      <c r="H101" s="18"/>
      <c r="I101" s="18"/>
      <c r="J101" s="18"/>
      <c r="K101" s="18"/>
      <c r="L101" s="18"/>
      <c r="M101" s="18"/>
      <c r="N101" s="18"/>
      <c r="O101" s="18"/>
    </row>
    <row r="102" spans="1:15" ht="15.75" customHeight="1" x14ac:dyDescent="0.15">
      <c r="A102" s="19"/>
      <c r="B102" s="19"/>
      <c r="C102" s="19"/>
      <c r="D102" s="19"/>
      <c r="E102" s="19"/>
      <c r="F102" s="19"/>
      <c r="G102" s="19"/>
      <c r="H102" s="19"/>
      <c r="I102" s="19"/>
      <c r="J102" s="19"/>
      <c r="K102" s="19"/>
      <c r="L102" s="19"/>
      <c r="M102" s="19"/>
      <c r="N102" s="19"/>
      <c r="O102" s="19"/>
    </row>
  </sheetData>
  <mergeCells count="1">
    <mergeCell ref="A1:O1"/>
  </mergeCells>
  <dataValidations count="2">
    <dataValidation type="list" allowBlank="1" sqref="C3:C102" xr:uid="{00000000-0002-0000-0900-000000000000}">
      <formula1>"Annual Report,Sustainability Report,TCFD Report,CSRD/ESRS Report,Assurance Statement,Regulatory Filing,Third-Party Source,News,NGO Report,Academic"</formula1>
      <formula2>0</formula2>
    </dataValidation>
    <dataValidation type="list" allowBlank="1" sqref="L3:L102" xr:uid="{00000000-0002-0000-09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showGridLines="0" zoomScaleNormal="100" workbookViewId="0">
      <pane xSplit="1" ySplit="2" topLeftCell="B3" activePane="bottomRight" state="frozen"/>
      <selection pane="topRight" activeCell="B1" sqref="B1"/>
      <selection pane="bottomLeft" activeCell="A3" sqref="A3"/>
      <selection pane="bottomRight" activeCell="C6" sqref="C6"/>
    </sheetView>
  </sheetViews>
  <sheetFormatPr baseColWidth="10" defaultColWidth="8.6640625" defaultRowHeight="14" x14ac:dyDescent="0.15"/>
  <cols>
    <col min="1" max="1" width="12" style="1" customWidth="1"/>
    <col min="2" max="2" width="28" style="1" customWidth="1"/>
    <col min="3" max="3" width="50" style="1" customWidth="1"/>
    <col min="4" max="4" width="40" style="1" customWidth="1"/>
    <col min="5" max="5" width="22" style="1" customWidth="1"/>
    <col min="6" max="6" width="8.6640625" style="1" customWidth="1"/>
    <col min="7" max="16384" width="8.6640625" style="1"/>
  </cols>
  <sheetData>
    <row r="1" spans="1:5" ht="27.75" customHeight="1" x14ac:dyDescent="0.15">
      <c r="A1" s="56" t="s">
        <v>1340</v>
      </c>
      <c r="B1" s="57"/>
      <c r="C1" s="57"/>
      <c r="D1" s="57"/>
      <c r="E1" s="57"/>
    </row>
    <row r="2" spans="1:5" x14ac:dyDescent="0.15">
      <c r="A2" s="16" t="s">
        <v>1341</v>
      </c>
      <c r="B2" s="16" t="s">
        <v>1342</v>
      </c>
      <c r="C2" s="16" t="s">
        <v>1343</v>
      </c>
      <c r="D2" s="16" t="s">
        <v>1344</v>
      </c>
      <c r="E2" s="16" t="s">
        <v>1345</v>
      </c>
    </row>
    <row r="3" spans="1:5" ht="36" customHeight="1" x14ac:dyDescent="0.15">
      <c r="A3" s="30" t="s">
        <v>103</v>
      </c>
      <c r="B3" s="3" t="s">
        <v>1346</v>
      </c>
      <c r="C3" s="3" t="s">
        <v>1347</v>
      </c>
      <c r="D3" s="3" t="s">
        <v>1348</v>
      </c>
      <c r="E3" s="3" t="s">
        <v>1349</v>
      </c>
    </row>
    <row r="4" spans="1:5" ht="36" customHeight="1" x14ac:dyDescent="0.15">
      <c r="A4" s="30" t="s">
        <v>104</v>
      </c>
      <c r="B4" s="5" t="s">
        <v>1350</v>
      </c>
      <c r="C4" s="5" t="s">
        <v>1351</v>
      </c>
      <c r="D4" s="5" t="s">
        <v>1352</v>
      </c>
      <c r="E4" s="5" t="s">
        <v>1353</v>
      </c>
    </row>
    <row r="5" spans="1:5" ht="36" customHeight="1" x14ac:dyDescent="0.15">
      <c r="A5" s="30" t="s">
        <v>105</v>
      </c>
      <c r="B5" s="3" t="s">
        <v>1354</v>
      </c>
      <c r="C5" s="3" t="s">
        <v>1355</v>
      </c>
      <c r="D5" s="3" t="s">
        <v>1356</v>
      </c>
      <c r="E5" s="3" t="s">
        <v>1357</v>
      </c>
    </row>
    <row r="6" spans="1:5" ht="36" customHeight="1" x14ac:dyDescent="0.15">
      <c r="A6" s="30" t="s">
        <v>105</v>
      </c>
      <c r="B6" s="5" t="s">
        <v>148</v>
      </c>
      <c r="C6" s="5" t="s">
        <v>1358</v>
      </c>
      <c r="D6" s="5" t="s">
        <v>1359</v>
      </c>
      <c r="E6" s="5" t="s">
        <v>1360</v>
      </c>
    </row>
    <row r="7" spans="1:5" ht="36" customHeight="1" x14ac:dyDescent="0.15">
      <c r="A7" s="30" t="s">
        <v>106</v>
      </c>
      <c r="B7" s="3" t="s">
        <v>1361</v>
      </c>
      <c r="C7" s="3" t="s">
        <v>1362</v>
      </c>
      <c r="D7" s="3" t="s">
        <v>1363</v>
      </c>
      <c r="E7" s="3" t="s">
        <v>1364</v>
      </c>
    </row>
    <row r="8" spans="1:5" ht="36" customHeight="1" x14ac:dyDescent="0.15">
      <c r="A8" s="30" t="s">
        <v>106</v>
      </c>
      <c r="B8" s="5" t="s">
        <v>166</v>
      </c>
      <c r="C8" s="5" t="s">
        <v>1365</v>
      </c>
      <c r="D8" s="5" t="s">
        <v>1366</v>
      </c>
      <c r="E8" s="5" t="s">
        <v>1367</v>
      </c>
    </row>
    <row r="9" spans="1:5" ht="48" customHeight="1" x14ac:dyDescent="0.15">
      <c r="A9" s="30" t="s">
        <v>107</v>
      </c>
      <c r="B9" s="3" t="s">
        <v>171</v>
      </c>
      <c r="C9" s="3" t="s">
        <v>1368</v>
      </c>
      <c r="D9" s="3" t="s">
        <v>1369</v>
      </c>
      <c r="E9" s="3" t="s">
        <v>1370</v>
      </c>
    </row>
    <row r="10" spans="1:5" ht="24" customHeight="1" x14ac:dyDescent="0.15">
      <c r="A10" s="30" t="s">
        <v>107</v>
      </c>
      <c r="B10" s="5" t="s">
        <v>178</v>
      </c>
      <c r="C10" s="5" t="s">
        <v>1371</v>
      </c>
      <c r="D10" s="5" t="s">
        <v>1372</v>
      </c>
      <c r="E10" s="5" t="s">
        <v>1373</v>
      </c>
    </row>
    <row r="11" spans="1:5" ht="36" customHeight="1" x14ac:dyDescent="0.15">
      <c r="A11" s="30" t="s">
        <v>107</v>
      </c>
      <c r="B11" s="3" t="s">
        <v>180</v>
      </c>
      <c r="C11" s="3" t="s">
        <v>1374</v>
      </c>
      <c r="D11" s="3" t="s">
        <v>1375</v>
      </c>
      <c r="E11" s="3" t="s">
        <v>1376</v>
      </c>
    </row>
    <row r="12" spans="1:5" ht="36" customHeight="1" x14ac:dyDescent="0.15">
      <c r="A12" s="30" t="s">
        <v>108</v>
      </c>
      <c r="B12" s="5" t="s">
        <v>1377</v>
      </c>
      <c r="C12" s="5" t="s">
        <v>1378</v>
      </c>
      <c r="D12" s="5" t="s">
        <v>1379</v>
      </c>
      <c r="E12" s="5" t="s">
        <v>1380</v>
      </c>
    </row>
    <row r="13" spans="1:5" ht="36" customHeight="1" x14ac:dyDescent="0.15">
      <c r="A13" s="30" t="s">
        <v>108</v>
      </c>
      <c r="B13" s="3" t="s">
        <v>190</v>
      </c>
      <c r="C13" s="3" t="s">
        <v>1381</v>
      </c>
      <c r="D13" s="3" t="s">
        <v>1382</v>
      </c>
      <c r="E13" s="3" t="s">
        <v>1383</v>
      </c>
    </row>
    <row r="14" spans="1:5" ht="36" customHeight="1" x14ac:dyDescent="0.15">
      <c r="A14" s="30" t="s">
        <v>109</v>
      </c>
      <c r="B14" s="5" t="s">
        <v>1384</v>
      </c>
      <c r="C14" s="5" t="s">
        <v>1385</v>
      </c>
      <c r="D14" s="5" t="s">
        <v>1386</v>
      </c>
      <c r="E14" s="5" t="s">
        <v>1387</v>
      </c>
    </row>
    <row r="15" spans="1:5" ht="48" customHeight="1" x14ac:dyDescent="0.15">
      <c r="A15" s="30" t="s">
        <v>109</v>
      </c>
      <c r="B15" s="3" t="s">
        <v>1388</v>
      </c>
      <c r="C15" s="3" t="s">
        <v>1389</v>
      </c>
      <c r="D15" s="3" t="s">
        <v>1390</v>
      </c>
      <c r="E15" s="3" t="s">
        <v>1391</v>
      </c>
    </row>
    <row r="16" spans="1:5" ht="48" customHeight="1" x14ac:dyDescent="0.15">
      <c r="A16" s="30" t="s">
        <v>110</v>
      </c>
      <c r="B16" s="5" t="s">
        <v>1392</v>
      </c>
      <c r="C16" s="5" t="s">
        <v>1393</v>
      </c>
      <c r="D16" s="5" t="s">
        <v>1394</v>
      </c>
      <c r="E16" s="5" t="s">
        <v>1395</v>
      </c>
    </row>
    <row r="17" spans="1:5" ht="36" customHeight="1" x14ac:dyDescent="0.15">
      <c r="A17" s="30" t="s">
        <v>110</v>
      </c>
      <c r="B17" s="3" t="s">
        <v>224</v>
      </c>
      <c r="C17" s="3" t="s">
        <v>1396</v>
      </c>
      <c r="D17" s="3" t="s">
        <v>1397</v>
      </c>
      <c r="E17" s="3" t="s">
        <v>1398</v>
      </c>
    </row>
  </sheetData>
  <mergeCells count="1">
    <mergeCell ref="A1:E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8"/>
  <sheetViews>
    <sheetView showGridLines="0" zoomScaleNormal="100" workbookViewId="0">
      <pane ySplit="2" topLeftCell="A3" activePane="bottomLeft" state="frozen"/>
      <selection pane="bottomLeft" activeCell="F15" sqref="F15"/>
    </sheetView>
  </sheetViews>
  <sheetFormatPr baseColWidth="10" defaultColWidth="8.6640625" defaultRowHeight="14" x14ac:dyDescent="0.15"/>
  <cols>
    <col min="1" max="1" width="28" style="1" customWidth="1"/>
    <col min="2" max="2" width="70" style="1" customWidth="1"/>
    <col min="3" max="3" width="28" style="1" customWidth="1"/>
    <col min="4" max="4" width="8.6640625" style="1" customWidth="1"/>
    <col min="5" max="16384" width="8.6640625" style="1"/>
  </cols>
  <sheetData>
    <row r="1" spans="1:3" ht="27.75" customHeight="1" x14ac:dyDescent="0.15">
      <c r="A1" s="56" t="s">
        <v>1399</v>
      </c>
      <c r="B1" s="57"/>
      <c r="C1" s="57"/>
    </row>
    <row r="2" spans="1:3" x14ac:dyDescent="0.15">
      <c r="A2" s="16" t="s">
        <v>1400</v>
      </c>
      <c r="B2" s="16" t="s">
        <v>1343</v>
      </c>
      <c r="C2" s="16" t="s">
        <v>1401</v>
      </c>
    </row>
    <row r="3" spans="1:3" ht="24" customHeight="1" x14ac:dyDescent="0.15">
      <c r="A3" s="2" t="s">
        <v>1402</v>
      </c>
      <c r="B3" s="3" t="s">
        <v>1403</v>
      </c>
      <c r="C3" s="3" t="s">
        <v>1404</v>
      </c>
    </row>
    <row r="4" spans="1:3" ht="30" customHeight="1" x14ac:dyDescent="0.15">
      <c r="A4" s="4" t="s">
        <v>1405</v>
      </c>
      <c r="B4" s="5" t="s">
        <v>1406</v>
      </c>
      <c r="C4" s="5" t="s">
        <v>1407</v>
      </c>
    </row>
    <row r="5" spans="1:3" ht="30" customHeight="1" x14ac:dyDescent="0.15">
      <c r="A5" s="2" t="s">
        <v>1408</v>
      </c>
      <c r="B5" s="3" t="s">
        <v>1409</v>
      </c>
      <c r="C5" s="3" t="s">
        <v>1410</v>
      </c>
    </row>
    <row r="6" spans="1:3" ht="30" customHeight="1" x14ac:dyDescent="0.15">
      <c r="A6" s="4" t="s">
        <v>1411</v>
      </c>
      <c r="B6" s="5" t="s">
        <v>1412</v>
      </c>
      <c r="C6" s="5" t="s">
        <v>1413</v>
      </c>
    </row>
    <row r="7" spans="1:3" ht="30" customHeight="1" x14ac:dyDescent="0.15">
      <c r="A7" s="2" t="s">
        <v>1414</v>
      </c>
      <c r="B7" s="3" t="s">
        <v>1415</v>
      </c>
      <c r="C7" s="3" t="s">
        <v>1416</v>
      </c>
    </row>
    <row r="8" spans="1:3" ht="30" customHeight="1" x14ac:dyDescent="0.15">
      <c r="A8" s="4" t="s">
        <v>1417</v>
      </c>
      <c r="B8" s="5" t="s">
        <v>1418</v>
      </c>
      <c r="C8" s="5" t="s">
        <v>1419</v>
      </c>
    </row>
    <row r="9" spans="1:3" ht="30" customHeight="1" x14ac:dyDescent="0.15">
      <c r="A9" s="2" t="s">
        <v>1420</v>
      </c>
      <c r="B9" s="3" t="s">
        <v>1421</v>
      </c>
      <c r="C9" s="3" t="s">
        <v>1410</v>
      </c>
    </row>
    <row r="10" spans="1:3" ht="30" customHeight="1" x14ac:dyDescent="0.15">
      <c r="A10" s="4" t="s">
        <v>1422</v>
      </c>
      <c r="B10" s="5" t="s">
        <v>1423</v>
      </c>
      <c r="C10" s="5" t="s">
        <v>1424</v>
      </c>
    </row>
    <row r="11" spans="1:3" ht="30" customHeight="1" x14ac:dyDescent="0.15">
      <c r="A11" s="2" t="s">
        <v>1425</v>
      </c>
      <c r="B11" s="3" t="s">
        <v>1426</v>
      </c>
      <c r="C11" s="3" t="s">
        <v>1427</v>
      </c>
    </row>
    <row r="12" spans="1:3" ht="30" customHeight="1" x14ac:dyDescent="0.15">
      <c r="A12" s="4" t="s">
        <v>1428</v>
      </c>
      <c r="B12" s="5" t="s">
        <v>1429</v>
      </c>
      <c r="C12" s="5" t="s">
        <v>1430</v>
      </c>
    </row>
    <row r="13" spans="1:3" ht="30" customHeight="1" x14ac:dyDescent="0.15">
      <c r="A13" s="2" t="s">
        <v>115</v>
      </c>
      <c r="B13" s="3" t="s">
        <v>1431</v>
      </c>
      <c r="C13" s="3" t="s">
        <v>1096</v>
      </c>
    </row>
    <row r="14" spans="1:3" ht="30" customHeight="1" x14ac:dyDescent="0.15">
      <c r="A14" s="4" t="s">
        <v>1432</v>
      </c>
      <c r="B14" s="5" t="s">
        <v>1433</v>
      </c>
      <c r="C14" s="5" t="s">
        <v>1427</v>
      </c>
    </row>
    <row r="15" spans="1:3" ht="30" customHeight="1" x14ac:dyDescent="0.15">
      <c r="A15" s="2" t="s">
        <v>1434</v>
      </c>
      <c r="B15" s="3" t="s">
        <v>1435</v>
      </c>
      <c r="C15" s="3" t="s">
        <v>1436</v>
      </c>
    </row>
    <row r="16" spans="1:3" ht="30" customHeight="1" x14ac:dyDescent="0.15">
      <c r="A16" s="4" t="s">
        <v>1094</v>
      </c>
      <c r="B16" s="5" t="s">
        <v>1437</v>
      </c>
      <c r="C16" s="5" t="s">
        <v>1438</v>
      </c>
    </row>
    <row r="17" spans="1:3" ht="30" customHeight="1" x14ac:dyDescent="0.15">
      <c r="A17" s="2" t="s">
        <v>1439</v>
      </c>
      <c r="B17" s="3" t="s">
        <v>1440</v>
      </c>
      <c r="C17" s="3" t="s">
        <v>1441</v>
      </c>
    </row>
    <row r="18" spans="1:3" ht="30" customHeight="1" x14ac:dyDescent="0.15">
      <c r="A18" s="4" t="s">
        <v>1442</v>
      </c>
      <c r="B18" s="5" t="s">
        <v>1443</v>
      </c>
      <c r="C18" s="5" t="s">
        <v>1444</v>
      </c>
    </row>
    <row r="19" spans="1:3" ht="30" customHeight="1" x14ac:dyDescent="0.15">
      <c r="A19" s="2" t="s">
        <v>1445</v>
      </c>
      <c r="B19" s="3" t="s">
        <v>1446</v>
      </c>
      <c r="C19" s="3" t="s">
        <v>1447</v>
      </c>
    </row>
    <row r="20" spans="1:3" ht="30" customHeight="1" x14ac:dyDescent="0.15">
      <c r="A20" s="4" t="s">
        <v>1448</v>
      </c>
      <c r="B20" s="5" t="s">
        <v>1449</v>
      </c>
      <c r="C20" s="5" t="s">
        <v>1360</v>
      </c>
    </row>
    <row r="21" spans="1:3" ht="30" customHeight="1" x14ac:dyDescent="0.15">
      <c r="A21" s="2" t="s">
        <v>1450</v>
      </c>
      <c r="B21" s="3" t="s">
        <v>1451</v>
      </c>
      <c r="C21" s="3" t="s">
        <v>1452</v>
      </c>
    </row>
    <row r="22" spans="1:3" ht="30" customHeight="1" x14ac:dyDescent="0.15">
      <c r="A22" s="4" t="s">
        <v>1453</v>
      </c>
      <c r="B22" s="5" t="s">
        <v>1454</v>
      </c>
      <c r="C22" s="5" t="s">
        <v>1455</v>
      </c>
    </row>
    <row r="23" spans="1:3" ht="30" customHeight="1" x14ac:dyDescent="0.15">
      <c r="A23" s="2" t="s">
        <v>1456</v>
      </c>
      <c r="B23" s="3" t="s">
        <v>1457</v>
      </c>
      <c r="C23" s="3" t="s">
        <v>1458</v>
      </c>
    </row>
    <row r="24" spans="1:3" ht="30" customHeight="1" x14ac:dyDescent="0.15">
      <c r="A24" s="4" t="s">
        <v>1459</v>
      </c>
      <c r="B24" s="5" t="s">
        <v>1460</v>
      </c>
      <c r="C24" s="5" t="s">
        <v>1436</v>
      </c>
    </row>
    <row r="25" spans="1:3" ht="30" customHeight="1" x14ac:dyDescent="0.15">
      <c r="A25" s="2" t="s">
        <v>1461</v>
      </c>
      <c r="B25" s="3" t="s">
        <v>1462</v>
      </c>
      <c r="C25" s="3" t="s">
        <v>1463</v>
      </c>
    </row>
    <row r="26" spans="1:3" ht="30" customHeight="1" x14ac:dyDescent="0.15">
      <c r="A26" s="4" t="s">
        <v>1464</v>
      </c>
      <c r="B26" s="5" t="s">
        <v>1465</v>
      </c>
      <c r="C26" s="5" t="s">
        <v>1466</v>
      </c>
    </row>
    <row r="27" spans="1:3" ht="30" customHeight="1" x14ac:dyDescent="0.15">
      <c r="A27" s="2" t="s">
        <v>1467</v>
      </c>
      <c r="B27" s="3" t="s">
        <v>1468</v>
      </c>
      <c r="C27" s="3" t="s">
        <v>1469</v>
      </c>
    </row>
    <row r="28" spans="1:3" ht="30" customHeight="1" x14ac:dyDescent="0.15">
      <c r="A28" s="4" t="s">
        <v>1470</v>
      </c>
      <c r="B28" s="5" t="s">
        <v>1471</v>
      </c>
      <c r="C28" s="5" t="s">
        <v>1472</v>
      </c>
    </row>
  </sheetData>
  <mergeCells count="1">
    <mergeCell ref="A1:C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1"/>
  <sheetViews>
    <sheetView showGridLines="0" zoomScaleNormal="100" workbookViewId="0">
      <selection activeCell="F10" sqref="F10"/>
    </sheetView>
  </sheetViews>
  <sheetFormatPr baseColWidth="10" defaultColWidth="8.6640625" defaultRowHeight="15" x14ac:dyDescent="0.2"/>
  <cols>
    <col min="1" max="1" width="32" customWidth="1"/>
    <col min="2" max="2" width="22" customWidth="1"/>
    <col min="3" max="3" width="50" customWidth="1"/>
    <col min="4" max="4" width="18" customWidth="1"/>
  </cols>
  <sheetData>
    <row r="1" spans="1:4" ht="27.75" customHeight="1" x14ac:dyDescent="0.2">
      <c r="A1" s="56" t="s">
        <v>1473</v>
      </c>
      <c r="B1" s="60"/>
      <c r="C1" s="60"/>
      <c r="D1" s="60"/>
    </row>
    <row r="2" spans="1:4" ht="22.75" customHeight="1" x14ac:dyDescent="0.2">
      <c r="A2" s="16" t="s">
        <v>1474</v>
      </c>
      <c r="B2" s="16" t="s">
        <v>1475</v>
      </c>
      <c r="C2" s="16" t="s">
        <v>1476</v>
      </c>
      <c r="D2" s="16" t="s">
        <v>1477</v>
      </c>
    </row>
    <row r="3" spans="1:4" ht="19.5" customHeight="1" x14ac:dyDescent="0.2">
      <c r="A3" s="30" t="s">
        <v>1478</v>
      </c>
      <c r="B3" s="30"/>
      <c r="C3" s="30"/>
      <c r="D3" s="30"/>
    </row>
    <row r="4" spans="1:4" ht="15.75" customHeight="1" x14ac:dyDescent="0.2">
      <c r="A4" s="5" t="s">
        <v>1479</v>
      </c>
      <c r="B4" s="5" t="s">
        <v>1480</v>
      </c>
      <c r="C4" s="5" t="s">
        <v>1481</v>
      </c>
      <c r="D4" s="5" t="s">
        <v>1482</v>
      </c>
    </row>
    <row r="5" spans="1:4" ht="15.75" customHeight="1" x14ac:dyDescent="0.2">
      <c r="A5" s="3" t="s">
        <v>1483</v>
      </c>
      <c r="B5" s="3" t="s">
        <v>1480</v>
      </c>
      <c r="C5" s="3" t="s">
        <v>1484</v>
      </c>
      <c r="D5" s="3" t="s">
        <v>1485</v>
      </c>
    </row>
    <row r="6" spans="1:4" ht="15.75" customHeight="1" x14ac:dyDescent="0.2">
      <c r="A6" s="5" t="s">
        <v>1486</v>
      </c>
      <c r="B6" s="5" t="s">
        <v>1480</v>
      </c>
      <c r="C6" s="5" t="s">
        <v>1487</v>
      </c>
      <c r="D6" s="5" t="s">
        <v>1488</v>
      </c>
    </row>
    <row r="7" spans="1:4" ht="15.75" customHeight="1" x14ac:dyDescent="0.2">
      <c r="A7" s="3" t="s">
        <v>1489</v>
      </c>
      <c r="B7" s="3" t="s">
        <v>1480</v>
      </c>
      <c r="C7" s="3" t="s">
        <v>1490</v>
      </c>
      <c r="D7" s="3" t="s">
        <v>1491</v>
      </c>
    </row>
    <row r="8" spans="1:4" ht="15.75" customHeight="1" x14ac:dyDescent="0.2">
      <c r="A8" s="5" t="s">
        <v>1492</v>
      </c>
      <c r="B8" s="5" t="s">
        <v>1480</v>
      </c>
      <c r="C8" s="5" t="s">
        <v>1493</v>
      </c>
      <c r="D8" s="5" t="s">
        <v>1494</v>
      </c>
    </row>
    <row r="9" spans="1:4" ht="19.5" customHeight="1" x14ac:dyDescent="0.2">
      <c r="A9" s="30" t="s">
        <v>1495</v>
      </c>
      <c r="B9" s="30"/>
      <c r="C9" s="30"/>
      <c r="D9" s="30"/>
    </row>
    <row r="10" spans="1:4" ht="15.75" customHeight="1" x14ac:dyDescent="0.2">
      <c r="A10" s="5" t="s">
        <v>1496</v>
      </c>
      <c r="B10" s="5" t="s">
        <v>1497</v>
      </c>
      <c r="C10" s="5" t="s">
        <v>1498</v>
      </c>
      <c r="D10" s="5" t="s">
        <v>1499</v>
      </c>
    </row>
    <row r="11" spans="1:4" ht="15.75" customHeight="1" x14ac:dyDescent="0.2">
      <c r="A11" s="3" t="s">
        <v>1500</v>
      </c>
      <c r="B11" s="3" t="s">
        <v>1480</v>
      </c>
      <c r="C11" s="3" t="s">
        <v>1501</v>
      </c>
      <c r="D11" s="3" t="s">
        <v>1502</v>
      </c>
    </row>
    <row r="12" spans="1:4" ht="19.5" customHeight="1" x14ac:dyDescent="0.2">
      <c r="A12" s="30" t="s">
        <v>1503</v>
      </c>
      <c r="B12" s="30"/>
      <c r="C12" s="30"/>
      <c r="D12" s="30"/>
    </row>
    <row r="13" spans="1:4" ht="24" customHeight="1" x14ac:dyDescent="0.2">
      <c r="A13" s="3" t="s">
        <v>1504</v>
      </c>
      <c r="B13" s="3" t="s">
        <v>1480</v>
      </c>
      <c r="C13" s="3" t="s">
        <v>1505</v>
      </c>
      <c r="D13" s="3" t="s">
        <v>1506</v>
      </c>
    </row>
    <row r="14" spans="1:4" ht="15.75" customHeight="1" x14ac:dyDescent="0.2">
      <c r="A14" s="5" t="s">
        <v>1507</v>
      </c>
      <c r="B14" s="5" t="s">
        <v>1480</v>
      </c>
      <c r="C14" s="5" t="s">
        <v>1508</v>
      </c>
      <c r="D14" s="5" t="s">
        <v>1509</v>
      </c>
    </row>
    <row r="15" spans="1:4" ht="15.75" customHeight="1" x14ac:dyDescent="0.2">
      <c r="A15" s="3" t="s">
        <v>1510</v>
      </c>
      <c r="B15" s="3" t="s">
        <v>1480</v>
      </c>
      <c r="C15" s="3" t="s">
        <v>1511</v>
      </c>
      <c r="D15" s="3" t="s">
        <v>1512</v>
      </c>
    </row>
    <row r="16" spans="1:4" ht="15.75" customHeight="1" x14ac:dyDescent="0.2">
      <c r="A16" s="5" t="s">
        <v>1513</v>
      </c>
      <c r="B16" s="5" t="s">
        <v>1514</v>
      </c>
      <c r="C16" s="5" t="s">
        <v>1515</v>
      </c>
      <c r="D16" s="5" t="s">
        <v>1075</v>
      </c>
    </row>
    <row r="17" spans="1:4" ht="19.5" customHeight="1" x14ac:dyDescent="0.2">
      <c r="A17" s="30" t="s">
        <v>1516</v>
      </c>
      <c r="B17" s="30"/>
      <c r="C17" s="30"/>
      <c r="D17" s="30"/>
    </row>
    <row r="18" spans="1:4" ht="15.75" customHeight="1" x14ac:dyDescent="0.2">
      <c r="A18" s="5" t="s">
        <v>1517</v>
      </c>
      <c r="B18" s="5" t="s">
        <v>1480</v>
      </c>
      <c r="C18" s="5" t="s">
        <v>1518</v>
      </c>
      <c r="D18" s="5" t="s">
        <v>1519</v>
      </c>
    </row>
    <row r="19" spans="1:4" ht="24" customHeight="1" x14ac:dyDescent="0.2">
      <c r="A19" s="3" t="s">
        <v>1520</v>
      </c>
      <c r="B19" s="3" t="s">
        <v>1480</v>
      </c>
      <c r="C19" s="3" t="s">
        <v>1521</v>
      </c>
      <c r="D19" s="3" t="s">
        <v>1522</v>
      </c>
    </row>
    <row r="20" spans="1:4" ht="15.75" customHeight="1" x14ac:dyDescent="0.2">
      <c r="A20" s="5" t="s">
        <v>1523</v>
      </c>
      <c r="B20" s="5" t="s">
        <v>1514</v>
      </c>
      <c r="C20" s="5" t="s">
        <v>1515</v>
      </c>
      <c r="D20" s="5" t="s">
        <v>1078</v>
      </c>
    </row>
    <row r="21" spans="1:4" ht="19.5" customHeight="1" x14ac:dyDescent="0.2">
      <c r="A21" s="30" t="s">
        <v>1524</v>
      </c>
      <c r="B21" s="30"/>
      <c r="C21" s="30"/>
      <c r="D21" s="30"/>
    </row>
    <row r="22" spans="1:4" ht="15.75" customHeight="1" x14ac:dyDescent="0.2">
      <c r="A22" s="5" t="s">
        <v>1525</v>
      </c>
      <c r="B22" s="5" t="s">
        <v>1480</v>
      </c>
      <c r="C22" s="5" t="s">
        <v>1526</v>
      </c>
      <c r="D22" s="5" t="s">
        <v>1527</v>
      </c>
    </row>
    <row r="23" spans="1:4" ht="15.75" customHeight="1" x14ac:dyDescent="0.2">
      <c r="A23" s="3" t="s">
        <v>1528</v>
      </c>
      <c r="B23" s="3" t="s">
        <v>1480</v>
      </c>
      <c r="C23" s="3" t="s">
        <v>1529</v>
      </c>
      <c r="D23" s="3" t="s">
        <v>1530</v>
      </c>
    </row>
    <row r="24" spans="1:4" ht="15.75" customHeight="1" x14ac:dyDescent="0.2">
      <c r="A24" s="5" t="s">
        <v>1531</v>
      </c>
      <c r="B24" s="5" t="s">
        <v>1514</v>
      </c>
      <c r="C24" s="5" t="s">
        <v>1515</v>
      </c>
      <c r="D24" s="5" t="s">
        <v>1081</v>
      </c>
    </row>
    <row r="25" spans="1:4" ht="19.5" customHeight="1" x14ac:dyDescent="0.2">
      <c r="A25" s="30" t="s">
        <v>1532</v>
      </c>
      <c r="B25" s="30"/>
      <c r="C25" s="30"/>
      <c r="D25" s="30"/>
    </row>
    <row r="26" spans="1:4" ht="15.75" customHeight="1" x14ac:dyDescent="0.2">
      <c r="A26" s="5" t="s">
        <v>1533</v>
      </c>
      <c r="B26" s="5" t="s">
        <v>1514</v>
      </c>
      <c r="C26" s="5" t="s">
        <v>1534</v>
      </c>
      <c r="D26" s="5" t="s">
        <v>1535</v>
      </c>
    </row>
    <row r="27" spans="1:4" ht="15.75" customHeight="1" x14ac:dyDescent="0.2">
      <c r="A27" s="3" t="s">
        <v>1536</v>
      </c>
      <c r="B27" s="3" t="s">
        <v>1514</v>
      </c>
      <c r="C27" s="3" t="s">
        <v>1537</v>
      </c>
      <c r="D27" s="3" t="s">
        <v>1538</v>
      </c>
    </row>
    <row r="28" spans="1:4" ht="15.75" customHeight="1" x14ac:dyDescent="0.2">
      <c r="A28" s="5" t="s">
        <v>1539</v>
      </c>
      <c r="B28" s="5" t="s">
        <v>1514</v>
      </c>
      <c r="C28" s="5" t="s">
        <v>1515</v>
      </c>
      <c r="D28" s="5" t="s">
        <v>1084</v>
      </c>
    </row>
    <row r="29" spans="1:4" ht="19.5" customHeight="1" x14ac:dyDescent="0.2">
      <c r="A29" s="30" t="s">
        <v>1540</v>
      </c>
      <c r="B29" s="30"/>
      <c r="C29" s="30"/>
      <c r="D29" s="30"/>
    </row>
    <row r="30" spans="1:4" ht="15.75" customHeight="1" x14ac:dyDescent="0.2">
      <c r="A30" s="5" t="s">
        <v>1541</v>
      </c>
      <c r="B30" s="5" t="s">
        <v>1480</v>
      </c>
      <c r="C30" s="5" t="s">
        <v>1542</v>
      </c>
      <c r="D30" s="5" t="s">
        <v>1543</v>
      </c>
    </row>
    <row r="31" spans="1:4" ht="15.75" customHeight="1" x14ac:dyDescent="0.2">
      <c r="A31" s="3" t="s">
        <v>1544</v>
      </c>
      <c r="B31" s="3" t="s">
        <v>1480</v>
      </c>
      <c r="C31" s="3" t="s">
        <v>1542</v>
      </c>
      <c r="D31" s="3" t="s">
        <v>1545</v>
      </c>
    </row>
    <row r="32" spans="1:4" ht="15.75" customHeight="1" x14ac:dyDescent="0.2">
      <c r="A32" s="5" t="s">
        <v>1546</v>
      </c>
      <c r="B32" s="5" t="s">
        <v>1480</v>
      </c>
      <c r="C32" s="5" t="s">
        <v>1542</v>
      </c>
      <c r="D32" s="5" t="s">
        <v>1547</v>
      </c>
    </row>
    <row r="33" spans="1:4" ht="15.75" customHeight="1" x14ac:dyDescent="0.2">
      <c r="A33" s="3" t="s">
        <v>1548</v>
      </c>
      <c r="B33" s="3" t="s">
        <v>1480</v>
      </c>
      <c r="C33" s="3" t="s">
        <v>1542</v>
      </c>
      <c r="D33" s="3" t="s">
        <v>1549</v>
      </c>
    </row>
    <row r="34" spans="1:4" ht="15.75" customHeight="1" x14ac:dyDescent="0.2">
      <c r="A34" s="5" t="s">
        <v>1550</v>
      </c>
      <c r="B34" s="5" t="s">
        <v>1480</v>
      </c>
      <c r="C34" s="5" t="s">
        <v>1542</v>
      </c>
      <c r="D34" s="5" t="s">
        <v>1551</v>
      </c>
    </row>
    <row r="35" spans="1:4" ht="15.75" customHeight="1" x14ac:dyDescent="0.2">
      <c r="A35" s="3" t="s">
        <v>1552</v>
      </c>
      <c r="B35" s="3" t="s">
        <v>1480</v>
      </c>
      <c r="C35" s="3" t="s">
        <v>1542</v>
      </c>
      <c r="D35" s="3" t="s">
        <v>1553</v>
      </c>
    </row>
    <row r="36" spans="1:4" ht="15.75" customHeight="1" x14ac:dyDescent="0.2">
      <c r="A36" s="5" t="s">
        <v>1554</v>
      </c>
      <c r="B36" s="5" t="s">
        <v>1480</v>
      </c>
      <c r="C36" s="5" t="s">
        <v>1542</v>
      </c>
      <c r="D36" s="5" t="s">
        <v>1555</v>
      </c>
    </row>
    <row r="37" spans="1:4" ht="15.75" customHeight="1" x14ac:dyDescent="0.2">
      <c r="A37" s="3" t="s">
        <v>1556</v>
      </c>
      <c r="B37" s="3" t="s">
        <v>1480</v>
      </c>
      <c r="C37" s="3" t="s">
        <v>1542</v>
      </c>
      <c r="D37" s="3" t="s">
        <v>1557</v>
      </c>
    </row>
    <row r="38" spans="1:4" ht="15.75" customHeight="1" x14ac:dyDescent="0.2">
      <c r="A38" s="5" t="s">
        <v>1558</v>
      </c>
      <c r="B38" s="5" t="s">
        <v>1497</v>
      </c>
      <c r="C38" s="5" t="s">
        <v>1559</v>
      </c>
      <c r="D38" s="5" t="s">
        <v>1560</v>
      </c>
    </row>
    <row r="39" spans="1:4" ht="15.75" customHeight="1" x14ac:dyDescent="0.2">
      <c r="A39" s="3" t="s">
        <v>1561</v>
      </c>
      <c r="B39" s="3" t="s">
        <v>1514</v>
      </c>
      <c r="C39" s="3" t="s">
        <v>1562</v>
      </c>
      <c r="D39" s="3" t="s">
        <v>1089</v>
      </c>
    </row>
    <row r="40" spans="1:4" ht="15.75" customHeight="1" x14ac:dyDescent="0.2">
      <c r="A40" s="5" t="s">
        <v>1563</v>
      </c>
      <c r="B40" s="5" t="s">
        <v>1480</v>
      </c>
      <c r="C40" s="5" t="s">
        <v>1564</v>
      </c>
      <c r="D40" s="5" t="s">
        <v>1565</v>
      </c>
    </row>
    <row r="41" spans="1:4" ht="15.75" customHeight="1" x14ac:dyDescent="0.2">
      <c r="A41" s="3" t="s">
        <v>1566</v>
      </c>
      <c r="B41" s="3" t="s">
        <v>1480</v>
      </c>
      <c r="C41" s="3" t="s">
        <v>1567</v>
      </c>
      <c r="D41" s="3" t="s">
        <v>1568</v>
      </c>
    </row>
    <row r="42" spans="1:4" ht="19.5" customHeight="1" x14ac:dyDescent="0.2">
      <c r="A42" s="30" t="s">
        <v>1569</v>
      </c>
      <c r="B42" s="30"/>
      <c r="C42" s="30"/>
      <c r="D42" s="30"/>
    </row>
    <row r="43" spans="1:4" ht="15.75" customHeight="1" x14ac:dyDescent="0.2">
      <c r="A43" s="3" t="s">
        <v>1570</v>
      </c>
      <c r="B43" s="3" t="s">
        <v>1497</v>
      </c>
      <c r="C43" s="3" t="s">
        <v>1571</v>
      </c>
      <c r="D43" s="3" t="s">
        <v>1572</v>
      </c>
    </row>
    <row r="44" spans="1:4" ht="15.75" customHeight="1" x14ac:dyDescent="0.2">
      <c r="A44" s="5" t="s">
        <v>1573</v>
      </c>
      <c r="B44" s="5" t="s">
        <v>1480</v>
      </c>
      <c r="C44" s="5" t="s">
        <v>1574</v>
      </c>
      <c r="D44" s="5" t="s">
        <v>1575</v>
      </c>
    </row>
    <row r="45" spans="1:4" ht="15.75" customHeight="1" x14ac:dyDescent="0.2">
      <c r="A45" s="3" t="s">
        <v>1576</v>
      </c>
      <c r="B45" s="3" t="s">
        <v>1514</v>
      </c>
      <c r="C45" s="3" t="s">
        <v>1577</v>
      </c>
      <c r="D45" s="3" t="s">
        <v>1093</v>
      </c>
    </row>
    <row r="46" spans="1:4" ht="19.5" customHeight="1" x14ac:dyDescent="0.2">
      <c r="A46" s="30" t="s">
        <v>1578</v>
      </c>
      <c r="B46" s="30"/>
      <c r="C46" s="30"/>
      <c r="D46" s="30"/>
    </row>
    <row r="47" spans="1:4" ht="15.75" customHeight="1" x14ac:dyDescent="0.2">
      <c r="A47" s="3" t="s">
        <v>1579</v>
      </c>
      <c r="B47" s="3" t="s">
        <v>1514</v>
      </c>
      <c r="C47" s="3" t="s">
        <v>1580</v>
      </c>
      <c r="D47" s="3" t="s">
        <v>1097</v>
      </c>
    </row>
    <row r="48" spans="1:4" ht="15.75" customHeight="1" x14ac:dyDescent="0.2">
      <c r="A48" s="5" t="s">
        <v>1581</v>
      </c>
      <c r="B48" s="5" t="s">
        <v>1480</v>
      </c>
      <c r="C48" s="5" t="s">
        <v>1582</v>
      </c>
      <c r="D48" s="5" t="s">
        <v>1583</v>
      </c>
    </row>
    <row r="49" spans="1:4" ht="24" customHeight="1" x14ac:dyDescent="0.2">
      <c r="A49" s="3" t="s">
        <v>1584</v>
      </c>
      <c r="B49" s="3" t="s">
        <v>1480</v>
      </c>
      <c r="C49" s="3" t="s">
        <v>1585</v>
      </c>
      <c r="D49" s="3" t="s">
        <v>1586</v>
      </c>
    </row>
    <row r="50" spans="1:4" ht="15.75" customHeight="1" x14ac:dyDescent="0.2">
      <c r="A50" s="5" t="s">
        <v>1587</v>
      </c>
      <c r="B50" s="5" t="s">
        <v>1480</v>
      </c>
      <c r="C50" s="5" t="s">
        <v>1588</v>
      </c>
      <c r="D50" s="5" t="s">
        <v>1589</v>
      </c>
    </row>
    <row r="51" spans="1:4" ht="15.75" customHeight="1" x14ac:dyDescent="0.2">
      <c r="A51" s="3" t="s">
        <v>1590</v>
      </c>
      <c r="B51" s="3" t="s">
        <v>1591</v>
      </c>
      <c r="C51" s="3" t="s">
        <v>1592</v>
      </c>
      <c r="D51" s="3" t="s">
        <v>1593</v>
      </c>
    </row>
  </sheetData>
  <mergeCells count="1">
    <mergeCell ref="A1:D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23"/>
  <sheetViews>
    <sheetView showGridLines="0" zoomScaleNormal="100" workbookViewId="0">
      <selection activeCell="I11" sqref="I11"/>
    </sheetView>
  </sheetViews>
  <sheetFormatPr baseColWidth="10" defaultColWidth="8.6640625" defaultRowHeight="14" x14ac:dyDescent="0.15"/>
  <cols>
    <col min="1" max="1" width="110" style="1" customWidth="1"/>
    <col min="2" max="2" width="8.6640625" style="1" customWidth="1"/>
    <col min="3" max="16384" width="8.6640625" style="1"/>
  </cols>
  <sheetData>
    <row r="1" spans="1:1" ht="30" customHeight="1" x14ac:dyDescent="0.15">
      <c r="A1" s="34" t="s">
        <v>1594</v>
      </c>
    </row>
    <row r="2" spans="1:1" x14ac:dyDescent="0.15">
      <c r="A2" s="24" t="s">
        <v>1595</v>
      </c>
    </row>
    <row r="3" spans="1:1" ht="52.75" customHeight="1" x14ac:dyDescent="0.15">
      <c r="A3" s="35" t="s">
        <v>1596</v>
      </c>
    </row>
    <row r="4" spans="1:1" x14ac:dyDescent="0.15">
      <c r="A4" s="24" t="s">
        <v>1597</v>
      </c>
    </row>
    <row r="5" spans="1:1" ht="52.75" customHeight="1" x14ac:dyDescent="0.15">
      <c r="A5" s="35" t="s">
        <v>1598</v>
      </c>
    </row>
    <row r="6" spans="1:1" x14ac:dyDescent="0.15">
      <c r="A6" s="24" t="s">
        <v>1599</v>
      </c>
    </row>
    <row r="7" spans="1:1" ht="52.75" customHeight="1" x14ac:dyDescent="0.15">
      <c r="A7" s="35" t="s">
        <v>1600</v>
      </c>
    </row>
    <row r="8" spans="1:1" x14ac:dyDescent="0.15">
      <c r="A8" s="24" t="s">
        <v>1601</v>
      </c>
    </row>
    <row r="9" spans="1:1" ht="39.5" customHeight="1" x14ac:dyDescent="0.15">
      <c r="A9" s="35" t="s">
        <v>1602</v>
      </c>
    </row>
    <row r="10" spans="1:1" x14ac:dyDescent="0.15">
      <c r="A10" s="24" t="s">
        <v>1603</v>
      </c>
    </row>
    <row r="11" spans="1:1" ht="39.5" customHeight="1" x14ac:dyDescent="0.15">
      <c r="A11" s="35" t="s">
        <v>1604</v>
      </c>
    </row>
    <row r="12" spans="1:1" x14ac:dyDescent="0.15">
      <c r="A12" s="24" t="s">
        <v>1605</v>
      </c>
    </row>
    <row r="13" spans="1:1" ht="39.5" customHeight="1" x14ac:dyDescent="0.15">
      <c r="A13" s="35" t="s">
        <v>1606</v>
      </c>
    </row>
    <row r="14" spans="1:1" x14ac:dyDescent="0.15">
      <c r="A14" s="24" t="s">
        <v>1607</v>
      </c>
    </row>
    <row r="15" spans="1:1" ht="39.5" customHeight="1" x14ac:dyDescent="0.15">
      <c r="A15" s="35" t="s">
        <v>1608</v>
      </c>
    </row>
    <row r="16" spans="1:1" x14ac:dyDescent="0.15">
      <c r="A16" s="24" t="s">
        <v>1609</v>
      </c>
    </row>
    <row r="17" spans="1:1" ht="39.5" customHeight="1" x14ac:dyDescent="0.15">
      <c r="A17" s="35" t="s">
        <v>1610</v>
      </c>
    </row>
    <row r="18" spans="1:1" x14ac:dyDescent="0.15">
      <c r="A18" s="24" t="s">
        <v>1611</v>
      </c>
    </row>
    <row r="19" spans="1:1" x14ac:dyDescent="0.15">
      <c r="A19" s="35" t="s">
        <v>1612</v>
      </c>
    </row>
    <row r="20" spans="1:1" x14ac:dyDescent="0.15">
      <c r="A20" s="36" t="s">
        <v>1613</v>
      </c>
    </row>
    <row r="21" spans="1:1" x14ac:dyDescent="0.15">
      <c r="A21" s="35" t="s">
        <v>1614</v>
      </c>
    </row>
    <row r="22" spans="1:1" x14ac:dyDescent="0.15">
      <c r="A22" s="36" t="s">
        <v>1615</v>
      </c>
    </row>
    <row r="23" spans="1:1" x14ac:dyDescent="0.15">
      <c r="A23" s="35" t="s">
        <v>1616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README — How to Use</vt:lpstr>
      <vt:lpstr>RAG Screening Sheet</vt:lpstr>
      <vt:lpstr>Universe Tracker</vt:lpstr>
      <vt:lpstr>Watchlist &amp; Exclusion Summary</vt:lpstr>
      <vt:lpstr>8-Test Greenwashing</vt:lpstr>
      <vt:lpstr>Scoring Logic</vt:lpstr>
      <vt:lpstr>Lookup Tables</vt:lpstr>
      <vt:lpstr>Biodiversity Framework</vt:lpstr>
      <vt:lpstr>Verification Log</vt:lpstr>
      <vt:lpstr>Source Register</vt:lpstr>
      <vt:lpstr>Factor Definitions</vt:lpstr>
      <vt:lpstr>Data Dictionary</vt:lpstr>
      <vt:lpstr>JSON Output Schema</vt:lpstr>
      <vt:lpstr>Disclaimer &amp; Limitations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Groth, Andreas</cp:lastModifiedBy>
  <cp:revision>0</cp:revision>
  <dcterms:created xsi:type="dcterms:W3CDTF">2026-05-10T15:42:29Z</dcterms:created>
  <dcterms:modified xsi:type="dcterms:W3CDTF">2026-05-15T20:22:48Z</dcterms:modified>
</cp:coreProperties>
</file>